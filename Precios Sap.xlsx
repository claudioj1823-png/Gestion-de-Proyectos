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AD726F4F-A67D-4943-83EA-9A75E48734EC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r:id="rId1"/>
    <sheet name="Hoja3" sheetId="3" r:id="rId2"/>
    <sheet name="Hoja8" sheetId="8" r:id="rId3"/>
    <sheet name="Hoja7" sheetId="7" state="hidden" r:id="rId4"/>
    <sheet name="Hoja6" sheetId="6" state="hidden" r:id="rId5"/>
    <sheet name="Hoja4" sheetId="4" state="hidden" r:id="rId6"/>
    <sheet name="Hoja1" sheetId="1" state="hidden" r:id="rId7"/>
    <sheet name="Hoja5" sheetId="5" state="hidden" r:id="rId8"/>
  </sheets>
  <externalReferences>
    <externalReference r:id="rId9"/>
  </externalReferences>
  <definedNames>
    <definedName name="_xlnm._FilterDatabase" localSheetId="1" hidden="1">Hoja3!$A$1:$C$3600</definedName>
    <definedName name="_xlnm._FilterDatabase" localSheetId="3" hidden="1">Hoja7!$A$2:$M$26</definedName>
  </definedNames>
  <calcPr calcId="191028"/>
  <pivotCaches>
    <pivotCache cacheId="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F66" i="8"/>
  <c r="F60" i="8"/>
  <c r="C61" i="8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<sst xmlns="http://schemas.openxmlformats.org/spreadsheetml/2006/main" count="8564" uniqueCount="3654">
  <si>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</si>
  <si>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</si>
  <si>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</si>
  <si>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</si>
  <si>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</si>
  <si>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</si>
  <si>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</si>
  <si>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</si>
  <si>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</si>
  <si>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</si>
  <si>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</si>
  <si>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</si>
  <si>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</si>
  <si>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</si>
  <si>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</si>
  <si>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</si>
  <si>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</si>
  <si>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</si>
  <si>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</si>
  <si>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</si>
  <si>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</si>
  <si>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</si>
  <si>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</si>
  <si>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</si>
  <si>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</si>
  <si>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</si>
  <si>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</si>
  <si>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</si>
  <si>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</si>
  <si>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</si>
  <si>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</si>
  <si>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</si>
  <si>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</si>
  <si>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</si>
  <si>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</si>
  <si>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</si>
  <si>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</si>
  <si>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</si>
  <si>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</si>
  <si>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</si>
  <si>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</si>
  <si>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</si>
  <si>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</si>
  <si>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</si>
  <si>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</si>
  <si>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</si>
  <si>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</si>
  <si>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</si>
  <si>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</si>
  <si>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</si>
  <si>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</si>
  <si>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</si>
  <si>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</si>
  <si>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</si>
  <si>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</si>
  <si>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</si>
  <si>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</si>
  <si>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</si>
  <si>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</si>
  <si>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</si>
  <si>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</si>
  <si>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</si>
  <si>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</si>
  <si>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</si>
  <si>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</si>
  <si>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</si>
  <si>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</si>
  <si>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</si>
  <si>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</si>
  <si>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</si>
  <si>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</si>
  <si>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</si>
  <si>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</si>
  <si>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</si>
  <si>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</si>
  <si>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</si>
  <si>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</si>
  <si>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</si>
  <si>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</si>
  <si>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</si>
  <si>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</si>
  <si>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</si>
  <si>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</si>
  <si>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</si>
  <si>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</si>
  <si>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</si>
  <si>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</si>
  <si>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</si>
  <si>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</si>
  <si>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</si>
  <si>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</si>
  <si>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</si>
  <si>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</si>
  <si>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</si>
  <si>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</si>
  <si>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</si>
  <si>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</si>
  <si>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</si>
  <si>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</si>
  <si>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</si>
  <si>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</si>
  <si>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</si>
  <si>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</si>
  <si>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</si>
  <si>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</si>
  <si>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</si>
  <si>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</si>
  <si>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</si>
  <si>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</si>
  <si>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</si>
  <si>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</si>
  <si>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</si>
  <si>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</si>
  <si>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</si>
  <si>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</si>
  <si>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</si>
  <si>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</si>
  <si>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</si>
  <si>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</si>
  <si>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</si>
  <si>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</si>
  <si>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</si>
  <si>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</si>
  <si>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</si>
  <si>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</si>
  <si>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</si>
  <si>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</si>
  <si>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</si>
  <si>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</si>
  <si>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</si>
  <si>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</si>
  <si>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</si>
  <si>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</si>
  <si>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</si>
  <si>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</si>
  <si>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</si>
  <si>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</si>
  <si>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</si>
  <si>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</si>
  <si>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</si>
  <si>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</si>
  <si>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</si>
  <si>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</si>
  <si>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</si>
  <si>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</si>
  <si>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</si>
  <si>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</si>
  <si>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</si>
  <si>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</si>
  <si>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</si>
  <si>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</si>
  <si>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</si>
  <si>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</si>
  <si>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</si>
  <si>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</si>
  <si>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</si>
  <si>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</si>
  <si>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</si>
  <si>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</si>
  <si>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</si>
  <si>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</si>
  <si>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</si>
  <si>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</si>
  <si>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</si>
  <si>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</si>
  <si>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</si>
  <si>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</si>
  <si>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</si>
  <si>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</si>
  <si>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</si>
  <si>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</si>
  <si>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</si>
  <si>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</si>
  <si>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</si>
  <si>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</si>
  <si>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</si>
  <si>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</si>
  <si>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</si>
  <si>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</si>
  <si>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</si>
  <si>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</si>
  <si>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</si>
  <si>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</si>
  <si>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</si>
  <si>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</si>
  <si>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</si>
  <si>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</si>
  <si>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</si>
  <si>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</si>
  <si>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</si>
  <si>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</si>
  <si>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</si>
  <si>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</si>
  <si>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</si>
  <si>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</si>
  <si>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</si>
  <si>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</si>
  <si>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</si>
  <si>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</si>
  <si>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</si>
  <si>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</si>
  <si>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</si>
  <si>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</si>
  <si>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</si>
  <si>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</si>
  <si>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</si>
  <si>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</si>
  <si>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</si>
  <si>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</si>
  <si>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</si>
  <si>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</si>
  <si>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</si>
  <si>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</si>
  <si>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</si>
  <si>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</si>
  <si>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</si>
  <si>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</si>
  <si>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</si>
  <si>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</si>
  <si>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</si>
  <si>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</si>
  <si>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</si>
  <si>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</si>
  <si>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</si>
  <si>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</si>
  <si>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</si>
  <si>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</si>
  <si>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</si>
  <si>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</si>
  <si>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</si>
  <si>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</si>
  <si>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</si>
  <si>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</si>
  <si>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</si>
  <si>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</si>
  <si>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</si>
  <si>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</si>
  <si>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</si>
  <si>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</si>
  <si>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</si>
  <si>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</si>
  <si>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</si>
  <si>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</si>
  <si>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</si>
  <si>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</si>
  <si>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</si>
  <si>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</si>
  <si>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</si>
  <si>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</si>
  <si>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</si>
  <si>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</si>
  <si>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</si>
  <si>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</si>
  <si>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</si>
  <si>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</si>
  <si>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</si>
  <si>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</si>
  <si>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</si>
  <si>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</si>
  <si>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</si>
  <si>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</si>
  <si>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</si>
  <si>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</si>
  <si>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</si>
  <si>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</si>
  <si>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</si>
  <si>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</si>
  <si>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</si>
  <si>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</si>
  <si>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</si>
  <si>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</si>
  <si>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</si>
  <si>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</si>
  <si>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</si>
  <si>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</si>
  <si>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</si>
  <si>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</si>
  <si>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</si>
  <si>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</si>
  <si>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</si>
  <si>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</si>
  <si>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</si>
  <si>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</si>
  <si>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</si>
  <si>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</si>
  <si>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</si>
  <si>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</si>
  <si>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</si>
  <si>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</si>
  <si>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</si>
  <si>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</si>
  <si>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</si>
  <si>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</si>
  <si>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</si>
  <si>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</si>
  <si>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</si>
  <si>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</si>
  <si>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</si>
  <si>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</si>
  <si>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</si>
  <si>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</si>
  <si>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</si>
  <si>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</si>
  <si>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</si>
  <si>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</si>
  <si>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</si>
  <si>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</si>
  <si>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</si>
  <si>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</si>
  <si>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</si>
  <si>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</si>
  <si>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</si>
  <si>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</si>
  <si>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</si>
  <si>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</si>
  <si>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</si>
  <si>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</si>
  <si>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</si>
  <si>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</si>
  <si>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</si>
  <si>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</si>
  <si>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</si>
  <si>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</si>
  <si>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</si>
  <si>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</si>
  <si>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</si>
  <si>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</si>
  <si>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</si>
  <si>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</si>
  <si>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</si>
  <si>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</si>
  <si>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</si>
  <si>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</si>
  <si>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</si>
  <si>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</si>
  <si>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</si>
  <si>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</si>
  <si>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</si>
  <si>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</si>
  <si>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</si>
  <si>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</si>
  <si>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</si>
  <si>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</si>
  <si>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</si>
  <si>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</si>
  <si>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</si>
  <si>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</si>
  <si>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</si>
  <si>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</si>
  <si>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</si>
  <si>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</si>
  <si>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</si>
  <si>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</si>
  <si>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</si>
  <si>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</si>
  <si>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</si>
  <si>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</si>
  <si>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</si>
  <si>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</si>
  <si>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</si>
  <si>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</si>
  <si>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</si>
  <si>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</si>
  <si>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</si>
  <si>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</si>
  <si>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</si>
  <si>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</si>
  <si>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</si>
  <si>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</si>
  <si>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</si>
  <si>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</si>
  <si>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</si>
  <si>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</si>
  <si>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</si>
  <si>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</si>
  <si>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</si>
  <si>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</si>
  <si>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</si>
  <si>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</si>
  <si>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</si>
  <si>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</si>
  <si>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</si>
  <si>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</si>
  <si>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</si>
  <si>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</si>
  <si>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</si>
  <si>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</si>
  <si>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</si>
  <si>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</si>
  <si>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</si>
  <si>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</si>
  <si>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</si>
  <si>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</si>
  <si>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</si>
  <si>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</si>
  <si>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</si>
  <si>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</si>
  <si>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</si>
  <si>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</si>
  <si>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</si>
  <si>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</si>
  <si>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</si>
  <si>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</si>
  <si>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</si>
  <si>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</si>
  <si>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</si>
  <si>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</si>
  <si>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</si>
  <si>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</si>
  <si>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</si>
  <si>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</si>
  <si>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</si>
  <si>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</si>
  <si>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</si>
  <si>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</si>
  <si>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</si>
  <si>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</si>
  <si>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</si>
  <si>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</si>
  <si>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</si>
  <si>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</si>
  <si>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</si>
  <si>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</si>
  <si>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</si>
  <si>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</si>
  <si>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</si>
  <si>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</si>
  <si>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</si>
  <si>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</si>
  <si>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</si>
  <si>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</si>
  <si>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</si>
  <si>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</si>
  <si>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</si>
  <si>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</si>
  <si>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</si>
  <si>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</si>
  <si>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</si>
  <si>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</si>
  <si>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</si>
  <si>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</si>
  <si>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</si>
  <si>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</si>
  <si>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</si>
  <si>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</si>
  <si>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</si>
  <si>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</si>
  <si>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</si>
  <si>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</si>
  <si>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</si>
  <si>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</si>
  <si>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</si>
  <si>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</si>
  <si>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</si>
  <si>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</si>
  <si>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</si>
  <si>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</si>
  <si>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</si>
  <si>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</si>
  <si>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</si>
  <si>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</si>
  <si>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</si>
  <si>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</si>
  <si>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</si>
  <si>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</si>
  <si>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</si>
  <si>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</si>
  <si>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</si>
  <si>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</si>
  <si>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</si>
  <si>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</si>
  <si>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</si>
  <si>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</si>
  <si>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</si>
  <si>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</si>
  <si>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</si>
  <si>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</si>
  <si>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</si>
  <si>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</si>
  <si>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</si>
  <si>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</si>
  <si>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</si>
  <si>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</si>
  <si>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</si>
  <si>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</si>
  <si>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</si>
  <si>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</si>
  <si>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</si>
  <si>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</si>
  <si>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</si>
  <si>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</si>
  <si>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</si>
  <si>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</si>
  <si>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</si>
  <si>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</si>
  <si>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</si>
  <si>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</si>
  <si>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</si>
  <si>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</si>
  <si>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</si>
  <si>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</si>
  <si>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</si>
  <si>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</si>
  <si>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</si>
  <si>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</si>
  <si>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</si>
  <si>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</si>
  <si>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</si>
  <si>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</si>
  <si>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</si>
  <si>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</si>
  <si>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</si>
  <si>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</si>
  <si>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</si>
  <si>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</si>
  <si>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</si>
  <si>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</si>
  <si>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</si>
  <si>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</si>
  <si>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</si>
  <si>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</si>
  <si>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</si>
  <si>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</si>
  <si>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</si>
  <si>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</si>
  <si>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</si>
  <si>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</si>
  <si>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</si>
  <si>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</si>
  <si>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</si>
  <si>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</si>
  <si>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</si>
  <si>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</si>
  <si>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</si>
  <si>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</si>
  <si>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</si>
  <si>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</si>
  <si>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</si>
  <si>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</si>
  <si>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</si>
  <si>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</si>
  <si>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</si>
  <si>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</si>
  <si>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</si>
  <si>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</si>
  <si>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</si>
  <si>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</si>
  <si>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</si>
  <si>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</si>
  <si>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</si>
  <si>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</si>
  <si>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</si>
  <si>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</si>
  <si>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</si>
  <si>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</si>
  <si>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</si>
  <si>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</si>
  <si>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</si>
  <si>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</si>
  <si>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</si>
  <si>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</si>
  <si>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</si>
  <si>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</si>
  <si>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</si>
  <si>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</si>
  <si>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</si>
  <si>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</si>
  <si>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</si>
  <si>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</si>
  <si>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</si>
  <si>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</si>
  <si>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</si>
  <si>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</si>
  <si>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</si>
  <si>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</si>
  <si>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</si>
  <si>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</si>
  <si>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</si>
  <si>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</si>
  <si>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</si>
  <si>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</si>
  <si>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</si>
  <si>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</si>
  <si>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</si>
  <si>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</si>
  <si>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</si>
  <si>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</si>
  <si>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</si>
  <si>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</si>
  <si>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</si>
  <si>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</si>
  <si>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</si>
  <si>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</si>
  <si>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</si>
  <si>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</si>
  <si>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</si>
  <si>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</si>
  <si>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</si>
  <si>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</si>
  <si>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</si>
  <si>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</si>
  <si>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</si>
  <si>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</si>
  <si>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</si>
  <si>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</si>
  <si>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</si>
  <si>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</si>
  <si>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</si>
  <si>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</si>
  <si>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</si>
  <si>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</si>
  <si>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</si>
  <si>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</si>
  <si>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</si>
  <si>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</si>
  <si>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</si>
  <si>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</si>
  <si>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</si>
  <si>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</si>
  <si>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</si>
  <si>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</si>
  <si>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</si>
  <si>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</si>
  <si>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</si>
  <si>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</si>
  <si>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</si>
  <si>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</si>
  <si>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</si>
  <si>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</si>
  <si>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</si>
  <si>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</si>
  <si>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</si>
  <si>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</si>
  <si>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</si>
  <si>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</si>
  <si>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</si>
  <si>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</si>
  <si>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</si>
  <si>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</si>
  <si>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</si>
  <si>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</si>
  <si>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</si>
  <si>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</si>
  <si>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</si>
  <si>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</si>
  <si>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</si>
  <si>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</si>
  <si>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</si>
  <si>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</si>
  <si>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</si>
  <si>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</si>
  <si>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</si>
  <si>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</si>
  <si>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</si>
  <si>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</si>
  <si>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</si>
  <si>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</si>
  <si>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</si>
  <si>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</si>
  <si>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</si>
  <si>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</si>
  <si>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</si>
  <si>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</si>
  <si>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</si>
  <si>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</si>
  <si>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</si>
  <si>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</si>
  <si>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</si>
  <si>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</si>
  <si>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</si>
  <si>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</si>
  <si>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</si>
  <si>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</si>
  <si>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</si>
  <si>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</si>
  <si>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</si>
  <si>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</si>
  <si>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</si>
  <si>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</si>
  <si>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</si>
  <si>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</si>
  <si>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</si>
  <si>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</si>
  <si>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</si>
  <si>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</si>
  <si>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</si>
  <si>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</si>
  <si>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</si>
  <si>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</si>
  <si>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</si>
  <si>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</si>
  <si>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</si>
  <si>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</si>
  <si>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</si>
  <si>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</si>
  <si>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</si>
  <si>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</si>
  <si>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</si>
  <si>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</si>
  <si>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</si>
  <si>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</si>
  <si>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</si>
  <si>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</si>
  <si>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</si>
  <si>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</si>
  <si>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</si>
  <si>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</si>
  <si>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</si>
  <si>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</si>
  <si>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</si>
  <si>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</si>
  <si>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</si>
  <si>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</si>
  <si>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</si>
  <si>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</si>
  <si>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</si>
  <si>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</si>
  <si>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</si>
  <si>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</si>
  <si>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</si>
  <si>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</si>
  <si>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</si>
  <si>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</si>
  <si>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</si>
  <si>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</si>
  <si>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</si>
  <si>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</si>
  <si>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</si>
  <si>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</si>
  <si>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</si>
  <si>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</si>
  <si>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</si>
  <si>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</si>
  <si>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</si>
  <si>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</si>
  <si>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</si>
  <si>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</si>
  <si>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</si>
  <si>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</si>
  <si>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</si>
  <si>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</si>
  <si>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</si>
  <si>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</si>
  <si>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</si>
  <si>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</si>
  <si>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</si>
  <si>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</si>
  <si>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</si>
  <si>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</si>
  <si>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</si>
  <si>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</si>
  <si>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</si>
  <si>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</si>
  <si>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</si>
  <si>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</si>
  <si>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</si>
  <si>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</si>
  <si>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</si>
  <si>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</si>
  <si>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</si>
  <si>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</si>
  <si>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</si>
  <si>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</si>
  <si>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</si>
  <si>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</si>
  <si>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</si>
  <si>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</si>
  <si>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</si>
  <si>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</si>
  <si>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</si>
  <si>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</si>
  <si>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</si>
  <si>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</si>
  <si>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</si>
  <si>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</si>
  <si>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</si>
  <si>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</si>
  <si>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</si>
  <si>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</si>
  <si>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</si>
  <si>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</si>
  <si>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</si>
  <si>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</si>
  <si>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</si>
  <si>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</si>
  <si>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</si>
  <si>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</si>
  <si>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</si>
  <si>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</si>
  <si>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</si>
  <si>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</si>
  <si>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</si>
  <si>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</si>
  <si>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</si>
  <si>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</si>
  <si>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</si>
  <si>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</si>
  <si>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</si>
  <si>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</si>
  <si>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</si>
  <si>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</si>
  <si>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</si>
  <si>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</si>
  <si>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</si>
  <si>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</si>
  <si>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</si>
  <si>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</si>
  <si>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</si>
  <si>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</si>
  <si>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</si>
  <si>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</si>
  <si>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</si>
  <si>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</si>
  <si>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</si>
  <si>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</si>
  <si>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</si>
  <si>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</si>
  <si>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</si>
  <si>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</si>
  <si>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</si>
  <si>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</si>
  <si>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</si>
  <si>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</si>
  <si>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</si>
  <si>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</si>
  <si>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</si>
  <si>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</si>
  <si>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</si>
  <si>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</si>
  <si>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</si>
  <si>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</si>
  <si>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</si>
  <si>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</si>
  <si>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</si>
  <si>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</si>
  <si>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</si>
  <si>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</si>
  <si>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</si>
  <si>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</si>
  <si>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</si>
  <si>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</si>
  <si>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</si>
  <si>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</si>
  <si>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</si>
  <si>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</si>
  <si>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</si>
  <si>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</si>
  <si>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</si>
  <si>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</si>
  <si>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</si>
  <si>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</si>
  <si>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</si>
  <si>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</si>
  <si>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</si>
  <si>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</si>
  <si>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</si>
  <si>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</si>
  <si>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</si>
  <si>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</si>
  <si>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</si>
  <si>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</si>
  <si>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</si>
  <si>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</si>
  <si>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</si>
  <si>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</si>
  <si>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</si>
  <si>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</si>
  <si>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</si>
  <si>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</si>
  <si>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</si>
  <si>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</si>
  <si>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</si>
  <si>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</si>
  <si>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</si>
  <si>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</si>
  <si>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</si>
  <si>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</si>
  <si>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</si>
  <si>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</si>
  <si>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</si>
  <si>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</si>
  <si>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</si>
  <si>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</si>
  <si>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</si>
  <si>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</si>
  <si>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</si>
  <si>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</si>
  <si>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</si>
  <si>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</si>
  <si>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</si>
  <si>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</si>
  <si>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</si>
  <si>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</si>
  <si>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</si>
  <si>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</si>
  <si>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</si>
  <si>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</si>
  <si>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</si>
  <si>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</si>
  <si>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</si>
  <si>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</si>
  <si>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</si>
  <si>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</si>
  <si>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</si>
  <si>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</si>
  <si>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</si>
  <si>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</si>
  <si>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</si>
  <si>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</si>
  <si>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</si>
  <si>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</si>
  <si>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</si>
  <si>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</si>
  <si>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</si>
  <si>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</si>
  <si>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</si>
  <si>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</si>
  <si>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</si>
  <si>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</si>
  <si>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</si>
  <si>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</si>
  <si>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</si>
  <si>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</si>
  <si>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</si>
  <si>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</si>
  <si>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</si>
  <si>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</si>
  <si>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</si>
  <si>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</si>
  <si>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</si>
  <si>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</si>
  <si>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</si>
  <si>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</si>
  <si>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</si>
  <si>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</si>
  <si>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</si>
  <si>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</si>
  <si>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</si>
  <si>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</si>
  <si>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</si>
  <si>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</si>
  <si>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</si>
  <si>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</si>
  <si>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</si>
  <si>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</si>
  <si>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</si>
  <si>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</si>
  <si>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</si>
  <si>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</si>
  <si>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</si>
  <si>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</si>
  <si>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</si>
  <si>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</si>
  <si>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</si>
  <si>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</si>
  <si>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</si>
  <si>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</si>
  <si>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</si>
  <si>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</si>
  <si>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</si>
  <si>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</si>
  <si>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</si>
  <si>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</si>
  <si>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</si>
  <si>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</si>
  <si>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</si>
  <si>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</si>
  <si>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</si>
  <si>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</si>
  <si>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</si>
  <si>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</si>
  <si>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</si>
  <si>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</si>
  <si>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</si>
  <si>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</si>
  <si>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</si>
  <si>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</si>
  <si>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</si>
  <si>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</si>
  <si>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</si>
  <si>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</si>
  <si>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</si>
  <si>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</si>
  <si>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</si>
  <si>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</si>
  <si>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</si>
  <si>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</si>
  <si>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</si>
  <si>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</si>
  <si>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</si>
  <si>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</si>
  <si>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</si>
  <si>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</si>
  <si>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</si>
  <si>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</si>
  <si>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</si>
  <si>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</si>
  <si>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</si>
  <si>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</si>
  <si>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</si>
  <si>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</si>
  <si>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</si>
  <si>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</si>
  <si>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</si>
  <si>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</si>
  <si>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</si>
  <si>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</si>
  <si>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</si>
  <si>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</si>
  <si>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</si>
  <si>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</si>
  <si>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</si>
  <si>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</si>
  <si>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</si>
  <si>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</si>
  <si>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</si>
  <si>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</si>
  <si>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</si>
  <si>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</si>
  <si>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</si>
  <si>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</si>
  <si>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</si>
  <si>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</si>
  <si>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</si>
  <si>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</si>
  <si>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</si>
  <si>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</si>
  <si>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</si>
  <si>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</si>
  <si>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</si>
  <si>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</si>
  <si>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</si>
  <si>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</si>
  <si>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</si>
  <si>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</si>
  <si>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</si>
  <si>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</si>
  <si>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</si>
  <si>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</si>
  <si>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</si>
  <si>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</si>
  <si>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</si>
  <si>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</si>
  <si>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</si>
  <si>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</si>
  <si>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</si>
  <si>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</si>
  <si>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</si>
  <si>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</si>
  <si>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</si>
  <si>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</si>
  <si>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</si>
  <si>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</si>
  <si>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</si>
  <si>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</si>
  <si>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</si>
  <si>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</si>
  <si>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</si>
  <si>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</si>
  <si>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</si>
  <si>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</si>
  <si>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</si>
  <si>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</si>
  <si>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</si>
  <si>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</si>
  <si>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</si>
  <si>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</si>
  <si>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</si>
  <si>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</si>
  <si>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</si>
  <si>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</si>
  <si>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</si>
  <si>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</si>
  <si>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</si>
  <si>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</si>
  <si>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</si>
  <si>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</si>
  <si>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</si>
  <si>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</si>
  <si>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</si>
  <si>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</si>
  <si>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</si>
  <si>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</si>
  <si>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</si>
  <si>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</si>
  <si>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</si>
  <si>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</si>
  <si>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</si>
  <si>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</si>
  <si>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</si>
  <si>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</si>
  <si>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</si>
  <si>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</si>
  <si>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</si>
  <si>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</si>
  <si>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</si>
  <si>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</si>
  <si>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</si>
  <si>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</si>
  <si>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</si>
  <si>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</si>
  <si>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</si>
  <si>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</si>
  <si>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</si>
  <si>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</si>
  <si>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</si>
  <si>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</si>
  <si>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</si>
  <si>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</si>
  <si>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</si>
  <si>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</si>
  <si>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</si>
  <si>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</si>
  <si>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</si>
  <si>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</si>
  <si>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</si>
  <si>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</si>
  <si>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</si>
  <si>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</si>
  <si>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</si>
  <si>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</si>
  <si>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</si>
  <si>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</si>
  <si>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</si>
  <si>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</si>
  <si>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</si>
  <si>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</si>
  <si>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</si>
  <si>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</si>
  <si>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</si>
  <si>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</si>
  <si>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</si>
  <si>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</si>
  <si>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</si>
  <si>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</si>
  <si>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</si>
  <si>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</si>
  <si>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</si>
  <si>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</si>
  <si>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</si>
  <si>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</si>
  <si>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</si>
  <si>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</si>
  <si>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</si>
  <si>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</si>
  <si>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</si>
  <si>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</si>
  <si>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</si>
  <si>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</si>
  <si>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</si>
  <si>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</si>
  <si>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</si>
  <si>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</si>
  <si>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</si>
  <si>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</si>
  <si>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</si>
  <si>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</si>
  <si>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</si>
  <si>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</si>
  <si>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</si>
  <si>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</si>
  <si>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</si>
  <si>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</si>
  <si>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</si>
  <si>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</si>
  <si>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</si>
  <si>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</si>
  <si>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</si>
  <si>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</si>
  <si>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</si>
  <si>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</si>
  <si>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</si>
  <si>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</si>
  <si>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</si>
  <si>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</si>
  <si>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</si>
  <si>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</si>
  <si>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</si>
  <si>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</si>
  <si>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</si>
  <si>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</si>
  <si>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</si>
  <si>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</si>
  <si>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</si>
  <si>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</si>
  <si>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</si>
  <si>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</si>
  <si>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</si>
  <si>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</si>
  <si>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</si>
  <si>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</si>
  <si>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</si>
  <si>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</si>
  <si>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</si>
  <si>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</si>
  <si>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</si>
  <si>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</si>
  <si>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</si>
  <si>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</si>
  <si>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</si>
  <si>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</si>
  <si>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</si>
  <si>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</si>
  <si>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</si>
  <si>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</si>
  <si>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</si>
  <si>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</si>
  <si>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</si>
  <si>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</si>
  <si>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</si>
  <si>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</si>
  <si>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</si>
  <si>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</si>
  <si>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</si>
  <si>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</si>
  <si>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</si>
  <si>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</si>
  <si>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</si>
  <si>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</si>
  <si>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</si>
  <si>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</si>
  <si>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</si>
  <si>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</si>
  <si>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</si>
  <si>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</si>
  <si>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</si>
  <si>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</si>
  <si>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</si>
  <si>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</si>
  <si>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</si>
  <si>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</si>
  <si>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</si>
  <si>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</si>
  <si>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</si>
  <si>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</si>
  <si>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</si>
  <si>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</si>
  <si>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</si>
  <si>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</si>
  <si>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</si>
  <si>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</si>
  <si>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</si>
  <si>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</si>
  <si>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</si>
  <si>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</si>
  <si>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</si>
  <si>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</si>
  <si>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</si>
  <si>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</si>
  <si>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</si>
  <si>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</si>
  <si>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</si>
  <si>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</si>
  <si>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</si>
  <si>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</si>
  <si>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</si>
  <si>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</si>
  <si>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</si>
  <si>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</si>
  <si>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</si>
  <si>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</si>
  <si>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</si>
  <si>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</si>
  <si>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</si>
  <si>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</si>
  <si>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</si>
  <si>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</si>
  <si>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</si>
  <si>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</si>
  <si>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</si>
  <si>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</si>
  <si>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</si>
  <si>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</si>
  <si>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</si>
  <si>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</si>
  <si>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</si>
  <si>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</si>
  <si>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</si>
  <si>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</si>
  <si>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</si>
  <si>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</si>
  <si>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</si>
  <si>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</si>
  <si>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</si>
  <si>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</si>
  <si>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</si>
  <si>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</si>
  <si>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</si>
  <si>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</si>
  <si>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</si>
  <si>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</si>
  <si>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</si>
  <si>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</si>
  <si>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</si>
  <si>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</si>
  <si>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</si>
  <si>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</si>
  <si>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</si>
  <si>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</si>
  <si>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</si>
  <si>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</si>
  <si>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</si>
  <si>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</si>
  <si>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</si>
  <si>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</si>
  <si>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</si>
  <si>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</si>
  <si>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</si>
  <si>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</si>
  <si>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</si>
  <si>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</si>
  <si>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</si>
  <si>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</si>
  <si>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</si>
  <si>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</si>
  <si>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</si>
  <si>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</si>
  <si>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</si>
  <si>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</si>
  <si>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</si>
  <si>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</si>
  <si>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</si>
  <si>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</si>
  <si>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</si>
  <si>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</si>
  <si>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</si>
  <si>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</si>
  <si>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</si>
  <si>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</si>
  <si>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</si>
  <si>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</si>
  <si>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</si>
  <si>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</si>
  <si>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</si>
  <si>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</si>
  <si>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</si>
  <si>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</si>
  <si>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</si>
  <si>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</si>
  <si>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</si>
  <si>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</si>
  <si>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</si>
  <si>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</si>
  <si>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</si>
  <si>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</si>
  <si>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</si>
  <si>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</si>
  <si>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</si>
  <si>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</si>
  <si>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</si>
  <si>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</si>
  <si>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</si>
  <si>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</si>
  <si>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</si>
  <si>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</si>
  <si>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</si>
  <si>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</si>
  <si>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</si>
  <si>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</si>
  <si>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</si>
  <si>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</si>
  <si>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</si>
  <si>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</si>
  <si>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</si>
  <si>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</si>
  <si>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</si>
  <si>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</si>
  <si>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</si>
  <si>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</si>
  <si>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</si>
  <si>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</si>
  <si>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</si>
  <si>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</si>
  <si>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</si>
  <si>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</si>
  <si>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</si>
  <si>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</si>
  <si>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</si>
  <si>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</si>
  <si>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</si>
  <si>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</si>
  <si>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</si>
  <si>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</si>
  <si>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</si>
  <si>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</si>
  <si>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</si>
  <si>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</si>
  <si>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</si>
  <si>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</si>
  <si>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</si>
  <si>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</si>
  <si>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</si>
  <si>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</si>
  <si>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</si>
  <si>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</si>
  <si>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</si>
  <si>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</si>
  <si>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</si>
  <si>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</si>
  <si>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</si>
  <si>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</si>
  <si>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</si>
  <si>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</si>
  <si>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</si>
  <si>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</si>
  <si>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</si>
  <si>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</si>
  <si>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</si>
  <si>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</si>
  <si>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</si>
  <si>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</si>
  <si>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</si>
  <si>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</si>
  <si>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</si>
  <si>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</si>
  <si>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</si>
  <si>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</si>
  <si>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</si>
  <si>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</si>
  <si>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</si>
  <si>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</si>
  <si>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</si>
  <si>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</si>
  <si>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</si>
  <si>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</si>
  <si>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</si>
  <si>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</si>
  <si>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</si>
  <si>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</si>
  <si>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</si>
  <si>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</si>
  <si>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</si>
  <si>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</si>
  <si>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</si>
  <si>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</si>
  <si>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</si>
  <si>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</si>
  <si>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</si>
  <si>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</si>
  <si>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</si>
  <si>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</si>
  <si>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</si>
  <si>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</si>
  <si>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</si>
  <si>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</si>
  <si>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</si>
  <si>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</si>
  <si>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</si>
  <si>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</si>
  <si>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</si>
  <si>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</si>
  <si>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</si>
  <si>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</si>
  <si>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</si>
  <si>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</si>
  <si>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</si>
  <si>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</si>
  <si>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</si>
  <si>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</si>
  <si>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</si>
  <si>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</si>
  <si>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</si>
  <si>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</si>
  <si>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</si>
  <si>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</si>
  <si>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</si>
  <si>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</si>
  <si>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</si>
  <si>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</si>
  <si>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</si>
  <si>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</si>
  <si>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</si>
  <si>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</si>
  <si>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</si>
  <si>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</si>
  <si>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</si>
  <si>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</si>
  <si>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</si>
  <si>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</si>
  <si>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</si>
  <si>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</si>
  <si>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</si>
  <si>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</si>
  <si>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</si>
  <si>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</si>
  <si>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</si>
  <si>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</si>
  <si>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</si>
  <si>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</si>
  <si>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</si>
  <si>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</si>
  <si>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</si>
  <si>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</si>
  <si>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</si>
  <si>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</si>
  <si>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</si>
  <si>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</si>
  <si>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</si>
  <si>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</si>
  <si>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</si>
  <si>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</si>
  <si>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</si>
  <si>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</si>
  <si>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</si>
  <si>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</si>
  <si>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</si>
  <si>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</si>
  <si>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</si>
  <si>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</si>
  <si>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</si>
  <si>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</si>
  <si>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</si>
  <si>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</si>
  <si>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</si>
  <si>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</si>
  <si>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</si>
  <si>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</si>
  <si>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</si>
  <si>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</si>
  <si>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</si>
  <si>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</si>
  <si>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</si>
  <si>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</si>
  <si>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</si>
  <si>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</si>
  <si>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</si>
  <si>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</si>
  <si>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</si>
  <si>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</si>
  <si>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</si>
  <si>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</si>
  <si>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</si>
  <si>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</si>
  <si>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</si>
  <si>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</si>
  <si>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</si>
  <si>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</si>
  <si>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</si>
  <si>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</si>
  <si>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</si>
  <si>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</si>
  <si>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</si>
  <si>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</si>
  <si>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</si>
  <si>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</si>
  <si>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</si>
  <si>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</si>
  <si>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</si>
  <si>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</si>
  <si>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</si>
  <si>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</si>
  <si>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</si>
  <si>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</si>
  <si>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</si>
  <si>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</si>
  <si>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</si>
  <si>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</si>
  <si>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</si>
  <si>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</si>
  <si>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</si>
  <si>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</si>
  <si>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</si>
  <si>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</si>
  <si>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</si>
  <si>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</si>
  <si>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</si>
  <si>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</si>
  <si>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</si>
  <si>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</si>
  <si>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</si>
  <si>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</si>
  <si>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</si>
  <si>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</si>
  <si>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</si>
  <si>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</si>
  <si>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</si>
  <si>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</si>
  <si>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</si>
  <si>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</si>
  <si>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</si>
  <si>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</si>
  <si>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</si>
  <si>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</si>
  <si>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</si>
  <si>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</si>
  <si>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</si>
  <si>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</si>
  <si>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</si>
  <si>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</si>
  <si>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</si>
  <si>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</si>
  <si>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</si>
  <si>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</si>
  <si>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</si>
  <si>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</si>
  <si>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</si>
  <si>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</si>
  <si>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</si>
  <si>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</si>
  <si>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</si>
  <si>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</si>
  <si>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</si>
  <si>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</si>
  <si>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</si>
  <si>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</si>
  <si>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</si>
  <si>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</si>
  <si>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</si>
  <si>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</si>
  <si>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</si>
  <si>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</si>
  <si>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</si>
  <si>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</si>
  <si>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</si>
  <si>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</si>
  <si>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</si>
  <si>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</si>
  <si>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</si>
  <si>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</si>
  <si>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</si>
  <si>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</si>
  <si>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</si>
  <si>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</si>
  <si>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</si>
  <si>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</si>
  <si>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</si>
  <si>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</si>
  <si>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</si>
  <si>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</si>
  <si>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</si>
  <si>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</si>
  <si>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</si>
  <si>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</si>
  <si>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</si>
  <si>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</si>
  <si>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</si>
  <si>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</si>
  <si>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</si>
  <si>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</si>
  <si>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</si>
  <si>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</si>
  <si>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</si>
  <si>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</si>
  <si>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</si>
  <si>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</si>
  <si>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</si>
  <si>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</si>
  <si>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</si>
  <si>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</si>
  <si>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</si>
  <si>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</si>
  <si>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</si>
  <si>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</si>
  <si>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</si>
  <si>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</si>
  <si>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</si>
  <si>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</si>
  <si>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</si>
  <si>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</si>
  <si>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</si>
  <si>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</si>
  <si>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</si>
  <si>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</si>
  <si>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</si>
  <si>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</si>
  <si>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</si>
  <si>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</si>
  <si>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</si>
  <si>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</si>
  <si>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</si>
  <si>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</si>
  <si>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</si>
  <si>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</si>
  <si>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</si>
  <si>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</si>
  <si>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</si>
  <si>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</si>
  <si>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</si>
  <si>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</si>
  <si>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</si>
  <si>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</si>
  <si>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</si>
  <si>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</si>
  <si>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</si>
  <si>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</si>
  <si>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</si>
  <si>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</si>
  <si>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</si>
  <si>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</si>
  <si>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</si>
  <si>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</si>
  <si>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</si>
  <si>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</si>
  <si>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</si>
  <si>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</si>
  <si>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</si>
  <si>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</si>
  <si>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</si>
  <si>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</si>
  <si>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</si>
  <si>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</si>
  <si>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</si>
  <si>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</si>
  <si>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</si>
  <si>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</si>
  <si>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</si>
  <si>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</si>
  <si>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</si>
  <si>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</si>
  <si>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</si>
  <si>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</si>
  <si>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</si>
  <si>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</si>
  <si>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</si>
  <si>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</si>
  <si>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</si>
  <si>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</si>
  <si>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</si>
  <si>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</si>
  <si>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</si>
  <si>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</si>
  <si>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</si>
  <si>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</si>
  <si>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</si>
  <si>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</si>
  <si>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</si>
  <si>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</si>
  <si>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</si>
  <si>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</si>
  <si>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</si>
  <si>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</si>
  <si>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</si>
  <si>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</si>
  <si>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</si>
  <si>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</si>
  <si>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</si>
  <si>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</si>
  <si>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</si>
  <si>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</si>
  <si>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</si>
  <si>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</si>
  <si>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</si>
  <si>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</si>
  <si>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</si>
  <si>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</si>
  <si>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</si>
  <si>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</si>
  <si>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</si>
  <si>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</si>
  <si>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</si>
  <si>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</si>
  <si>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</si>
  <si>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</si>
  <si>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</si>
  <si>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</si>
  <si>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</si>
  <si>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</si>
  <si>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</si>
  <si>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</si>
  <si>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</si>
  <si>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</si>
  <si>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</si>
  <si>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</si>
  <si>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</si>
  <si>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</si>
  <si>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</si>
  <si>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</si>
  <si>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</si>
  <si>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</si>
  <si>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</si>
  <si>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</si>
  <si>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</si>
  <si>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</si>
  <si>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</si>
  <si>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</si>
  <si>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</si>
  <si>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</si>
  <si>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</si>
  <si>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</si>
  <si>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</si>
  <si>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</si>
  <si>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</si>
  <si>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</si>
  <si>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</si>
  <si>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</si>
  <si>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</si>
  <si>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</si>
  <si>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</si>
  <si>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</si>
  <si>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</si>
  <si>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</si>
  <si>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</si>
  <si>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</si>
  <si>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</si>
  <si>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</si>
  <si>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</si>
  <si>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</si>
  <si>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</si>
  <si>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</si>
  <si>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</si>
  <si>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</si>
  <si>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</si>
  <si>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</si>
  <si>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</si>
  <si>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</si>
  <si>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</si>
  <si>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</si>
  <si>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</si>
  <si>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</si>
  <si>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</si>
  <si>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</si>
  <si>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</si>
  <si>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</si>
  <si>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</si>
  <si>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</si>
  <si>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</si>
  <si>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</si>
  <si>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</si>
  <si>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</si>
  <si>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</si>
  <si>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</si>
  <si>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</si>
  <si>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</si>
  <si>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</si>
  <si>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</si>
  <si>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</si>
  <si>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</si>
  <si>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</si>
  <si>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</si>
  <si>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</si>
  <si>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</si>
  <si>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</si>
  <si>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</si>
  <si>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</si>
  <si>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</si>
  <si>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</si>
  <si>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</si>
  <si>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</si>
  <si>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</si>
  <si>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</si>
  <si>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</si>
  <si>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</si>
  <si>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</si>
  <si>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</si>
  <si>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</si>
  <si>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</si>
  <si>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</si>
  <si>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</si>
  <si>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</si>
  <si>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</si>
  <si>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</si>
  <si>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</si>
  <si>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</si>
  <si>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</si>
  <si>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</si>
  <si>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</si>
  <si>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</si>
  <si>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</si>
  <si>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</si>
  <si>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</si>
  <si>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</si>
  <si>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</si>
  <si>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</si>
  <si>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</si>
  <si>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</si>
  <si>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</si>
  <si>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</si>
  <si>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</si>
  <si>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</si>
  <si>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</si>
  <si>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</si>
  <si>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</si>
  <si>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</si>
  <si>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</si>
  <si>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</si>
  <si>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</si>
  <si>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</si>
  <si>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</si>
  <si>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</si>
  <si>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</si>
  <si>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</si>
  <si>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</si>
  <si>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</si>
  <si>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</si>
  <si>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</si>
  <si>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</si>
  <si>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</si>
  <si>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</si>
  <si>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</si>
  <si>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</si>
  <si>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</si>
  <si>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</si>
  <si>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</si>
  <si>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</si>
  <si>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</si>
  <si>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</si>
  <si>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</si>
  <si>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</si>
  <si>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</si>
  <si>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</si>
  <si>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</si>
  <si>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</si>
  <si>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</si>
  <si>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</si>
  <si>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</si>
  <si>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</si>
  <si>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</si>
  <si>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</si>
  <si>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</si>
  <si>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</si>
  <si>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</si>
  <si>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</si>
  <si>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</si>
  <si>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</si>
  <si>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</si>
  <si>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</si>
  <si>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</si>
  <si>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</si>
  <si>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</si>
  <si>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</si>
  <si>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</si>
  <si>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</si>
  <si>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</si>
  <si>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</si>
  <si>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</si>
  <si>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</si>
  <si>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</si>
  <si>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</si>
  <si>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</si>
  <si>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</si>
  <si>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</si>
  <si>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</si>
  <si>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</si>
  <si>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</si>
  <si>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</si>
  <si>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</si>
  <si>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</si>
  <si>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</si>
  <si>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</si>
  <si>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</si>
  <si>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</si>
  <si>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</si>
  <si>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</si>
  <si>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</si>
  <si>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</si>
  <si>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</si>
  <si>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</si>
  <si>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</si>
  <si>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</si>
  <si>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</si>
  <si>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</si>
  <si>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</si>
  <si>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</si>
  <si>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</si>
  <si>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</si>
  <si>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</si>
  <si>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</si>
  <si>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</si>
  <si>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</si>
  <si>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</si>
  <si>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</si>
  <si>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</si>
  <si>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</si>
  <si>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</si>
  <si>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</si>
  <si>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</si>
  <si>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</si>
  <si>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</si>
  <si>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</si>
  <si>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</si>
  <si>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</si>
  <si>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</si>
  <si>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</si>
  <si>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</si>
  <si>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</si>
  <si>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</si>
  <si>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</si>
  <si>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</si>
  <si>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</si>
  <si>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</si>
  <si>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</si>
  <si>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</si>
  <si>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</si>
  <si>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</si>
  <si>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</si>
  <si>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</si>
  <si>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</si>
  <si>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</si>
  <si>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</si>
  <si>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</si>
  <si>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</si>
  <si>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</si>
  <si>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</si>
  <si>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</si>
  <si>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</si>
  <si>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</si>
  <si>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</si>
  <si>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</si>
  <si>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</si>
  <si>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</si>
  <si>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</si>
  <si>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</si>
  <si>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</si>
  <si>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</si>
  <si>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</si>
  <si>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</si>
  <si>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</si>
  <si>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</si>
  <si>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</si>
  <si>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</si>
  <si>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</si>
  <si>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</si>
  <si>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</si>
  <si>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</si>
  <si>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</si>
  <si>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</si>
  <si>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</si>
  <si>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</si>
  <si>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</si>
  <si>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</si>
  <si>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</si>
  <si>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</si>
  <si>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</si>
  <si>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</si>
  <si>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</si>
  <si>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</si>
  <si>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</si>
  <si>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</si>
  <si>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</si>
  <si>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</si>
  <si>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</si>
  <si>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</si>
  <si>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</si>
  <si>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</si>
  <si>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</si>
  <si>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</si>
  <si>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</si>
  <si>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</si>
  <si>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</si>
  <si>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</si>
  <si>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</si>
  <si>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</si>
  <si>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</si>
  <si>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</si>
  <si>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</si>
  <si>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</si>
  <si>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</si>
  <si>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</si>
  <si>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</si>
  <si>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</si>
  <si>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</si>
  <si>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</si>
  <si>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</si>
  <si>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</si>
  <si>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</si>
  <si>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</si>
  <si>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</si>
  <si>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</si>
  <si>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</si>
  <si>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</si>
  <si>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</si>
  <si>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</si>
  <si>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</si>
  <si>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</si>
  <si>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</si>
  <si>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</si>
  <si>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</si>
  <si>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</si>
  <si>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</si>
  <si>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</si>
  <si>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</si>
  <si>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</si>
  <si>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</si>
  <si>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</si>
  <si>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</si>
  <si>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</si>
  <si>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</si>
  <si>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</si>
  <si>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</si>
  <si>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</si>
  <si>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</si>
  <si>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</si>
  <si>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</si>
  <si>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</si>
  <si>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</si>
  <si>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</si>
  <si>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</si>
  <si>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</si>
  <si>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</si>
  <si>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</si>
  <si>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</si>
  <si>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</si>
  <si>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</si>
  <si>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</si>
  <si>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</si>
  <si>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</si>
  <si>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</si>
  <si>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</si>
  <si>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</si>
  <si>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</si>
  <si>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</si>
  <si>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</si>
  <si>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</si>
  <si>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</si>
  <si>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</si>
  <si>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</si>
  <si>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</si>
  <si>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</si>
  <si>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</si>
  <si>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</si>
  <si>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</si>
  <si>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</si>
  <si>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</si>
  <si>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</si>
  <si>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</si>
  <si>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</si>
  <si>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</si>
  <si>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</si>
  <si>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</si>
  <si>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</si>
  <si>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</si>
  <si>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</si>
  <si>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</si>
  <si>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</si>
  <si>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</si>
  <si>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</si>
  <si>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</si>
  <si>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</si>
  <si>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</si>
  <si>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</si>
  <si>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</si>
  <si>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</si>
  <si>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</si>
  <si>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</si>
  <si>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</si>
  <si>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</si>
  <si>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</si>
  <si>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</si>
  <si>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</si>
  <si>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</si>
  <si>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</si>
  <si>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</si>
  <si>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</si>
  <si>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</si>
  <si>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</si>
  <si>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</si>
  <si>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</si>
  <si>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</si>
  <si>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</si>
  <si>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</si>
  <si>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</si>
  <si>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</si>
  <si>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</si>
  <si>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</si>
  <si>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</si>
  <si>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</si>
  <si>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</si>
  <si>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</si>
  <si>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</si>
  <si>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</si>
  <si>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</si>
  <si>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</si>
  <si>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</si>
  <si>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</si>
  <si>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</si>
  <si>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</si>
  <si>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</si>
  <si>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</si>
  <si>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</si>
  <si>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</si>
  <si>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</si>
  <si>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</si>
  <si>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</si>
  <si>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</si>
  <si>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</si>
  <si>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</si>
  <si>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</si>
  <si>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</si>
  <si>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</si>
  <si>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</si>
  <si>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</si>
  <si>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</si>
  <si>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</si>
  <si>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</si>
  <si>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</si>
  <si>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</si>
  <si>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</si>
  <si>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</si>
  <si>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</si>
  <si>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</si>
  <si>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</si>
  <si>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</si>
  <si>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</si>
  <si>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</si>
  <si>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</si>
  <si>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</si>
  <si>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</si>
  <si>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</si>
  <si>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</si>
  <si>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</si>
  <si>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</si>
  <si>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</si>
  <si>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</si>
  <si>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</si>
  <si>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</si>
  <si>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</si>
  <si>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</si>
  <si>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</si>
  <si>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</si>
  <si>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</si>
  <si>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</si>
  <si>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</si>
  <si>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</si>
  <si>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</si>
  <si>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</si>
  <si>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</si>
  <si>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</si>
  <si>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</si>
  <si>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</si>
  <si>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</si>
  <si>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</si>
  <si>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</si>
  <si>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</si>
  <si>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</si>
  <si>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</si>
  <si>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</si>
  <si>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</si>
  <si>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</si>
  <si>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</si>
  <si>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</si>
  <si>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</si>
  <si>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</si>
  <si>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</si>
  <si>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</si>
  <si>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</si>
  <si>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</si>
  <si>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</si>
  <si>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</si>
  <si>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</si>
  <si>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</si>
  <si>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</si>
  <si>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</si>
  <si>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</si>
  <si>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</si>
  <si>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</si>
  <si>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</si>
  <si>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</si>
  <si>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</si>
  <si>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</si>
  <si>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</si>
  <si>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</si>
  <si>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</si>
  <si>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</si>
  <si>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</si>
  <si>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</si>
  <si>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</si>
  <si>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</si>
  <si>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</si>
  <si>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</si>
  <si>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</si>
  <si>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</si>
  <si>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</si>
  <si>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</si>
  <si>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</si>
  <si>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</si>
  <si>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</si>
  <si>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</si>
  <si>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</si>
  <si>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</si>
  <si>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</si>
  <si>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</si>
  <si>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</si>
  <si>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</si>
  <si>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</si>
  <si>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</si>
  <si>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</si>
  <si>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</si>
  <si>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</si>
  <si>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</si>
  <si>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</si>
  <si>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</si>
  <si>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</si>
  <si>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</si>
  <si>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</si>
  <si>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</si>
  <si>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</si>
  <si>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</si>
  <si>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</si>
  <si>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</si>
  <si>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</si>
  <si>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</si>
  <si>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</si>
  <si>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</si>
  <si>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</si>
  <si>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</si>
  <si>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</si>
  <si>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</si>
  <si>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</si>
  <si>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</si>
  <si>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</si>
  <si>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</si>
  <si>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</si>
  <si>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</si>
  <si>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</si>
  <si>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</si>
  <si>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</si>
  <si>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</si>
  <si>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</si>
  <si>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</si>
  <si>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</si>
  <si>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</si>
  <si>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</si>
  <si>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</si>
  <si>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</si>
  <si>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</si>
  <si>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</si>
  <si>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</si>
  <si>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</si>
  <si>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</si>
  <si>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</si>
  <si>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</si>
  <si>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</si>
  <si>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</si>
  <si>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</si>
  <si>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</si>
  <si>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</si>
  <si>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</si>
  <si>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</si>
  <si>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</si>
  <si>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</si>
  <si>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</si>
  <si>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</si>
  <si>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</si>
  <si>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</si>
  <si>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</si>
  <si>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</si>
  <si>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</si>
  <si>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</si>
  <si>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</si>
  <si>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</si>
  <si>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</si>
  <si>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</si>
  <si>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</si>
  <si>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</si>
  <si>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</si>
  <si>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</si>
  <si>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</si>
  <si>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</si>
  <si>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</si>
  <si>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</si>
  <si>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</si>
  <si>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</si>
  <si>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</si>
  <si>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</si>
  <si>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</si>
  <si>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</si>
  <si>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</si>
  <si>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</si>
  <si>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</si>
  <si>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</si>
  <si>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</si>
  <si>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</si>
  <si>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</si>
  <si>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</si>
  <si>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</si>
  <si>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</si>
  <si>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</si>
  <si>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</si>
  <si>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</si>
  <si>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</si>
  <si>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</si>
  <si>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</si>
  <si>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</si>
  <si>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</si>
  <si>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</si>
  <si>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</si>
  <si>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</si>
  <si>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</si>
  <si>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</si>
  <si>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</si>
  <si>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</si>
  <si>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</si>
  <si>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</si>
  <si>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</si>
  <si>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</si>
  <si>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</si>
  <si>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</si>
  <si>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</si>
  <si>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</si>
  <si>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</si>
  <si>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</si>
  <si>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</si>
  <si>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</si>
  <si>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</si>
  <si>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</si>
  <si>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</si>
  <si>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</si>
  <si>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</si>
  <si>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</si>
  <si>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</si>
  <si>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</si>
  <si>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</si>
  <si>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</si>
  <si>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</si>
  <si>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</si>
  <si>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</si>
  <si>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</si>
  <si>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</si>
  <si>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</si>
  <si>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</si>
  <si>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</si>
  <si>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</si>
  <si>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</si>
  <si>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</si>
  <si>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</si>
  <si>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</si>
  <si>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</si>
  <si>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</si>
  <si>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</si>
  <si>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</si>
  <si>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</si>
  <si>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</si>
  <si>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</si>
  <si>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</si>
  <si>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</si>
  <si>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</si>
  <si>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</si>
  <si>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</si>
  <si>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</si>
  <si>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</si>
  <si>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</si>
  <si>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</si>
  <si>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</si>
  <si>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</si>
  <si>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</si>
  <si>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</si>
  <si>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</si>
  <si>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</si>
  <si>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</si>
  <si>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</si>
  <si>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</si>
  <si>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</si>
  <si>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</si>
  <si>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</si>
  <si>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</si>
  <si>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</si>
  <si>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</si>
  <si>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</si>
  <si>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</si>
  <si>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</si>
  <si>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</si>
  <si>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</si>
  <si>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</si>
  <si>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</si>
  <si>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</si>
  <si>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</si>
  <si>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</si>
  <si>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</si>
  <si>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</si>
  <si>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</si>
  <si>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</si>
  <si>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</si>
  <si>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</si>
  <si>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</si>
  <si>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</si>
  <si>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</si>
  <si>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</si>
  <si>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</si>
  <si>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</si>
  <si>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</si>
  <si>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</si>
  <si>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</si>
  <si>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</si>
  <si>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</si>
  <si>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</si>
  <si>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</si>
  <si>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</si>
  <si>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</si>
  <si>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</si>
  <si>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</si>
  <si>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</si>
  <si>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</si>
  <si>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</si>
  <si>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</si>
  <si>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</si>
  <si>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</si>
  <si>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</si>
  <si>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</si>
  <si>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</si>
  <si>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</si>
  <si>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</si>
  <si>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</si>
  <si>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</si>
  <si>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</si>
  <si>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</si>
  <si>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</si>
  <si>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</si>
  <si>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</si>
  <si>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</si>
  <si>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</si>
  <si>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</si>
  <si>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</si>
  <si>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</si>
  <si>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</si>
  <si>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</si>
  <si>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</si>
  <si>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</si>
  <si>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</si>
  <si>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</si>
  <si>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</si>
  <si>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</si>
  <si>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</si>
  <si>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</si>
  <si>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</si>
  <si>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</si>
  <si>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</si>
  <si>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</si>
  <si>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</si>
  <si>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</si>
  <si>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</si>
  <si>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</si>
  <si>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</si>
  <si>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</si>
  <si>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</si>
  <si>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</si>
  <si>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</si>
  <si>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</si>
  <si>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</si>
  <si>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</si>
  <si>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</si>
  <si>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</si>
  <si>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</si>
  <si>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</si>
  <si>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</si>
  <si>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</si>
  <si>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</si>
  <si>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</si>
  <si>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</si>
  <si>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</si>
  <si>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</si>
  <si>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</si>
  <si>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</si>
  <si>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</si>
  <si>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</si>
  <si>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</si>
  <si>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</si>
  <si>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</si>
  <si>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</si>
  <si>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</si>
  <si>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</si>
  <si>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</si>
  <si>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</si>
  <si>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</si>
  <si>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</si>
  <si>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</si>
  <si>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</si>
  <si>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</si>
  <si>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</si>
  <si>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</si>
  <si>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</si>
  <si>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</si>
  <si>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</si>
  <si>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</si>
  <si>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</si>
  <si>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</si>
  <si>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</si>
  <si>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</si>
  <si>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</si>
  <si>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</si>
  <si>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</si>
  <si>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</si>
  <si>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</si>
  <si>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</si>
  <si>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</si>
  <si>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</si>
  <si>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</si>
  <si>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</si>
  <si>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</si>
  <si>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</si>
  <si>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</si>
  <si>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</si>
  <si>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</si>
  <si>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</si>
  <si>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</si>
  <si>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</si>
  <si>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</si>
  <si>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</si>
  <si>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</si>
  <si>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</si>
  <si>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</si>
  <si>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</si>
  <si>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</si>
  <si>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</si>
  <si>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</si>
  <si>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</si>
  <si>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</si>
  <si>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</si>
  <si>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</si>
  <si>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</si>
  <si>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</si>
  <si>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</si>
  <si>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</si>
  <si>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</si>
  <si>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</si>
  <si>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</si>
  <si>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</si>
  <si>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</si>
  <si>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</si>
  <si>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</si>
  <si>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</si>
  <si>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</si>
  <si>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</si>
  <si>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</si>
  <si>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</si>
  <si>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</si>
  <si>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</si>
  <si>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</si>
  <si>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</si>
  <si>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</si>
  <si>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</si>
  <si>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</si>
  <si>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</si>
  <si>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</si>
  <si>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</si>
  <si>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</si>
  <si>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</si>
  <si>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</si>
  <si>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</si>
  <si>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</si>
  <si>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</si>
  <si>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</si>
  <si>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</si>
  <si>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</si>
  <si>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</si>
  <si>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</si>
  <si>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</si>
  <si>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</si>
  <si>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</si>
  <si>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</si>
  <si>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</si>
  <si>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</si>
  <si>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</si>
  <si>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</si>
  <si>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</si>
  <si>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</si>
  <si>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</si>
  <si>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</si>
  <si>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</si>
  <si>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</si>
  <si>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</si>
  <si>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</si>
  <si>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</si>
  <si>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</si>
  <si>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</si>
  <si>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</si>
  <si>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</si>
  <si>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</si>
  <si>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</si>
  <si>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</si>
  <si>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</si>
  <si>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</si>
  <si>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</si>
  <si>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</si>
  <si>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</si>
  <si>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</si>
  <si>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</si>
  <si>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</si>
  <si>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</si>
  <si>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</si>
  <si>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</si>
  <si>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</si>
  <si>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</si>
  <si>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</si>
  <si>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</si>
  <si>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</si>
  <si>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</si>
  <si>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</si>
  <si>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</si>
  <si>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</si>
  <si>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</si>
  <si>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</si>
  <si>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</si>
  <si>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</si>
  <si>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</si>
  <si>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</si>
  <si>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</si>
  <si>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</si>
  <si>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</si>
  <si>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</si>
  <si>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</si>
  <si>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</si>
  <si>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</si>
  <si>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</si>
  <si>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</si>
  <si>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</si>
  <si>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</si>
  <si>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</si>
  <si>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</si>
  <si>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</si>
  <si>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</si>
  <si>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</si>
  <si>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</si>
  <si>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</si>
  <si>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</si>
  <si>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</si>
  <si>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</si>
  <si>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</si>
  <si>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</si>
  <si>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</si>
  <si>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</si>
  <si>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</si>
  <si>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</si>
  <si>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</si>
  <si>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</si>
  <si>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</si>
  <si>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</si>
  <si>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</si>
  <si>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</si>
  <si>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</si>
  <si>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</si>
  <si>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</si>
  <si>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</si>
  <si>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</si>
  <si>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</si>
  <si>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</si>
  <si>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</si>
  <si>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</si>
  <si>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</si>
  <si>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</si>
  <si>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</si>
  <si>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</si>
  <si>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</si>
  <si>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</si>
  <si>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</si>
  <si>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</si>
  <si>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</si>
  <si>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</si>
  <si>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</si>
  <si>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</si>
  <si>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</si>
  <si>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</si>
  <si>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</si>
  <si>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</si>
  <si>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</si>
  <si>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</si>
  <si>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</si>
  <si>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</si>
  <si>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</si>
  <si>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</si>
  <si>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</si>
  <si>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</si>
  <si>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</si>
  <si>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</si>
  <si>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</si>
  <si>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</si>
  <si>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</si>
  <si>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</si>
  <si>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</si>
  <si>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</si>
  <si>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</si>
  <si>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</si>
  <si>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</si>
  <si>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</si>
  <si>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</si>
  <si>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</si>
  <si>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</si>
  <si>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</si>
  <si>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</si>
  <si>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</si>
  <si>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</si>
  <si>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</si>
  <si>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</si>
  <si>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</si>
  <si>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</si>
  <si>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</si>
  <si>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</si>
  <si>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</si>
  <si>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</si>
  <si>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</si>
  <si>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</si>
  <si>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</si>
  <si>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</si>
  <si>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</si>
  <si>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</si>
  <si>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</si>
  <si>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</si>
  <si>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</si>
  <si>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</si>
  <si>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</si>
  <si>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</si>
  <si>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</si>
  <si>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</si>
  <si>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</si>
  <si>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</si>
  <si>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</si>
  <si>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</si>
  <si>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</si>
  <si>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</si>
  <si>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</si>
  <si>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</si>
  <si>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</si>
  <si>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</si>
  <si>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</si>
  <si>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</si>
  <si>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</si>
  <si>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</si>
  <si>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</si>
  <si>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</si>
  <si>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</si>
  <si>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</si>
  <si>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</si>
  <si>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</si>
  <si>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</si>
  <si>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</si>
  <si>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</si>
  <si>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</si>
  <si>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</si>
  <si>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</si>
  <si>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</si>
  <si>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</si>
  <si>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</si>
  <si>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</si>
  <si>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</si>
  <si>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</si>
  <si>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</si>
  <si>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</si>
  <si>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</si>
  <si>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</si>
  <si>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</si>
  <si>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</si>
  <si>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</si>
  <si>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</si>
  <si>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</si>
  <si>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</si>
  <si>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</si>
  <si>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</si>
  <si>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</si>
  <si>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</si>
  <si>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</si>
  <si>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</si>
  <si>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</si>
  <si>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</si>
  <si>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</si>
  <si>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</si>
  <si>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</si>
  <si>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</si>
  <si>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</si>
  <si>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</si>
  <si>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</si>
  <si>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</si>
  <si>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</si>
  <si>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</si>
  <si>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</si>
  <si>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</si>
  <si>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</si>
  <si>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</si>
  <si>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</si>
  <si>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</si>
  <si>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</si>
  <si>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</si>
  <si>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</si>
  <si>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</si>
  <si>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</si>
  <si>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</si>
  <si>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</si>
  <si>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</si>
  <si>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</si>
  <si>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</si>
  <si>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</si>
  <si>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</si>
  <si>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</si>
  <si>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</si>
  <si>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</si>
  <si>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</si>
  <si>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</si>
  <si>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</si>
  <si>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</si>
  <si>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</si>
  <si>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</si>
  <si>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</si>
  <si>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</si>
  <si>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</si>
  <si>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</si>
  <si>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</si>
  <si>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</si>
  <si>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</si>
  <si>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</si>
  <si>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</si>
  <si>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</si>
  <si>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</si>
  <si>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</si>
  <si>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</si>
  <si>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</si>
  <si>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</si>
  <si>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</si>
  <si>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</si>
  <si>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</si>
  <si>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</si>
  <si>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</si>
  <si>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</si>
  <si>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</si>
  <si>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</si>
  <si>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</si>
  <si>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</si>
  <si>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</si>
  <si>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</si>
  <si>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</si>
  <si>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</si>
  <si>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</si>
  <si>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</si>
  <si>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</si>
  <si>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</si>
  <si>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</si>
  <si>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</si>
  <si>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</si>
  <si>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</si>
  <si>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</si>
  <si>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</si>
  <si>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</si>
  <si>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</si>
  <si>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</si>
  <si>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</si>
  <si>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</si>
  <si>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</si>
  <si>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</si>
  <si>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</si>
  <si>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</si>
  <si>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</si>
  <si>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</si>
  <si>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</si>
  <si>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</si>
  <si>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</si>
  <si>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</si>
  <si>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</si>
  <si>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</si>
  <si>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</si>
  <si>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</si>
  <si>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</si>
  <si>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</si>
  <si>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</si>
  <si>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</si>
  <si>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</si>
  <si>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</si>
  <si>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</si>
  <si>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</si>
  <si>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</si>
  <si>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</si>
  <si>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</si>
  <si>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</si>
  <si>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</si>
  <si>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</si>
  <si>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</si>
  <si>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</si>
  <si>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</si>
  <si>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</si>
  <si>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</si>
  <si>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</si>
  <si>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</si>
  <si>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</si>
  <si>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</si>
  <si>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</si>
  <si>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</si>
  <si>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</si>
  <si>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</si>
  <si>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</si>
  <si>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</si>
  <si>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</si>
  <si>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</si>
  <si>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</si>
  <si>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</si>
  <si>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</si>
  <si>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</si>
  <si>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</si>
  <si>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</si>
  <si>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</si>
  <si>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</si>
  <si>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</si>
  <si>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</si>
  <si>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</si>
  <si>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</si>
  <si>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</si>
  <si>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</si>
  <si>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</si>
  <si>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</si>
  <si>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</si>
  <si>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</si>
  <si>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</si>
  <si>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</si>
  <si>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</si>
  <si>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</si>
  <si>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</si>
  <si>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</si>
  <si>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</si>
  <si>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</si>
  <si>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</si>
  <si>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</si>
  <si>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</si>
  <si>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</si>
  <si>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</si>
  <si>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</si>
  <si>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</si>
  <si>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</si>
  <si>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</si>
  <si>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</si>
  <si>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</si>
  <si>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</si>
  <si>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</si>
  <si>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</si>
  <si>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</si>
  <si>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</si>
  <si>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</si>
  <si>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</si>
  <si>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</si>
  <si>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</si>
  <si>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</si>
  <si>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</si>
  <si>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</si>
  <si>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</si>
  <si>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</si>
  <si>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</si>
  <si>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</si>
  <si>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</si>
  <si>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</si>
  <si>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</si>
  <si>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</si>
  <si>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</si>
  <si>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</si>
  <si>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</si>
  <si>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</si>
  <si>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</si>
  <si>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</si>
  <si>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</si>
  <si>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</si>
  <si>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</si>
  <si>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</si>
  <si>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</si>
  <si>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</si>
  <si>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</si>
  <si>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</si>
  <si>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</si>
  <si>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</si>
  <si>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</si>
  <si>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</si>
  <si>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</si>
  <si>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</si>
  <si>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</si>
  <si>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</si>
  <si>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</si>
  <si>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</si>
  <si>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</si>
  <si>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</si>
  <si>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</si>
  <si>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</si>
  <si>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</si>
  <si>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</si>
  <si>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</si>
  <si>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</si>
  <si>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</si>
  <si>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</si>
  <si>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</si>
  <si>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</si>
  <si>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</si>
  <si>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</si>
  <si>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</si>
  <si>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</si>
  <si>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</si>
  <si>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</si>
  <si>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</si>
  <si>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</si>
  <si>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</si>
  <si>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</si>
  <si>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</si>
  <si>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</si>
  <si>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</si>
  <si>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</si>
  <si>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</si>
  <si>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</si>
  <si>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</si>
  <si>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</si>
  <si>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</si>
  <si>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</si>
  <si>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</si>
  <si>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</si>
  <si>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</si>
  <si>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</si>
  <si>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</si>
  <si>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</si>
  <si>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</si>
  <si>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</si>
  <si>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</si>
  <si>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</si>
  <si>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</si>
  <si>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</si>
  <si>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</si>
  <si>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</si>
  <si>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</si>
  <si>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</si>
  <si>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</si>
  <si>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</si>
  <si>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</si>
  <si>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</si>
  <si>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</si>
  <si>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</si>
  <si>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</si>
  <si>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</si>
  <si>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</si>
  <si>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</si>
  <si>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</si>
  <si>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</si>
  <si>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</si>
  <si>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</si>
  <si>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</si>
  <si>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</si>
  <si>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</si>
  <si>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</si>
  <si>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</si>
  <si>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</si>
  <si>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</si>
  <si>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</si>
  <si>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</si>
  <si>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</si>
  <si>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</si>
  <si>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</si>
  <si>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</si>
  <si>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</si>
  <si>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</si>
  <si>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</si>
  <si>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</si>
  <si>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</si>
  <si>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</si>
  <si>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</si>
  <si>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</si>
  <si>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</si>
  <si>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</si>
  <si>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</si>
  <si>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</si>
  <si>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</si>
  <si>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</si>
  <si>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</si>
  <si>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</si>
  <si>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</si>
  <si>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</si>
  <si>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</si>
  <si>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</si>
  <si>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</si>
  <si>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</si>
  <si>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</si>
  <si>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</si>
  <si>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</si>
  <si>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</si>
  <si>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</si>
  <si>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</si>
  <si>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</si>
  <si>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</si>
  <si>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</si>
  <si>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</si>
  <si>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</si>
  <si>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</si>
  <si>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</si>
  <si>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</si>
  <si>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</si>
  <si>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</si>
  <si>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</si>
  <si>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</si>
  <si>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</si>
  <si>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</si>
  <si>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</si>
  <si>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</si>
  <si>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</si>
  <si>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</si>
  <si>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</si>
  <si>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</si>
  <si>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</si>
  <si>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</si>
  <si>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</si>
  <si>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</si>
  <si>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</si>
  <si>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</si>
  <si>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</si>
  <si>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</si>
  <si>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</si>
  <si>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</si>
  <si>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</si>
  <si>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</si>
  <si>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</si>
  <si>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</si>
  <si>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</si>
  <si>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</si>
  <si>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</si>
  <si>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</si>
  <si>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</si>
  <si>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</si>
  <si>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</si>
  <si>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</si>
  <si>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</si>
  <si>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</si>
  <si>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</si>
  <si>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</si>
  <si>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</si>
  <si>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</si>
  <si>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</si>
  <si>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</si>
  <si>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</si>
  <si>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</si>
  <si>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</si>
  <si>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</si>
  <si>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</si>
  <si>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</si>
  <si>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</si>
  <si>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</si>
  <si>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</si>
  <si>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</si>
  <si>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</si>
  <si>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</si>
  <si>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</si>
  <si>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</si>
  <si>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</si>
  <si>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</si>
  <si>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</si>
  <si>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</si>
  <si>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</si>
  <si>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</si>
  <si>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</si>
  <si>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</si>
  <si>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</si>
  <si>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</si>
  <si>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</si>
  <si>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</si>
  <si>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</si>
  <si>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</si>
  <si>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</si>
  <si>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</si>
  <si>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</si>
  <si>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</si>
  <si>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</si>
  <si>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</si>
  <si>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</si>
  <si>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</si>
  <si>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</si>
  <si>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</si>
  <si>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</si>
  <si>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</si>
  <si>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</si>
  <si>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</si>
  <si>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</si>
  <si>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</si>
  <si>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</si>
  <si>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</si>
  <si>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</si>
  <si>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</si>
  <si>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</si>
  <si>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</si>
  <si>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</si>
  <si>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</si>
  <si>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</si>
  <si>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</si>
  <si>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</si>
  <si>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</si>
  <si>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</si>
  <si>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</si>
  <si>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</si>
  <si>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</si>
  <si>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</si>
  <si>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</si>
  <si>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</si>
  <si>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</si>
  <si>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</si>
  <si>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</si>
  <si>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</si>
  <si>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</si>
  <si>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</si>
  <si>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</si>
  <si>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</si>
  <si>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</si>
  <si>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</si>
  <si>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</si>
  <si>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</si>
  <si>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</si>
  <si>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</si>
  <si>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</si>
  <si>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</si>
  <si>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</si>
  <si>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</si>
  <si>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</si>
  <si>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</si>
  <si>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</si>
  <si>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</si>
  <si>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</si>
  <si>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</si>
  <si>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</si>
  <si>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</si>
  <si>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</si>
  <si>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</si>
  <si>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</si>
  <si>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</si>
  <si>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</si>
  <si>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</si>
  <si>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</si>
  <si>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</si>
  <si>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</si>
  <si>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</si>
  <si>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</si>
  <si>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</si>
  <si>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</si>
  <si>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</si>
  <si>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</si>
  <si>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</si>
  <si>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</si>
  <si>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</si>
  <si>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</si>
  <si>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</si>
  <si>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</si>
  <si>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</si>
  <si>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</si>
  <si>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</si>
  <si>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</si>
  <si>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</si>
  <si>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</si>
  <si>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</si>
  <si>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</si>
  <si>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</si>
  <si>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</si>
  <si>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</si>
  <si>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</si>
  <si>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</si>
  <si>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</si>
  <si>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</si>
  <si>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</si>
  <si>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</si>
  <si>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</si>
  <si>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</si>
  <si>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</si>
  <si>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</si>
  <si>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</si>
  <si>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</si>
  <si>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</si>
  <si>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</si>
  <si>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</si>
  <si>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</si>
  <si>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</si>
  <si>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</si>
  <si>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</si>
  <si>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</si>
  <si>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</si>
  <si>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</si>
  <si>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</si>
  <si>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</si>
  <si>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</si>
  <si>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</si>
  <si>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</si>
  <si>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</si>
  <si>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</si>
  <si>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</si>
  <si>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</si>
  <si>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</si>
  <si>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</si>
  <si>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</si>
  <si>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</si>
  <si>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</si>
  <si>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</si>
  <si>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</si>
  <si>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</si>
  <si>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</si>
  <si>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</si>
  <si>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</si>
  <si>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</si>
  <si>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</si>
  <si>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</si>
  <si>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</si>
  <si>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</si>
  <si>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</si>
  <si>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</si>
  <si>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</si>
  <si>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</si>
  <si>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</si>
  <si>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</si>
  <si>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</si>
  <si>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</si>
  <si>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</si>
  <si>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</si>
  <si>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</si>
  <si>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</si>
  <si>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</si>
  <si>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</si>
  <si>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</si>
  <si>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</si>
  <si>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</si>
  <si>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</si>
  <si>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</si>
  <si>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</si>
  <si>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</si>
  <si>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</si>
  <si>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</si>
  <si>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</si>
  <si>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</si>
  <si>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</si>
  <si>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</si>
  <si>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</si>
  <si>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</si>
  <si>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</si>
  <si>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</si>
  <si>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</si>
  <si>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</si>
  <si>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</si>
  <si>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</si>
  <si>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</si>
  <si>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</si>
  <si>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</si>
  <si>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</si>
  <si>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</si>
  <si>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</si>
  <si>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</si>
  <si>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</si>
  <si>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</si>
  <si>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</si>
  <si>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</si>
  <si>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</si>
  <si>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</si>
  <si>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</si>
  <si>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</si>
  <si>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</si>
  <si>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</si>
  <si>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</si>
  <si>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</si>
  <si>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</si>
  <si>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</si>
  <si>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</si>
  <si>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</si>
  <si>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</si>
  <si>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</si>
  <si>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</si>
  <si>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</si>
  <si>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</si>
  <si>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</si>
  <si>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</si>
  <si>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</si>
  <si>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</si>
  <si>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</si>
  <si>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</si>
  <si>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</si>
  <si>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</si>
  <si>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</si>
  <si>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</si>
  <si>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</si>
  <si>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</si>
  <si>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</si>
  <si>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</si>
  <si>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</si>
  <si>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</si>
  <si>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</si>
  <si>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</si>
  <si>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</si>
  <si>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</si>
  <si>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</si>
  <si>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</si>
  <si>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</si>
  <si>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</si>
  <si>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</si>
  <si>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</si>
  <si>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</si>
  <si>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</si>
  <si>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</si>
  <si>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</si>
  <si>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</si>
  <si>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</si>
  <si>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</si>
  <si>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</si>
  <si>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</si>
  <si>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</si>
  <si>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</si>
  <si>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</si>
  <si>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</si>
  <si>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</si>
  <si>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</si>
  <si>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</si>
  <si>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</si>
  <si>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</si>
  <si>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</si>
  <si>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</si>
  <si>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</si>
  <si>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</si>
  <si>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</si>
  <si>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</si>
  <si>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</si>
  <si>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</si>
  <si>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</si>
  <si>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</si>
  <si>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</si>
  <si>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</si>
  <si>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</si>
  <si>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</si>
  <si>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</si>
  <si>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</si>
  <si>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</si>
  <si>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</si>
  <si>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</si>
  <si>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</si>
  <si>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</si>
  <si>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</si>
  <si>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</si>
  <si>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</si>
  <si>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</si>
  <si>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</si>
  <si>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</si>
  <si>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</si>
  <si>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</si>
  <si>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</si>
  <si>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</si>
  <si>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</si>
  <si>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</si>
  <si>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</si>
  <si>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</si>
  <si>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</si>
  <si>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</si>
  <si>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</si>
  <si>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</si>
  <si>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</si>
  <si>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</si>
  <si>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</si>
  <si>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</si>
  <si>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</si>
  <si>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</si>
  <si>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</si>
  <si>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</si>
  <si>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</si>
  <si>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</si>
  <si>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</si>
  <si>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</si>
  <si>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</si>
  <si>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</si>
  <si>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</si>
  <si>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</si>
  <si>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</si>
  <si>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</si>
  <si>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</si>
  <si>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</si>
  <si>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</si>
  <si>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</si>
  <si>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</si>
  <si>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</si>
  <si>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</si>
  <si>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</si>
  <si>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</si>
  <si>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</si>
  <si>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</si>
  <si>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</si>
  <si>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</si>
  <si>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</si>
  <si>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</si>
  <si>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</si>
  <si>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</si>
  <si>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</si>
  <si>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</si>
  <si>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</si>
  <si>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</si>
  <si>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</si>
  <si>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</si>
  <si>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</si>
  <si>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</si>
  <si>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</si>
  <si>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</si>
  <si>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</si>
  <si>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</si>
  <si>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</si>
  <si>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</si>
  <si>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</si>
  <si>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</si>
  <si>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</si>
  <si>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</si>
  <si>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</si>
  <si>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</si>
  <si>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</si>
  <si>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</si>
  <si>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</si>
  <si>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</si>
  <si>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</si>
  <si>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</si>
  <si>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</si>
  <si>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</si>
  <si>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</si>
  <si>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</si>
  <si>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</si>
  <si>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</si>
  <si>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</si>
  <si>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</si>
  <si>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</si>
  <si>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</si>
  <si>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</si>
  <si>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</si>
  <si>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</si>
  <si>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</si>
  <si>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</si>
  <si>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</si>
  <si>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</si>
  <si>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</si>
  <si>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</si>
  <si>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</si>
  <si>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</si>
  <si>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</si>
  <si>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</si>
  <si>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</si>
  <si>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</si>
  <si>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</si>
  <si>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</si>
  <si>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</si>
  <si>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</si>
  <si>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</si>
  <si>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</si>
  <si>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</si>
  <si>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</si>
  <si>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</si>
  <si>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</si>
  <si>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</si>
  <si>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</si>
  <si>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</si>
  <si>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</si>
  <si>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</si>
  <si>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</si>
  <si>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</si>
  <si>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Característica</t>
  </si>
  <si>
    <t>Norovirus (GI/GII)</t>
  </si>
  <si>
    <t>EPEC (E. coli Enteropatógena)</t>
  </si>
  <si>
    <t>ETEC (E. coli Enteroxigénica)</t>
  </si>
  <si>
    <t>Tipo de agente</t>
  </si>
  <si>
    <r>
      <t>Virus</t>
    </r>
    <r>
      <rPr>
        <sz val="11"/>
        <color theme="1"/>
        <rFont val="Arial"/>
        <family val="2"/>
      </rPr>
      <t xml:space="preserve"> (altamente contagioso)</t>
    </r>
  </si>
  <si>
    <t>Bacteria</t>
  </si>
  <si>
    <t>Población más afectada</t>
  </si>
  <si>
    <t>Todas las edades (brotes en comunidades)</t>
  </si>
  <si>
    <t>Lactantes y niños pequeños</t>
  </si>
  <si>
    <t>Viajeros y personas en zonas endémicas</t>
  </si>
  <si>
    <t>Mecanismo</t>
  </si>
  <si>
    <t>Infección directa de las células intestinales</t>
  </si>
  <si>
    <t>Daño estructural a la superficie intestinal por adhesión</t>
  </si>
  <si>
    <t>Producción de toxinas que provocan secreción masiva de agua</t>
  </si>
  <si>
    <t>Transmisión principal</t>
  </si>
  <si>
    <t>Persona a persona, superficies, alimentos y agua</t>
  </si>
  <si>
    <t>Alimentos o agua contaminados</t>
  </si>
  <si>
    <t>Tabla Comparativa Resumida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</si>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</sst>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8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53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0" fontId="16" fillId="0" borderId="8" xfId="0" applyFont="1" applyBorder="1" applyAlignment="1">
      <alignment horizontal="left" vertical="center" wrapText="1" indent="1"/>
    </xf>
    <xf numFmtId="0" fontId="15" fillId="0" borderId="8" xfId="0" applyFont="1" applyBorder="1" applyAlignment="1">
      <alignment horizontal="left" vertical="center" wrapText="1" indent="1"/>
    </xf>
    <xf numFmtId="0" fontId="16" fillId="0" borderId="9" xfId="0" applyFont="1" applyBorder="1" applyAlignment="1">
      <alignment horizontal="left" vertical="center" wrapText="1" indent="1"/>
    </xf>
    <xf numFmtId="0" fontId="17" fillId="10" borderId="9" xfId="0" applyFont="1" applyFill="1" applyBorder="1" applyAlignment="1">
      <alignment horizontal="left" vertical="center" wrapText="1" indent="1"/>
    </xf>
    <xf numFmtId="4" fontId="11" fillId="0" borderId="0" xfId="0" applyNumberFormat="1" applyFont="1"/>
    <xf numFmtId="21" fontId="0" fillId="0" borderId="0" xfId="0" applyNumberFormat="1"/>
    <xf numFmtId="0" fontId="14" fillId="0" borderId="1" xfId="0" applyFont="1" applyBorder="1" applyAlignment="1">
      <alignment horizontal="center" vertical="center"/>
    </xf>
    <xf numFmtId="164" fontId="0" fillId="8" borderId="1" xfId="0" applyNumberFormat="1" applyFill="1" applyBorder="1"/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10</xdr:col>
      <xdr:colOff>583012</xdr:colOff>
      <xdr:row>30</xdr:row>
      <xdr:rowOff>176640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B48842D-3A51-3583-E223-40D453B1F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20540"/>
          <a:ext cx="14580952" cy="4200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2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workbookViewId="0">
      <selection activeCell="F8" sqref="F8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5" x14ac:dyDescent="0.3">
      <c r="A1" s="24" t="s">
        <v>3652</v>
      </c>
      <c r="B1" s="21" t="s">
        <v>1</v>
      </c>
      <c r="C1" s="22" t="s">
        <v>3653</v>
      </c>
    </row>
    <row r="2" spans="1:5" x14ac:dyDescent="0.3">
      <c r="A2" s="7">
        <v>1000000</v>
      </c>
      <c r="B2" s="7" t="s">
        <v>3</v>
      </c>
      <c r="C2" s="13">
        <v>26.390453270660998</v>
      </c>
    </row>
    <row r="3" spans="1:5" x14ac:dyDescent="0.3">
      <c r="A3" s="7">
        <v>1000002</v>
      </c>
      <c r="B3" s="7" t="s">
        <v>4</v>
      </c>
      <c r="C3" s="13">
        <v>6077.2897501105699</v>
      </c>
    </row>
    <row r="4" spans="1:5" x14ac:dyDescent="0.3">
      <c r="A4" s="7">
        <v>1000003</v>
      </c>
      <c r="B4" s="7" t="s">
        <v>5</v>
      </c>
      <c r="C4" s="13">
        <v>15675.6737962963</v>
      </c>
    </row>
    <row r="5" spans="1:5" x14ac:dyDescent="0.3">
      <c r="A5" s="7">
        <v>1000004</v>
      </c>
      <c r="B5" s="7" t="s">
        <v>6</v>
      </c>
      <c r="C5" s="52">
        <v>520.98345974717233</v>
      </c>
    </row>
    <row r="6" spans="1:5" x14ac:dyDescent="0.3">
      <c r="A6" s="7">
        <v>1000005</v>
      </c>
      <c r="B6" s="7" t="s">
        <v>7</v>
      </c>
      <c r="C6" s="13">
        <v>479.62639845537512</v>
      </c>
    </row>
    <row r="7" spans="1:5" x14ac:dyDescent="0.3">
      <c r="A7" s="7">
        <v>1000007</v>
      </c>
      <c r="B7" s="7" t="s">
        <v>8</v>
      </c>
      <c r="C7" s="13">
        <v>910.82349197461735</v>
      </c>
      <c r="E7" s="13"/>
    </row>
    <row r="8" spans="1:5" x14ac:dyDescent="0.3">
      <c r="A8" s="7">
        <v>1000009</v>
      </c>
      <c r="B8" s="7" t="s">
        <v>9</v>
      </c>
      <c r="C8" s="13">
        <v>105.5</v>
      </c>
    </row>
    <row r="9" spans="1:5" x14ac:dyDescent="0.3">
      <c r="A9" s="7">
        <v>1000010</v>
      </c>
      <c r="B9" s="7" t="s">
        <v>10</v>
      </c>
      <c r="C9" s="13">
        <v>583.28</v>
      </c>
    </row>
    <row r="10" spans="1:5" x14ac:dyDescent="0.3">
      <c r="A10" s="7">
        <v>1000011</v>
      </c>
      <c r="B10" s="7" t="s">
        <v>11</v>
      </c>
      <c r="C10" s="13">
        <v>4234</v>
      </c>
    </row>
    <row r="11" spans="1:5" x14ac:dyDescent="0.3">
      <c r="A11" s="7">
        <v>1000014</v>
      </c>
      <c r="B11" s="7" t="s">
        <v>12</v>
      </c>
      <c r="C11" s="13">
        <v>22.558</v>
      </c>
    </row>
    <row r="12" spans="1:5" x14ac:dyDescent="0.3">
      <c r="A12" s="7">
        <v>1000016</v>
      </c>
      <c r="B12" s="7" t="s">
        <v>13</v>
      </c>
      <c r="C12" s="13">
        <v>170.83057953255101</v>
      </c>
    </row>
    <row r="13" spans="1:5" x14ac:dyDescent="0.3">
      <c r="A13" s="7">
        <v>1000017</v>
      </c>
      <c r="B13" s="7" t="s">
        <v>14</v>
      </c>
      <c r="C13" s="13">
        <v>223.61297400346618</v>
      </c>
    </row>
    <row r="14" spans="1:5" x14ac:dyDescent="0.3">
      <c r="A14" s="7">
        <v>1000018</v>
      </c>
      <c r="B14" s="7" t="s">
        <v>15</v>
      </c>
      <c r="C14" s="13">
        <v>872.45130434782595</v>
      </c>
    </row>
    <row r="15" spans="1:5" x14ac:dyDescent="0.3">
      <c r="A15" s="7">
        <v>1000019</v>
      </c>
      <c r="B15" s="7" t="s">
        <v>16</v>
      </c>
      <c r="C15" s="13">
        <v>34196.400000000001</v>
      </c>
    </row>
    <row r="16" spans="1:5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210.70920717355961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3638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3649</v>
      </c>
      <c r="O984">
        <v>4900670623</v>
      </c>
      <c r="P984" t="s">
        <v>3650</v>
      </c>
      <c r="R984" t="s">
        <v>3651</v>
      </c>
      <c r="U984" t="s">
        <v>3642</v>
      </c>
      <c r="V984" t="s">
        <v>3649</v>
      </c>
      <c r="W984" t="s">
        <v>3649</v>
      </c>
      <c r="X984" s="50">
        <v>0.47115740740740741</v>
      </c>
      <c r="Y984" t="s">
        <v>3643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0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>
        <v>2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1324654.5009999999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3639</v>
      </c>
      <c r="M2631">
        <v>4900686012</v>
      </c>
      <c r="N2631" t="s">
        <v>3640</v>
      </c>
      <c r="P2631" t="s">
        <v>3641</v>
      </c>
      <c r="S2631" t="s">
        <v>3642</v>
      </c>
      <c r="T2631" t="s">
        <v>3639</v>
      </c>
      <c r="U2631" t="s">
        <v>3639</v>
      </c>
      <c r="V2631" s="50">
        <v>0.44538194444444446</v>
      </c>
      <c r="W2631" t="s">
        <v>3643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0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3644</v>
      </c>
      <c r="M3604">
        <v>4900553738</v>
      </c>
      <c r="N3604" t="s">
        <v>3645</v>
      </c>
      <c r="P3604" t="s">
        <v>3646</v>
      </c>
      <c r="S3604" t="s">
        <v>3647</v>
      </c>
      <c r="T3604" t="s">
        <v>3644</v>
      </c>
      <c r="U3604" t="s">
        <v>3644</v>
      </c>
      <c r="V3604" s="50">
        <v>0.5800925925925926</v>
      </c>
      <c r="W3604" t="s">
        <v>3643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3648</v>
      </c>
      <c r="M3609">
        <v>4900551401</v>
      </c>
      <c r="N3609" t="s">
        <v>3640</v>
      </c>
      <c r="P3609" t="s">
        <v>3646</v>
      </c>
      <c r="S3609" t="s">
        <v>3647</v>
      </c>
      <c r="T3609" t="s">
        <v>3648</v>
      </c>
      <c r="U3609" t="s">
        <v>3648</v>
      </c>
      <c r="V3609" s="50">
        <v>0.61163194444444446</v>
      </c>
      <c r="W3609" t="s">
        <v>3643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E2834-B9AC-4D6D-9A51-198012B42936}">
  <dimension ref="A1:F66"/>
  <sheetViews>
    <sheetView zoomScale="70" zoomScaleNormal="70" workbookViewId="0">
      <selection activeCell="F66" sqref="F66"/>
    </sheetView>
  </sheetViews>
  <sheetFormatPr baseColWidth="10" defaultRowHeight="14.4" x14ac:dyDescent="0.3"/>
  <cols>
    <col min="1" max="1" width="37.88671875" bestFit="1" customWidth="1"/>
    <col min="2" max="2" width="30.109375" customWidth="1"/>
    <col min="3" max="3" width="33.6640625" customWidth="1"/>
    <col min="4" max="4" width="33.109375" customWidth="1"/>
  </cols>
  <sheetData>
    <row r="1" spans="1:4" ht="17.399999999999999" x14ac:dyDescent="0.3">
      <c r="A1" s="51" t="s">
        <v>3637</v>
      </c>
      <c r="B1" s="51"/>
      <c r="C1" s="51"/>
      <c r="D1" s="51"/>
    </row>
    <row r="2" spans="1:4" x14ac:dyDescent="0.3">
      <c r="A2" s="7"/>
      <c r="B2" s="7"/>
      <c r="C2" s="7"/>
      <c r="D2" s="7"/>
    </row>
    <row r="3" spans="1:4" ht="15" thickBot="1" x14ac:dyDescent="0.35">
      <c r="A3" s="47" t="s">
        <v>3619</v>
      </c>
      <c r="B3" s="48" t="s">
        <v>3620</v>
      </c>
      <c r="C3" s="48" t="s">
        <v>3621</v>
      </c>
      <c r="D3" s="48" t="s">
        <v>3622</v>
      </c>
    </row>
    <row r="4" spans="1:4" ht="15" thickBot="1" x14ac:dyDescent="0.35">
      <c r="A4" s="45" t="s">
        <v>3623</v>
      </c>
      <c r="B4" s="45" t="s">
        <v>3624</v>
      </c>
      <c r="C4" s="45" t="s">
        <v>3625</v>
      </c>
      <c r="D4" s="45" t="s">
        <v>3625</v>
      </c>
    </row>
    <row r="5" spans="1:4" ht="28.2" thickBot="1" x14ac:dyDescent="0.35">
      <c r="A5" s="45" t="s">
        <v>3626</v>
      </c>
      <c r="B5" s="46" t="s">
        <v>3627</v>
      </c>
      <c r="C5" s="46" t="s">
        <v>3628</v>
      </c>
      <c r="D5" s="46" t="s">
        <v>3629</v>
      </c>
    </row>
    <row r="6" spans="1:4" ht="42" thickBot="1" x14ac:dyDescent="0.35">
      <c r="A6" s="45" t="s">
        <v>3630</v>
      </c>
      <c r="B6" s="46" t="s">
        <v>3631</v>
      </c>
      <c r="C6" s="46" t="s">
        <v>3632</v>
      </c>
      <c r="D6" s="46" t="s">
        <v>3633</v>
      </c>
    </row>
    <row r="7" spans="1:4" ht="28.2" thickBot="1" x14ac:dyDescent="0.35">
      <c r="A7" s="45" t="s">
        <v>3634</v>
      </c>
      <c r="B7" s="46" t="s">
        <v>3635</v>
      </c>
      <c r="C7" s="46" t="s">
        <v>3636</v>
      </c>
      <c r="D7" s="46" t="s">
        <v>3636</v>
      </c>
    </row>
    <row r="25" spans="1:1" x14ac:dyDescent="0.3">
      <c r="A25" s="28"/>
    </row>
    <row r="38" spans="1:1" x14ac:dyDescent="0.3">
      <c r="A38" s="28"/>
    </row>
    <row r="57" spans="3:6" x14ac:dyDescent="0.3">
      <c r="F57">
        <v>51000</v>
      </c>
    </row>
    <row r="58" spans="3:6" x14ac:dyDescent="0.3">
      <c r="C58">
        <v>9767</v>
      </c>
      <c r="F58">
        <v>7500</v>
      </c>
    </row>
    <row r="59" spans="3:6" x14ac:dyDescent="0.3">
      <c r="C59">
        <v>4000</v>
      </c>
      <c r="F59">
        <v>12860.75</v>
      </c>
    </row>
    <row r="60" spans="3:6" x14ac:dyDescent="0.3">
      <c r="C60">
        <v>4000</v>
      </c>
      <c r="F60" s="49">
        <f>+F57-F58-F59</f>
        <v>30639.25</v>
      </c>
    </row>
    <row r="61" spans="3:6" x14ac:dyDescent="0.3">
      <c r="C61">
        <f>11564.72-7564.72</f>
        <v>3999.9999999999991</v>
      </c>
    </row>
    <row r="64" spans="3:6" x14ac:dyDescent="0.3">
      <c r="C64">
        <v>16333.62</v>
      </c>
    </row>
    <row r="66" spans="6:6" x14ac:dyDescent="0.3">
      <c r="F66" s="49">
        <f>8000+8000+15000+20000+12000+54000+14000+25000+16000-1600</f>
        <v>170400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topLeftCell="A196"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Hoja2</vt:lpstr>
      <vt:lpstr>Hoja3</vt:lpstr>
      <vt:lpstr>Hoja8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2026-10-13T05:04:26Z</dcterms:modified>
  <cp:category/>
  <cp:contentStatus/>
</cp:coreProperties>
</file>