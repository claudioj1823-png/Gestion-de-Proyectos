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edeeste-my.sharepoint.com/personal/claudio_carreras_edeeste_com_do/Documents/Documentos/"/>
    </mc:Choice>
  </mc:AlternateContent>
  <xr:revisionPtr revIDLastSave="174" documentId="14_{461B09C7-D611-4DC4-9729-BCB7AD21F18E}" xr6:coauthVersionLast="47" xr6:coauthVersionMax="47" xr10:uidLastSave="{7D94E05A-FE23-4CF6-B732-032639652F8D}"/>
  <bookViews>
    <workbookView xWindow="-108" yWindow="-108" windowWidth="23256" windowHeight="12456" firstSheet="1" activeTab="1" xr2:uid="{00000000-000D-0000-FFFF-FFFF00000000}"/>
  </bookViews>
  <sheets>
    <sheet name="Hoja2" sheetId="2" r:id="rId1"/>
    <sheet name="Hoja3" sheetId="3" r:id="rId2"/>
    <sheet name="Hoja8" sheetId="8" r:id="rId3"/>
    <sheet name="Hoja7" sheetId="7" state="hidden" r:id="rId4"/>
    <sheet name="Hoja6" sheetId="6" state="hidden" r:id="rId5"/>
    <sheet name="Hoja4" sheetId="4" state="hidden" r:id="rId6"/>
    <sheet name="Hoja1" sheetId="1" state="hidden" r:id="rId7"/>
    <sheet name="Hoja5" sheetId="5" state="hidden" r:id="rId8"/>
  </sheets>
  <externalReferences>
    <externalReference r:id="rId9"/>
  </externalReferences>
  <definedNames>
    <definedName name="_xlnm._FilterDatabase" localSheetId="1" hidden="1">Hoja3!$A$1:$E$3600</definedName>
    <definedName name="_xlnm._FilterDatabase" localSheetId="3" hidden="1">Hoja7!$A$2:$M$26</definedName>
  </definedNames>
  <calcPr calcId="191028"/>
  <pivotCaches>
    <pivotCache cacheId="169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619" i="3" l="1"/>
  <c r="L985" i="3"/>
  <c r="L3613" i="3"/>
  <c r="K3607" i="3"/>
  <c r="J2938" i="3"/>
  <c r="F66" i="8"/>
  <c r="F60" i="8"/>
  <c r="C61" i="8"/>
  <c r="E3599" i="3"/>
  <c r="E3600" i="3"/>
  <c r="E1718" i="3"/>
  <c r="L17" i="5"/>
  <c r="L15" i="5" l="1"/>
  <c r="M14" i="5"/>
  <c r="J14" i="5"/>
  <c r="A4" i="5"/>
  <c r="A5" i="5" s="1"/>
  <c r="A6" i="5" s="1"/>
  <c r="A7" i="5" s="1"/>
  <c r="A8" i="5" s="1"/>
  <c r="A10" i="5" s="1"/>
  <c r="A11" i="5" s="1"/>
  <c r="A12" i="5" s="1"/>
  <c r="A13" i="5" s="1"/>
  <c r="A14" i="5" s="1"/>
  <c r="A15" i="5" s="1"/>
  <c r="A16" i="5" s="1"/>
  <c r="A3" i="5"/>
  <c r="G1318" i="3" l="1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E2337" i="3"/>
  <c r="E2338" i="3"/>
  <c r="E2339" i="3"/>
  <c r="E2340" i="3"/>
  <c r="E2341" i="3"/>
  <c r="E2342" i="3"/>
  <c r="E2343" i="3"/>
  <c r="E2344" i="3"/>
  <c r="E2345" i="3"/>
  <c r="E2346" i="3"/>
  <c r="E2347" i="3"/>
  <c r="E2348" i="3"/>
  <c r="E2349" i="3"/>
  <c r="E2350" i="3"/>
  <c r="E2351" i="3"/>
  <c r="E2352" i="3"/>
  <c r="E2353" i="3"/>
  <c r="E2354" i="3"/>
  <c r="E2355" i="3"/>
  <c r="E2356" i="3"/>
  <c r="E2357" i="3"/>
  <c r="E2358" i="3"/>
  <c r="E2359" i="3"/>
  <c r="E2360" i="3"/>
  <c r="E2361" i="3"/>
  <c r="E2362" i="3"/>
  <c r="E2363" i="3"/>
  <c r="E2364" i="3"/>
  <c r="E2365" i="3"/>
  <c r="E2366" i="3"/>
  <c r="E2367" i="3"/>
  <c r="E2368" i="3"/>
  <c r="E2369" i="3"/>
  <c r="E2370" i="3"/>
  <c r="E2371" i="3"/>
  <c r="E2372" i="3"/>
  <c r="E2373" i="3"/>
  <c r="E2374" i="3"/>
  <c r="E2375" i="3"/>
  <c r="E2376" i="3"/>
  <c r="E2377" i="3"/>
  <c r="E2378" i="3"/>
  <c r="E2379" i="3"/>
  <c r="E2380" i="3"/>
  <c r="E2381" i="3"/>
  <c r="E2382" i="3"/>
  <c r="E2383" i="3"/>
  <c r="E2384" i="3"/>
  <c r="E2385" i="3"/>
  <c r="E2386" i="3"/>
  <c r="E2387" i="3"/>
  <c r="E2388" i="3"/>
  <c r="E2389" i="3"/>
  <c r="E2390" i="3"/>
  <c r="E2391" i="3"/>
  <c r="E2392" i="3"/>
  <c r="E2393" i="3"/>
  <c r="E2394" i="3"/>
  <c r="E2395" i="3"/>
  <c r="E2396" i="3"/>
  <c r="E2397" i="3"/>
  <c r="E2398" i="3"/>
  <c r="E2399" i="3"/>
  <c r="E2400" i="3"/>
  <c r="E2401" i="3"/>
  <c r="E2402" i="3"/>
  <c r="E2403" i="3"/>
  <c r="E2404" i="3"/>
  <c r="E2405" i="3"/>
  <c r="E2406" i="3"/>
  <c r="E2407" i="3"/>
  <c r="E2408" i="3"/>
  <c r="E2409" i="3"/>
  <c r="E2410" i="3"/>
  <c r="E2411" i="3"/>
  <c r="E2412" i="3"/>
  <c r="E2413" i="3"/>
  <c r="E2414" i="3"/>
  <c r="E2415" i="3"/>
  <c r="E2416" i="3"/>
  <c r="E2417" i="3"/>
  <c r="E2418" i="3"/>
  <c r="E2419" i="3"/>
  <c r="E2420" i="3"/>
  <c r="E2421" i="3"/>
  <c r="E2422" i="3"/>
  <c r="E2423" i="3"/>
  <c r="E2424" i="3"/>
  <c r="E2425" i="3"/>
  <c r="E2426" i="3"/>
  <c r="E2427" i="3"/>
  <c r="E2428" i="3"/>
  <c r="E2429" i="3"/>
  <c r="E2430" i="3"/>
  <c r="E2431" i="3"/>
  <c r="E2432" i="3"/>
  <c r="E2433" i="3"/>
  <c r="E2434" i="3"/>
  <c r="E2435" i="3"/>
  <c r="E2436" i="3"/>
  <c r="E2437" i="3"/>
  <c r="E2438" i="3"/>
  <c r="E2439" i="3"/>
  <c r="E2440" i="3"/>
  <c r="E2441" i="3"/>
  <c r="E2442" i="3"/>
  <c r="E2443" i="3"/>
  <c r="E2444" i="3"/>
  <c r="E2445" i="3"/>
  <c r="E2446" i="3"/>
  <c r="E2447" i="3"/>
  <c r="E2448" i="3"/>
  <c r="E2449" i="3"/>
  <c r="E2450" i="3"/>
  <c r="E2451" i="3"/>
  <c r="E2452" i="3"/>
  <c r="E2453" i="3"/>
  <c r="E2454" i="3"/>
  <c r="E2455" i="3"/>
  <c r="E2456" i="3"/>
  <c r="E2457" i="3"/>
  <c r="E2458" i="3"/>
  <c r="E2459" i="3"/>
  <c r="E2460" i="3"/>
  <c r="E2461" i="3"/>
  <c r="E2462" i="3"/>
  <c r="E2463" i="3"/>
  <c r="E2464" i="3"/>
  <c r="E2465" i="3"/>
  <c r="E2466" i="3"/>
  <c r="E2467" i="3"/>
  <c r="E2468" i="3"/>
  <c r="E2469" i="3"/>
  <c r="E2470" i="3"/>
  <c r="E2471" i="3"/>
  <c r="E2472" i="3"/>
  <c r="E2473" i="3"/>
  <c r="E2474" i="3"/>
  <c r="E2475" i="3"/>
  <c r="E2476" i="3"/>
  <c r="E2477" i="3"/>
  <c r="E2478" i="3"/>
  <c r="E2479" i="3"/>
  <c r="E2480" i="3"/>
  <c r="E2481" i="3"/>
  <c r="E2482" i="3"/>
  <c r="E2483" i="3"/>
  <c r="E2484" i="3"/>
  <c r="E2485" i="3"/>
  <c r="E2486" i="3"/>
  <c r="E2487" i="3"/>
  <c r="E2488" i="3"/>
  <c r="E2489" i="3"/>
  <c r="E2490" i="3"/>
  <c r="E2491" i="3"/>
  <c r="E2492" i="3"/>
  <c r="E2493" i="3"/>
  <c r="E2494" i="3"/>
  <c r="E2495" i="3"/>
  <c r="E2496" i="3"/>
  <c r="E2497" i="3"/>
  <c r="E2498" i="3"/>
  <c r="E2499" i="3"/>
  <c r="E2500" i="3"/>
  <c r="E2501" i="3"/>
  <c r="E2502" i="3"/>
  <c r="E2503" i="3"/>
  <c r="E2504" i="3"/>
  <c r="E2505" i="3"/>
  <c r="E2506" i="3"/>
  <c r="E2507" i="3"/>
  <c r="E2508" i="3"/>
  <c r="E2509" i="3"/>
  <c r="E2510" i="3"/>
  <c r="E2511" i="3"/>
  <c r="E2512" i="3"/>
  <c r="E2513" i="3"/>
  <c r="E2514" i="3"/>
  <c r="E2515" i="3"/>
  <c r="E2516" i="3"/>
  <c r="E2517" i="3"/>
  <c r="E2518" i="3"/>
  <c r="E2519" i="3"/>
  <c r="E2520" i="3"/>
  <c r="E2521" i="3"/>
  <c r="E2522" i="3"/>
  <c r="E2523" i="3"/>
  <c r="E2524" i="3"/>
  <c r="E2525" i="3"/>
  <c r="E2526" i="3"/>
  <c r="E2527" i="3"/>
  <c r="E2528" i="3"/>
  <c r="E2529" i="3"/>
  <c r="E2530" i="3"/>
  <c r="E2531" i="3"/>
  <c r="E2532" i="3"/>
  <c r="E2533" i="3"/>
  <c r="E2534" i="3"/>
  <c r="E2535" i="3"/>
  <c r="E2536" i="3"/>
  <c r="E2537" i="3"/>
  <c r="E2538" i="3"/>
  <c r="E2539" i="3"/>
  <c r="E2540" i="3"/>
  <c r="E2541" i="3"/>
  <c r="E2542" i="3"/>
  <c r="E2543" i="3"/>
  <c r="E2544" i="3"/>
  <c r="E2545" i="3"/>
  <c r="E2546" i="3"/>
  <c r="E2547" i="3"/>
  <c r="E2548" i="3"/>
  <c r="E2549" i="3"/>
  <c r="E2550" i="3"/>
  <c r="E2551" i="3"/>
  <c r="E2552" i="3"/>
  <c r="E2553" i="3"/>
  <c r="E2554" i="3"/>
  <c r="E2555" i="3"/>
  <c r="E2556" i="3"/>
  <c r="E2557" i="3"/>
  <c r="E2558" i="3"/>
  <c r="E2559" i="3"/>
  <c r="E2560" i="3"/>
  <c r="E2561" i="3"/>
  <c r="E2562" i="3"/>
  <c r="E2563" i="3"/>
  <c r="E2564" i="3"/>
  <c r="E2565" i="3"/>
  <c r="E2566" i="3"/>
  <c r="E2567" i="3"/>
  <c r="E2568" i="3"/>
  <c r="E2569" i="3"/>
  <c r="E2570" i="3"/>
  <c r="E2571" i="3"/>
  <c r="E2572" i="3"/>
  <c r="E2573" i="3"/>
  <c r="E2574" i="3"/>
  <c r="E2575" i="3"/>
  <c r="E2576" i="3"/>
  <c r="E2577" i="3"/>
  <c r="E2578" i="3"/>
  <c r="E2579" i="3"/>
  <c r="E2580" i="3"/>
  <c r="E2581" i="3"/>
  <c r="E2582" i="3"/>
  <c r="E2583" i="3"/>
  <c r="E2584" i="3"/>
  <c r="E2585" i="3"/>
  <c r="E2586" i="3"/>
  <c r="E2587" i="3"/>
  <c r="E2588" i="3"/>
  <c r="E2589" i="3"/>
  <c r="E2590" i="3"/>
  <c r="E2591" i="3"/>
  <c r="E2592" i="3"/>
  <c r="E2593" i="3"/>
  <c r="E2594" i="3"/>
  <c r="E2595" i="3"/>
  <c r="E2596" i="3"/>
  <c r="E2597" i="3"/>
  <c r="E2598" i="3"/>
  <c r="E2599" i="3"/>
  <c r="E2600" i="3"/>
  <c r="E2601" i="3"/>
  <c r="E2602" i="3"/>
  <c r="E2603" i="3"/>
  <c r="E2604" i="3"/>
  <c r="E2605" i="3"/>
  <c r="E2606" i="3"/>
  <c r="E2607" i="3"/>
  <c r="E2608" i="3"/>
  <c r="E2609" i="3"/>
  <c r="E2610" i="3"/>
  <c r="E2611" i="3"/>
  <c r="E2612" i="3"/>
  <c r="E2613" i="3"/>
  <c r="E2614" i="3"/>
  <c r="E2615" i="3"/>
  <c r="E2616" i="3"/>
  <c r="E2617" i="3"/>
  <c r="E2618" i="3"/>
  <c r="E2619" i="3"/>
  <c r="E2620" i="3"/>
  <c r="E2621" i="3"/>
  <c r="E2622" i="3"/>
  <c r="E2623" i="3"/>
  <c r="E2624" i="3"/>
  <c r="E2625" i="3"/>
  <c r="E2626" i="3"/>
  <c r="E2627" i="3"/>
  <c r="E2628" i="3"/>
  <c r="E2629" i="3"/>
  <c r="E2630" i="3"/>
  <c r="E2631" i="3"/>
  <c r="E2632" i="3"/>
  <c r="E2633" i="3"/>
  <c r="E2634" i="3"/>
  <c r="E2635" i="3"/>
  <c r="E2636" i="3"/>
  <c r="E2637" i="3"/>
  <c r="E2638" i="3"/>
  <c r="E2639" i="3"/>
  <c r="E2640" i="3"/>
  <c r="E2641" i="3"/>
  <c r="E2642" i="3"/>
  <c r="E2643" i="3"/>
  <c r="E2644" i="3"/>
  <c r="E2645" i="3"/>
  <c r="E2646" i="3"/>
  <c r="E2647" i="3"/>
  <c r="E2648" i="3"/>
  <c r="E2649" i="3"/>
  <c r="E2650" i="3"/>
  <c r="E2651" i="3"/>
  <c r="E2652" i="3"/>
  <c r="E2653" i="3"/>
  <c r="E2654" i="3"/>
  <c r="E2655" i="3"/>
  <c r="E2656" i="3"/>
  <c r="E2657" i="3"/>
  <c r="E2658" i="3"/>
  <c r="E2659" i="3"/>
  <c r="E2660" i="3"/>
  <c r="E2661" i="3"/>
  <c r="E2662" i="3"/>
  <c r="E2663" i="3"/>
  <c r="E2664" i="3"/>
  <c r="E2665" i="3"/>
  <c r="E2666" i="3"/>
  <c r="E2667" i="3"/>
  <c r="E2668" i="3"/>
  <c r="E2669" i="3"/>
  <c r="E2670" i="3"/>
  <c r="E2671" i="3"/>
  <c r="E2672" i="3"/>
  <c r="E2673" i="3"/>
  <c r="E2674" i="3"/>
  <c r="E2675" i="3"/>
  <c r="E2676" i="3"/>
  <c r="E2677" i="3"/>
  <c r="E2678" i="3"/>
  <c r="E2679" i="3"/>
  <c r="E2680" i="3"/>
  <c r="E2681" i="3"/>
  <c r="E2682" i="3"/>
  <c r="E2683" i="3"/>
  <c r="E2684" i="3"/>
  <c r="E2685" i="3"/>
  <c r="E2686" i="3"/>
  <c r="E2687" i="3"/>
  <c r="E2688" i="3"/>
  <c r="E2689" i="3"/>
  <c r="E2690" i="3"/>
  <c r="E2691" i="3"/>
  <c r="E2692" i="3"/>
  <c r="E2693" i="3"/>
  <c r="E2694" i="3"/>
  <c r="E2695" i="3"/>
  <c r="E2696" i="3"/>
  <c r="E2697" i="3"/>
  <c r="E2698" i="3"/>
  <c r="E2699" i="3"/>
  <c r="E2700" i="3"/>
  <c r="E2701" i="3"/>
  <c r="E2702" i="3"/>
  <c r="E2703" i="3"/>
  <c r="E2704" i="3"/>
  <c r="E2705" i="3"/>
  <c r="E2706" i="3"/>
  <c r="E2707" i="3"/>
  <c r="E2708" i="3"/>
  <c r="E2709" i="3"/>
  <c r="E2710" i="3"/>
  <c r="E2711" i="3"/>
  <c r="E2712" i="3"/>
  <c r="E2713" i="3"/>
  <c r="E2714" i="3"/>
  <c r="E2715" i="3"/>
  <c r="E2716" i="3"/>
  <c r="E2717" i="3"/>
  <c r="E2718" i="3"/>
  <c r="E2719" i="3"/>
  <c r="E2720" i="3"/>
  <c r="E2721" i="3"/>
  <c r="E2722" i="3"/>
  <c r="E2723" i="3"/>
  <c r="E2724" i="3"/>
  <c r="E2725" i="3"/>
  <c r="E2726" i="3"/>
  <c r="E2727" i="3"/>
  <c r="E2728" i="3"/>
  <c r="E2729" i="3"/>
  <c r="E2730" i="3"/>
  <c r="E2731" i="3"/>
  <c r="E2732" i="3"/>
  <c r="E2733" i="3"/>
  <c r="E2734" i="3"/>
  <c r="E2735" i="3"/>
  <c r="E2736" i="3"/>
  <c r="E2737" i="3"/>
  <c r="E2738" i="3"/>
  <c r="E2739" i="3"/>
  <c r="E2740" i="3"/>
  <c r="E2741" i="3"/>
  <c r="E2742" i="3"/>
  <c r="E2743" i="3"/>
  <c r="E2744" i="3"/>
  <c r="E2745" i="3"/>
  <c r="E2746" i="3"/>
  <c r="E2747" i="3"/>
  <c r="E2748" i="3"/>
  <c r="E2749" i="3"/>
  <c r="E2750" i="3"/>
  <c r="E2751" i="3"/>
  <c r="E2752" i="3"/>
  <c r="E2753" i="3"/>
  <c r="E2754" i="3"/>
  <c r="E2755" i="3"/>
  <c r="E2756" i="3"/>
  <c r="E2757" i="3"/>
  <c r="E2758" i="3"/>
  <c r="E2759" i="3"/>
  <c r="E2760" i="3"/>
  <c r="E2761" i="3"/>
  <c r="E2762" i="3"/>
  <c r="E2763" i="3"/>
  <c r="E2764" i="3"/>
  <c r="E2765" i="3"/>
  <c r="E2766" i="3"/>
  <c r="E2767" i="3"/>
  <c r="E2768" i="3"/>
  <c r="E2769" i="3"/>
  <c r="E2770" i="3"/>
  <c r="E2771" i="3"/>
  <c r="E2772" i="3"/>
  <c r="E2773" i="3"/>
  <c r="E2774" i="3"/>
  <c r="E2775" i="3"/>
  <c r="E2776" i="3"/>
  <c r="E2777" i="3"/>
  <c r="E2778" i="3"/>
  <c r="E2779" i="3"/>
  <c r="E2780" i="3"/>
  <c r="E2781" i="3"/>
  <c r="E2782" i="3"/>
  <c r="E2783" i="3"/>
  <c r="E2784" i="3"/>
  <c r="E2785" i="3"/>
  <c r="E2786" i="3"/>
  <c r="E2787" i="3"/>
  <c r="E2788" i="3"/>
  <c r="E2789" i="3"/>
  <c r="E2790" i="3"/>
  <c r="E2791" i="3"/>
  <c r="E2792" i="3"/>
  <c r="E2793" i="3"/>
  <c r="E2794" i="3"/>
  <c r="E2795" i="3"/>
  <c r="E2796" i="3"/>
  <c r="E2797" i="3"/>
  <c r="E2798" i="3"/>
  <c r="E2799" i="3"/>
  <c r="E2800" i="3"/>
  <c r="E2801" i="3"/>
  <c r="E2802" i="3"/>
  <c r="E2803" i="3"/>
  <c r="E2804" i="3"/>
  <c r="E2805" i="3"/>
  <c r="E2806" i="3"/>
  <c r="E2807" i="3"/>
  <c r="E2808" i="3"/>
  <c r="E2809" i="3"/>
  <c r="E2810" i="3"/>
  <c r="E2811" i="3"/>
  <c r="E2812" i="3"/>
  <c r="E2813" i="3"/>
  <c r="E2814" i="3"/>
  <c r="E2815" i="3"/>
  <c r="E2816" i="3"/>
  <c r="E2817" i="3"/>
  <c r="E2818" i="3"/>
  <c r="E2819" i="3"/>
  <c r="E2820" i="3"/>
  <c r="E2821" i="3"/>
  <c r="E2822" i="3"/>
  <c r="E2823" i="3"/>
  <c r="E2824" i="3"/>
  <c r="E2825" i="3"/>
  <c r="E2826" i="3"/>
  <c r="E2827" i="3"/>
  <c r="E2828" i="3"/>
  <c r="E2829" i="3"/>
  <c r="E2830" i="3"/>
  <c r="E2831" i="3"/>
  <c r="E2832" i="3"/>
  <c r="E2833" i="3"/>
  <c r="E2834" i="3"/>
  <c r="E2835" i="3"/>
  <c r="E2836" i="3"/>
  <c r="E2837" i="3"/>
  <c r="E2838" i="3"/>
  <c r="E2839" i="3"/>
  <c r="E2840" i="3"/>
  <c r="E2841" i="3"/>
  <c r="E2842" i="3"/>
  <c r="E2843" i="3"/>
  <c r="E2844" i="3"/>
  <c r="E2845" i="3"/>
  <c r="E2846" i="3"/>
  <c r="E2847" i="3"/>
  <c r="E2848" i="3"/>
  <c r="E2849" i="3"/>
  <c r="E2850" i="3"/>
  <c r="E2851" i="3"/>
  <c r="E2852" i="3"/>
  <c r="E2853" i="3"/>
  <c r="E2854" i="3"/>
  <c r="E2855" i="3"/>
  <c r="E2856" i="3"/>
  <c r="E2857" i="3"/>
  <c r="E2858" i="3"/>
  <c r="E2859" i="3"/>
  <c r="E2860" i="3"/>
  <c r="E2861" i="3"/>
  <c r="E2862" i="3"/>
  <c r="E2863" i="3"/>
  <c r="E2864" i="3"/>
  <c r="E2865" i="3"/>
  <c r="E2866" i="3"/>
  <c r="E2867" i="3"/>
  <c r="E2868" i="3"/>
  <c r="E2869" i="3"/>
  <c r="E2870" i="3"/>
  <c r="E2871" i="3"/>
  <c r="E2872" i="3"/>
  <c r="E2873" i="3"/>
  <c r="E2874" i="3"/>
  <c r="E2875" i="3"/>
  <c r="E2876" i="3"/>
  <c r="E2877" i="3"/>
  <c r="E2878" i="3"/>
  <c r="E2879" i="3"/>
  <c r="E2880" i="3"/>
  <c r="E2881" i="3"/>
  <c r="E2882" i="3"/>
  <c r="E2883" i="3"/>
  <c r="E2884" i="3"/>
  <c r="E2885" i="3"/>
  <c r="E2886" i="3"/>
  <c r="E2887" i="3"/>
  <c r="E2888" i="3"/>
  <c r="E2889" i="3"/>
  <c r="E2890" i="3"/>
  <c r="E2891" i="3"/>
  <c r="E2892" i="3"/>
  <c r="E2893" i="3"/>
  <c r="E2894" i="3"/>
  <c r="E2895" i="3"/>
  <c r="E2896" i="3"/>
  <c r="E2897" i="3"/>
  <c r="E2898" i="3"/>
  <c r="E2899" i="3"/>
  <c r="E2900" i="3"/>
  <c r="E2901" i="3"/>
  <c r="E2902" i="3"/>
  <c r="E2903" i="3"/>
  <c r="E2904" i="3"/>
  <c r="E2905" i="3"/>
  <c r="E2906" i="3"/>
  <c r="E2907" i="3"/>
  <c r="E2908" i="3"/>
  <c r="E2909" i="3"/>
  <c r="E2910" i="3"/>
  <c r="E2911" i="3"/>
  <c r="E2912" i="3"/>
  <c r="E2913" i="3"/>
  <c r="E2914" i="3"/>
  <c r="E2915" i="3"/>
  <c r="E2916" i="3"/>
  <c r="E2917" i="3"/>
  <c r="E2918" i="3"/>
  <c r="E2919" i="3"/>
  <c r="E2920" i="3"/>
  <c r="E2921" i="3"/>
  <c r="E2922" i="3"/>
  <c r="E2923" i="3"/>
  <c r="E2924" i="3"/>
  <c r="E2925" i="3"/>
  <c r="E2926" i="3"/>
  <c r="E2927" i="3"/>
  <c r="E2928" i="3"/>
  <c r="E2929" i="3"/>
  <c r="E2930" i="3"/>
  <c r="E2931" i="3"/>
  <c r="E2932" i="3"/>
  <c r="E2933" i="3"/>
  <c r="E2934" i="3"/>
  <c r="E2935" i="3"/>
  <c r="E2936" i="3"/>
  <c r="E2937" i="3"/>
  <c r="E2938" i="3"/>
  <c r="E2939" i="3"/>
  <c r="E2940" i="3"/>
  <c r="E2941" i="3"/>
  <c r="E2942" i="3"/>
  <c r="E2943" i="3"/>
  <c r="E2944" i="3"/>
  <c r="E2945" i="3"/>
  <c r="E2946" i="3"/>
  <c r="E2947" i="3"/>
  <c r="E2948" i="3"/>
  <c r="E2949" i="3"/>
  <c r="E2950" i="3"/>
  <c r="E2951" i="3"/>
  <c r="E2952" i="3"/>
  <c r="E2953" i="3"/>
  <c r="E2954" i="3"/>
  <c r="E2955" i="3"/>
  <c r="E2956" i="3"/>
  <c r="E2957" i="3"/>
  <c r="E2958" i="3"/>
  <c r="E2959" i="3"/>
  <c r="E2960" i="3"/>
  <c r="E2961" i="3"/>
  <c r="E2962" i="3"/>
  <c r="E2963" i="3"/>
  <c r="E2964" i="3"/>
  <c r="E2965" i="3"/>
  <c r="E2966" i="3"/>
  <c r="E2967" i="3"/>
  <c r="E2968" i="3"/>
  <c r="E2969" i="3"/>
  <c r="E2970" i="3"/>
  <c r="E2971" i="3"/>
  <c r="E2972" i="3"/>
  <c r="E2973" i="3"/>
  <c r="E2974" i="3"/>
  <c r="E2975" i="3"/>
  <c r="E2976" i="3"/>
  <c r="E2977" i="3"/>
  <c r="E2978" i="3"/>
  <c r="E2979" i="3"/>
  <c r="E2980" i="3"/>
  <c r="E2981" i="3"/>
  <c r="E2982" i="3"/>
  <c r="E2983" i="3"/>
  <c r="E2984" i="3"/>
  <c r="E2985" i="3"/>
  <c r="E2986" i="3"/>
  <c r="E2987" i="3"/>
  <c r="E2988" i="3"/>
  <c r="E2989" i="3"/>
  <c r="E2990" i="3"/>
  <c r="E2991" i="3"/>
  <c r="E2992" i="3"/>
  <c r="E2993" i="3"/>
  <c r="E2994" i="3"/>
  <c r="E2995" i="3"/>
  <c r="E2996" i="3"/>
  <c r="E2997" i="3"/>
  <c r="E2998" i="3"/>
  <c r="E2999" i="3"/>
  <c r="E3000" i="3"/>
  <c r="E3001" i="3"/>
  <c r="E3002" i="3"/>
  <c r="E3003" i="3"/>
  <c r="E3004" i="3"/>
  <c r="E3005" i="3"/>
  <c r="E3006" i="3"/>
  <c r="E3007" i="3"/>
  <c r="E3008" i="3"/>
  <c r="E3009" i="3"/>
  <c r="E3010" i="3"/>
  <c r="E3011" i="3"/>
  <c r="E3012" i="3"/>
  <c r="E3013" i="3"/>
  <c r="E3014" i="3"/>
  <c r="E3015" i="3"/>
  <c r="E3016" i="3"/>
  <c r="E3017" i="3"/>
  <c r="E3018" i="3"/>
  <c r="E3019" i="3"/>
  <c r="E3020" i="3"/>
  <c r="E3021" i="3"/>
  <c r="E3022" i="3"/>
  <c r="E3023" i="3"/>
  <c r="E3024" i="3"/>
  <c r="E3025" i="3"/>
  <c r="E3026" i="3"/>
  <c r="E3027" i="3"/>
  <c r="E3028" i="3"/>
  <c r="E3029" i="3"/>
  <c r="E3030" i="3"/>
  <c r="E3031" i="3"/>
  <c r="E3032" i="3"/>
  <c r="E3033" i="3"/>
  <c r="E3034" i="3"/>
  <c r="E3035" i="3"/>
  <c r="E3036" i="3"/>
  <c r="E3037" i="3"/>
  <c r="E3038" i="3"/>
  <c r="E3039" i="3"/>
  <c r="E3040" i="3"/>
  <c r="E3041" i="3"/>
  <c r="E3042" i="3"/>
  <c r="E3043" i="3"/>
  <c r="E3044" i="3"/>
  <c r="E3045" i="3"/>
  <c r="E3046" i="3"/>
  <c r="E3047" i="3"/>
  <c r="E3048" i="3"/>
  <c r="E3049" i="3"/>
  <c r="E3050" i="3"/>
  <c r="E3051" i="3"/>
  <c r="E3052" i="3"/>
  <c r="E3053" i="3"/>
  <c r="E3054" i="3"/>
  <c r="E3055" i="3"/>
  <c r="E3056" i="3"/>
  <c r="E3057" i="3"/>
  <c r="E3058" i="3"/>
  <c r="E3059" i="3"/>
  <c r="E3060" i="3"/>
  <c r="E3061" i="3"/>
  <c r="E3062" i="3"/>
  <c r="E3063" i="3"/>
  <c r="E3064" i="3"/>
  <c r="E3065" i="3"/>
  <c r="E3066" i="3"/>
  <c r="E3067" i="3"/>
  <c r="E3068" i="3"/>
  <c r="E3069" i="3"/>
  <c r="E3070" i="3"/>
  <c r="E3071" i="3"/>
  <c r="E3072" i="3"/>
  <c r="E3073" i="3"/>
  <c r="E3074" i="3"/>
  <c r="E3075" i="3"/>
  <c r="E3076" i="3"/>
  <c r="E3077" i="3"/>
  <c r="E3078" i="3"/>
  <c r="E3079" i="3"/>
  <c r="E3080" i="3"/>
  <c r="E3081" i="3"/>
  <c r="E3082" i="3"/>
  <c r="E3083" i="3"/>
  <c r="E3084" i="3"/>
  <c r="E3085" i="3"/>
  <c r="E3086" i="3"/>
  <c r="E3087" i="3"/>
  <c r="E3088" i="3"/>
  <c r="E3089" i="3"/>
  <c r="E3090" i="3"/>
  <c r="E3091" i="3"/>
  <c r="E3092" i="3"/>
  <c r="E3093" i="3"/>
  <c r="E3094" i="3"/>
  <c r="E3095" i="3"/>
  <c r="E3096" i="3"/>
  <c r="E3097" i="3"/>
  <c r="E3098" i="3"/>
  <c r="E3099" i="3"/>
  <c r="E3100" i="3"/>
  <c r="E3101" i="3"/>
  <c r="E3102" i="3"/>
  <c r="E3103" i="3"/>
  <c r="E3104" i="3"/>
  <c r="E3105" i="3"/>
  <c r="E3106" i="3"/>
  <c r="E3107" i="3"/>
  <c r="E3108" i="3"/>
  <c r="E3109" i="3"/>
  <c r="E3110" i="3"/>
  <c r="E3111" i="3"/>
  <c r="E3112" i="3"/>
  <c r="E3113" i="3"/>
  <c r="E3114" i="3"/>
  <c r="E3115" i="3"/>
  <c r="E3116" i="3"/>
  <c r="E3117" i="3"/>
  <c r="E3118" i="3"/>
  <c r="E3119" i="3"/>
  <c r="E3120" i="3"/>
  <c r="E3121" i="3"/>
  <c r="E3122" i="3"/>
  <c r="E3123" i="3"/>
  <c r="E3124" i="3"/>
  <c r="E3125" i="3"/>
  <c r="E3126" i="3"/>
  <c r="E3127" i="3"/>
  <c r="E3128" i="3"/>
  <c r="E3129" i="3"/>
  <c r="E3130" i="3"/>
  <c r="E3131" i="3"/>
  <c r="E3132" i="3"/>
  <c r="E3133" i="3"/>
  <c r="E3134" i="3"/>
  <c r="E3135" i="3"/>
  <c r="E3136" i="3"/>
  <c r="E3137" i="3"/>
  <c r="E3138" i="3"/>
  <c r="E3139" i="3"/>
  <c r="E3140" i="3"/>
  <c r="E3141" i="3"/>
  <c r="E3142" i="3"/>
  <c r="E3143" i="3"/>
  <c r="E3144" i="3"/>
  <c r="E3145" i="3"/>
  <c r="E3146" i="3"/>
  <c r="E3147" i="3"/>
  <c r="E3148" i="3"/>
  <c r="E3149" i="3"/>
  <c r="E3150" i="3"/>
  <c r="E3151" i="3"/>
  <c r="E3152" i="3"/>
  <c r="E3153" i="3"/>
  <c r="E3154" i="3"/>
  <c r="E3155" i="3"/>
  <c r="E3156" i="3"/>
  <c r="E3157" i="3"/>
  <c r="E3158" i="3"/>
  <c r="E3159" i="3"/>
  <c r="E3160" i="3"/>
  <c r="E3161" i="3"/>
  <c r="E3162" i="3"/>
  <c r="E3163" i="3"/>
  <c r="E3164" i="3"/>
  <c r="E3165" i="3"/>
  <c r="E3166" i="3"/>
  <c r="E3167" i="3"/>
  <c r="E3168" i="3"/>
  <c r="E3169" i="3"/>
  <c r="E3170" i="3"/>
  <c r="E3171" i="3"/>
  <c r="E3172" i="3"/>
  <c r="E3173" i="3"/>
  <c r="E3174" i="3"/>
  <c r="E3175" i="3"/>
  <c r="E3176" i="3"/>
  <c r="E3177" i="3"/>
  <c r="E3178" i="3"/>
  <c r="E3179" i="3"/>
  <c r="E3180" i="3"/>
  <c r="E3181" i="3"/>
  <c r="E3182" i="3"/>
  <c r="E3183" i="3"/>
  <c r="E3184" i="3"/>
  <c r="E3185" i="3"/>
  <c r="E3186" i="3"/>
  <c r="E3187" i="3"/>
  <c r="E3188" i="3"/>
  <c r="E3189" i="3"/>
  <c r="E3190" i="3"/>
  <c r="E3191" i="3"/>
  <c r="E3192" i="3"/>
  <c r="E3193" i="3"/>
  <c r="E3194" i="3"/>
  <c r="E3195" i="3"/>
  <c r="E3196" i="3"/>
  <c r="E3197" i="3"/>
  <c r="E3198" i="3"/>
  <c r="E3199" i="3"/>
  <c r="E3200" i="3"/>
  <c r="E3201" i="3"/>
  <c r="E3202" i="3"/>
  <c r="E3203" i="3"/>
  <c r="E3204" i="3"/>
  <c r="E3205" i="3"/>
  <c r="E3206" i="3"/>
  <c r="E3207" i="3"/>
  <c r="E3208" i="3"/>
  <c r="E3209" i="3"/>
  <c r="E3210" i="3"/>
  <c r="E3211" i="3"/>
  <c r="E3212" i="3"/>
  <c r="E3213" i="3"/>
  <c r="E3214" i="3"/>
  <c r="E3215" i="3"/>
  <c r="E3216" i="3"/>
  <c r="E3217" i="3"/>
  <c r="E3218" i="3"/>
  <c r="E3219" i="3"/>
  <c r="E3220" i="3"/>
  <c r="E3221" i="3"/>
  <c r="E3222" i="3"/>
  <c r="E3223" i="3"/>
  <c r="E3224" i="3"/>
  <c r="E3225" i="3"/>
  <c r="E3226" i="3"/>
  <c r="E3227" i="3"/>
  <c r="E3228" i="3"/>
  <c r="E3229" i="3"/>
  <c r="E3230" i="3"/>
  <c r="E3231" i="3"/>
  <c r="E3232" i="3"/>
  <c r="E3233" i="3"/>
  <c r="E3234" i="3"/>
  <c r="E3235" i="3"/>
  <c r="E3236" i="3"/>
  <c r="E3237" i="3"/>
  <c r="E3238" i="3"/>
  <c r="E3239" i="3"/>
  <c r="E3240" i="3"/>
  <c r="E3241" i="3"/>
  <c r="E3242" i="3"/>
  <c r="E3243" i="3"/>
  <c r="E3244" i="3"/>
  <c r="E3245" i="3"/>
  <c r="E3246" i="3"/>
  <c r="E3247" i="3"/>
  <c r="E3248" i="3"/>
  <c r="E3249" i="3"/>
  <c r="E3250" i="3"/>
  <c r="E3251" i="3"/>
  <c r="E3252" i="3"/>
  <c r="E3253" i="3"/>
  <c r="E3254" i="3"/>
  <c r="E3255" i="3"/>
  <c r="E3256" i="3"/>
  <c r="E3257" i="3"/>
  <c r="E3258" i="3"/>
  <c r="E3259" i="3"/>
  <c r="E3260" i="3"/>
  <c r="E3261" i="3"/>
  <c r="E3262" i="3"/>
  <c r="E3263" i="3"/>
  <c r="E3264" i="3"/>
  <c r="E3265" i="3"/>
  <c r="E3266" i="3"/>
  <c r="E3267" i="3"/>
  <c r="E3268" i="3"/>
  <c r="E3269" i="3"/>
  <c r="E3270" i="3"/>
  <c r="E3271" i="3"/>
  <c r="E3272" i="3"/>
  <c r="E3273" i="3"/>
  <c r="E3274" i="3"/>
  <c r="E3275" i="3"/>
  <c r="E3276" i="3"/>
  <c r="E3277" i="3"/>
  <c r="E3278" i="3"/>
  <c r="E3279" i="3"/>
  <c r="E3280" i="3"/>
  <c r="E3281" i="3"/>
  <c r="E3282" i="3"/>
  <c r="E3283" i="3"/>
  <c r="E3284" i="3"/>
  <c r="E3285" i="3"/>
  <c r="E3286" i="3"/>
  <c r="E3287" i="3"/>
  <c r="E3288" i="3"/>
  <c r="E3289" i="3"/>
  <c r="E3290" i="3"/>
  <c r="E3291" i="3"/>
  <c r="E3292" i="3"/>
  <c r="E3293" i="3"/>
  <c r="E3294" i="3"/>
  <c r="E3295" i="3"/>
  <c r="E3296" i="3"/>
  <c r="E3297" i="3"/>
  <c r="E3298" i="3"/>
  <c r="E3299" i="3"/>
  <c r="E3300" i="3"/>
  <c r="E3301" i="3"/>
  <c r="E3302" i="3"/>
  <c r="E3303" i="3"/>
  <c r="E3304" i="3"/>
  <c r="E3305" i="3"/>
  <c r="E3306" i="3"/>
  <c r="E3307" i="3"/>
  <c r="E3308" i="3"/>
  <c r="E3309" i="3"/>
  <c r="E3310" i="3"/>
  <c r="E3311" i="3"/>
  <c r="E3312" i="3"/>
  <c r="E3313" i="3"/>
  <c r="E3314" i="3"/>
  <c r="E3315" i="3"/>
  <c r="E3316" i="3"/>
  <c r="E3317" i="3"/>
  <c r="E3318" i="3"/>
  <c r="E3319" i="3"/>
  <c r="E3320" i="3"/>
  <c r="E3321" i="3"/>
  <c r="E3322" i="3"/>
  <c r="E3323" i="3"/>
  <c r="E3324" i="3"/>
  <c r="E3325" i="3"/>
  <c r="E3326" i="3"/>
  <c r="E3327" i="3"/>
  <c r="E3328" i="3"/>
  <c r="E3329" i="3"/>
  <c r="E3330" i="3"/>
  <c r="E3331" i="3"/>
  <c r="E3332" i="3"/>
  <c r="E3333" i="3"/>
  <c r="E3334" i="3"/>
  <c r="E3335" i="3"/>
  <c r="E3336" i="3"/>
  <c r="E3337" i="3"/>
  <c r="E3338" i="3"/>
  <c r="E3339" i="3"/>
  <c r="E3340" i="3"/>
  <c r="E3341" i="3"/>
  <c r="E3342" i="3"/>
  <c r="E3343" i="3"/>
  <c r="E3344" i="3"/>
  <c r="E3345" i="3"/>
  <c r="E3346" i="3"/>
  <c r="E3347" i="3"/>
  <c r="E3348" i="3"/>
  <c r="E3349" i="3"/>
  <c r="E3350" i="3"/>
  <c r="E3351" i="3"/>
  <c r="E3352" i="3"/>
  <c r="E3353" i="3"/>
  <c r="E3354" i="3"/>
  <c r="E3355" i="3"/>
  <c r="E3356" i="3"/>
  <c r="E3357" i="3"/>
  <c r="E3358" i="3"/>
  <c r="E3359" i="3"/>
  <c r="E3360" i="3"/>
  <c r="E3361" i="3"/>
  <c r="E3362" i="3"/>
  <c r="E3363" i="3"/>
  <c r="E3364" i="3"/>
  <c r="E3365" i="3"/>
  <c r="E3366" i="3"/>
  <c r="E3367" i="3"/>
  <c r="E3368" i="3"/>
  <c r="E3369" i="3"/>
  <c r="E3370" i="3"/>
  <c r="E3371" i="3"/>
  <c r="E3372" i="3"/>
  <c r="E3373" i="3"/>
  <c r="E3374" i="3"/>
  <c r="E3375" i="3"/>
  <c r="E3376" i="3"/>
  <c r="E3377" i="3"/>
  <c r="E3378" i="3"/>
  <c r="E3379" i="3"/>
  <c r="E3380" i="3"/>
  <c r="E3381" i="3"/>
  <c r="E3382" i="3"/>
  <c r="E3383" i="3"/>
  <c r="E3384" i="3"/>
  <c r="E3385" i="3"/>
  <c r="E3386" i="3"/>
  <c r="E3387" i="3"/>
  <c r="E3388" i="3"/>
  <c r="E3389" i="3"/>
  <c r="E3390" i="3"/>
  <c r="E3391" i="3"/>
  <c r="E3392" i="3"/>
  <c r="E3393" i="3"/>
  <c r="E3394" i="3"/>
  <c r="E3395" i="3"/>
  <c r="E3396" i="3"/>
  <c r="E3397" i="3"/>
  <c r="E3398" i="3"/>
  <c r="E3399" i="3"/>
  <c r="E3400" i="3"/>
  <c r="E3401" i="3"/>
  <c r="E3402" i="3"/>
  <c r="E3403" i="3"/>
  <c r="E3404" i="3"/>
  <c r="E3405" i="3"/>
  <c r="E3406" i="3"/>
  <c r="E3407" i="3"/>
  <c r="E3408" i="3"/>
  <c r="E3409" i="3"/>
  <c r="E3410" i="3"/>
  <c r="E3411" i="3"/>
  <c r="E3412" i="3"/>
  <c r="E3413" i="3"/>
  <c r="E3414" i="3"/>
  <c r="E3415" i="3"/>
  <c r="E3416" i="3"/>
  <c r="E3417" i="3"/>
  <c r="E3418" i="3"/>
  <c r="E3419" i="3"/>
  <c r="E3420" i="3"/>
  <c r="E3421" i="3"/>
  <c r="E3422" i="3"/>
  <c r="E3423" i="3"/>
  <c r="E3424" i="3"/>
  <c r="E3425" i="3"/>
  <c r="E3426" i="3"/>
  <c r="E3427" i="3"/>
  <c r="E3428" i="3"/>
  <c r="E3429" i="3"/>
  <c r="E3430" i="3"/>
  <c r="E3431" i="3"/>
  <c r="E3432" i="3"/>
  <c r="E3433" i="3"/>
  <c r="E3434" i="3"/>
  <c r="E3435" i="3"/>
  <c r="E3436" i="3"/>
  <c r="E3437" i="3"/>
  <c r="E3438" i="3"/>
  <c r="E3439" i="3"/>
  <c r="E3440" i="3"/>
  <c r="E3441" i="3"/>
  <c r="E3442" i="3"/>
  <c r="E3443" i="3"/>
  <c r="E3444" i="3"/>
  <c r="E3445" i="3"/>
  <c r="E3446" i="3"/>
  <c r="E3447" i="3"/>
  <c r="E3448" i="3"/>
  <c r="E3449" i="3"/>
  <c r="E3450" i="3"/>
  <c r="E3451" i="3"/>
  <c r="E3452" i="3"/>
  <c r="E3453" i="3"/>
  <c r="E3454" i="3"/>
  <c r="E3455" i="3"/>
  <c r="E3456" i="3"/>
  <c r="E3457" i="3"/>
  <c r="E3458" i="3"/>
  <c r="E3459" i="3"/>
  <c r="E3460" i="3"/>
  <c r="E3461" i="3"/>
  <c r="E3462" i="3"/>
  <c r="E3463" i="3"/>
  <c r="E3464" i="3"/>
  <c r="E3465" i="3"/>
  <c r="E3466" i="3"/>
  <c r="E3467" i="3"/>
  <c r="E3468" i="3"/>
  <c r="E3469" i="3"/>
  <c r="E3470" i="3"/>
  <c r="E3471" i="3"/>
  <c r="E3472" i="3"/>
  <c r="E3473" i="3"/>
  <c r="E3474" i="3"/>
  <c r="E3475" i="3"/>
  <c r="E3476" i="3"/>
  <c r="E3477" i="3"/>
  <c r="E3478" i="3"/>
  <c r="E3479" i="3"/>
  <c r="E3480" i="3"/>
  <c r="E3481" i="3"/>
  <c r="E3482" i="3"/>
  <c r="E3483" i="3"/>
  <c r="E3484" i="3"/>
  <c r="E3485" i="3"/>
  <c r="E3486" i="3"/>
  <c r="E3487" i="3"/>
  <c r="E3488" i="3"/>
  <c r="E3489" i="3"/>
  <c r="E3490" i="3"/>
  <c r="E3491" i="3"/>
  <c r="E3492" i="3"/>
  <c r="E3493" i="3"/>
  <c r="E3494" i="3"/>
  <c r="E3495" i="3"/>
  <c r="E3496" i="3"/>
  <c r="E3497" i="3"/>
  <c r="E3498" i="3"/>
  <c r="E3499" i="3"/>
  <c r="E3500" i="3"/>
  <c r="E3501" i="3"/>
  <c r="E3502" i="3"/>
  <c r="E3503" i="3"/>
  <c r="E3504" i="3"/>
  <c r="E3505" i="3"/>
  <c r="E3506" i="3"/>
  <c r="E3507" i="3"/>
  <c r="E3508" i="3"/>
  <c r="E3509" i="3"/>
  <c r="E3510" i="3"/>
  <c r="E3511" i="3"/>
  <c r="E3512" i="3"/>
  <c r="E3513" i="3"/>
  <c r="E3514" i="3"/>
  <c r="E3515" i="3"/>
  <c r="E3516" i="3"/>
  <c r="E3517" i="3"/>
  <c r="E3518" i="3"/>
  <c r="E3519" i="3"/>
  <c r="E3520" i="3"/>
  <c r="E3521" i="3"/>
  <c r="E3522" i="3"/>
  <c r="E3523" i="3"/>
  <c r="E3524" i="3"/>
  <c r="E3525" i="3"/>
  <c r="E3526" i="3"/>
  <c r="E3527" i="3"/>
  <c r="E3528" i="3"/>
  <c r="E3529" i="3"/>
  <c r="E3530" i="3"/>
  <c r="E3531" i="3"/>
  <c r="E3532" i="3"/>
  <c r="E3533" i="3"/>
  <c r="E3534" i="3"/>
  <c r="E3535" i="3"/>
  <c r="E3536" i="3"/>
  <c r="E3537" i="3"/>
  <c r="E3538" i="3"/>
  <c r="E3539" i="3"/>
  <c r="E3540" i="3"/>
  <c r="E3541" i="3"/>
  <c r="E3542" i="3"/>
  <c r="E3543" i="3"/>
  <c r="E3544" i="3"/>
  <c r="E3545" i="3"/>
  <c r="E3546" i="3"/>
  <c r="E3547" i="3"/>
  <c r="E3548" i="3"/>
  <c r="E3549" i="3"/>
  <c r="E3550" i="3"/>
  <c r="E3551" i="3"/>
  <c r="E3552" i="3"/>
  <c r="E3553" i="3"/>
  <c r="E3554" i="3"/>
  <c r="E3555" i="3"/>
  <c r="E3556" i="3"/>
  <c r="E3557" i="3"/>
  <c r="E3558" i="3"/>
  <c r="E3559" i="3"/>
  <c r="E3560" i="3"/>
  <c r="E3561" i="3"/>
  <c r="E3562" i="3"/>
  <c r="E3563" i="3"/>
  <c r="E3564" i="3"/>
  <c r="E3565" i="3"/>
  <c r="E3566" i="3"/>
  <c r="E3567" i="3"/>
  <c r="E3568" i="3"/>
  <c r="E3569" i="3"/>
  <c r="E3570" i="3"/>
  <c r="E3571" i="3"/>
  <c r="E3572" i="3"/>
  <c r="E3573" i="3"/>
  <c r="E3574" i="3"/>
  <c r="E3575" i="3"/>
  <c r="E3576" i="3"/>
  <c r="E3577" i="3"/>
  <c r="E3578" i="3"/>
  <c r="E3579" i="3"/>
  <c r="E3580" i="3"/>
  <c r="E3581" i="3"/>
  <c r="E3582" i="3"/>
  <c r="E3583" i="3"/>
  <c r="E3584" i="3"/>
  <c r="E3585" i="3"/>
  <c r="E3586" i="3"/>
  <c r="E3587" i="3"/>
  <c r="E3588" i="3"/>
  <c r="E3589" i="3"/>
  <c r="E3590" i="3"/>
  <c r="E3591" i="3"/>
  <c r="E3592" i="3"/>
  <c r="E3593" i="3"/>
  <c r="E3594" i="3"/>
  <c r="E3595" i="3"/>
  <c r="E3596" i="3"/>
  <c r="E3597" i="3"/>
  <c r="E3598" i="3"/>
  <c r="E992" i="3"/>
  <c r="E993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2" i="3"/>
  <c r="C994" i="3"/>
  <c r="E994" i="3" s="1"/>
  <c r="B1716" i="1"/>
</calcChain>
</file>

<file path=xl/sharedStrings.xml><?xml version="1.0" encoding="utf-8"?>
<sst xmlns="http://schemas.openxmlformats.org/spreadsheetml/2006/main" count="8565" uniqueCount="3653">
  <si>
    <t>SAP</t>
  </si>
  <si>
    <t>Descripción</t>
  </si>
  <si>
    <t>Promedio de Precios</t>
  </si>
  <si>
    <t>Aislad T/Carr 3x3-1/8 76x80mm 11/16 53-2</t>
  </si>
  <si>
    <t>Aislador Ríg P/ Sist 34.5kV T/ Sub Polim</t>
  </si>
  <si>
    <t>Aislador Ríg P/ Sist 72.5kV T/ Sub Polim</t>
  </si>
  <si>
    <t>Aislador Ríg T/ Esp 57-1 C/ Esp y Tuerca</t>
  </si>
  <si>
    <t>Aislador Susp 12.5kV Polimérico</t>
  </si>
  <si>
    <t>Aislador Susp 35kV Polimérico</t>
  </si>
  <si>
    <t>Aislador Susp 7.2-7.5kV MT Clevis Porcel</t>
  </si>
  <si>
    <t>Aislador Susp CL52-1 T/ Clevis 12.47kV</t>
  </si>
  <si>
    <t>Aislador Susp P/ Sist 72.5kV Polimérico</t>
  </si>
  <si>
    <t>Aislador T/ Carr 2 1/8"x2 1/4" 53-1</t>
  </si>
  <si>
    <t>Aislador T/ Esp PIN CL55-3 1" 13.2kV</t>
  </si>
  <si>
    <t>Aislador T/ Esp PIN CL55-5 1"</t>
  </si>
  <si>
    <t>Aislador T/ Esp PIN CL56-3 1 3/8" 34.5kV</t>
  </si>
  <si>
    <t>Aislador T/ Estación Vert 145kV Porcel</t>
  </si>
  <si>
    <t>Aislador T/ Pin 55-2 1" P/ Neutro</t>
  </si>
  <si>
    <t>Aislador T/ Pin Polim 15kV</t>
  </si>
  <si>
    <t>Barra Aisl Fib Vid 3/4"x54" P/Viento Aer</t>
  </si>
  <si>
    <t>Barra Aisl Fib Vid C/ Guard Cab 7/8"x78"</t>
  </si>
  <si>
    <t>Caja Aisl P/ Conector Compresión 2 1/2"</t>
  </si>
  <si>
    <t>Caja Aisl P/ Conector Compresión 2 3/4"</t>
  </si>
  <si>
    <t>Caja Aisl P/ Conector Compresión 2"</t>
  </si>
  <si>
    <t>Caja Aisl P/ Conector Compresión 3 1/2"</t>
  </si>
  <si>
    <t>Caja Aisl P/ Conector Compresion 5 3/16"</t>
  </si>
  <si>
    <t>Caja Aisl P/ Conector Compresión 5"</t>
  </si>
  <si>
    <t>Caja Aisl P/ Conector Compresión 5/8x2"</t>
  </si>
  <si>
    <t>Cinta P/ Impresora Caja Mod ERC-30P</t>
  </si>
  <si>
    <t>Cinta P/ Impresora Caja Mod ERC-32B</t>
  </si>
  <si>
    <t>Papel P/ Impresora Caja 2P 3" Rollo</t>
  </si>
  <si>
    <t>Papel Térmico P/ Impr TSP600 3.15" Rollo</t>
  </si>
  <si>
    <t>Papel Térmico P/ Verip 2 1/4"x120' Rollo</t>
  </si>
  <si>
    <t>Resma Papel Bond 20 8 1/2"x11"</t>
  </si>
  <si>
    <t>Resma Papel Bond 20 8 1/2"x14"</t>
  </si>
  <si>
    <t>Ticket P/ Turn-O-Matic</t>
  </si>
  <si>
    <t>Alambre #1/0 THHN AWG Cobre</t>
  </si>
  <si>
    <t>Alambre #2/0 THHN AWG Cobre</t>
  </si>
  <si>
    <t>Alambre #4 AWG-SDO Al P/ Ligadura</t>
  </si>
  <si>
    <t>Alambre Advanced THHN ST No.10 Negro</t>
  </si>
  <si>
    <t>Alambre Advanced THHN ST No.6 Blanco</t>
  </si>
  <si>
    <t>Alambre Advanced THHN ST No.6 Rojo</t>
  </si>
  <si>
    <t>Alambre Desn Trenz 4/0 Cu Semid P/Sist T</t>
  </si>
  <si>
    <t>Alambre Multifibras AWG 1/0</t>
  </si>
  <si>
    <t>Alambre Multifibras AWG 2/0</t>
  </si>
  <si>
    <t>Alambre THHN ST No.6 105 G 600V Amarillo</t>
  </si>
  <si>
    <t>Cable Aisl 15kV 1000MCM Al PVC Neutr Cu</t>
  </si>
  <si>
    <t>Cable Aluminio Recub 2/0 AWG 7 Aisl XLPE</t>
  </si>
  <si>
    <t>Cable Aluminio Recub 4/0 AWG 7 Aisl XLPE</t>
  </si>
  <si>
    <t>Cable Cobre Estañado #2 AWG Desnudo</t>
  </si>
  <si>
    <t>Cable Cobre Flex Trenz 600V 4 Cond #12</t>
  </si>
  <si>
    <t>Cable Cobre Multip Flex 7 x 14 AWG</t>
  </si>
  <si>
    <t>Cable Cobre ST #8 THHN AWG 600V Rojo</t>
  </si>
  <si>
    <t>Cable Cobre Trenzado 4/0 Semiduro</t>
  </si>
  <si>
    <t>Cable Cobre URD #2 Aisl P/ 15kV</t>
  </si>
  <si>
    <t>CABLE COBRE URD #2/0 AISL P/ 15kV</t>
  </si>
  <si>
    <t>Cable Cobre URD #4/0 Aisl P/ 15kV</t>
  </si>
  <si>
    <t>Cable Concéntr 2 Cond Señal 1x8+8+2 #22</t>
  </si>
  <si>
    <t>Cable Concéntrico 1x8+8 Al Bip AWG #8</t>
  </si>
  <si>
    <t>Cable Concéntrico 1x8+8 Cu Bip AWG #8</t>
  </si>
  <si>
    <t>Cable Concéntrico 2x6+6 Al Trip AWG #6</t>
  </si>
  <si>
    <t>Cable Concéntrico 2x6+6 Cu Trip AWG #6</t>
  </si>
  <si>
    <t>Cable Conex Dob Ref 5'Conect T/Banan 4mm</t>
  </si>
  <si>
    <t>Cable Cu 630mm2 Aisl 12/20kV XLPE ó AWG</t>
  </si>
  <si>
    <t>Cable de Acometida SEU Tipo SE R, 2 #8</t>
  </si>
  <si>
    <t>Cable de Cobre Estañado 2/0 AWG, Desnudo</t>
  </si>
  <si>
    <t>Cable de Control Flex 16h AWG #14, 600V</t>
  </si>
  <si>
    <t>Cable de Control Flex 24h AWG #24, 600V</t>
  </si>
  <si>
    <t>Cable de Control Flex 4h AWG #10</t>
  </si>
  <si>
    <t>Cable de Viento 5/16'' 44 KN</t>
  </si>
  <si>
    <t>Cable de Viento 7/16" 76 KN</t>
  </si>
  <si>
    <t>Cable Electrico Redondo de Goma 10-2h</t>
  </si>
  <si>
    <t>Cable Flex Calib #12 AWG 12h Aisl PVC</t>
  </si>
  <si>
    <t>Cable Flex Calib #12 AWG 4h Aisl PVC</t>
  </si>
  <si>
    <t>Cable Flex Calib #12 AWG 7h Aisl PVC</t>
  </si>
  <si>
    <t>Cable Heliax 1/2"</t>
  </si>
  <si>
    <t>Cable Multipolar Flex 1.5mm #14</t>
  </si>
  <si>
    <t>Cable Multipolar Flex 4h #14 AWG</t>
  </si>
  <si>
    <t>Cable Multipolar Flex 5h #12 AWG</t>
  </si>
  <si>
    <t>Cable Multipolar Flex 5h #14 AWG</t>
  </si>
  <si>
    <t>Cable Multipolar Flex 7h #12 AWG</t>
  </si>
  <si>
    <t>Cable No.12 TW</t>
  </si>
  <si>
    <t>Cable P/ P Tierra Desn Trenz No.4 AWG</t>
  </si>
  <si>
    <t>Cable RG58 Para Comunicaciones</t>
  </si>
  <si>
    <t>Cable Tripl 2 #4 AAC Neutro #4 ACSR Aisl</t>
  </si>
  <si>
    <t>Cable Tripl Aisl XLPE Cond 2/0 Al Cond N</t>
  </si>
  <si>
    <t>Cable Tripl Aisl XLPE Cond 4/0 Al Cond N</t>
  </si>
  <si>
    <t>Conductor Aluminio 155.4 MCM 2/0 AAAC 7h</t>
  </si>
  <si>
    <t>Conductor Aluminio 246.8 MCM 4/0 AAAC 7h</t>
  </si>
  <si>
    <t>Conductor Aluminio 465.4 MCM AAAC 19h</t>
  </si>
  <si>
    <t>Batería AA de 3.6V Li</t>
  </si>
  <si>
    <t>Batería de 12 Voltios 150Amp/Hora</t>
  </si>
  <si>
    <t>Batería de 12 Voltios 8Amp/Hora</t>
  </si>
  <si>
    <t>Batería de 3.6 Voltios Lithium Battery</t>
  </si>
  <si>
    <t>Batería Estacionaria 2V 200A/H Pb-Acido</t>
  </si>
  <si>
    <t>Batería P/ Subestaciones 6V 225A/H</t>
  </si>
  <si>
    <t>Capacitor de Desacople 200 µF</t>
  </si>
  <si>
    <t>Pila Cuadrada de 9V Alcalina</t>
  </si>
  <si>
    <t>Pilas de 1.5 Voltios (Grande)</t>
  </si>
  <si>
    <t>Arnés Corporal de Posicionamiento</t>
  </si>
  <si>
    <t>Arnés Protec Caída y Lumbar 5 Ptos Ancl</t>
  </si>
  <si>
    <t>Botas Antiest Punt Antid Antip Size 38</t>
  </si>
  <si>
    <t>Botas Antiest Punt Antid Antip Size 39</t>
  </si>
  <si>
    <t>Botas Antiest Punt Antid Antip Size 46</t>
  </si>
  <si>
    <t>Botas de Goma Size 39</t>
  </si>
  <si>
    <t>Botas de Goma Size 40</t>
  </si>
  <si>
    <t>Botas de Goma Size 41</t>
  </si>
  <si>
    <t>Botas de Goma Size 42</t>
  </si>
  <si>
    <t>Botas Dieléct Punt Antid Antip Size 34</t>
  </si>
  <si>
    <t>Botas Dieléct Punt Antid Antip Size 37</t>
  </si>
  <si>
    <t>Botas Dieléct Punt Antid Antip Size 38</t>
  </si>
  <si>
    <t>Botas Dieléct Punt Antid Antip Size 39</t>
  </si>
  <si>
    <t>Botas Dieléct Punt Antid Antip Size 40</t>
  </si>
  <si>
    <t>Botas Dieléct Punt Antid Antip Size 41</t>
  </si>
  <si>
    <t>Botas Dieléct Punt Antid Antip Size 42</t>
  </si>
  <si>
    <t>Botas Dieléct Punt Antid Antip Size 43</t>
  </si>
  <si>
    <t>Botas Dieléct Punt Antid Antip Size 44</t>
  </si>
  <si>
    <t>Botas Dieléct Punt Antid Antip Size 45</t>
  </si>
  <si>
    <t>Botas Dieléct Punt Antid Antip Size 46</t>
  </si>
  <si>
    <t>Botas Dieléct Punt Antid Antip Size 47</t>
  </si>
  <si>
    <t>Botiquín Primeros Auxilios P/ Automovil</t>
  </si>
  <si>
    <t>Camisa Azul Osc M/L Log EDEEste Size XXL</t>
  </si>
  <si>
    <t>Camisa Azul Osc M/L Logo EDEEste Size L</t>
  </si>
  <si>
    <t>Camisa Azul Osc M/L Logo EDEEste Size M</t>
  </si>
  <si>
    <t>Camisa Azul Osc M/L Logo EDEEste Size S</t>
  </si>
  <si>
    <t>Camisa Azul Osc M/L Logo EDEEste Size XL</t>
  </si>
  <si>
    <t>Camisa Azul P/ Lectores Size L</t>
  </si>
  <si>
    <t>Camisa Azul P/ Lectores Size M</t>
  </si>
  <si>
    <t>Camisa Azul P/ Lectores Size S</t>
  </si>
  <si>
    <t>Camisa Azul P/ Lectores Size XL</t>
  </si>
  <si>
    <t>Camisa Azul P/ Lectores Size XXL</t>
  </si>
  <si>
    <t>Camisa Blca M/C Logo EDEEste Size L</t>
  </si>
  <si>
    <t>Camisa Blca M/C Logo EDEEste Size M</t>
  </si>
  <si>
    <t>Camisa Blca M/C Logo EDEEste Size S</t>
  </si>
  <si>
    <t>Camisa Blca M/C Logo EDEEste Size XL</t>
  </si>
  <si>
    <t>Camisa Blca M/C Logo EDEEste Size XXL</t>
  </si>
  <si>
    <t>Camisa Trabajo 100% Alg Kaki Size L</t>
  </si>
  <si>
    <t>Camisa Trabajo 100% Alg Kaki Size M</t>
  </si>
  <si>
    <t>Camisa Trabajo 100% Alg Kaki Size S</t>
  </si>
  <si>
    <t>Camisa Trabajo 100% Alg Kaki Size XL</t>
  </si>
  <si>
    <t>Camisa Trabajo 100% Alg Kaki Size XXL</t>
  </si>
  <si>
    <t>Capa P/ Agua Amarillo Size L Cam/ Pant</t>
  </si>
  <si>
    <t>Capa P/ Agua Amarillo Size M Cam/ Pant</t>
  </si>
  <si>
    <t>Capa P/ Agua Amarillo Size S Cam/ Pant</t>
  </si>
  <si>
    <t>Capa P/ Agua Amarillo Size XL Cam/ Pant</t>
  </si>
  <si>
    <t>Capa P/ Agua Amarillo Size XXL Cam/ Pant</t>
  </si>
  <si>
    <t>Casco Diel Cl E&amp;G MSA C/ Susp F-Trac II</t>
  </si>
  <si>
    <t>Chaleco Reflec Alta Visib Amar Cl III L</t>
  </si>
  <si>
    <t>Chaleco Reflec Alta Visib Amar Cl III M</t>
  </si>
  <si>
    <t>Chaleco Reflec Alta Visib Amar Cl III S</t>
  </si>
  <si>
    <t>Chaleco Reflec Alta Visib Amar Cl III XL</t>
  </si>
  <si>
    <t>Cinta Seg Indic Peligro 3"x1000' Amar</t>
  </si>
  <si>
    <t>Cinta Seg Indic Peligro 3"x1000' Rojo</t>
  </si>
  <si>
    <t>Cinta Tubular REATA de Nylon 100%</t>
  </si>
  <si>
    <t>Cono de Señalización Vial Grande 28"</t>
  </si>
  <si>
    <t>Cono de Señalización Vial Pequeño 18"</t>
  </si>
  <si>
    <t>Eslinga Cable Acero P/ Postes y Transf</t>
  </si>
  <si>
    <t>Eslinga Detención de Caídas 13mm Diam</t>
  </si>
  <si>
    <t>Eslinga Nylon 1 3/4" Ancho x 5' Largo</t>
  </si>
  <si>
    <t>Eslinga Nylon 2"x6.60Mtr P/ Amarr Transf</t>
  </si>
  <si>
    <t>Eslinga Posicionamiento Recubr Caucho</t>
  </si>
  <si>
    <t>Eslinga Protección Personal</t>
  </si>
  <si>
    <t>Espuela Acero P/ Linieros Klein CN1907AR</t>
  </si>
  <si>
    <t>Estinguidor 20 Lbs Mod. A17T</t>
  </si>
  <si>
    <t>Extinguidor ABC 2.5 Lib</t>
  </si>
  <si>
    <t>Extintor ABC 10 Lib</t>
  </si>
  <si>
    <t>Extintor ABC 125 Lib</t>
  </si>
  <si>
    <t>Extintor ABC 20 Lib</t>
  </si>
  <si>
    <t>Extintor CO2 10 Lib</t>
  </si>
  <si>
    <t>Extintor CO2 15 Lib</t>
  </si>
  <si>
    <t>Extintor CO2 20 Lib</t>
  </si>
  <si>
    <t>Extintor CO2 5 Lib</t>
  </si>
  <si>
    <t>Extintor Halotron 11 Lib</t>
  </si>
  <si>
    <t>Extintor Halotron 5 Lib</t>
  </si>
  <si>
    <t>Faja Contra Esfuerzo de Seguridad</t>
  </si>
  <si>
    <t>Gafa Protec Personal Antiray Amarillo</t>
  </si>
  <si>
    <t>Gorra P/ Lectores-Distribuidores de Fact</t>
  </si>
  <si>
    <t>Guantes Aislado P/ 27kV C/ Protector</t>
  </si>
  <si>
    <t>Guantes Dieléc Cl 0 1000V Kit Size 10H</t>
  </si>
  <si>
    <t>Guantes Dieléc Cl 0 1000V Kit Size 9</t>
  </si>
  <si>
    <t>Guantes Dieléc Goma Cl 0 1000V Size 10</t>
  </si>
  <si>
    <t>Guantes Dieléc Goma Cl 0 1000V Size 10H</t>
  </si>
  <si>
    <t>Guantes Dieléc Goma Cl 0 1000V Size 9</t>
  </si>
  <si>
    <t>Guantes Dieléc Goma Cl 0 1000V Size 9H</t>
  </si>
  <si>
    <t>Guantes Dieléc Goma Cl 2 17000V Size 10</t>
  </si>
  <si>
    <t>Guantes Dieléc Goma Cl 2 17000V Size 10H</t>
  </si>
  <si>
    <t>Guantes Dieléc Goma Cl 2 17000V Size 9</t>
  </si>
  <si>
    <t>Guantes Dieléc Goma Cl 2 17000V Size 9H</t>
  </si>
  <si>
    <t>Guantes Neopreno 18"</t>
  </si>
  <si>
    <t>Guantes Rústico Flor Piel Cabra 12"</t>
  </si>
  <si>
    <t>Guantes SOL-VEX 13" 37-145 Size 9 Nitr</t>
  </si>
  <si>
    <t>Guantes SOL-VEX</t>
  </si>
  <si>
    <t>Guantillas de Algodón</t>
  </si>
  <si>
    <t>Lámpara P/ Cascos Dieléctricos</t>
  </si>
  <si>
    <t>Lentes Seg Anti-Impac C/ Prot Lat Claro</t>
  </si>
  <si>
    <t>Lentes Seg Anti-Impac C/ Prot Lat Gris</t>
  </si>
  <si>
    <t>Línea Restricción Plana Ajust de 3' a 6'</t>
  </si>
  <si>
    <t>Mascarilla P/ Particulado N95</t>
  </si>
  <si>
    <t>Mochila P/ Lectores</t>
  </si>
  <si>
    <t>Mosquetón Acer C/ Seg Resist Min 22.2 KN</t>
  </si>
  <si>
    <t>Pantalón Largo Kaki P/ Liniero Size 42</t>
  </si>
  <si>
    <t>Pantalón Largo Kaki P/ Liniero Size 44</t>
  </si>
  <si>
    <t>Pantalón Trabajo 100% Alg Kaki Size 30</t>
  </si>
  <si>
    <t>Pantalón Trabajo 100% Alg Kaki Size 32</t>
  </si>
  <si>
    <t>Pantalón Trabajo 100% Alg Kaki Size 33</t>
  </si>
  <si>
    <t>Pantalón Trabajo 100% Alg Kaki Size 34</t>
  </si>
  <si>
    <t>Pantalón Trabajo 100% Alg Kaki Size 36</t>
  </si>
  <si>
    <t>Pantalón Trabajo 100% Alg Kaki Size 38</t>
  </si>
  <si>
    <t>Pantalón Trabajo 100% Alg Kaki Size 40</t>
  </si>
  <si>
    <t>Pantalón Trabajo Azul P/ Lect Size 30</t>
  </si>
  <si>
    <t>Pantalón Trabajo Azul P/ Lect Size 32</t>
  </si>
  <si>
    <t>Pantalón Trabajo Azul P/ Lect Size 33</t>
  </si>
  <si>
    <t>Pantalón Trabajo Azul P/ Lect Size 34</t>
  </si>
  <si>
    <t>Pantalón Trabajo Azul P/ Lect Size 36</t>
  </si>
  <si>
    <t>Pantalón Trabajo Azul P/ Lect Size 38</t>
  </si>
  <si>
    <t>Pantalón Trabajo Azul P/ Lect Size 40</t>
  </si>
  <si>
    <t>Pantalón Trabajo Azul P/ Lect Size 42</t>
  </si>
  <si>
    <t>Pantalón Trabajo Azul P/ Lect Size 44</t>
  </si>
  <si>
    <t>Protección Mec P/ Guant Cl 2 Size 10-10H</t>
  </si>
  <si>
    <t>Protección Mec P/ Guantes Cl 0 Size 10</t>
  </si>
  <si>
    <t>Protección Mec P/ Guantes Cl 0 Size 10H</t>
  </si>
  <si>
    <t>Protección Mec P/ Guantes Cl 0 Size 9</t>
  </si>
  <si>
    <t>Protección Mec P/ Guantes Cl 2 Size 10H</t>
  </si>
  <si>
    <t>Protección Mec P/ Guantes Cl 2 Size 9-9H</t>
  </si>
  <si>
    <t>Rollo Cinta Reflect 2"x 150' Red/ Silver</t>
  </si>
  <si>
    <t>Suspensión P/ Cascos MSA Fast Trac II</t>
  </si>
  <si>
    <t>Tenis P/ Lectores Size 10</t>
  </si>
  <si>
    <t>Tenis P/ Lectores Size 10.5</t>
  </si>
  <si>
    <t>Tenis P/ Lectores Size 11</t>
  </si>
  <si>
    <t>Tenis P/ Lectores Size 11.5</t>
  </si>
  <si>
    <t>Tenis P/ Lectores Size 12</t>
  </si>
  <si>
    <t>Tenis P/ Lectores Size 12.5</t>
  </si>
  <si>
    <t>Tenis P/ Lectores Size 7</t>
  </si>
  <si>
    <t>Tenis P/ Lectores Size 7.5</t>
  </si>
  <si>
    <t>Tenis P/ Lectores Size 8</t>
  </si>
  <si>
    <t>Tenis P/ Lectores Size 8.5</t>
  </si>
  <si>
    <t>Tenis P/ Lectores Size 9</t>
  </si>
  <si>
    <t>Tenis P/ Lectores Size 9.5</t>
  </si>
  <si>
    <t>Traje Desechable</t>
  </si>
  <si>
    <t>Visor de Policarbonato UV 4"x4"</t>
  </si>
  <si>
    <t>Arrancador P/ Lámp Alum OCV QT5432</t>
  </si>
  <si>
    <t>Bombilla Metal Halide1500W</t>
  </si>
  <si>
    <t>Bombilla Sodio Alta Pres 150W 55V HPS</t>
  </si>
  <si>
    <t>Bombilla Sodio Alta Pres 250W 100V HPS</t>
  </si>
  <si>
    <t>Bombilla Sodio Alta Pres 400W 100V HPS</t>
  </si>
  <si>
    <t>Brazo P/ Lámpara Tipo Cobra de 12'</t>
  </si>
  <si>
    <t>Brazo P/ Lámpara Tipo Cobra de 6'</t>
  </si>
  <si>
    <t>Contactores Magn P/ Control Conj Lumin</t>
  </si>
  <si>
    <t>Fotocelda 105-305V Multir Norm Cl F-On</t>
  </si>
  <si>
    <t>Fotocelda 105-305V Multir Norm Op F-Off</t>
  </si>
  <si>
    <t>Fotocelda P/ Luminarias 240V 1000W</t>
  </si>
  <si>
    <t>Fotocelda P/ Luminarias 480V 100W</t>
  </si>
  <si>
    <t>Fotocontrol Contac Magn P/Conj Lumin 95A</t>
  </si>
  <si>
    <t>Luminaria Power Spot 1500W Metal MV C/BO</t>
  </si>
  <si>
    <t>Luminaria Reflec 400W Met MV C/B Base P</t>
  </si>
  <si>
    <t>Luminaria T/ Cobra HPS 150W 55V 250V</t>
  </si>
  <si>
    <t>LUMINARIA T/ COBRA HPS 250W 100V 250V</t>
  </si>
  <si>
    <t>Luminaria T/ Cobra HPS 400W</t>
  </si>
  <si>
    <t>Apartarrayo 27kV T/ Est MCOV 22kV Porc</t>
  </si>
  <si>
    <t>Apartarrayo 39kV T/ Est MCOV 22kV Porc</t>
  </si>
  <si>
    <t>Apartarrayo 3kV T/ Est MCOV 2.55kV</t>
  </si>
  <si>
    <t>Apartarrayo 60kV T/ Est MCOV 48kV</t>
  </si>
  <si>
    <t>Apartarrayo 9KV T/ Est MCOV 7.65kV Porc</t>
  </si>
  <si>
    <t>Armario Polyest P/ Medic Pto Compr Energ</t>
  </si>
  <si>
    <t>Armario Protección de Medidores</t>
  </si>
  <si>
    <t>Arnés P/ Manga Dieléctr Cl 2 C/ Botones</t>
  </si>
  <si>
    <t>Aro Seguridad P/ Caja Socket C/ Cil Ext</t>
  </si>
  <si>
    <t>Aro Sellado Atornillado P/ Caja T Socket</t>
  </si>
  <si>
    <t>Base Instal P/ Medidor Monof 4 Term 125A</t>
  </si>
  <si>
    <t>Base Instal P/Med Monof Circ Sal 1 1/4</t>
  </si>
  <si>
    <t>Base P/ Medidor 5 Clips Monof 240V</t>
  </si>
  <si>
    <t>Base P/ Medidor 7 Clips Trif 240V</t>
  </si>
  <si>
    <t>Base P/ Medidor Digital 13 Clip 240V</t>
  </si>
  <si>
    <t>Base P/ Medidor Electrónico 8 ClipsV</t>
  </si>
  <si>
    <t>Base P/ Relay Auxiliar de 8 PIN</t>
  </si>
  <si>
    <t>Base Rect P/ Medidor Trif Cl 200 7 Clips</t>
  </si>
  <si>
    <t>Bloques de Contactos (12NA+12NC)</t>
  </si>
  <si>
    <t>Bobina de Cierre</t>
  </si>
  <si>
    <t>Bobina de Conexion y Desconexion 125 VDC</t>
  </si>
  <si>
    <t>Bobina de Disparo</t>
  </si>
  <si>
    <t>Bornera de corriente</t>
  </si>
  <si>
    <t>Brakers GE.Doble 50 Amp</t>
  </si>
  <si>
    <t>Brazo Mecánico, Tubo, Abrazadera y Grapa</t>
  </si>
  <si>
    <t>Breaker 32 Amp P/ Caja Botton</t>
  </si>
  <si>
    <t>Breaker 40 Amp P/ Caja Botton</t>
  </si>
  <si>
    <t>Breaker 50 Amp P/ Caja Bottom</t>
  </si>
  <si>
    <t>Breaker 63 Amp P/ Caja Bottom</t>
  </si>
  <si>
    <t>Breaker Bifásico 2 Amp</t>
  </si>
  <si>
    <t>Breaker GE Doble 100 Amp</t>
  </si>
  <si>
    <t>Breaker GE Doble 60 Amp</t>
  </si>
  <si>
    <t>Breaker Monopolar 1 Amp</t>
  </si>
  <si>
    <t>Breaker Monopolar 2 Amp</t>
  </si>
  <si>
    <t>Breaker Protección Tripolar 1 Amp</t>
  </si>
  <si>
    <t>Breaker Trifásico 0.5 Amp</t>
  </si>
  <si>
    <t>Breaker Trifasico 3 Amp  P/ Riel MEDEX</t>
  </si>
  <si>
    <t>Breaker Tripolar 3 Amp</t>
  </si>
  <si>
    <t>Breakers de 100/2 Amp</t>
  </si>
  <si>
    <t>Breakers de 150 Amp 2 Polos</t>
  </si>
  <si>
    <t>Breakers de 16/2 Amp</t>
  </si>
  <si>
    <t>Breakers de 175 Amp 2 Polos</t>
  </si>
  <si>
    <t>Breakers de 20/2 Amp</t>
  </si>
  <si>
    <t>Breakers de 200/2 Amp</t>
  </si>
  <si>
    <t>Breakers de 30/2 Amp</t>
  </si>
  <si>
    <t>Breakers de 40/2 Amp</t>
  </si>
  <si>
    <t>Breakers de 50/2 Amp</t>
  </si>
  <si>
    <t>Breakers de 60/2 Amp</t>
  </si>
  <si>
    <t>Caja Control CL-6 P/ Regul Monof 32 Posc</t>
  </si>
  <si>
    <t>Caja de Breaker Un Circuitos Luminex</t>
  </si>
  <si>
    <t>Caja Distribución Grde 3 Born 30 Tomas</t>
  </si>
  <si>
    <t>Caja Distribución Peq 3 Born 15 Tomas</t>
  </si>
  <si>
    <t>Caja Distribución PVC 3 Born 18 Tomas</t>
  </si>
  <si>
    <t>Caja P/ CTS Grde 800/5A 3/32 Cuerp 1/8</t>
  </si>
  <si>
    <t>Caja P/ CTS Med 400/5A 3/32 Cuerp 1/18</t>
  </si>
  <si>
    <t>Caja Policarb P/ Med 1ø T/ Dual SOCKET</t>
  </si>
  <si>
    <t>Caja Policarb P/ Med 2ø T/ Dual</t>
  </si>
  <si>
    <t>CAJA POLICAB P/MED RES ELECTRO BOTTON</t>
  </si>
  <si>
    <t>Caja Rectangular 2x4 P/ Tomacorrientes</t>
  </si>
  <si>
    <t>Capacitor Monof T-P 100kVAR 19.92/34.5kV</t>
  </si>
  <si>
    <t>Capacitor Monof T-P 100KVAR 2.4/4.16kV</t>
  </si>
  <si>
    <t>Capacitor Monof T-P 100kVAR 7.2/12.5kV</t>
  </si>
  <si>
    <t>Cast Aluminum Junction Box With Cover</t>
  </si>
  <si>
    <t>Cobertor de Líneas MT 12.5kV MVLC 4/0</t>
  </si>
  <si>
    <t>Cobertura  P/ Cruceta</t>
  </si>
  <si>
    <t>Cobertura Conductor</t>
  </si>
  <si>
    <t>Cobertura P/ Aislador</t>
  </si>
  <si>
    <t>Collar Amarre P/ 1Haz Acom 25mm C/ Tarug</t>
  </si>
  <si>
    <t>Collar Amarre P/ 2haz Acom 25mm C/ Tarug</t>
  </si>
  <si>
    <t>Concentrador de Poste Telesupervision</t>
  </si>
  <si>
    <t>Condulet Galvanizado de 2"</t>
  </si>
  <si>
    <t>Condulet Galv de 2"</t>
  </si>
  <si>
    <t>Condulet Galv de 1"</t>
  </si>
  <si>
    <t>Condulet Galv de 3"</t>
  </si>
  <si>
    <t>Contactor 50A 3 Polos 240V</t>
  </si>
  <si>
    <t>Control Swich Type SB-1 MOD.</t>
  </si>
  <si>
    <t>Cut-Out 100A 7.8/15kV 95kV BIL Polimeric</t>
  </si>
  <si>
    <t>Cut-Out 100A 7.8/15kV 95kV BIL Porcelana</t>
  </si>
  <si>
    <t>Cut-Out 200A 7.8/15kV 95kV BIL Porcelana</t>
  </si>
  <si>
    <t>Cut-Out 34.5kV 100A 170kV Pocelana</t>
  </si>
  <si>
    <t>Cut-Out Tipo L 200A 34.5 KV</t>
  </si>
  <si>
    <t>Fusible 100A (10/24kV) 442mm</t>
  </si>
  <si>
    <t>Fusible 10A (10/24kV) 442mm</t>
  </si>
  <si>
    <t>Fusible 15A (69kV) Tipo PM</t>
  </si>
  <si>
    <t>Fusible 160A (10/24kV) 442mm</t>
  </si>
  <si>
    <t>Fusible 200A (10/24kV) 442mm</t>
  </si>
  <si>
    <t>Fusible 20A (10/24kV) 442mm</t>
  </si>
  <si>
    <t>Fusible 31.5A (10/24kV) 442mm</t>
  </si>
  <si>
    <t>Fusible 40A (10/24kV) 442mm</t>
  </si>
  <si>
    <t>Fusible 4A</t>
  </si>
  <si>
    <t>Fusible 50A (10/24kV) 442mm</t>
  </si>
  <si>
    <t>Fusible 80A (10/17.5kV) 442mm</t>
  </si>
  <si>
    <t>Fusible de Expulsión Tipo D de 10A</t>
  </si>
  <si>
    <t>Fusible de Expulsión Tipo D de 5A</t>
  </si>
  <si>
    <t>Fusible de Expulsión Tipo D de 7A</t>
  </si>
  <si>
    <t>Fusible Kits P/ 34.5kV 20A Tipo PM</t>
  </si>
  <si>
    <t>Fusible Kits P/ 34.5kV 30A</t>
  </si>
  <si>
    <t>Fusible Kits P/ 34.5kV 50A Tipo PM</t>
  </si>
  <si>
    <t>Fusible Kits P/ 34.5kV 75A Tipo PM</t>
  </si>
  <si>
    <t>Fusible Kits P/ 69kV 10A</t>
  </si>
  <si>
    <t>Fusible Kits P/ 69kV 20A</t>
  </si>
  <si>
    <t>Fusible Kits P/ 69kV 60A</t>
  </si>
  <si>
    <t>Fusible Neozep Capacidad 10A</t>
  </si>
  <si>
    <t>Fusible Neozep Capacidad 63A</t>
  </si>
  <si>
    <t>Fusible Tipo HHC-In 63A</t>
  </si>
  <si>
    <t>Fusible Tipo K Fijado en Cartucho 100A</t>
  </si>
  <si>
    <t>Fusible Tipo K Fijado en Cartucho 10A</t>
  </si>
  <si>
    <t>Fusible Tipo K Fijado en Cartucho 12A</t>
  </si>
  <si>
    <t>Fusible Tipo K Fijado en Cartucho 140A</t>
  </si>
  <si>
    <t>Fusible Tipo K Fijado en Cartucho 15A</t>
  </si>
  <si>
    <t>Fusible Tipo K Fijado en Cartucho 1A</t>
  </si>
  <si>
    <t>Fusible Tipo K Fijado en Cartucho 200A</t>
  </si>
  <si>
    <t>Fusible Tipo K Fijado en Cartucho 20A</t>
  </si>
  <si>
    <t>Fusible Tipo K Fijado en Cartucho 25A</t>
  </si>
  <si>
    <t>Fusible Tipo K Fijado en Cartucho 2A</t>
  </si>
  <si>
    <t>Fusible Tipo K Fijado en Cartucho 30A</t>
  </si>
  <si>
    <t>Fusible Tipo K Fijado en Cartucho 3A</t>
  </si>
  <si>
    <t>Fusible Tipo K Fijado en Cartucho 40A</t>
  </si>
  <si>
    <t>Fusible Tipo K Fijado en Cartucho 50A</t>
  </si>
  <si>
    <t>Fusible Tipo K Fijado en Cartucho 5A</t>
  </si>
  <si>
    <t>Fusible Tipo K Fijado en Cartucho 60A</t>
  </si>
  <si>
    <t>Fusible Tipo K Fijado en Cartucho 65A</t>
  </si>
  <si>
    <t>Fusible Tipo K Fijado en Cartucho 6A</t>
  </si>
  <si>
    <t>Fusible Tipo K Fijado en Cartucho 7A</t>
  </si>
  <si>
    <t>Fusible Tipo K Fijado en Cartucho 80A</t>
  </si>
  <si>
    <t>Fusible Tipo K Fijado en Cartucho 8A</t>
  </si>
  <si>
    <t>Fusible Tipo T 10A</t>
  </si>
  <si>
    <t>Fusible Tipo T 12A</t>
  </si>
  <si>
    <t>Fusible Tipo T 15A</t>
  </si>
  <si>
    <t>Fusible Tipo T 20A</t>
  </si>
  <si>
    <t>Fusible Tipo T 40A</t>
  </si>
  <si>
    <t>Fusible Tipo T 5A</t>
  </si>
  <si>
    <t>Fusible Tipo T 5A 34.5kV</t>
  </si>
  <si>
    <t>Fusible Tipo T 60A</t>
  </si>
  <si>
    <t>Fusible Tipo T 8A</t>
  </si>
  <si>
    <t>Fusible Tipo U 20A</t>
  </si>
  <si>
    <t>Gabinete Medición P/ 2 Med S/ Breaker</t>
  </si>
  <si>
    <t>Gabinete P/ Contador 42 Zocalos</t>
  </si>
  <si>
    <t>Gabinete P/ Doce (12) Medidores</t>
  </si>
  <si>
    <t>Gabinete P/ Ocho (8) Medidores</t>
  </si>
  <si>
    <t>Gabinete P/ Seis (6) Medidores</t>
  </si>
  <si>
    <t>Gabinete Policarb P/ 12 Medidores BOTTON</t>
  </si>
  <si>
    <t>Gabinete Policarb P/ 8 Medidores BOTTON</t>
  </si>
  <si>
    <t>Grapa (Pinza) de Retención 5/8"-1 1/8"</t>
  </si>
  <si>
    <t>Grapa de Deriv 6 a 400MCM-6 a 2/0AWG</t>
  </si>
  <si>
    <t>Grapa de Deriv 6 a 400MCM-6 a 4/0AWG</t>
  </si>
  <si>
    <t>Grapa de Fijación Condutor Long 2" 5/8"</t>
  </si>
  <si>
    <t>Grapa de Retenc Acero Galv Cond 4/0 Al</t>
  </si>
  <si>
    <t>Grapa de Retención P/ Cable de Viento</t>
  </si>
  <si>
    <t>Grapa de Retención Term 2/0-4 Al-ACSR</t>
  </si>
  <si>
    <t>Grapa de Retención Term 2-1/0 Al-ACSR</t>
  </si>
  <si>
    <t>Grapa de Retención Term 4/0-1/0 Al-ACSR</t>
  </si>
  <si>
    <t>Grapa de Suspensión T/ Zapatico 500MCM</t>
  </si>
  <si>
    <t>Grapa de Suspensión Tipo (Zapatico) 2/0</t>
  </si>
  <si>
    <t>Grapa Fijac Cond Tierra 2/0 Perf 1/4"</t>
  </si>
  <si>
    <t>Grapa Fijac Cond Tierra 2/0-8 Perf 3/8"</t>
  </si>
  <si>
    <t>Grapa P/ Tierra Cobre</t>
  </si>
  <si>
    <t>Grapa Suspensión Tipo (Zapatico) 4/0</t>
  </si>
  <si>
    <t>Grapa Terminal para 465-500 MCM</t>
  </si>
  <si>
    <t>Indicador Corr Cortocirc T/ Electrostat</t>
  </si>
  <si>
    <t>Indicadores C/ Módulo Comunicación</t>
  </si>
  <si>
    <t>Jumper Quebrador de Carga</t>
  </si>
  <si>
    <t>Kit Portafus P/Transf de Pot 34.5KV 200A</t>
  </si>
  <si>
    <t>Kit Retenc Doble a Poste P/ LAP BT KR04</t>
  </si>
  <si>
    <t>Limpiador Cable de Tierra</t>
  </si>
  <si>
    <t>Limpiador de Molde Cat No. 91368</t>
  </si>
  <si>
    <t>Manga Dieléctrica Cl 2 Size L</t>
  </si>
  <si>
    <t>Manga Dieléctrica Cl 2 Size R</t>
  </si>
  <si>
    <t>Manta Aisl Caucho Vulcanizado Abierta</t>
  </si>
  <si>
    <t>Manta Aisl Caucho Vulcanizado Cerrada</t>
  </si>
  <si>
    <t>Manta Con Velero Orange 18"x3"</t>
  </si>
  <si>
    <t>Manto Termocontráctil Protec de Bushing</t>
  </si>
  <si>
    <t>Ménsula Ojal de Acomet C/ Torn-Taco Fij</t>
  </si>
  <si>
    <t>Modulo 25 Socalos 300A 1f 3h 120/240</t>
  </si>
  <si>
    <t>Modulo Comunicación (Cuarto M)</t>
  </si>
  <si>
    <t>Módulo Med 12 Zoc 400A 3Trif 120/208V</t>
  </si>
  <si>
    <t>Modulo Med 13 Zoc 300A 1Mon 120/240V</t>
  </si>
  <si>
    <t>Modulo Med 30 Zoc Main Breaker 400/2A</t>
  </si>
  <si>
    <t>Modulo Rectificador P/ Bobinas y Motor</t>
  </si>
  <si>
    <t>Moldura de Plástico 1/2"x8"</t>
  </si>
  <si>
    <t>Moldura de Plástico, 1/2"x96"</t>
  </si>
  <si>
    <t>Apart 120 KV T/Estación MCOV 98KV 5.6KJ</t>
  </si>
  <si>
    <t>Pararrayo Polimérico de 39 KV</t>
  </si>
  <si>
    <t>Pararrayo 3kV Mov T/ Intermed CL2 IEC</t>
  </si>
  <si>
    <t>Pararrayo Baja Tensión de Oxido de Metal</t>
  </si>
  <si>
    <t>Pararrayo de 3 KV Clase I para Redes</t>
  </si>
  <si>
    <t>Pararrayo de Distribución 9-10kV</t>
  </si>
  <si>
    <t>Pararrayo Polim 9-10kA Corte Desc Brazo</t>
  </si>
  <si>
    <t>PARARRAYO POLIMERICO 27- 34.5 KV</t>
  </si>
  <si>
    <t>Pin-To-Pin Cable Assembly 20 Inc</t>
  </si>
  <si>
    <t>Pinza de Retención para LBAT Prensacable</t>
  </si>
  <si>
    <t>Pinza de Suspensión P/ LABT Prensacable</t>
  </si>
  <si>
    <t>Pinza Derivadora</t>
  </si>
  <si>
    <t>Polyphaser Surge Prot IS-50NX-C2 1000Mhz</t>
  </si>
  <si>
    <t>Porta Fus Aéreo en Cap P/ Fus Neozep 63A</t>
  </si>
  <si>
    <t>Portafusible</t>
  </si>
  <si>
    <t>Protec Cable Acero C/ Cono 5´0" 4 1/2"</t>
  </si>
  <si>
    <t>PROCESADOR DE COM. Y SISTEMA SCADA</t>
  </si>
  <si>
    <t>RELE DE PROT. PARA ALIMENTADORES(FEEDER)</t>
  </si>
  <si>
    <t>RELE DE PROT. PARA TRANSFORMADORES POT.</t>
  </si>
  <si>
    <t>Relay Protección Digital 40-70Hz</t>
  </si>
  <si>
    <t>Relay Protección Multilinea 515 28 Salid</t>
  </si>
  <si>
    <t>Relay Protección Trifás SIEMENS 7SJ6221</t>
  </si>
  <si>
    <t>Repuestos Compuesto P/ 3AP1 FG-72.5kV</t>
  </si>
  <si>
    <t>Resistencia P/ CT'S de 12.5VA/5A</t>
  </si>
  <si>
    <t>Resistencia P/ CT'S de 7.5VA/5A</t>
  </si>
  <si>
    <t>Resistencia P/ PT'S de 12.5VA/115V</t>
  </si>
  <si>
    <t>Resistencia P/ PT'S de 12.5VA/120V</t>
  </si>
  <si>
    <t>Resistencia P/ PT'S de 7.5VA/120V</t>
  </si>
  <si>
    <t>Seccionad Monof Bypass 7.2kV 900A</t>
  </si>
  <si>
    <t>Seccionad Trip 138kV</t>
  </si>
  <si>
    <t>Seccionad Vert 600A Reg Volt Bypa</t>
  </si>
  <si>
    <t>Sello de Seguridad de Plomo</t>
  </si>
  <si>
    <t>Sello de Seguridad Enduro Seal Azul</t>
  </si>
  <si>
    <t>Sello de Seguridad Inserto Marip Azul</t>
  </si>
  <si>
    <t>Sello de Seguridad Inserto Marip Rojo</t>
  </si>
  <si>
    <t>Sello de Seguridad Inserto Marip Verde</t>
  </si>
  <si>
    <t>Sello de Seguridad PSW97</t>
  </si>
  <si>
    <t>Sello de Seguridad Roto-Seal Color Azul</t>
  </si>
  <si>
    <t>Sello de Seguridad Roto-Seal Color Gris</t>
  </si>
  <si>
    <t>Sello de Seguridad Spring Lock Seal Azul</t>
  </si>
  <si>
    <t>Sello P/ Puerto Opti Medidor Electronico</t>
  </si>
  <si>
    <t>Sello Pull-Fly Seal Color Naranja</t>
  </si>
  <si>
    <t>Sello Pull-Fly Seal Color Rojo</t>
  </si>
  <si>
    <t>Sello Seguridad Inserto Marip Amarillo</t>
  </si>
  <si>
    <t>Sujetador de Cable (Tight Wrap)</t>
  </si>
  <si>
    <t>Sujetador de Cable (Tight Wrap) 12"</t>
  </si>
  <si>
    <t>Sujetador de Cable (Tight -Wrap) 15"</t>
  </si>
  <si>
    <t>Sujetador de Cable (Tight Wrap) 18"</t>
  </si>
  <si>
    <t>Sujetador de Cable (Tight Wrap) 8"</t>
  </si>
  <si>
    <t>Sujetador de Cable (Tight-Wrap) 6"</t>
  </si>
  <si>
    <t>Sujetador de Cable Haz de Hilo 3/16-4"</t>
  </si>
  <si>
    <t>Supresor de Pico en Línea Data DLP-4.71</t>
  </si>
  <si>
    <t>Supresor de Pico Industr120V 60Hz 15A</t>
  </si>
  <si>
    <t>Tapa Ciega Circular para Base de Medidor</t>
  </si>
  <si>
    <t>Tapa P/ Caja Polic Med Electron A200 2h</t>
  </si>
  <si>
    <t>Tapa P/ Caja Policarb Med 1ø T/ Dual</t>
  </si>
  <si>
    <t>Tapa Troqueladas P/ Baquelitas M-3</t>
  </si>
  <si>
    <t>Tape Catrige 3M 3480 de 575"</t>
  </si>
  <si>
    <t>Tape Eléctrico 3/4" x 30' Goma</t>
  </si>
  <si>
    <t>Tape Eléctrico 3/4" x 66' Vinyl</t>
  </si>
  <si>
    <t>Tape Semiconductivo de 30mm</t>
  </si>
  <si>
    <t>Tarjeta 6A00364502 Act Recl NOVA FM6</t>
  </si>
  <si>
    <t>Tarjeta Control Local I/O Modul NTU-7550</t>
  </si>
  <si>
    <t>Antena cuarto de onda tipo NMO</t>
  </si>
  <si>
    <t>Antena Direcc Yagui 5 Elem 441-447MHz</t>
  </si>
  <si>
    <t>Antena Radio PRO-5150 Rango 146-17MHz</t>
  </si>
  <si>
    <t>Base P/ Antena NMO</t>
  </si>
  <si>
    <t>Base T/ L Antena Marconi 1/4 Long Onda</t>
  </si>
  <si>
    <t>Batería para Radio EP-450</t>
  </si>
  <si>
    <t>Batería para Radio Motorola PRO-5150</t>
  </si>
  <si>
    <t>Bocina</t>
  </si>
  <si>
    <t>Bombillo P/ Luz Piloto 130V 20MA</t>
  </si>
  <si>
    <t>Cable Assembly, Reference # 400272-4I</t>
  </si>
  <si>
    <t>Captor Opti Unicom Probe III Puert USB</t>
  </si>
  <si>
    <t>Cargador P/ Radio Motorola PRO-5150</t>
  </si>
  <si>
    <t>Cristal de Frecuencia Intermedia 44.645</t>
  </si>
  <si>
    <t>Digital Cable Assembly 101269-20I</t>
  </si>
  <si>
    <t>Digital Input Modul 070536 Rev.2 P/ 7550</t>
  </si>
  <si>
    <t>Digital Input Modul 075068 Rev.6 P/ 7560</t>
  </si>
  <si>
    <t>Diodo T/ Led ET-16 125V Luz de Colores</t>
  </si>
  <si>
    <t>IRIG-B Time Cod Reader Ass Amplit Mod IF</t>
  </si>
  <si>
    <t>Kit Cable RG-58 Base Rosca Fina C/ Cond</t>
  </si>
  <si>
    <t>Luz Piloto 22mm Roja 110V (ZBV-6)</t>
  </si>
  <si>
    <t>Luz Piloto 22mm Verde 110V (ZBV-6)</t>
  </si>
  <si>
    <t>Módem GSM/GPRS/EDGE</t>
  </si>
  <si>
    <t>Panel de Alarma 16 Señales Luminosa Prog</t>
  </si>
  <si>
    <t>PLC SR1 A101 FU (ZELIO)</t>
  </si>
  <si>
    <t>PLC SR1 A201 FU (ZELIO)</t>
  </si>
  <si>
    <t>Plug Entr Antena Chasis P/ Radio GM 300</t>
  </si>
  <si>
    <t>Power Cable Assembly Ref #401010-201</t>
  </si>
  <si>
    <t>Power Cable Assembly Ref #401011-301</t>
  </si>
  <si>
    <t>Power Cable Assembly Ref #401012-301</t>
  </si>
  <si>
    <t>Protector Plástico para Cable de Viento</t>
  </si>
  <si>
    <t>Radio Base DGM-6100</t>
  </si>
  <si>
    <t>Radio Base EM400 VHF 146-174MHz MOT</t>
  </si>
  <si>
    <t>Radio Base MOTOROLA PRO-5100</t>
  </si>
  <si>
    <t>Radio Portátil DGP-6150</t>
  </si>
  <si>
    <t>Radio Portátil DGP-6150 con GPS</t>
  </si>
  <si>
    <t>Repetidor MOT GR-1225 146-176MHz</t>
  </si>
  <si>
    <t>Tarjeta Interf PCB P/Radio MDS 4790/970</t>
  </si>
  <si>
    <t>Unidad Comunic Telef MODEM Cel Trib GSM</t>
  </si>
  <si>
    <t>Bimetalic Transition Plate Catálogo TP-C</t>
  </si>
  <si>
    <t>Juego Puesta Tierra P/ Distribucion</t>
  </si>
  <si>
    <t>Kit de Limpieza para Equipos Aislados</t>
  </si>
  <si>
    <t>Lector de Memoria</t>
  </si>
  <si>
    <t>Manguera P/ Compresor de Aire 50'</t>
  </si>
  <si>
    <t>Motor 125V DC para 15kV</t>
  </si>
  <si>
    <t>Motosierra de 20 Cuchilla 5.5Hp</t>
  </si>
  <si>
    <t>Pistola P/ Soldar Varilla Tierra Mechero</t>
  </si>
  <si>
    <t>Podadora de Arboles</t>
  </si>
  <si>
    <t>Prensa Hidr P/ Compr Conector Burd Y-35</t>
  </si>
  <si>
    <t>Prensa P/ Sellos Roto-Seal Con Dados</t>
  </si>
  <si>
    <t>Spot Light 1000 Candle PWR Bean 12V</t>
  </si>
  <si>
    <t>Taladro Roto Martillo 5/8" Mod TE-6S</t>
  </si>
  <si>
    <t>Transductor Corr 3F 125VDC M100-AA3PG</t>
  </si>
  <si>
    <t>Abrazadera Acer Galv Doble 5 1/2-6"</t>
  </si>
  <si>
    <t>Abrazadera Acer Galv Doble 6-7"</t>
  </si>
  <si>
    <t>Abrazadera Acer Galv Doble 7-8"</t>
  </si>
  <si>
    <t>Abrazadera Acer Galv Doble 9-10"</t>
  </si>
  <si>
    <t>Abrazadera Acer Galv Simple 5 1/2-6"</t>
  </si>
  <si>
    <t>Abrazadera Acer Galv Simple 7-8"</t>
  </si>
  <si>
    <t>Abrazadera Acer Galv Simple 8-9"</t>
  </si>
  <si>
    <t>Abrazadera Contra Presión P/ Tubo 2"</t>
  </si>
  <si>
    <t>Abrazadera Galv 1"</t>
  </si>
  <si>
    <t>Abrazadera Galv 1/2" EMT</t>
  </si>
  <si>
    <t>Abrazadera Galv 2"</t>
  </si>
  <si>
    <t>Abrazadera Galv 3"</t>
  </si>
  <si>
    <t>Abrazadera Galv OMEGA P/ Tubo 2 1/2"</t>
  </si>
  <si>
    <t>Abrazadera P/ Cable Tipo Platillo</t>
  </si>
  <si>
    <t>Abrazadera P/ Perno T/ Clv 5/8" 16mm</t>
  </si>
  <si>
    <t>Abrazadera P/ Tubo</t>
  </si>
  <si>
    <t>Abrazadera UNITRI 1"</t>
  </si>
  <si>
    <t>Barrena de Metal 3/32"</t>
  </si>
  <si>
    <t>Cinta Plast P/ Hebillas TB Heavy Duty</t>
  </si>
  <si>
    <t>Curva Galv 1''</t>
  </si>
  <si>
    <t>Eslabón en Ocho</t>
  </si>
  <si>
    <t>Espiga Acero 3/4"x12.5" P/ Cruc Madera</t>
  </si>
  <si>
    <t>Espiga Acero 3/4"x15" Cab 1-3/8" 34.5kV</t>
  </si>
  <si>
    <t>Espiga Acero 3/4"x7 3/4"</t>
  </si>
  <si>
    <t>Espiga Acero 5/8"x 6.5"</t>
  </si>
  <si>
    <t>Espiga Acero Galv P/Cruc Mad 8 7/8"x3/4"</t>
  </si>
  <si>
    <t>Espiga Manguito C/ Adapt P/ Torn 5/8"</t>
  </si>
  <si>
    <t>Espiga Manguito C/ Torn 5/8" S/ Adapt</t>
  </si>
  <si>
    <t>Espiga P/ Aisl Cab Poste 15"x1"</t>
  </si>
  <si>
    <t>Espiga P/ Aisl Cab Poste 18"x1"</t>
  </si>
  <si>
    <t>Espiga P/ Aisl Cab Poste 20"x1"</t>
  </si>
  <si>
    <t>Espiga P/ Aisl Cab Poste 24"1-3/8"34.5kV</t>
  </si>
  <si>
    <t>Espiga P/ Aisl Cab Poste 24"x1"</t>
  </si>
  <si>
    <t>Estructura Metálica Montaje Regulador</t>
  </si>
  <si>
    <t>Fleje Acero Galv Diagonal 120"</t>
  </si>
  <si>
    <t>Fleje Acero Galv Diagonal 84"</t>
  </si>
  <si>
    <t>Fleje Acero Inox 0.7 x 20mm</t>
  </si>
  <si>
    <t>Fleje Diag AcerGalv1 3/4x1 3/4x3/16"x60"</t>
  </si>
  <si>
    <t>Fleje Galv 1-7/32"x7/32"x28"</t>
  </si>
  <si>
    <t>Fleje Plancha Acero 1 1/4x1/4"x28"</t>
  </si>
  <si>
    <t>Fleje Vert Acer Galv Perfíl L-75" (1.9m)</t>
  </si>
  <si>
    <t>Fleje Vertical 54" 51 Entre Orif</t>
  </si>
  <si>
    <t>Fleje Vertical Acer Galv 39" 1½x1½x3/16"</t>
  </si>
  <si>
    <t>Fleje Vertical Acer Galv Perfil L-120"</t>
  </si>
  <si>
    <t>Kit Retención P/ Fijación C/ Zuncho KR03</t>
  </si>
  <si>
    <t>Kit Suspensión LABT Prensacable KS1</t>
  </si>
  <si>
    <t>Llavín P/ Panel Blind Torp (Strap Lock)</t>
  </si>
  <si>
    <t>Ojal Cerrada C/ Agujero Roscado 5/8"</t>
  </si>
  <si>
    <t>Planchuela Acer Galv 4x1/2"x24" Barr7/8"</t>
  </si>
  <si>
    <t>Planchuela Cuadrada 4 Aguj Bimet</t>
  </si>
  <si>
    <t>Porta Aisl T/ Carrete</t>
  </si>
  <si>
    <t>Porta Aisl U:1 1/2x1/2"x1/8" Orif 11/16"</t>
  </si>
  <si>
    <t>Porta Aisl U:2 1/2x2 1/4"x3/16'' Codillo</t>
  </si>
  <si>
    <t>Porta Aisl U:3/16x3/4" Orif 11/16" Abier</t>
  </si>
  <si>
    <t>Soporte Aisl P/ Cab y Tub T/ ASR-200-3</t>
  </si>
  <si>
    <t>Soporte Aisl P/ Cables T/ ACS-14</t>
  </si>
  <si>
    <t>Soporte Banco Capacitor Ac. Galv. 75-95</t>
  </si>
  <si>
    <t>Soporte de Cable Monof P/ Cable URD</t>
  </si>
  <si>
    <t>Soporte de Cable Trif P/ Cable URD</t>
  </si>
  <si>
    <t>Soporte de Doble Unidad con 2 Pernos ½"</t>
  </si>
  <si>
    <t>Soporte de Sujección de Esquinas</t>
  </si>
  <si>
    <t>Soporte de Transf P/ Banco 15-45kVA 12"</t>
  </si>
  <si>
    <t>Soporte de Transf P/ Banco 5-75 kVA 24"</t>
  </si>
  <si>
    <t>Soporte en  L P/ Pararrayo</t>
  </si>
  <si>
    <t>Soporte en T Aluminio P/ Eléctrica</t>
  </si>
  <si>
    <t>Soporte P/ Breaker QC</t>
  </si>
  <si>
    <t>Soporte P/ Tubo de Anclaje (2 1/2" Ø)</t>
  </si>
  <si>
    <t>Soporte P/ Tubo de Anclaje (2'' Ø)</t>
  </si>
  <si>
    <t>Soporte Poste Simple Perno 1/2"x1 1/2"</t>
  </si>
  <si>
    <t>Tilla Retenc Ojal Cerrado 5/8" DTR</t>
  </si>
  <si>
    <t>Tilla Suspens Ojal Espiralado 5/8" DTS</t>
  </si>
  <si>
    <t>Tuberia Galvanizada de 4"</t>
  </si>
  <si>
    <t>Tuberia Liquid Tight de 1/2"</t>
  </si>
  <si>
    <t>Tuberia Liquid Tight de 3"</t>
  </si>
  <si>
    <t>Tubo Anclaje 2"x10' Sched 80</t>
  </si>
  <si>
    <t>Tubo Cuadr Acer Galv 1"x1"x1/16" 20'</t>
  </si>
  <si>
    <t>Tubo EMT 1 1/2"x10'</t>
  </si>
  <si>
    <t>Tubo EMT 4"</t>
  </si>
  <si>
    <t>Tubo Galv 1"x10'</t>
  </si>
  <si>
    <t>Tubo Galv 1"x20'</t>
  </si>
  <si>
    <t>Tubo Galv 2"x20'</t>
  </si>
  <si>
    <t>Tubo Galv 3"x20'</t>
  </si>
  <si>
    <t>Tubo Hierro Galv 2 1/2"x20'</t>
  </si>
  <si>
    <t>Tubo Liquid Tight 1"</t>
  </si>
  <si>
    <t>Tubo Liquid Tight 2"</t>
  </si>
  <si>
    <t>Varilla de Anclaje Doble Ojo 3/4"x8'</t>
  </si>
  <si>
    <t>Varilla de Anclaje Un Ojo 5/8"x8'</t>
  </si>
  <si>
    <t>Varilla de Aterrizaje 5/8"x6'</t>
  </si>
  <si>
    <t>Varilla de Aterrizaje Cobre 5/8"x8'</t>
  </si>
  <si>
    <t>Varilla de Puesta Tierra 3/4"x8'</t>
  </si>
  <si>
    <t>Varilla Puesta Tierra de Cobre 1/2"x6'</t>
  </si>
  <si>
    <t>Varilla Puesta Tierra de Cobre 5/8"x8'</t>
  </si>
  <si>
    <t>Varilla Puesta Tierra Galv 1/2"x 6'</t>
  </si>
  <si>
    <t>Alicate 9 1/4" 235mm Univ Aisl 1000V</t>
  </si>
  <si>
    <t>Alicate Boca Plana Aisl 1000V MO-66302</t>
  </si>
  <si>
    <t>Alicate Boca Plana Aislada (1000V)</t>
  </si>
  <si>
    <t>Alicate Corte Diag Aisl 1000V MO-67103</t>
  </si>
  <si>
    <t>Alicate de 9" Aislado a 1000 Voltios</t>
  </si>
  <si>
    <t>Alicate de Presión</t>
  </si>
  <si>
    <t>Alicate Mecánico 10"</t>
  </si>
  <si>
    <t>Barrena 1/2" Cobalto Estándar P/ Metal</t>
  </si>
  <si>
    <t>Barrena 1/4" Cobalto Estándar P/ Metal</t>
  </si>
  <si>
    <t>Barrena 3/8" Cobalto Estándar P/ Metal</t>
  </si>
  <si>
    <t>Barrena Salomónica 3/4"x14" P/ Poste Mad</t>
  </si>
  <si>
    <t>Binocular P/ Lectura de Medidores</t>
  </si>
  <si>
    <t>Bolsa P/ Herramientas</t>
  </si>
  <si>
    <t>Bulto Porta Herramientas P/ Linieros</t>
  </si>
  <si>
    <t>Cadena 1/2" de Diámetro</t>
  </si>
  <si>
    <t>Caja Porta Herramienta Vacía</t>
  </si>
  <si>
    <t>Candado 40mm 110 YALE</t>
  </si>
  <si>
    <t>Candado 50mm 110.50 YALE</t>
  </si>
  <si>
    <t>Candado CISA 70mm Anti-Cizallas</t>
  </si>
  <si>
    <t>Cepillo Acer C/ Mango Mad Std 4"x15"</t>
  </si>
  <si>
    <t>Chipero (Ignitores)</t>
  </si>
  <si>
    <t>Cincel de Punta Estandar 5/8"x8"</t>
  </si>
  <si>
    <t>Cincel Plano Estándar 5/8"x12"</t>
  </si>
  <si>
    <t>Cinta Métrica Estándar 8 Metros/26'</t>
  </si>
  <si>
    <t>CIZALLA CORTE 18" C/ MANGO AISL 1000V</t>
  </si>
  <si>
    <t>Cizalla Corte Cable ACSR 36" Aisl 1000V</t>
  </si>
  <si>
    <t>Cizalla de Corte 36"</t>
  </si>
  <si>
    <t>Cubeta de Lona 12"x48"</t>
  </si>
  <si>
    <t>Cubeta Lona Porta Herramientas 12"x16"</t>
  </si>
  <si>
    <t>Cuchilla Pela Cable Aisl 1000V 180-220mm</t>
  </si>
  <si>
    <t>Cuchilla Pela Cable</t>
  </si>
  <si>
    <t>Dado para MD-6 #4/0</t>
  </si>
  <si>
    <t>Dados de Reemplazo P/ Prensa Roto-Seal</t>
  </si>
  <si>
    <t>Destornillador Plano 1/4</t>
  </si>
  <si>
    <t>Destornillador Estría 8" Aisl 1000V</t>
  </si>
  <si>
    <t>Destornillador No.3 152mm Aisl 1000V Phi</t>
  </si>
  <si>
    <t>Empalmador Hidraulico Y-35</t>
  </si>
  <si>
    <t>Escalera T/ Extensión Fibra Vidrio 16'</t>
  </si>
  <si>
    <t>Escalera T/ Extensión Fibra Vidrio 32'</t>
  </si>
  <si>
    <t>Escalera T/ Extensión Fibra Vidrio 40'</t>
  </si>
  <si>
    <t>Escalera T/ Tijera Fibra Vidrio 6'</t>
  </si>
  <si>
    <t>Extensión Industrial Electrica 100'</t>
  </si>
  <si>
    <t>Foco a Prueba de Agua</t>
  </si>
  <si>
    <t>Funda P/ Guante de Alta Tensión</t>
  </si>
  <si>
    <t>Gato Hidráulico 10 Ton</t>
  </si>
  <si>
    <t>Grillete Acero Galv 1/2"</t>
  </si>
  <si>
    <t>Hacha</t>
  </si>
  <si>
    <t>Herramienta P/Conect T/Cuña Cab Grde-Peq</t>
  </si>
  <si>
    <t>Herramientas AMPACT con Cabezal Pequeño</t>
  </si>
  <si>
    <t>Hojas de Seguetas</t>
  </si>
  <si>
    <t>Juego de Llaves ALLEN</t>
  </si>
  <si>
    <t>Juego de Llaves ALLEN Aislada 1000V</t>
  </si>
  <si>
    <t>Juego de Llaves ALLEN de 2 a 10 mm</t>
  </si>
  <si>
    <t>Juego de Llaves Allen de 3/16"-3/8"</t>
  </si>
  <si>
    <t>Juego de Llaves Combinadas 6mm a 19mm</t>
  </si>
  <si>
    <t>LLave Mecanica</t>
  </si>
  <si>
    <t>Juego de Nock Out Mecánico</t>
  </si>
  <si>
    <t>Juego Destornillador Aisl 1000V Estria</t>
  </si>
  <si>
    <t>Lima Plana 12"</t>
  </si>
  <si>
    <t>Lima Triangular</t>
  </si>
  <si>
    <t>Llave Aislador P/ Contador 13 mm</t>
  </si>
  <si>
    <t>LLave Ajustable #10</t>
  </si>
  <si>
    <t>LLave Ajustable #8 AC-18</t>
  </si>
  <si>
    <t>Llave Ajustable 10" Aisl 1000V</t>
  </si>
  <si>
    <t>Llave Ajustable 12"</t>
  </si>
  <si>
    <t>Llave Ajustable 15"</t>
  </si>
  <si>
    <t>Llave Ajustable Aislada a 1000V</t>
  </si>
  <si>
    <t>Llave Anti-Rot P/ Pernos Comb EDE-01</t>
  </si>
  <si>
    <t>Llave Anti-Rot P/ Pernos Comb EDE-02</t>
  </si>
  <si>
    <t>Llave Anti-Rot P/ Pernos Comb EDE-03</t>
  </si>
  <si>
    <t>Llave Boca F 1/2"-9/16" Españ Aisl 1000V</t>
  </si>
  <si>
    <t>Llave Boca F 3/8"-7/16" Españ Aisl 1000V</t>
  </si>
  <si>
    <t>Llave Boca F 5/8"-11/16"Españ Aisl 1000V</t>
  </si>
  <si>
    <t>Llave Coloc y Extrac Tornillo Magnético</t>
  </si>
  <si>
    <t>Llave P/ Liniero 330mm Españ Aisl 1000V</t>
  </si>
  <si>
    <t>Llave P/ Liniero Std 13" P/ Herraje 5/8"</t>
  </si>
  <si>
    <t>Llave para Pernos Series E-1</t>
  </si>
  <si>
    <t>Llave para Pernos Series E-2</t>
  </si>
  <si>
    <t>Llave para Pernos Series E-3</t>
  </si>
  <si>
    <t>Llave para Pernos Series E-4</t>
  </si>
  <si>
    <t>Llave para Tornillo Mac Gard</t>
  </si>
  <si>
    <t>Llave Steelson 24"</t>
  </si>
  <si>
    <t>Llave Térmica P/ Base Medidor Botton</t>
  </si>
  <si>
    <t>Llaves Combinadas de 3/4"</t>
  </si>
  <si>
    <t>Machete</t>
  </si>
  <si>
    <t>Malacate de Cadena 1.5 Ton</t>
  </si>
  <si>
    <t>Máquina Flejadora P/ Fleje Acero 1"</t>
  </si>
  <si>
    <t>Marco de Segueta Fija 43301/012</t>
  </si>
  <si>
    <t>Martillo de Bola</t>
  </si>
  <si>
    <t>Martillos Tipo Carpintero</t>
  </si>
  <si>
    <t>Moldaza P/ Cable 2/0 a 4/0 4500 Lib</t>
  </si>
  <si>
    <t>Moldaza P/ Cable 4/0 a 477  8000 Lib</t>
  </si>
  <si>
    <t>Molde Cadweld GTC162G</t>
  </si>
  <si>
    <t>Molde Cadweld TAC2G2G</t>
  </si>
  <si>
    <t>Nivel Aluminio 24"</t>
  </si>
  <si>
    <t>Nivel Aluminio Estándar 36"</t>
  </si>
  <si>
    <t>Ala Corazón de Cabo Largo</t>
  </si>
  <si>
    <t>Pala Cuadrada de Cabo Largo</t>
  </si>
  <si>
    <t>Palanca P/ Poste (Sujetador de Poste)</t>
  </si>
  <si>
    <t>Pata de Cabra</t>
  </si>
  <si>
    <t>Peladora Cable de Control</t>
  </si>
  <si>
    <t>Pico Standard de 5 Lib</t>
  </si>
  <si>
    <t>Pinza Apertura Múltiple Aisl 1000V</t>
  </si>
  <si>
    <t>Pinza Corte Diagonal</t>
  </si>
  <si>
    <t>Pinza Corta Cable Mango Aisl 1000V</t>
  </si>
  <si>
    <t>Pinza Peladora</t>
  </si>
  <si>
    <t>Pinza de P/Tierra</t>
  </si>
  <si>
    <t>Pinza P/ Sujetar Molde Clamp Holder</t>
  </si>
  <si>
    <t>Pinza para Pelar Cable</t>
  </si>
  <si>
    <t>Pinza Pico de Loro 10" Aisl 1000V</t>
  </si>
  <si>
    <t>Rana 3/0</t>
  </si>
  <si>
    <t>Rana 4/0</t>
  </si>
  <si>
    <t>Rana 477</t>
  </si>
  <si>
    <t>Repuesto P/ Polea RCP/RP Plástica</t>
  </si>
  <si>
    <t>Sección No.2 P/ Vara Telescópica 35'</t>
  </si>
  <si>
    <t>Sección No.3 P/ Vara Telescópica 35'</t>
  </si>
  <si>
    <t>Sellador Tolpedo P/ Sello Pb</t>
  </si>
  <si>
    <t>Silicon C/ Pistola</t>
  </si>
  <si>
    <t>Tijera de Corte</t>
  </si>
  <si>
    <t>Vara Telescópica 35'</t>
  </si>
  <si>
    <t>Amperimetro 3000 A.1 (Medicion)</t>
  </si>
  <si>
    <t>Amperímetro 1000A ACD-6 TRM</t>
  </si>
  <si>
    <t>Detector Voltaje Unipolar P/ AT 69-138kV</t>
  </si>
  <si>
    <t>Detector Voltaje Unipolar P/ MT 10-35kV</t>
  </si>
  <si>
    <t>Detector Voltaje Unipolar P/ MT 2-6kV</t>
  </si>
  <si>
    <t>Detector Voltaje Unipolar P/ MT 35-69kV</t>
  </si>
  <si>
    <t>Localizador Fallas Cables Subterr C/ Bat</t>
  </si>
  <si>
    <t>Medidor Esc Rotativ Amprobe Analg C/ Est</t>
  </si>
  <si>
    <t>Multi-Tester Digital Fluke Serie 83 III</t>
  </si>
  <si>
    <t>Odometro</t>
  </si>
  <si>
    <t>Odómetro Móvil P/ Medición Dist Lineales</t>
  </si>
  <si>
    <t>Pinza Electrica</t>
  </si>
  <si>
    <t>Rectificador Bat SCR 120-240AC/125DC 30A</t>
  </si>
  <si>
    <t>Sensor de Corriente Mod SR634</t>
  </si>
  <si>
    <t>Test Switch</t>
  </si>
  <si>
    <t>Adapt Al-Cu Cond 477Al-ACSR Filam 4/0 Cu</t>
  </si>
  <si>
    <t>Adapt Al-Cu P/Cond 4/0Al-ACSR 1/0 Cu</t>
  </si>
  <si>
    <t>Adaptador Cu P/ Soldadura Cu-Al</t>
  </si>
  <si>
    <t>Adaptador Liquid Tight 1" Macho</t>
  </si>
  <si>
    <t>Adaptador Liquid Tight 1/2" Macho</t>
  </si>
  <si>
    <t>Adaptador Liquid Tight 2" Curvo</t>
  </si>
  <si>
    <t>Aluminium Stud to Flat ADSF-11-1-D-41124</t>
  </si>
  <si>
    <t>Aluminum Compr Term VAUL500-12BN Bim</t>
  </si>
  <si>
    <t>Aluminum Horiz Bus SuportCabl Aisl ASR-3</t>
  </si>
  <si>
    <t>Aluminum Straight Tee Tubing-Flat</t>
  </si>
  <si>
    <t>Aluminum Strait Tee  Main-Tap</t>
  </si>
  <si>
    <t>Baquelita P/ Base de Medidor 7 Clips</t>
  </si>
  <si>
    <t>Barra Coneccion P/ Neutro 7 Sal #2</t>
  </si>
  <si>
    <t>Barra Coneccion P/ Neutro 9 Sal #2</t>
  </si>
  <si>
    <t>Cartucho Amarillo P/ Ampact 465.4 MCM</t>
  </si>
  <si>
    <t>Cartucho Azul P/ Ampact Menor 465.4 MCM</t>
  </si>
  <si>
    <t>Cartucho Rojo P/ Ampact Menor 2/0 MCM</t>
  </si>
  <si>
    <t>Condulet Galv de 4"</t>
  </si>
  <si>
    <t>Conect Aterrizaje Ground Clamp</t>
  </si>
  <si>
    <t>Conect Borna Cable T/ 7431-2020 Bimet</t>
  </si>
  <si>
    <t>Conect Comp 4/0-2/0 477 ACSR YHN550</t>
  </si>
  <si>
    <t>Conect Comp 4/0-3/0 a 4/0-3/0 AWG #7 H</t>
  </si>
  <si>
    <t>Conect Comp Cu 10-8 STR YC8C8</t>
  </si>
  <si>
    <t>Conect Comp P/ Cond 1-6 1-6 AWG 4, 6 Cu</t>
  </si>
  <si>
    <t>Conect Comp P/ Cond 2/0-1/0 AWG Al-Cu</t>
  </si>
  <si>
    <t>Conect Comp P/ Cond 2/0-2 6-14 AWG</t>
  </si>
  <si>
    <t>Conect Comp P/ Cond 2-6 a 2-6 AWG 46 Cu</t>
  </si>
  <si>
    <t>Conect Comp P/ Cond 3/0-1/0 AWG Al-Cu</t>
  </si>
  <si>
    <t>Conect Comp P/ Cond 4/0-3/0a1-6AWG Al-Cu</t>
  </si>
  <si>
    <t>Conect Comp P/ Cond 477 ACSR-250 STR 2</t>
  </si>
  <si>
    <t>Conect Comp P/Cond 4/0-1/0 a 8/10-12/14</t>
  </si>
  <si>
    <t>Conect Cu P/ Varilla Tierra 5/8"-1/2"</t>
  </si>
  <si>
    <t>Conect Cu P/ Varilla Tierra 5/8"-3/4"</t>
  </si>
  <si>
    <t>Conect Cuña C/ Estr 4/0-2/0 Estr 2/0</t>
  </si>
  <si>
    <t>Conect Cuña C/Estr 477 o Cair Estr 2/0</t>
  </si>
  <si>
    <t>Conect Cuña P/ Cond 4/0 Deriv 4/0-3/0</t>
  </si>
  <si>
    <t>Conect Cuña P/ Cond 4/0-1/0 Der2/0-1/0</t>
  </si>
  <si>
    <t>Conect Cuña P/ Cond 4/0-1/0 Der2/0-2/0</t>
  </si>
  <si>
    <t>Conect Cuña P/ Cond 477 Cair 3/0-2/0</t>
  </si>
  <si>
    <t>Conect Cuña P/ Cond 477 Cair Der 1/0</t>
  </si>
  <si>
    <t>Conect Cuña P/ Cond 477 Cair Der 477</t>
  </si>
  <si>
    <t>Conect Cuña P/ Cond 477 Cairo 4/0-3/0</t>
  </si>
  <si>
    <t>Conect Cuña P/ Cond 477 MCM #2 AWG</t>
  </si>
  <si>
    <t>Conect Cuña P/ Puesta Tierra 5/8"-3/4"</t>
  </si>
  <si>
    <t>Conect Dent 25/150-25/150 mm² 4-1/0 AWG</t>
  </si>
  <si>
    <t>Conect Dent 25/150-25/150mm² 3-300 AWG</t>
  </si>
  <si>
    <t>Conect Dent Doble P/Cond 50/150-50/150mm</t>
  </si>
  <si>
    <t>Conect Elbow T/ Codo P/Cable 4/0 15kV</t>
  </si>
  <si>
    <t>Conect Mec Paral C/Estr Bim P/ 2/0 #2</t>
  </si>
  <si>
    <t>Conect Mec Paral C/Estr Bim P/ 4/0-2/0</t>
  </si>
  <si>
    <t>Conect Perno Part Bronce Split Bolt 4/0</t>
  </si>
  <si>
    <t>Conect Perno Part P/ Cabl No.2 al 2/0 Cu</t>
  </si>
  <si>
    <t>Conect Perno Part P/ Cable No.2 al 2/0</t>
  </si>
  <si>
    <t>Conect Perno Part P/ Cable No.8 al 2</t>
  </si>
  <si>
    <t>Conect Prueb Agua Cabl SEU 2 No.8</t>
  </si>
  <si>
    <t>Conect Prueb Agua Cabl SEU 3 No.6</t>
  </si>
  <si>
    <t>Conect Simp Dent P/ Cabl Desn 1/0-300AWG</t>
  </si>
  <si>
    <t>Conect Simp Dent P/Cabl Aisl16-954-35mm²</t>
  </si>
  <si>
    <t>Conect Sop P/Cab Aisl Dobl Torn 3-3 1/2"</t>
  </si>
  <si>
    <t>Conector Acodado P/ Cable URD #2</t>
  </si>
  <si>
    <t>Conector Acodado P/ Cable URD #2/0</t>
  </si>
  <si>
    <t>Conector Apernado AL-465-465</t>
  </si>
  <si>
    <t>Conector Comp 4/0-3/0 a 2/0-1 AWG #6</t>
  </si>
  <si>
    <t>Conector Comp Cu 6-4 StrYc4c8</t>
  </si>
  <si>
    <t>Conector Comp Ojo P/ Pararray Bim 2/0 #2</t>
  </si>
  <si>
    <t>Conector Curvo Liquid Tight 1"</t>
  </si>
  <si>
    <t>Conector Curvo Liquid Tight 2"</t>
  </si>
  <si>
    <t>Conector de Aluminio ADST-1420-90-12</t>
  </si>
  <si>
    <t>Conector Galv P/Varilla Tierra 1/2"-5/8"</t>
  </si>
  <si>
    <t>Conector Galv P/Varilla Tierra 5/8"-3/4"</t>
  </si>
  <si>
    <t>Conector Mec 1/0-14 MCM Cu-Al T/ Sillita</t>
  </si>
  <si>
    <t>Conector Mec 250 MCM Cu-Al T/ Sillita</t>
  </si>
  <si>
    <t>Conector Mec 4-14 MCM Cu-Al T/ Sillita</t>
  </si>
  <si>
    <t>Conector Mec 500 MCM Cu-Al T/ Sillita</t>
  </si>
  <si>
    <t>Conector Neutro 2 Vias Perno</t>
  </si>
  <si>
    <t>Conector P/ Liquid Tight 1/2"</t>
  </si>
  <si>
    <t>Conector P/ Tubería Liquid Tight 2"</t>
  </si>
  <si>
    <t>Conector Paralel Bronze Split Bolt C-500</t>
  </si>
  <si>
    <t>Conector Paralel Bronze-Al Cat. ASB-500</t>
  </si>
  <si>
    <t>Conector Paralelo 336.4 954 MCM</t>
  </si>
  <si>
    <t>Conector paralelo 477 MCM AL</t>
  </si>
  <si>
    <t>Conector Perno partido 250-500 MCM</t>
  </si>
  <si>
    <t>Conector Plata "N" Macho P/ Cable RG-213</t>
  </si>
  <si>
    <t>Conector T/ Perno Partido 500 MCM</t>
  </si>
  <si>
    <t>Conector T/ Planch 4 Agu 350 a 600 MCM</t>
  </si>
  <si>
    <t>Conector T/ Planchuela 4 Sal Secund Al</t>
  </si>
  <si>
    <t>Conector T/ T 556.5-795/600-900 MCM</t>
  </si>
  <si>
    <t>Conector T/ T L 250-400 MCM</t>
  </si>
  <si>
    <t>Copling P/ Tubos EMT 1 1/2''</t>
  </si>
  <si>
    <t>Derivador Plást P/ Cond Concéntrico</t>
  </si>
  <si>
    <t>Empalme P/ Cables Aislado 15kV 1000 Al</t>
  </si>
  <si>
    <t>Estribos #2  P/ Conector Tipo Cuña</t>
  </si>
  <si>
    <t>Grapa P/ Fijacion Cond Tierra 2/0-8 1/4"</t>
  </si>
  <si>
    <t>Hebilla Acero Inox 1.80mm / Fleje 20mm</t>
  </si>
  <si>
    <t>Kit de Empalme para Cable URD # 4/0</t>
  </si>
  <si>
    <t>Kit Empalme Cabl URD 1000MCM Aisl 35kV</t>
  </si>
  <si>
    <t>Manga Aut Plena Tensión P/ Cond 1/0-1/0</t>
  </si>
  <si>
    <t>MANGA AUT PLENA TENSIÓN P/COND 397- 477</t>
  </si>
  <si>
    <t>Manga Aut Plena Tensión P/ Cond 4/0-4/0</t>
  </si>
  <si>
    <t>Manga Burdy Y C S 4 R 4 ACSR 3/8</t>
  </si>
  <si>
    <t>Manga Aut Pl Tens AAAC 4/0 Cu-Al</t>
  </si>
  <si>
    <t>Manga Compr Aut Pl Tens P/AAAC 1/0-2/0Al</t>
  </si>
  <si>
    <t>Manga Compr Aut Pl Tens P/AAAC 1/0-2/0Cu</t>
  </si>
  <si>
    <t>Manga Compr Full Tens P/ Cond 1/0 AAC</t>
  </si>
  <si>
    <t>Manga Compr Full Tens P/ Cond 2/0 AAAC</t>
  </si>
  <si>
    <t>Manga Compr Full Tens P/ Cond 2/0 AAC</t>
  </si>
  <si>
    <t>Manga Compr Full Tens P/ Cond 4/0 AAAC</t>
  </si>
  <si>
    <t>Manga Compr Full Tens P/ Cond 4/0 AAC</t>
  </si>
  <si>
    <t>Manga Compr Full Tens P/ Cond 4/0-397,5</t>
  </si>
  <si>
    <t>Manga Compr Full Tens P/Cond 2/0 ACSR Al</t>
  </si>
  <si>
    <t>Manga Empal Cable Al-Cu 1000 MCM 132mm</t>
  </si>
  <si>
    <t>Manga Empalme Cable Scotch 4/0 Al-Cu</t>
  </si>
  <si>
    <t>Manga Full Tension 500 MCM Al</t>
  </si>
  <si>
    <t>Manga Full Tension 556-5 Al (Larga)</t>
  </si>
  <si>
    <t>Manguito Compr 1/0 Cu</t>
  </si>
  <si>
    <t>Manguito Compr 1/2 Cu 556-5 Al</t>
  </si>
  <si>
    <t>Manguito Compr 2 Cu</t>
  </si>
  <si>
    <t>Manguito Compr 2/0-Al-Alloy Anahem Cu-Al</t>
  </si>
  <si>
    <t>Manguito Compr 4/0 ACSR 6-1 4/0 AAAC</t>
  </si>
  <si>
    <t>Manguito Compr Aisl P/Cable 2/0-2/0 Al</t>
  </si>
  <si>
    <t>Manguito Compr Cobre Aisl P/ 1/0 1/0 Al</t>
  </si>
  <si>
    <t>Manguito Compr Cu-Al  P/ URD #2/0</t>
  </si>
  <si>
    <t>Manguito Compr Cu-Al 1 1/4" P/ URD #2</t>
  </si>
  <si>
    <t>Manguito Compr Cu-Al P/ URD #4/0</t>
  </si>
  <si>
    <t>Manguito Compr P/ Cond 1/0 Al-Cu 53mm</t>
  </si>
  <si>
    <t>Manguito Compr P/ Cond 4/0 Al 100mm</t>
  </si>
  <si>
    <t>Manguito Compr P/ Cond 4/0 Al-Cu 55mm</t>
  </si>
  <si>
    <t>Manguito Preaislado P/ Cable #8 AWG</t>
  </si>
  <si>
    <t>Ménsula Suspensión C/ Ojal Espirado DM</t>
  </si>
  <si>
    <t>Reducción 1 1/4"-1" P/ Conect Prueb Agua</t>
  </si>
  <si>
    <t>Termin Abier T/ Tenedor 12-10 D-01-1103K</t>
  </si>
  <si>
    <t>Termin Comp Al 4/0 T/ Planch 2 Aguj Bim</t>
  </si>
  <si>
    <t>Termin Ext 15kV P/Cabl Aisl 500-1000MCM</t>
  </si>
  <si>
    <t>Termin Int Goma 15kV Cond Aisl 1250-2000</t>
  </si>
  <si>
    <t>Termin Int Goma 15kV Cond Aisl 500-100</t>
  </si>
  <si>
    <t>Termin T/PIN Bimet 2 Aguj P/ Conect 4/0</t>
  </si>
  <si>
    <t>Terminal 2 Aguj P/ 465 Secc P/AMPAC 900A</t>
  </si>
  <si>
    <t>Terminal Bim Compr P/ Cond Aisl 4/0</t>
  </si>
  <si>
    <t>Terminal Bim P/ Cond Aisl 1000MCM Al-Cu</t>
  </si>
  <si>
    <t>Terminal Bronze para cable cat. TLS-62L</t>
  </si>
  <si>
    <t>Terminal Compr 4 Aguj 477 Al-19</t>
  </si>
  <si>
    <t>Terminal Compr Al 2 Aguj Al-Cu 1250 MCM</t>
  </si>
  <si>
    <t>Terminal Compr Al 2/0 NEMA1 Ojo Bimet</t>
  </si>
  <si>
    <t>Terminal Compr Al 4/0 T/ Planch</t>
  </si>
  <si>
    <t>Terminal Compr Al VAUL1000-12BN Al-Cu</t>
  </si>
  <si>
    <t>Terminal Compr Bim P/ Cable Aisl 485MCM</t>
  </si>
  <si>
    <t>Terminal Compr Bim P/ Cond Aisl 2/0 Nem2</t>
  </si>
  <si>
    <t>Terminal Compr Cu P/ Cond #2 AWG</t>
  </si>
  <si>
    <t>Terminal Compr P/ Cable #4/0 Al Aguj</t>
  </si>
  <si>
    <t>Terminal Compr SAM-1250-2N Al-Cu</t>
  </si>
  <si>
    <t>Terminal Compr SAM-1250-4N Al-Cu</t>
  </si>
  <si>
    <t>Condulet Galv de 2 1/2"</t>
  </si>
  <si>
    <t>Terminal Cu Comp Aisl P/ Cable #8 AWG</t>
  </si>
  <si>
    <t>Terminal de Ojo 10-12 Macho</t>
  </si>
  <si>
    <t>Terminal de Ojo 14-16</t>
  </si>
  <si>
    <t>Terminal de Ojo Cerrado P/ Cable 14</t>
  </si>
  <si>
    <t>Terminal de Punta No.12</t>
  </si>
  <si>
    <t>Terminal de Punta No.14</t>
  </si>
  <si>
    <t>Terminal Ext Contr P/ Cond 2/0 15kV</t>
  </si>
  <si>
    <t>Terminal Exterior P/ URD No.2</t>
  </si>
  <si>
    <t>Terminal Exterior P/ URD No.4/0</t>
  </si>
  <si>
    <t>Terminal Interior P/ URD No.2</t>
  </si>
  <si>
    <t>Terminal Ojo Cerrado Amarillo 10-12 3M</t>
  </si>
  <si>
    <t>Terminal de ojo para bushing de baja, ¾"</t>
  </si>
  <si>
    <t>Terminal P/ Planch Cu 4 Aguj 3/8" x12"</t>
  </si>
  <si>
    <t>Terminal P/ Tubo Aluminio 1220-90R</t>
  </si>
  <si>
    <t>Terminal Pin Tipo Compresión #2</t>
  </si>
  <si>
    <t>Terminal Pin Tipo Compresión #2/0</t>
  </si>
  <si>
    <t>Terminal Preformado 5/16"</t>
  </si>
  <si>
    <t>Terminal Preformado 7/16"</t>
  </si>
  <si>
    <t>Terminal SAM 1000-2N 2 Aguj Cu-Al</t>
  </si>
  <si>
    <t>Terminal SAM 1000-4N 4 Aguj Cu-Al</t>
  </si>
  <si>
    <t>Terminal SAM 250-4N 4 Aguj Cu-Al</t>
  </si>
  <si>
    <t>Terminal SAM 500-2N 2 Aguj Cu-Al</t>
  </si>
  <si>
    <t>Terminal T/ PIN Bimet Compr P/ Cond 4/0</t>
  </si>
  <si>
    <t>Terminal T/ Planch Cu 4 Aguj 2/0-500 MCM</t>
  </si>
  <si>
    <t>Terminal T/ Planchula P/ Tubo 2"</t>
  </si>
  <si>
    <t>Terminal Termocontraible P/ URD #2/0</t>
  </si>
  <si>
    <t>Terminal Termocontraible URD Ext 2/0</t>
  </si>
  <si>
    <t>Tope Bornera de 6mm</t>
  </si>
  <si>
    <t>Bornera EB-1 de 2 Polos</t>
  </si>
  <si>
    <t>Bornera EB-1 de 4 Polos</t>
  </si>
  <si>
    <t>Bornera EB-1B 6mm Cuadrados Ref. 39062</t>
  </si>
  <si>
    <t>Bornera EB-26</t>
  </si>
  <si>
    <t>Bornera EB-27</t>
  </si>
  <si>
    <t>Computadora y Acces P/ Medidores</t>
  </si>
  <si>
    <t>Tarjeta Módem P/ Med Elster A3 Dial-Up</t>
  </si>
  <si>
    <t>Tarjeta Módem P/ Med Elster A3 RS-232</t>
  </si>
  <si>
    <t>Tarjeta Módem P/ Med Landis RXRS4 RS-232</t>
  </si>
  <si>
    <t>Tarjeta Módem P/ Med Q1000 Firmw 3.03</t>
  </si>
  <si>
    <t>Tarjeta Módem P/ Med Q1000 Firmw 5.x</t>
  </si>
  <si>
    <t>Cono Anclar Concreto 15"x6''x8''</t>
  </si>
  <si>
    <t>Cono Anclar Concreto 18"x6"x8"</t>
  </si>
  <si>
    <t>Cruceta Acer 3"x3"x1/4" 45° Perf L 5'-7"</t>
  </si>
  <si>
    <t>Cruceta Acer 3"x3"x1/4" 45° Perf L 8'-0"</t>
  </si>
  <si>
    <t>Cruceta Acer 3"x3"x1/4" Perf L 5'-7"</t>
  </si>
  <si>
    <t>Cruceta Acer 3"x3"x1/4" Perf L 8'-0"</t>
  </si>
  <si>
    <t>Cruceta Acer 4"x4"x3/8" Perf L 20'-0"</t>
  </si>
  <si>
    <t>Cruceta Mad 3 3/4"x3 3/4" 8'</t>
  </si>
  <si>
    <t>Cruceta Mad 3 3/4"x4 3/4'' 8'</t>
  </si>
  <si>
    <t>Cruceta Mad 3 3/4"x4 3/4" 10'</t>
  </si>
  <si>
    <t>Cruceta Mad 3 3/4"x4 3/4" 6'</t>
  </si>
  <si>
    <t>Poste de Acero Galvanizado 25' 2.5 KN</t>
  </si>
  <si>
    <t>Poste de Acero Galvanizado 30' 3.0 KN</t>
  </si>
  <si>
    <t>Poste de Acero Galvanizado 30' 4.0 KN</t>
  </si>
  <si>
    <t>Poste de Acero Galvanizado 35' 4.0 KN</t>
  </si>
  <si>
    <t>Poste de Acero Galvanizado 35' 5.0 KN</t>
  </si>
  <si>
    <t>Poste de Acero Galvanizado 40' 5.0 KN</t>
  </si>
  <si>
    <t>Poste de Acero Galvanizado 40' 6.0 KN</t>
  </si>
  <si>
    <t>Poste de Acero Galvanizado 45' 6.0 KN</t>
  </si>
  <si>
    <t>Poste de Acero Galvanizado 45' 7.0 KN</t>
  </si>
  <si>
    <t>Poste de Concreto Hormigón Armado 30'</t>
  </si>
  <si>
    <t>Poste de Concreto Pretensado 25' 2.5 KN</t>
  </si>
  <si>
    <t>Poste de Concreto Pretensado 30' 3 KN</t>
  </si>
  <si>
    <t>Poste de Concreto Pretensado 35' 4 KN</t>
  </si>
  <si>
    <t>Poste de Concreto Pretensado 35' 5.0 KN</t>
  </si>
  <si>
    <t>Poste de Concreto Pretensado 40' 5 KN</t>
  </si>
  <si>
    <t>Poste de Concreto Pretensado 40' 6 KN</t>
  </si>
  <si>
    <t>Poste de Concreto Pretensado 45' 8 KN</t>
  </si>
  <si>
    <t>Poste de Concreto Vibrado 30' 3 KN</t>
  </si>
  <si>
    <t>Poste de Madera 25' Clase 3</t>
  </si>
  <si>
    <t>Poste de Madera 25' Clase 5</t>
  </si>
  <si>
    <t>Poste de Madera 30' Clase 3</t>
  </si>
  <si>
    <t>Poste de Madera 30' Clase 5</t>
  </si>
  <si>
    <t>Poste de Madera 35' Clase 3</t>
  </si>
  <si>
    <t>Poste de Madera 35' Clase 4</t>
  </si>
  <si>
    <t>Poste de Madera 40' Clase 3</t>
  </si>
  <si>
    <t>Poste de Madera 45' Clase 3</t>
  </si>
  <si>
    <t>Poste de Madera 50' Clase 3</t>
  </si>
  <si>
    <t>Poste de Madera 60' Clase 3</t>
  </si>
  <si>
    <t>115 VAC/125VDC Power Supply P/ NTU-7550A</t>
  </si>
  <si>
    <t>125 VDC Input Power Supply P/ NTU-7575</t>
  </si>
  <si>
    <t>Broche Plástico P/ Manta</t>
  </si>
  <si>
    <t>Camara Apagachisp P/ Seccionador APR630</t>
  </si>
  <si>
    <t>Cilindro Gas SF6 P/ Interrupt Potencia</t>
  </si>
  <si>
    <t>Fundente Colweld #90</t>
  </si>
  <si>
    <t>Repuestos Compuesto P/ 3AP1  FG-72.5kV</t>
  </si>
  <si>
    <t>Seccionad 15.5kV 600A</t>
  </si>
  <si>
    <t>Seccionad 15.5kV 900A</t>
  </si>
  <si>
    <t>Seccionad 35kV 600A</t>
  </si>
  <si>
    <t>Seccionad Monop 15kV 1200A T/ Estac</t>
  </si>
  <si>
    <t>Seccionad Monop Cuchi Vert 630A 34.5kV</t>
  </si>
  <si>
    <t>Seccionad Trip 72.2kV 1200A</t>
  </si>
  <si>
    <t>Seccionad Trip 72.2kV 1200A KPF</t>
  </si>
  <si>
    <t>Seccionad Unip Automat 7.8-12.47kV</t>
  </si>
  <si>
    <t>Seccionad Unip NH 630C</t>
  </si>
  <si>
    <t>Seccionad Vert 630A 12.47kV Aisl 95kV</t>
  </si>
  <si>
    <t>Arandela Cuad 2 1/4x2 1/4x3/16 Aguj11/16</t>
  </si>
  <si>
    <t>Arandela Cuad 2x2" P/ Tornillo 1/2"</t>
  </si>
  <si>
    <t>Arandela Cuad 2x2" P/ Tornillo 5/8"</t>
  </si>
  <si>
    <t>Arandela Cuad 3x3" P/ Tornillo 5/8"-3/4"</t>
  </si>
  <si>
    <t>Arandela Cuad 4x4" P/ Tornillo 1"</t>
  </si>
  <si>
    <t>Arandela Cuad Plana 3x3x1/4 Aguj13/16</t>
  </si>
  <si>
    <t>Arandela Cuad Pln 2 1/4"x2 1/4" 5/8-3/4"</t>
  </si>
  <si>
    <t>Arandela Cuad Pln 2x2"x1/4 Aguj 5/8-3/4"</t>
  </si>
  <si>
    <t>Arandela Cuad Pln 4x4"x3/16" Aguj 11/16"</t>
  </si>
  <si>
    <t>Arandela Curva 2"x2" P/Tornillo 5/8''</t>
  </si>
  <si>
    <t>Arandela Curva 3"x3" P/Tornillo 5/8"</t>
  </si>
  <si>
    <t>Arandela Plana 1/2"</t>
  </si>
  <si>
    <t>Arandela Plana 5/16"</t>
  </si>
  <si>
    <t>Arandela Plana Inox 1/2"</t>
  </si>
  <si>
    <t>Arandela Presion 1/2" Niquelad</t>
  </si>
  <si>
    <t>Arandela Presión Inox 1/2" Cat. HFS-500</t>
  </si>
  <si>
    <t>Arandela Presión P/ Tornillo 1/2''</t>
  </si>
  <si>
    <t>Arandela Presión P/ Tornillo 3/4"</t>
  </si>
  <si>
    <t>Arandela Presión P/ Tornillo 3/8"</t>
  </si>
  <si>
    <t>Arandela Presión P/ Tornillo 5/8''</t>
  </si>
  <si>
    <t>Arandela Redonda P/ Tornillo 1/2"</t>
  </si>
  <si>
    <t>Buje Adaptador de W 1/4" a W 3/8"</t>
  </si>
  <si>
    <t>Grapa Galv P/ Alambre de Púa</t>
  </si>
  <si>
    <t>Perno Guardac P/Retenida 3/4" Tuerc Cuad</t>
  </si>
  <si>
    <t>Perno Guardac P/Retenida 5/8"x12  T Cuad</t>
  </si>
  <si>
    <t>Perno Seguridad Carbon Steel Serie E1</t>
  </si>
  <si>
    <t>Perno Seguridad Carbon Steel Serie E2</t>
  </si>
  <si>
    <t>Perno Seguridad Carbon Steel Serie E3</t>
  </si>
  <si>
    <t>Perno Seguridad Carbon Steel Serie E4</t>
  </si>
  <si>
    <t>Tarugo C/ Perno Para Ménsula</t>
  </si>
  <si>
    <t>Tarugo Perno 1/2"x3 3/4" Galv T/ HILTI</t>
  </si>
  <si>
    <t>Tarugo Perno 1/2"x4" Galv T/ HILTI</t>
  </si>
  <si>
    <t>Tarugo Perno 1/4"x1 3/4" Galv T/ HILTI</t>
  </si>
  <si>
    <t>Tarugo Perno 3/8"x2 1/4" Galv T/ HILTI</t>
  </si>
  <si>
    <t>Tarugo pern Ac.inox  ancla exp 5/8x3 3/4</t>
  </si>
  <si>
    <t>Tarugo Perno Acer Recub Zn 5/8-1/2x3.75</t>
  </si>
  <si>
    <t>Tarugo Plást 35mm</t>
  </si>
  <si>
    <t>Tarugo Plást C/ Torn Cab Hex 9/32"x1"</t>
  </si>
  <si>
    <t>Tarugo Plast Cab Hex 1"</t>
  </si>
  <si>
    <t>Tarugo Plast Cab Hex 1/4"x1"</t>
  </si>
  <si>
    <t>Tarugo Plast Mamey 3/8"x2"</t>
  </si>
  <si>
    <t>Tarugo Plomo 1/4"x1/2"</t>
  </si>
  <si>
    <t>Tarugo Plomo 3/8"x1 3/4"</t>
  </si>
  <si>
    <t>Tornillo 1/2"x2 1/2"Acer Inox Rosc Corr</t>
  </si>
  <si>
    <t>TORNILLO ACERO INOX 1/2" X 2 1/2"</t>
  </si>
  <si>
    <t>Tornillo Activ de Energía Atrav Reseteo</t>
  </si>
  <si>
    <t>Tornillo Autoperf Cab Hex Zn1/4"x1 3/16"</t>
  </si>
  <si>
    <t>Tornillo Cab Estria 2x12mm</t>
  </si>
  <si>
    <t>Tornillo Cab Hex 1/2"x1"</t>
  </si>
  <si>
    <t>Tornillo Cab Hex 3/8"x1"</t>
  </si>
  <si>
    <t>Tornillo Cab Hex Ace Inox 1/2"x2" Rosc C</t>
  </si>
  <si>
    <t>Tornillo Cab Hong Cuello Cuad 3/8x2 1/2"</t>
  </si>
  <si>
    <t>Tornillo Cab Hong Cuello Cuad 3/8x3 1/2"</t>
  </si>
  <si>
    <t>Tornillo Cab Hong Cuello Cuad 3/8x4 1/2"</t>
  </si>
  <si>
    <t>Tornillo Cab Hong Cuello Cuad 3/8x5 1/2"</t>
  </si>
  <si>
    <t>Tornillo Cab Hongo Cuello Cuad 3/8x7"</t>
  </si>
  <si>
    <t>Tornillo Carruaje de 1/2"x2 1/2"</t>
  </si>
  <si>
    <t>Tornillo Carruaje de 5/8"x2 1/2"</t>
  </si>
  <si>
    <t>Tornillo Esp 4 Tuerc Cuad 5/8"x10"</t>
  </si>
  <si>
    <t>Tornillo Esp 4 Tuerc Cuad 5/8"x12"</t>
  </si>
  <si>
    <t>Tornillo Esp 4 Tuerc Cuad 5/8"x14"</t>
  </si>
  <si>
    <t>Tornillo Esp 4 Tuerc Cuad 5/8"x16"</t>
  </si>
  <si>
    <t>Tornillo Esp 4 Tuerc Cuad 5/8"x18"</t>
  </si>
  <si>
    <t>Tornillo Esp 4 Tuerc Cuad 5/8"x20"</t>
  </si>
  <si>
    <t>Tornillo Esp 4 Tuerc Cuad 5/8"x22"</t>
  </si>
  <si>
    <t>Tornillo Esp 4 Tuerc Cuad 5/8"x8"</t>
  </si>
  <si>
    <t>Tornillo Guardacabo Curvo 3/4"x12"</t>
  </si>
  <si>
    <t>Tornillo Guardacabo Curvo 5/8"x12"</t>
  </si>
  <si>
    <t>Tornillo Guardacabo Curvo 5/8"x14"</t>
  </si>
  <si>
    <t>Tornillo Guardacabo Recto 3/4"x10"</t>
  </si>
  <si>
    <t>Tornillo Guardacabo Recto 3/4"x12"</t>
  </si>
  <si>
    <t>Tornillo Guardacabo Recto 3/4"x14"</t>
  </si>
  <si>
    <t>Tornillo Guardacabo Recto 5/8"x12"</t>
  </si>
  <si>
    <t>Tornillo cabeza hex Ac. Inox. 1/2"x3"</t>
  </si>
  <si>
    <t>Tornillo Mac Gard P/ Caja Policarb</t>
  </si>
  <si>
    <t>Tornillo Magnético Aluminio Rosca 1/4"</t>
  </si>
  <si>
    <t>Tornillo Máq Cab Cuad 1/2"x10"</t>
  </si>
  <si>
    <t>Tornillo Máq Cab Cuad 1/2"x12"</t>
  </si>
  <si>
    <t>Tornillo Máq Cab Cuad 1/2"x2 1/2"</t>
  </si>
  <si>
    <t>Tornillo Máq Cab Cuad 1/2"x2" Acer Galv</t>
  </si>
  <si>
    <t>Tornillo Máq Cab Cuad 1/2"x6"</t>
  </si>
  <si>
    <t>Tornillo Máq Cab Cuad 1/2"x8"</t>
  </si>
  <si>
    <t>Tornillo Máq Cab Cuad 3/4"x10"</t>
  </si>
  <si>
    <t>Tornillo Máq Cab Cuad 3/4"x12"</t>
  </si>
  <si>
    <t>Tornillo Máq Cab Cuad 3/4"x14"</t>
  </si>
  <si>
    <t>Tornillo Máq Cab Cuad 3/4"x18"</t>
  </si>
  <si>
    <t>Tornillo Maq Cab Cuad 3/4"x20"</t>
  </si>
  <si>
    <t>Tornillo Maq Cab Cuad 3/8"x18"</t>
  </si>
  <si>
    <t>Tornillo Máq Cab Cuad 3/8"x2"</t>
  </si>
  <si>
    <t>Tornillo Máq Cab Cuad 3/8"x4 1/2"</t>
  </si>
  <si>
    <t>Tornillo Máq Cab Cuad 3/8"x5"</t>
  </si>
  <si>
    <t>Tornillo Máq Cab Cuad 5/8"x10"</t>
  </si>
  <si>
    <t>Tornillo Máq Cab Cuad 5/8"x12"</t>
  </si>
  <si>
    <t>Tornillo Máq Cab Cuad 5/8"x14"</t>
  </si>
  <si>
    <t>Tornillo Máq Cab Cuad 5/8"x16"</t>
  </si>
  <si>
    <t>Tornillo Máq Cab Cuad 5/8"x18"</t>
  </si>
  <si>
    <t>Tornillo Máq Cab Cuad 5/8"x20"</t>
  </si>
  <si>
    <t>Tornillo Máq Cab Cuad 5/8"x8"</t>
  </si>
  <si>
    <t>Tornillo Máq Cab Hex 1/2"x2 1/2"</t>
  </si>
  <si>
    <t>Tornillo Máq Cab Hex 1/2"x2"</t>
  </si>
  <si>
    <t>Tornillo Máq Cab Hex 3/4"x2 1/2"</t>
  </si>
  <si>
    <t>Tornillo Máq Cab Hex 5/8"x2"</t>
  </si>
  <si>
    <t>Tornillo Máq Cab Hongo 1/2"x2"</t>
  </si>
  <si>
    <t>Tornillo P/ Aislador T/ Carrete 5/8"x10"</t>
  </si>
  <si>
    <t>Tornillo P/ Aislador T/ Carrete 5/8"x12"</t>
  </si>
  <si>
    <t>Tornillo P/ Aislador T/ Carrete 5/8"x14"</t>
  </si>
  <si>
    <t>Tornillo P/ Aislador T/ Carrete 5/8"x16"</t>
  </si>
  <si>
    <t>Tornillo P/ Aislador T/ Carrete 5/8"x18"</t>
  </si>
  <si>
    <t>Tornillo Pasante Guardac Recto 5/8"x12"</t>
  </si>
  <si>
    <t>Tornillo Tiraf Ace Galv 1 1/2"x1/4"</t>
  </si>
  <si>
    <t>Tornillo Tiraf Ace Galv 1/2"x2"</t>
  </si>
  <si>
    <t>Tornillo Tiraf Ace Galv 3/8x3"</t>
  </si>
  <si>
    <t>Tornillo Tiraf Ace Galv Cab C 1/4x2 1/2"</t>
  </si>
  <si>
    <t>Tornillo Tiraf Ace Galv Cab Hex 1/4"x1"</t>
  </si>
  <si>
    <t>Tuerca 1/2"</t>
  </si>
  <si>
    <t>Tuerca de Ojo (OVAL) P/ Tornillo 1/2"</t>
  </si>
  <si>
    <t>Tuerca de Ojo (OVAL) P/ Tornillo 5/8"</t>
  </si>
  <si>
    <t>Tuerca de Ojo Tornillo 5/8"</t>
  </si>
  <si>
    <t>Tuerca Eléctrica 2"</t>
  </si>
  <si>
    <t>Tuerca Niquelada P/ Tornillo 1/2"</t>
  </si>
  <si>
    <t>Tuerca Ojo Guardac Incl 45º P/ Torn 3/4"</t>
  </si>
  <si>
    <t>Tuerca Ojo Guardac Incl 45º P/ Torn 5/8"</t>
  </si>
  <si>
    <t>Tuerca Ojo Guardac Recto 3/4" 55.6kN</t>
  </si>
  <si>
    <t>Tuerca Ojo Guardac Recto 5/8" 2 Guias</t>
  </si>
  <si>
    <t>Tuerca Ojo Guardac Recto 5/8" 55.6kN</t>
  </si>
  <si>
    <t>Bobina P/ Totaliz T/ Donut 100/5A Cl0.5%</t>
  </si>
  <si>
    <t>Bobina P/ Totaliz T/ Donut 200/5A Cl0.5%</t>
  </si>
  <si>
    <t>Bobina P/ Totaliz T/ Donut 300/5A Cl0.5%</t>
  </si>
  <si>
    <t>Bobina P/ Totaliz T/ Donut 400/5A Cl0.5%</t>
  </si>
  <si>
    <t>Bobina P/ Totaliz T/ Donut 600/5A Cl0.5%</t>
  </si>
  <si>
    <t>Bushing 1200A 15 kV</t>
  </si>
  <si>
    <t>Kit de Plato</t>
  </si>
  <si>
    <t>Resistor Compensación 5 Ohm 12.5W 5A</t>
  </si>
  <si>
    <t>Silicagel P/ Conserv Transf de Potencia</t>
  </si>
  <si>
    <t>Tanque Aceite Dielect 55 Gl C/ Inhibidor</t>
  </si>
  <si>
    <t>Transf Corriente (CT) 15kV 5-5A</t>
  </si>
  <si>
    <t>Transf Corriente (CT) 15kV-10.5A</t>
  </si>
  <si>
    <t>Transf Corriente (CT) 15kV-20.5A</t>
  </si>
  <si>
    <t>Transf Corriente (CT) 15kV-25.5A</t>
  </si>
  <si>
    <t>Transf Corriente (CT) 15kV-30/5A</t>
  </si>
  <si>
    <t>Transf Corriente (CT) 15kV-45.5A</t>
  </si>
  <si>
    <t>Transf Corriente 1000/5A 600V</t>
  </si>
  <si>
    <t>Transf Corriente 100-200/5A 12.5kV</t>
  </si>
  <si>
    <t>Transf Corriente 100-200/5A 17.5/38/110V</t>
  </si>
  <si>
    <t>Transf Corriente 100-200A 145-275-650kV</t>
  </si>
  <si>
    <t>Transf Corriente 10-20/5A 12.5kV</t>
  </si>
  <si>
    <t>Transf Corriente 1200/5-5A 12.5kV</t>
  </si>
  <si>
    <t>Transf Corriente 1200/5-5A 34.5kV</t>
  </si>
  <si>
    <t>Transf Corriente 1200/5A 600V</t>
  </si>
  <si>
    <t>Transf Corriente 150-300/5A 12.5kV</t>
  </si>
  <si>
    <t>Transf Corriente 2000/5A 600V</t>
  </si>
  <si>
    <t>Transf Corriente 200-400/5A 12.5kV</t>
  </si>
  <si>
    <t>Transf Corriente 20-40/5A 12.5kV</t>
  </si>
  <si>
    <t>Transf Corriente 20-40/5A 34.5kV</t>
  </si>
  <si>
    <t>Transf Corriente 300/5A 600V</t>
  </si>
  <si>
    <t>Transf Corriente 300-600/5A 12.5kV</t>
  </si>
  <si>
    <t>Transf Corriente 30-60/5A 12.5kV</t>
  </si>
  <si>
    <t>Transf Corriente 400/5A 600V</t>
  </si>
  <si>
    <t>Transf Corriente 400-800/5A 12.5kV</t>
  </si>
  <si>
    <t>Transf Corriente 500-1000/5A 12.5kV</t>
  </si>
  <si>
    <t>Transf Corriente 50-100/5A 12.5kV</t>
  </si>
  <si>
    <t>Transf Corriente 50-100/5A 34.5kV</t>
  </si>
  <si>
    <t>Transf Corriente 50-100/5A 600V</t>
  </si>
  <si>
    <t>Transf Corriente 5-10/5A 12.5kV</t>
  </si>
  <si>
    <t>Transf Corriente 5-10/5A 34.5kV</t>
  </si>
  <si>
    <t>Transf Corriente 600/5A 600V</t>
  </si>
  <si>
    <t>Transf Corriente 75-150/5A 12.5kV</t>
  </si>
  <si>
    <t>Transf Corriente 800/5A 600V</t>
  </si>
  <si>
    <t>Transf Corriente CT'S 1500/5A</t>
  </si>
  <si>
    <t>Transf Corriente CT'S 1600/5A</t>
  </si>
  <si>
    <t>Transf Corriente CT'S 800/5A BT</t>
  </si>
  <si>
    <t>Transf Corriente CT'S Ko-11 1200/5A 10kV</t>
  </si>
  <si>
    <t>Transf Volt VT'S VOZ-15H 34.5/4A 150kV</t>
  </si>
  <si>
    <t>Transf Voltaje Ext T/ Post C/Break y Acc</t>
  </si>
  <si>
    <t>Ventil P/Transf Pot 1/3hp Monof 206-230V</t>
  </si>
  <si>
    <t>Ventil P/Transf Pot 1/3hp Trif 206-230V</t>
  </si>
  <si>
    <t>Abrazadera Plástica</t>
  </si>
  <si>
    <t>Adaptador PVC Hembra 1''</t>
  </si>
  <si>
    <t>Adaptador PVC Hembra 1/2"</t>
  </si>
  <si>
    <t>Adaptador PVC Hembra 2" Rosca Presion</t>
  </si>
  <si>
    <t>Adaptador PVC Macho 1''</t>
  </si>
  <si>
    <t>Adaptador PVC Macho 1/2"</t>
  </si>
  <si>
    <t>Adaptador PVC Macho 2''</t>
  </si>
  <si>
    <t>Canaleta  60 x 60 2 Mtr</t>
  </si>
  <si>
    <t>Canaleta  80 x 80 2 Mtr</t>
  </si>
  <si>
    <t>Canaleta 2"X3" Perforada</t>
  </si>
  <si>
    <t>Canaleta 60 x 120mm</t>
  </si>
  <si>
    <t>Cemento PVC</t>
  </si>
  <si>
    <t>Coupling de Unión PVC P/ Tubos de 1''</t>
  </si>
  <si>
    <t>Curva PVC 1''</t>
  </si>
  <si>
    <t>Curva PVC 2"</t>
  </si>
  <si>
    <t>Curva PVC 3"</t>
  </si>
  <si>
    <t>Curva Semi-Presión 4"</t>
  </si>
  <si>
    <t>Tubo 1"x20' SDR-26 PVC</t>
  </si>
  <si>
    <t>Tubo 1/2"x20' SDR-26 PVC</t>
  </si>
  <si>
    <t>Tubo 2"x20' SDR-26 PVC</t>
  </si>
  <si>
    <t>Tubo  3" X 19 ' SDR 26 PVC</t>
  </si>
  <si>
    <t>Tubo 3" SDR-26 PVC</t>
  </si>
  <si>
    <t>Tubo 4"x20' SDR-26 PVC</t>
  </si>
  <si>
    <t>Med Centron C1S Cl100 120V 2h FM 1S</t>
  </si>
  <si>
    <t>Med Centron C1S Cl20 240V 3h FM 4S</t>
  </si>
  <si>
    <t>Med Centron C1S Cl200 120V 3h FM 12S</t>
  </si>
  <si>
    <t>Med Centron C1S Cl200 240V 3h FM 2S</t>
  </si>
  <si>
    <t>Med Cl20 120/480V 3h FM 45/5A C/ Adpt</t>
  </si>
  <si>
    <t>Med Cl20 120/480V 4h FM 9/8S</t>
  </si>
  <si>
    <t>Med Cl20 120/480V 4h FM 9/8S C/Modem</t>
  </si>
  <si>
    <t>Med Cl200 240V 3h</t>
  </si>
  <si>
    <t>Med Cl200 A3 RLN-X 120/480 VKH 21.6</t>
  </si>
  <si>
    <t>Med Electróni Cl100 120V LCD Sal Repet</t>
  </si>
  <si>
    <t>Med Electróni Cl20 120/480V 3h</t>
  </si>
  <si>
    <t>Med Electróni Cl20 57/277V 4h FM 9S</t>
  </si>
  <si>
    <t>Med Electróni Cl200 120/208/240V 3h</t>
  </si>
  <si>
    <t>Med Electroni Cl200 120/480V 4h FM 16S</t>
  </si>
  <si>
    <t>Med Elster A3 Alpha Cl20 4h FM 4/5S Tarj</t>
  </si>
  <si>
    <t>Med Elster A3 Alpha Cl20 4h FM 9S Puerto</t>
  </si>
  <si>
    <t>Med Elster A3 Alpha Cl200 3h FM 12S TWAC</t>
  </si>
  <si>
    <t>Med Elster A3 Alpha Cl200 4h FM 16S TWAC</t>
  </si>
  <si>
    <t>Med Itron Sentinel Cl200 3h FM 12S Modem</t>
  </si>
  <si>
    <t>Med Itron Sentinel Cl200 4h FM 16S Modem</t>
  </si>
  <si>
    <t>Med Prepago 120/240V 3h 60Hz</t>
  </si>
  <si>
    <t>Med Prepago 120V 2h 60Hz</t>
  </si>
  <si>
    <t>Med Q1000 Cl20 120V 4h FM 9S Modem</t>
  </si>
  <si>
    <t>Med Q1000 Cl20 69V 4h FM 9S Modem</t>
  </si>
  <si>
    <t>Med Q1000 Cl20 69V 4h FM 9S RS-485</t>
  </si>
  <si>
    <t>Med Resid Electróni 120V 2h Bottom</t>
  </si>
  <si>
    <t>Med Resid Electróni 120V 2h Socket</t>
  </si>
  <si>
    <t>Med Resid Electróni 240V 3h Socket</t>
  </si>
  <si>
    <t>Med Resid Electróni 240V Bottom</t>
  </si>
  <si>
    <t>Repetidor Elect P/ Med C/ Contador Cicl</t>
  </si>
  <si>
    <t>Celda de Llegada a la Barra BT Transf</t>
  </si>
  <si>
    <t>Celda de Salida P/ Circuitos de Distr</t>
  </si>
  <si>
    <t>Celda de Seccionamiento C/ Fusible</t>
  </si>
  <si>
    <t>Celda Modul Compact T/ E C/ Interrup Aut</t>
  </si>
  <si>
    <t>Celda Modul Compacta Secc Bajo Carg Aisl</t>
  </si>
  <si>
    <t>Herramienta Secc de Carga Loadbuster</t>
  </si>
  <si>
    <t>Interruptor Potencia 145 KV Tanque Vivo</t>
  </si>
  <si>
    <t>Interruptor de Reserva P/ Celdas de Lleg</t>
  </si>
  <si>
    <t>Interruptor Potencia 69 KV Tanque Vivo</t>
  </si>
  <si>
    <t>Interruptor Pot Vacío 15kV 40kA 3150A</t>
  </si>
  <si>
    <t>Interruptor Pot Vacío 69kV 31.5kA 1250A</t>
  </si>
  <si>
    <t>Interruptor Pot Vacío T/ 3AH3166-4AZ90</t>
  </si>
  <si>
    <t>Network Terminal Unit NTU-7560A</t>
  </si>
  <si>
    <t>NTU-7515 130VDC/12Vdc Power Mod 50W</t>
  </si>
  <si>
    <t>Radio Equip Instal Kit NTU RemTerm Unit</t>
  </si>
  <si>
    <t>Recloser Monof T/ Poste 15kV 400A</t>
  </si>
  <si>
    <t>Reconect Monof T/ Poste 7.2kV 400A</t>
  </si>
  <si>
    <t>Reconect Trip T/ Estac 15kV 800A</t>
  </si>
  <si>
    <t>Reconect Trip T/ Estac 34.5kV 800A</t>
  </si>
  <si>
    <t>Reconect Trip T/ Poste 15.5kV 630A</t>
  </si>
  <si>
    <t>Reconect Trip T/ Poste 15.5kV 800A</t>
  </si>
  <si>
    <t>CT's de A.T. 138kV 100-200/1-1-1-5-5-5A</t>
  </si>
  <si>
    <t>CT's de A.T. 138kV 150-300/1-1-1-5-5-5A</t>
  </si>
  <si>
    <t>CT's de A.T. 138kV 50-100-200/1-1-1-5-5A</t>
  </si>
  <si>
    <t>CT's de A.T. 69kV 100-200-400/5-5-5-5A</t>
  </si>
  <si>
    <t>CT's de A.T. 69kV 150-300/5-5-5-5-5A</t>
  </si>
  <si>
    <t>CT's de A.T. 69kV 15-30/5-5-5-5A</t>
  </si>
  <si>
    <t>CT's de A.T. 69kV 20-40/5-5-5-5A</t>
  </si>
  <si>
    <t>CT's de A.T. 69kV 75-150/5-5-5-5-5A</t>
  </si>
  <si>
    <t>CT's de A.T.138kV 100-200-400/1-1-1-5-5A</t>
  </si>
  <si>
    <t>PT'S de A.T. 138kV/1.732/0.115kV</t>
  </si>
  <si>
    <t>PT'S de A.T. 69kV/1.732/0.12kV</t>
  </si>
  <si>
    <t>REGULADOR BAJO C MONOF 7620-7200V 167kV</t>
  </si>
  <si>
    <t>Regulador Bajo C Monof 7620-7200V 416kV</t>
  </si>
  <si>
    <t>Regulador Bajo C Monof 7620-7200V 500kV</t>
  </si>
  <si>
    <t>Transf 1MVA 69kV 7.2-2.4kV</t>
  </si>
  <si>
    <t>Transf 230-480/115-50 VA</t>
  </si>
  <si>
    <t>Transf 25kV 7.2kV 240-480V</t>
  </si>
  <si>
    <t>Transf 37.5kV 7.2-2.4kV 120-240V</t>
  </si>
  <si>
    <t>Transf 50kV T/BOOSTER 12470V 20% Reg.</t>
  </si>
  <si>
    <t>Transf Corr 2500/5-5-5-5A 12.47-17.5kV</t>
  </si>
  <si>
    <t>Transf Corr 600/5-5-5A 12.47-17.5kV</t>
  </si>
  <si>
    <t>Transf Corr Ko 20/5-5-5-5A 69kV</t>
  </si>
  <si>
    <t>Transf Corr Ko 200/5-5-5 APU-72.5 69kV</t>
  </si>
  <si>
    <t>Transf Corr Ko 50/5-5-5-5A 69kV</t>
  </si>
  <si>
    <t>Transf Corr Toroi 2500/5-1-1A12.5-17.5kV</t>
  </si>
  <si>
    <t>Transf Corriente Int 2000/5-5-5A 12.5kV</t>
  </si>
  <si>
    <t>Transf 250kV T/Booster 12470V 30% Reg.</t>
  </si>
  <si>
    <t>Transf Monof 100kVA 2.4kV 120-240V</t>
  </si>
  <si>
    <t>Transf Monof 100kVA 34.5kV 120-240V</t>
  </si>
  <si>
    <t>Transf Monof 100kVA 7.2kV 120-240V</t>
  </si>
  <si>
    <t>Transf Monof 10kVA 7.2kV 120-240V</t>
  </si>
  <si>
    <t>Transf Monof 15kVA 7.2kV 120-240V</t>
  </si>
  <si>
    <t>Transf Monof 167kVA 2.4kVA 120-240V</t>
  </si>
  <si>
    <t>Transf Monof 167kVA 34.5kV 120-240V</t>
  </si>
  <si>
    <t>Transf Monof 167kVA 7.2-2.4kV</t>
  </si>
  <si>
    <t>Transf Monof 167kVA 7.2kV 120-240V</t>
  </si>
  <si>
    <t>Transf Monof 167kVA 7.2kV 120-240V Pltf</t>
  </si>
  <si>
    <t>Transf Monof 250kVA 2.4kV</t>
  </si>
  <si>
    <t>Transf Monof 250kVA 34.5kV 120-240V</t>
  </si>
  <si>
    <t>Transf Monof 250kVA 7.2kV 120-240V</t>
  </si>
  <si>
    <t>Transf Monof 25kVA 2.4kV 120-240V</t>
  </si>
  <si>
    <t>Transf Monof 25kVA 34.5kV 120-240V</t>
  </si>
  <si>
    <t>Transf Monof 25kVA 7.2-2.4kV 120-240V</t>
  </si>
  <si>
    <t>Transf Monof 25kVA 7.2kV 120-240V</t>
  </si>
  <si>
    <t>Transf Monof 25kVA 7.2kV 120-240V CSP</t>
  </si>
  <si>
    <t>Transf Monof 37.5kVA 1800kV 120-240V</t>
  </si>
  <si>
    <t>Transf Monof 37.5kVA 2.4kV 120-240V</t>
  </si>
  <si>
    <t>Transf Monof 37.5kVA 35.5kV 120-240V</t>
  </si>
  <si>
    <t>Transf Monof 37.5kVA 4.16kV 120-240V</t>
  </si>
  <si>
    <t>Transf Monof 37.5kVA 7.2kV 120-240V</t>
  </si>
  <si>
    <t>Transf Monof 37.5kVA 7.2kV 120-240V CSP</t>
  </si>
  <si>
    <t>Transf Monof 37.5kVA 7.2kV 240-480V</t>
  </si>
  <si>
    <t>Transf Monof 50kV 7.2kV 240-480V1.7% Ipd</t>
  </si>
  <si>
    <t>Transf Monof 50kVA 12.47-7.2kV 240-480V</t>
  </si>
  <si>
    <t>Transf Monof 50kVA 2.4kV 120-240V</t>
  </si>
  <si>
    <t>Transf Monof 50kVA 34.5kV 120-240V</t>
  </si>
  <si>
    <t>Transf Monof 50kVA 7.2-2.4kV 120-240V</t>
  </si>
  <si>
    <t>Transf Monof 50kVA 7.2kV 120-240V</t>
  </si>
  <si>
    <t>Transf Monof 50kVA 7.2kV 120-240V CPS</t>
  </si>
  <si>
    <t>Transf Monof 50kVA 7.2kV 240-480V</t>
  </si>
  <si>
    <t>Transf Monof 5kVA 2.4kV 120-240V</t>
  </si>
  <si>
    <t>Transf Monof 5kVA 7.2kV 120-240V</t>
  </si>
  <si>
    <t>Transf Monof 75kVA 12,000kV 120-240V</t>
  </si>
  <si>
    <t>Transf Monof 75kVA 2.4kV 120-240V</t>
  </si>
  <si>
    <t>Transf Monof 75kVA 34.5kV 120-240V</t>
  </si>
  <si>
    <t>Transf Monof 75kVA 7.2-2.4kV 120-240V</t>
  </si>
  <si>
    <t>Transf Monof 75kVA 7.2kV 120-240V</t>
  </si>
  <si>
    <t>Transf P-M 100kVA 7.2kV 120-240V</t>
  </si>
  <si>
    <t>Transf P-M 112.5kVA 277-480/120-208V</t>
  </si>
  <si>
    <t>Transf P-M 112.5kVA 7.2kV 120-208V</t>
  </si>
  <si>
    <t>Transf P-M 112.5kVA 7.2kV 120-240V</t>
  </si>
  <si>
    <t>Transf P-M 150kVA 12.5/7.2kV 120-208V</t>
  </si>
  <si>
    <t>Transf P-M 150kVA 12.5kV 120-208V</t>
  </si>
  <si>
    <t>Transf P-M 150kVA 277-480/120-208V</t>
  </si>
  <si>
    <t>Transf P-M 225kVA 12.47/7.2kV 120-208V</t>
  </si>
  <si>
    <t>Transf P-M 25kVA 2.4kV 120-240V</t>
  </si>
  <si>
    <t>Transf P-M 25kVA 7.2kV 120-240V</t>
  </si>
  <si>
    <t>Transf P-M 25kVA 7.2kV 120-480V</t>
  </si>
  <si>
    <t>Transf P-M 300kVA 12.47/7.2kV 480-277V</t>
  </si>
  <si>
    <t>Transf P-M 300kVA 7.2kV 120-208V</t>
  </si>
  <si>
    <t>Transf P-M 37.5kVA 7.2kV 120-240V</t>
  </si>
  <si>
    <t>Transf P-M 45kVA 12.47kV 240-480V 3Ø</t>
  </si>
  <si>
    <t>Transf P-M 500kVA 12.5/7.2kV 120-208V</t>
  </si>
  <si>
    <t>Transf P-M 500kVA 12.5kV 277-480V</t>
  </si>
  <si>
    <t>Transf P-M 50kVA 7.2kV 120-240V</t>
  </si>
  <si>
    <t>Transf P-M 75kVA 7.2kV 120-240V CSP</t>
  </si>
  <si>
    <t>Transf Potencia (PT) 15kV/150V 60.1A</t>
  </si>
  <si>
    <t>Transf T/ Booter 25kVA 120-240V</t>
  </si>
  <si>
    <t>Transf Tens P/Medic 7.2/12.4 70kV 60/1</t>
  </si>
  <si>
    <t>Transf Tens TAIT 2,4/1,73-0 12kV 150kV</t>
  </si>
  <si>
    <t>Transf Tens TAIT 34,571,73-0,12kV 150kV</t>
  </si>
  <si>
    <t>Transf Tensión 12.47/1.732-0.120V 60Hz</t>
  </si>
  <si>
    <t>Transf Tensión 4,16/1,73-0 5kV 60Hz</t>
  </si>
  <si>
    <t>Transf T-P 100kVA 34.5kV 240V</t>
  </si>
  <si>
    <t>Transf T-P 100kVA 7.2kV 120/240 CSP</t>
  </si>
  <si>
    <t>Transf T-P 10kVA 7.2kV 120/240V CSP</t>
  </si>
  <si>
    <t>Transf T-P 15kVA 7.2kV 120/240V CSP</t>
  </si>
  <si>
    <t>Transf T-P 15kVA 7.2kV 240-480V</t>
  </si>
  <si>
    <t>Transf T-P 25KV 7.2kV 240-480V</t>
  </si>
  <si>
    <t>Transf T-P 25kVA 7.2kV 120/240V CSP</t>
  </si>
  <si>
    <t>Transf T-P 37.5kVA 7.2kV 120/240 CSP</t>
  </si>
  <si>
    <t>Transf T-P 5kVA 7.2kV 120/240V CSP</t>
  </si>
  <si>
    <t>Transf T-P 75kVA 7.2kV 120/240V CPS</t>
  </si>
  <si>
    <t>Transf Trif 28-40MVA 138-69/34.5-12.5kV</t>
  </si>
  <si>
    <t>Transf Trif 63kVA 7.2kV 120-240V</t>
  </si>
  <si>
    <t>Transf Trif Red 28-40MVA 138/12.5kV 60Hz</t>
  </si>
  <si>
    <t>Transf Trif Red 40-50MVA 138/12.5kV 60Hz</t>
  </si>
  <si>
    <t>CRUCETA DE ACERO GALV 6'-0" 3"X3"X1/4"</t>
  </si>
  <si>
    <t>CRUCETA DE ACERO GALV 8-0" 3"X3"X1/4"</t>
  </si>
  <si>
    <t>DIFERENCIAL MANUAL DE 1  1/5 TN, 1.5M</t>
  </si>
  <si>
    <t>CALIBRADOR  PIE DE REY</t>
  </si>
  <si>
    <t>LIMPIADOR DE POLOS DE BATERIA</t>
  </si>
  <si>
    <t>CONJUNTO DE TERRAJA 3/8" A 2"</t>
  </si>
  <si>
    <t>TORNILLO P-AISLADORES LINE POST3-4,3-4x3</t>
  </si>
  <si>
    <t>PINTURA GRIS PERLA</t>
  </si>
  <si>
    <t>TUERCA HEXAGONAL ACERO INOXIDABLE DE 1/2</t>
  </si>
  <si>
    <t>ALICATE PICO DE COTORRA</t>
  </si>
  <si>
    <t>FUSIBLE BUSSMANN LPSRK400SP-DUAL ELEMENT</t>
  </si>
  <si>
    <t>FUSIBLE BUSSMANN LPSRK200SP-DUAL ELEMENT</t>
  </si>
  <si>
    <t>Tarugo Plastico con Tornillo 5/16’’ X 3’</t>
  </si>
  <si>
    <t>TARUGO PLASTICO P/TORNILLO 5/16’’ X 3’’</t>
  </si>
  <si>
    <t>CABLE DE ACERO COBREADO #6 AWG 3 HILOS</t>
  </si>
  <si>
    <t>Fusible Limitador de Corriente T. NX, 12</t>
  </si>
  <si>
    <t>CONECTOR DE PERFOR 1 SALIDA 336.4-2/0-#2</t>
  </si>
  <si>
    <t>Med Monof REX2 FM 2S 3h ZFCW40000000</t>
  </si>
  <si>
    <t>Med Bif REX2 FM 12S 3h ZF5W2000000</t>
  </si>
  <si>
    <t>Med Monof REX2 FM 4S 3h ZFA24000000</t>
  </si>
  <si>
    <t>Med A3 Alpha Trif FM 9S Col ZD3200QD0L9</t>
  </si>
  <si>
    <t>Med A3 Alpha Trif FM 9S Nod ZD3200P00L9</t>
  </si>
  <si>
    <t>Med A3 Alpha Trif FM 16S Nod ZD3300P00L9</t>
  </si>
  <si>
    <t>Fusible BT (LVFDS) UL CL RK1 400A 600V</t>
  </si>
  <si>
    <t>Fusible BT (LVFDS) UL CL RK1 200A 600V</t>
  </si>
  <si>
    <t>Tenis P/ Lectores Size 6</t>
  </si>
  <si>
    <t>Tenis P/ Lectores Size 6 1/2</t>
  </si>
  <si>
    <t>Med Monof REX2 FM 1S 2h ZFA32000000</t>
  </si>
  <si>
    <t>Convertidor de norma  RS-232 a RS-422/48</t>
  </si>
  <si>
    <t>Cable Helian LMR-400</t>
  </si>
  <si>
    <t>Conector BNC</t>
  </si>
  <si>
    <t>Conector tipo N macho</t>
  </si>
  <si>
    <t>5.4 GHz Solid parabolic Antenna 28 dbi</t>
  </si>
  <si>
    <t>Alvarion BreezeNetb 14 datached, 5.4 GHz</t>
  </si>
  <si>
    <t>Antena Vara de 10 DBI</t>
  </si>
  <si>
    <t>Conectores Heliax 1/2 N macho</t>
  </si>
  <si>
    <t>Cable Heliax de 1/2</t>
  </si>
  <si>
    <t>Convertidor N-N Hembra</t>
  </si>
  <si>
    <t>Enlace Punto a Punto Inalambrico</t>
  </si>
  <si>
    <t>Fuentes de 12 VDC Output / Input 125 VAC</t>
  </si>
  <si>
    <t>Fuentes de 24 VDC Output / Input 125 VAC</t>
  </si>
  <si>
    <t>Poliphaser</t>
  </si>
  <si>
    <t>Radio MDS 4790 UHF</t>
  </si>
  <si>
    <t>Radio MDS SD4 UHF</t>
  </si>
  <si>
    <t>Torre Metalica Autosoportada con cables</t>
  </si>
  <si>
    <t>Z Galvanizada</t>
  </si>
  <si>
    <t>Cable duplo numero 12 de alimentacion 12</t>
  </si>
  <si>
    <t>Conectores DB9</t>
  </si>
  <si>
    <t>Conectores DB25</t>
  </si>
  <si>
    <t>Cable RG213</t>
  </si>
  <si>
    <t>Conectores Miniuhf</t>
  </si>
  <si>
    <t>Conector N Hembra</t>
  </si>
  <si>
    <t>Conectorer PL 259</t>
  </si>
  <si>
    <t>Union PL Hembra</t>
  </si>
  <si>
    <t>Union N Hembra</t>
  </si>
  <si>
    <t>Union de Miniuhf hembra a PL 259</t>
  </si>
  <si>
    <t>Power conector 12 con porta fusible</t>
  </si>
  <si>
    <t>Caja para Transf. Reduc. Aislados a 600V</t>
  </si>
  <si>
    <t>Transf Tension Red 480/120V Aisl. a 600V</t>
  </si>
  <si>
    <t>Conector elástico tipo cuña 4/0 - 2 AWG</t>
  </si>
  <si>
    <t>Conector elástico tipo cuña 4/0 - 2 CU</t>
  </si>
  <si>
    <t>Conector elástico tipo cuña 2 – 2 Cu AW</t>
  </si>
  <si>
    <t>Conector elástico tipo cuña 2 – 2 CU AWG</t>
  </si>
  <si>
    <t>Conector elástico T/ cuña 2/0 - 2/0 AWG</t>
  </si>
  <si>
    <t>Cable concentrico 2 x Nº 10 cobre</t>
  </si>
  <si>
    <t>Cable concentrico 3 x Nº 8 cobre</t>
  </si>
  <si>
    <t>AISLADOR T/ ESP PIN CL 57-1 3/4" 12.47KV</t>
  </si>
  <si>
    <t>Cruceta Acero Galvanizado 10'</t>
  </si>
  <si>
    <t>Porta-aislador en U para cruceta 6-1/4"</t>
  </si>
  <si>
    <t>Arandela redonda de 1 3/4" x 1/4"</t>
  </si>
  <si>
    <t>Soporte de acero para aislador rígido</t>
  </si>
  <si>
    <t>Tubo  Condulet EMT 2" X 10"</t>
  </si>
  <si>
    <t>Tuerca cuadrada para tornillo 5/8"</t>
  </si>
  <si>
    <t>Tarugo de plomo 5/16 X 3"</t>
  </si>
  <si>
    <t>Cruceta de acero galvanizado 6.0'</t>
  </si>
  <si>
    <t>Toma Corriente Superficie</t>
  </si>
  <si>
    <t>TRANSF P-M 500 KVA 7.2-12.47KV 120-208V</t>
  </si>
  <si>
    <t>Base Rectangular Dual 4 Clips 120/240 V</t>
  </si>
  <si>
    <t>Soporte de acero para aislador rigido</t>
  </si>
  <si>
    <t>Caja Derivadora P/Acometidas 30 tomas</t>
  </si>
  <si>
    <t>Toma corriente doble 120V polarizado</t>
  </si>
  <si>
    <t>PINZA DE RETENCION PARA ACOMETIDAS</t>
  </si>
  <si>
    <t>Juego de Juntas y Empaques para Transf.</t>
  </si>
  <si>
    <t>Casco Tipo Sombrero</t>
  </si>
  <si>
    <t>BARBUIQUEJO AJUSTABLE</t>
  </si>
  <si>
    <t>KIT CAMILLA INMOVILIZADORA ANTITRAUMA</t>
  </si>
  <si>
    <t>KIT DE REEMPLAZO LUMINARIA 400 W HPS</t>
  </si>
  <si>
    <t>Kit de Blindaje Eléctrico Armorcast</t>
  </si>
  <si>
    <t>Terminal condulet para tubo de 3"</t>
  </si>
  <si>
    <t>Poste de Hormigon Pretensado 35' 5KN</t>
  </si>
  <si>
    <t>BOCINA SELLADA SK P PRO</t>
  </si>
  <si>
    <t>Transf Monof 167KVA 12.5/7.2kv 120/208</t>
  </si>
  <si>
    <t>TORNILLO CABEZA  HEXAGONAL   3/8"X 2"</t>
  </si>
  <si>
    <t>Transf M. 75kVA 2.4kV 120-240V Reg. 30%</t>
  </si>
  <si>
    <t>PUENTE CAPTA CARGA</t>
  </si>
  <si>
    <t>COBERTURA P/ POSTES</t>
  </si>
  <si>
    <t>TRANSF M. 50KVA 2.4KV 120-240V REG. 30%</t>
  </si>
  <si>
    <t>Tornillo Cab Hex 3/8"x2</t>
  </si>
  <si>
    <t>Regulador Aut. Volt. 114.4 KVA a 7.2 KV</t>
  </si>
  <si>
    <t>Regulador Aut. Volt. 76.2 KVA a 7.2 KV</t>
  </si>
  <si>
    <t>Conector Tipo N Macho para RG58</t>
  </si>
  <si>
    <t>Banco de Baterías de 24 unidades</t>
  </si>
  <si>
    <t>DETECTOR TENSION D/1 A 138KV</t>
  </si>
  <si>
    <t>PULIDORA</t>
  </si>
  <si>
    <t>VOLTIAMPERIMETRO DE GANCHO</t>
  </si>
  <si>
    <t>Dinamómetro digital de tracción 50kN</t>
  </si>
  <si>
    <t>TALADRO D/PEDESTAL</t>
  </si>
  <si>
    <t>EQUIPO ANALIZADOR PCB's</t>
  </si>
  <si>
    <t>CALIBRADOR DIGITAL</t>
  </si>
  <si>
    <t>PISTOLA PRESION P/PINTAR</t>
  </si>
  <si>
    <t>MÓDULO TWACS UMT 9S</t>
  </si>
  <si>
    <t>DISOLVENTE (THINNER)</t>
  </si>
  <si>
    <t>VARILLA D/PLATA</t>
  </si>
  <si>
    <t>SILICON</t>
  </si>
  <si>
    <t>TERMO P/AGUA D/5 GALONES (NEVERITA)</t>
  </si>
  <si>
    <t>ARO D/SEGURIDAD P/MEDIDOR TIPO SOCKET</t>
  </si>
  <si>
    <t>CEPILLO D/ALAMBRE</t>
  </si>
  <si>
    <t>FUSIBLE EXPULSIÓN 3.5 A TIPO D</t>
  </si>
  <si>
    <t>FUSIBLE EXPULSIÓN 5.2 A TIPO D</t>
  </si>
  <si>
    <t>JUEGO EXTRACTORES</t>
  </si>
  <si>
    <t>LIMA</t>
  </si>
  <si>
    <t>MARCO D/SEGUETA</t>
  </si>
  <si>
    <t>PORTA ELECTRODO 500 AMP</t>
  </si>
  <si>
    <t>REMACHADORA</t>
  </si>
  <si>
    <t>PISTOLA P/PINTAR</t>
  </si>
  <si>
    <t>CONTACTOR - 32A  220V 50/6</t>
  </si>
  <si>
    <t>TIJERA PODADORA D/RAMA</t>
  </si>
  <si>
    <t>TUBO PVC SDR-26-4"</t>
  </si>
  <si>
    <t>TIJERA D/AVIACION IZQ.</t>
  </si>
  <si>
    <t>PENETRANTE</t>
  </si>
  <si>
    <t>Transf M. 250KVA 7.2 KV/ 240-480V P/Plat</t>
  </si>
  <si>
    <t>Med ION 8650 Cl20 57/277V 4h FM 9S Pr0.2</t>
  </si>
  <si>
    <t>CORTADOR P/CABLE DE MANO</t>
  </si>
  <si>
    <t>BATERIA 6V</t>
  </si>
  <si>
    <t>Detector Tensión Multirango 240V/275 K</t>
  </si>
  <si>
    <t>Papel 2¼ para sumadora</t>
  </si>
  <si>
    <t>Transf. Trif. P/M 750KVA 12475 120/208V</t>
  </si>
  <si>
    <t>Alcoholimetro</t>
  </si>
  <si>
    <t>Lentes de seguridad in door / out door</t>
  </si>
  <si>
    <t>Arnés Tipo Tiras P/Mangas Dieléct, Cl 2</t>
  </si>
  <si>
    <t>Batería NP7-12 de 12 VDC  7AH</t>
  </si>
  <si>
    <t>Guantes para Laboratorio</t>
  </si>
  <si>
    <t>Cinta anti resbalante</t>
  </si>
  <si>
    <t>Accesorios para Equipo</t>
  </si>
  <si>
    <t>BATA DE LABORATORIO CON LOGO</t>
  </si>
  <si>
    <t>Esmeriladora de Banco 6"</t>
  </si>
  <si>
    <t>Medidor GYR E23A 240V 3 Hilos Bottom</t>
  </si>
  <si>
    <t>TERMINAL TIPO T</t>
  </si>
  <si>
    <t>Luminarias Led SAT 48S</t>
  </si>
  <si>
    <t>Luminarias Led SAT 72M</t>
  </si>
  <si>
    <t>Luminarias Led SAT 96M</t>
  </si>
  <si>
    <t>Batería de 12 Voltios Tipo AGM</t>
  </si>
  <si>
    <t>Transf P-M 150kVA 7.2 /12.47kV 120-240V</t>
  </si>
  <si>
    <t>TALADRO ROTOMARTILLO</t>
  </si>
  <si>
    <t>Perno Seguridad Carbon Steel Serie E5</t>
  </si>
  <si>
    <t>Perno Seguridad Acero Inox Comb DDI</t>
  </si>
  <si>
    <t>Medidor Elec. FM12S Cl 200 3H 120/480V</t>
  </si>
  <si>
    <t>Capa P/ Agua Amarillo Size XXXL</t>
  </si>
  <si>
    <t>Linterna de Xenon</t>
  </si>
  <si>
    <t>Tanque Señalizacion</t>
  </si>
  <si>
    <t>Base Traiboss</t>
  </si>
  <si>
    <t>Chaleco Reflec Alta Visib Naranja L</t>
  </si>
  <si>
    <t>BULTO DE HERRAMIENTAS</t>
  </si>
  <si>
    <t>Cinta Demarcacion 2' x 36'</t>
  </si>
  <si>
    <t>Inflador p/ pruebas de guantes dilec.</t>
  </si>
  <si>
    <t>Breaker P/Riel 6 AMPS</t>
  </si>
  <si>
    <t>Antena bahia de  8 elementos  136-174Mhz</t>
  </si>
  <si>
    <t>Kit de antena 1/4 onda NMO 136-174 Mhz</t>
  </si>
  <si>
    <t>Antena Yagui 9 dBi 136-174Mhz</t>
  </si>
  <si>
    <t>Conector N para LMR400</t>
  </si>
  <si>
    <t>Duplexer 4 cavidades</t>
  </si>
  <si>
    <t>Antena para GPS Radio DGM 6100</t>
  </si>
  <si>
    <t>Espejo Convexo 24cm</t>
  </si>
  <si>
    <t>Respirador de Media Cara</t>
  </si>
  <si>
    <t>CAMISA NORMAL CON REFLECTIVO</t>
  </si>
  <si>
    <t>CAMISA NORMAL REFLECTIVO  DE TELA</t>
  </si>
  <si>
    <t>PANTALON REFLECTIVO RESISTENTE A FLAMA</t>
  </si>
  <si>
    <t>PANTALON NORMAL  REFLECTIVO  DE TELA</t>
  </si>
  <si>
    <t>Terminal Secundario 50KVA</t>
  </si>
  <si>
    <t>Guantes uso de combustible</t>
  </si>
  <si>
    <t>BASE P/TELEVISOR LED 55''</t>
  </si>
  <si>
    <t>Chaleco Reflec Alta Visib Naranja XL</t>
  </si>
  <si>
    <t>Chaleco Reflec Alta Visib Naranja M</t>
  </si>
  <si>
    <t>Transf M. 37.5kVA 7.2kV 120-240 Reg. 30%</t>
  </si>
  <si>
    <t>Transf M 37.5kVA 4.16kV 120-240V Reg 30%</t>
  </si>
  <si>
    <t>Transf M 50kVA 7.2kV 120-240V Reg 30%</t>
  </si>
  <si>
    <t>Transf M 75kVA 7.2kV 120-240V Reg 30%</t>
  </si>
  <si>
    <t>SWITCH GRADO INDUSTRIAL</t>
  </si>
  <si>
    <t>Tenis P/ Lectores Size 5.5</t>
  </si>
  <si>
    <t>Resistencia comp. de PT's 75W 66V 75ohms</t>
  </si>
  <si>
    <t>Resistencia comp. PT's  50W 120V 3Kohms</t>
  </si>
  <si>
    <t>Resistencia comp. CT's 50W 120V 10ohms</t>
  </si>
  <si>
    <t>Destornillador aislado a 1000V Estría 10</t>
  </si>
  <si>
    <t>Destornillador aislados a 1000V Plano 10</t>
  </si>
  <si>
    <t>Destornillador aislados a 1000 V Plano 8</t>
  </si>
  <si>
    <t>Martillo aislado a 1000V</t>
  </si>
  <si>
    <t>Chichara aislado a 1000V</t>
  </si>
  <si>
    <t>Zafacon Ambientales Tres Bocas</t>
  </si>
  <si>
    <t>Proteccion facial para TCT</t>
  </si>
  <si>
    <t>Termo Portatil para Lectores</t>
  </si>
  <si>
    <t>Botas anti fatiga ergonomicas para salud</t>
  </si>
  <si>
    <t>Botas para uso de Taller Transformadores</t>
  </si>
  <si>
    <t>Envase deteccion aut. pruebas antidrogas</t>
  </si>
  <si>
    <t>PLANTA ELECTRICA 6.5 KW</t>
  </si>
  <si>
    <t>CHALECO REFLEC ALTA VISIB NARANJA XXL</t>
  </si>
  <si>
    <t>Saco de proteccion para dormir</t>
  </si>
  <si>
    <t>Sello seguridad inserto mariposa Gris</t>
  </si>
  <si>
    <t>Capa P/ Agua Naranja Size L</t>
  </si>
  <si>
    <t>Capa P/ Agua Naranja Size XL</t>
  </si>
  <si>
    <t>Transf 50kVA 7.2-2.4kV 120-240V Reg.20%</t>
  </si>
  <si>
    <t>Chaquetas Impermeables</t>
  </si>
  <si>
    <t>Kit de derrame</t>
  </si>
  <si>
    <t>Cinta amarilla para delimitar areas</t>
  </si>
  <si>
    <t>Botas de Goma Size 43</t>
  </si>
  <si>
    <t>Botas de Goma Size 44</t>
  </si>
  <si>
    <t>Botas de Goma Size 45</t>
  </si>
  <si>
    <t>Botas de Goma Size 46</t>
  </si>
  <si>
    <t>Pitos para llamado en caso de emergencia</t>
  </si>
  <si>
    <t>Bidones para transporte de combustible</t>
  </si>
  <si>
    <t>Pilotillo Azul con Reflectivo Seg. Vial</t>
  </si>
  <si>
    <t>Esquinero Amarillo Negro de Seg. (Hule)</t>
  </si>
  <si>
    <t>Estándar seg ESTACIONAMIENTO EN REVERSA</t>
  </si>
  <si>
    <t>Estándar de seguridad ZONA LIBRE DE HUMO</t>
  </si>
  <si>
    <t>Estándar seg para pared de Subestacion</t>
  </si>
  <si>
    <t>Estándar seg INGRESO A SUBESTACION</t>
  </si>
  <si>
    <t>Luz anticolisión p/ camion y montacarga</t>
  </si>
  <si>
    <t>Guante de Kevlar en alta visibilidad</t>
  </si>
  <si>
    <t>Megafono</t>
  </si>
  <si>
    <t>Cable Aluminio Aislado 300 MCM 600V</t>
  </si>
  <si>
    <t>Cubeta metálica C/aterrizaje de electr.</t>
  </si>
  <si>
    <t>Embudo metálico para manejo combustible</t>
  </si>
  <si>
    <t>Cinta reflectiva tipo diamante amarilla</t>
  </si>
  <si>
    <t>Termómetro ambiental pared c/ higrometro</t>
  </si>
  <si>
    <t>AccuFlow rojo p/ trasiego de combustible</t>
  </si>
  <si>
    <t>Lavaojos de emergencia de botella</t>
  </si>
  <si>
    <t>Estación lavaojos portátil</t>
  </si>
  <si>
    <t>Lanyard desabrochable  Seg. porta carnet</t>
  </si>
  <si>
    <t>Caja de Herramientas 5 Gavetas</t>
  </si>
  <si>
    <t>Estandar Seg. p/señalización de extintor</t>
  </si>
  <si>
    <t>Estandar Seg p/ instruccion uso extintor</t>
  </si>
  <si>
    <t>Poste de Acero Galvanizado 25' 1.5 KN</t>
  </si>
  <si>
    <t>Caja para reciclaje de papel sello azul</t>
  </si>
  <si>
    <t>Podometro Digital</t>
  </si>
  <si>
    <t>Botas Aisladas para TCT</t>
  </si>
  <si>
    <t>Cobertizo para transp. Trafos con PCB</t>
  </si>
  <si>
    <t>Brazalete porta Carnet de seguridad</t>
  </si>
  <si>
    <t>Abrazadera Metal P/ Poste</t>
  </si>
  <si>
    <t>Adapt Al-Cu P/Cond  #2 ACSR</t>
  </si>
  <si>
    <t>Angular P/ Poste 4"x 1 1/2"x1 1/2"Aguj 1</t>
  </si>
  <si>
    <t>Angular P/ Poste 4"x 1 1/2"x1 1/2"Aguj 5</t>
  </si>
  <si>
    <t>Arandela Redonda 1 3/4"x1/4"P/ Torn 5/8"</t>
  </si>
  <si>
    <t>Arandela Redonda Plana P/ Torn 5/8"</t>
  </si>
  <si>
    <t>Caja Distribución Peq 2 Born 12 Tomas</t>
  </si>
  <si>
    <t>Conector Elást Cuña 4/0-1/0 AWG</t>
  </si>
  <si>
    <t>Conector Elást Cuña 4/0-2/0 AWG</t>
  </si>
  <si>
    <t>Conector Elást Cuña 465-465 AWG</t>
  </si>
  <si>
    <t>Cruceta Tubul Cuadr Acer Galv 3"x3"x 8'</t>
  </si>
  <si>
    <t>Difusor P/ Luminaria</t>
  </si>
  <si>
    <t>Soporte P/ Caja Distribución 17 Tomas</t>
  </si>
  <si>
    <t>Tapa Cubre Bornas P/ Transf 25kVA</t>
  </si>
  <si>
    <t>Tapa Cubre Bornas P/ Transf 37.5kVA</t>
  </si>
  <si>
    <t>Tapa Cubre Bornas P/ Transf 50kVA</t>
  </si>
  <si>
    <t>Tapa Cubre Bornas P/ Transf 75kVA</t>
  </si>
  <si>
    <t>Terminal Compr Al 2 Aguj 477MCM</t>
  </si>
  <si>
    <t>Tornillo Máq Cab Cuad 5/8"x1"</t>
  </si>
  <si>
    <t>Tornillo Máq Cab Cuad 5/8"x2" C/ Tuerca</t>
  </si>
  <si>
    <t>Tornillo Tiraf Con Ojo 5/16"x4"</t>
  </si>
  <si>
    <t>Orejera para casco tipo sombrero</t>
  </si>
  <si>
    <t>Tarugo Plast Azul 1/4"x1 1/2"</t>
  </si>
  <si>
    <t>Seccionadora Tipo Gabinete 12470/7200V</t>
  </si>
  <si>
    <t>Fusible Limitador de Corriente T. NX, 32</t>
  </si>
  <si>
    <t>Aisladores Rígidos de Porcelana 15kV</t>
  </si>
  <si>
    <t>Fusible Limitador de Corriente T. NX, 50</t>
  </si>
  <si>
    <t>Fusible Limitador de Corriente T. NX, 20</t>
  </si>
  <si>
    <t>Espiga acero 3/4"x9-5/8"CAB 1 3/8 34.5kv</t>
  </si>
  <si>
    <t>TORNILLO  TIRAF 1/4 X 3/8 PARA FIJ. MED</t>
  </si>
  <si>
    <t>TORNILLO MÁQ CAB HEX 1/4"X3 1/2"</t>
  </si>
  <si>
    <t>Tornillo 2 x 1/4</t>
  </si>
  <si>
    <t>Med 120V FM 12S Cl200 3H con TWACS</t>
  </si>
  <si>
    <t>Med 240V FM 2S Cl200 3H con TWACS</t>
  </si>
  <si>
    <t>BOOSTER  DE 100 kVA, 12.47/4.16 kV</t>
  </si>
  <si>
    <t>BOOSTER DE  333 kVA, 12.47/4.16 kV</t>
  </si>
  <si>
    <t>CONECTOR T/CUÑA #4-#4 P/COND. COBRE</t>
  </si>
  <si>
    <t>TERMINAL BIMET AL-CU PARA CABLE 300 MCM</t>
  </si>
  <si>
    <t>Transf Trif Red 28 MVA 69/12.5kV YNYNO</t>
  </si>
  <si>
    <t>Transf Potencia 28 MVA 138/12.5 kV</t>
  </si>
  <si>
    <t>Transf Potencia 28 MVA 69/34.5 kV</t>
  </si>
  <si>
    <t>Seccionad Unipolar 400 A, 15 KV</t>
  </si>
  <si>
    <t>Transf Corr. TAIT 200-400/5A 34.5kV 60Hz</t>
  </si>
  <si>
    <t>CONECTOR T/CUÑA A PRESIÓN #2 A #2 CU</t>
  </si>
  <si>
    <t>Transf M 25kVA 7.2kV 120-240V CSP AF</t>
  </si>
  <si>
    <t>Transf M 37.5kVA 7.2kV 120-240V CSP AF</t>
  </si>
  <si>
    <t>Transf M 50kVA 7.2kV 120-240V CSP AF</t>
  </si>
  <si>
    <t>Transf M 75kVA 7.2kV 120-240V CSP AF</t>
  </si>
  <si>
    <t>REGULADOR TENSIÓN M. 114.3 KV 7.2KV</t>
  </si>
  <si>
    <t>REGLETA ELECTRICA P/GABINETE</t>
  </si>
  <si>
    <t>BAQUELITA CL-100 MEDIDIOR 120V/240V/208V</t>
  </si>
  <si>
    <t>PERNO CORTO AC. GALV. 3/4"- 3/4" X 3"</t>
  </si>
  <si>
    <t>Repetidor Medidor 240V 3h Socket</t>
  </si>
  <si>
    <t>Transf Corriente 15-30/5A 34.5KV</t>
  </si>
  <si>
    <t>PT'S DE A.T. 34.5KV 19,920/120</t>
  </si>
  <si>
    <t>Transf Compacto (CT y PT) 5-10/5A 4.16KV</t>
  </si>
  <si>
    <t>Transf Compacto(CT y PT) 15-30/5A 4.16KV</t>
  </si>
  <si>
    <t>REGULADOR TENSIÓN M 250 KVA 7.2KV</t>
  </si>
  <si>
    <t>REGULADOR TENSIÓN M 500 KVA 7.2KV</t>
  </si>
  <si>
    <t>Bateria ES 9-12 9 AMP 12 Voltio</t>
  </si>
  <si>
    <t>Copling P/ Tubos EMT 2"</t>
  </si>
  <si>
    <t>Copling P/ Tubos IMC 2"</t>
  </si>
  <si>
    <t>Copling P/ Tubos EMT 3"</t>
  </si>
  <si>
    <t>Curva EMT 2"</t>
  </si>
  <si>
    <t>Curva EMT 3"</t>
  </si>
  <si>
    <t>Soporte Chanel P/Tub 3/4</t>
  </si>
  <si>
    <t>CABLE DE COBRE AISLADO THHN,3/0 AWG</t>
  </si>
  <si>
    <t>Espiga Acero 3/4"x 7 3/4" p/Cruceta Ac.</t>
  </si>
  <si>
    <t>CABLE DE COBRE AISLADO THHN,300 MCM</t>
  </si>
  <si>
    <t>CABLE DE ACERO COBREADO DESNUDO #2 AWG</t>
  </si>
  <si>
    <t>TERMINAL PIN  AL-CU PARA CABLE 300 MCM</t>
  </si>
  <si>
    <t>TERMINAL BIM.PIN COMP. P/CAB 3/0 AWG</t>
  </si>
  <si>
    <t>CONECTOR CUÑA PUESTA A TIERRA 1/2" BIM</t>
  </si>
  <si>
    <t>GRAPA CONEXIÓN DOBLE CAB TIERRA SIN TORN</t>
  </si>
  <si>
    <t>CONECTOR PERF. UNA SALIDA DE 336.4-2/0</t>
  </si>
  <si>
    <t>SOPORTE P/INST.DE DOS CAJAS DERIVADORAS</t>
  </si>
  <si>
    <t>Soporte Simple Para Caja Derivadora</t>
  </si>
  <si>
    <t>SOPORTE L GABINETE MEDICION CONC. ALT.</t>
  </si>
  <si>
    <t>POSTE DE ACERO GALVANIZADO 45', 8KN</t>
  </si>
  <si>
    <t>TRANSF. C. T/DONUT 150/5 A,CL 0.5%  600V</t>
  </si>
  <si>
    <t>TRANSF. C. T/DONUT 250/5 A,CL 0.5%  600V</t>
  </si>
  <si>
    <t>TRANSF. C. T/DONUT 350/5 A,CL 0.5%  600V</t>
  </si>
  <si>
    <t>Caja de Policarbonato, A 4 Borneras, 40</t>
  </si>
  <si>
    <t>CAJA POLICARB. MED. BOTTOM 120V 2H CL100</t>
  </si>
  <si>
    <t>GAB. CAJA CONT P/TELEM.12 MED 120/240V</t>
  </si>
  <si>
    <t>GAB. CAJA CONT P/TELEM.18 MED 120/240V</t>
  </si>
  <si>
    <t>TAPON HEMBRA PVC PARA TUBO DE 4"</t>
  </si>
  <si>
    <t>GRAPA DERIV. #8 A 2/0 AWG - #8 A 2/0 AWG</t>
  </si>
  <si>
    <t>POSTE HORMIGÓN PRETENSADO DE 40' - 8kN</t>
  </si>
  <si>
    <t>POSTE HORMIGÓN PRETENSADO DE 45'- 8 kN</t>
  </si>
  <si>
    <t>Tubo PVC 1"</t>
  </si>
  <si>
    <t>Med Resid Electróni 120V 2h Bottom (proy</t>
  </si>
  <si>
    <t>Med Resid Electróni 240V Bottom (proyect</t>
  </si>
  <si>
    <t>TUBO IMC DE 3"X10</t>
  </si>
  <si>
    <t>LUMINARIAS LED DE 120 WATTS, MODELO NYXI</t>
  </si>
  <si>
    <t>LUMINARIAS LED DE 75 WATTS, MODELO OUZIR</t>
  </si>
  <si>
    <t>POSTE METÁLICO GALVANIZADO EN CALIENTE D</t>
  </si>
  <si>
    <t>TUBO METALICO IMC 1" X 10'</t>
  </si>
  <si>
    <t>ANILLA CUARTEADA</t>
  </si>
  <si>
    <t>TARUGO PLÁSTICO 5/16'' X  2'' AZUL</t>
  </si>
  <si>
    <t>PLACA DE COBRE PARA PUESTA A TIERRA</t>
  </si>
  <si>
    <t>ABRAZADERA EMT DE 1''</t>
  </si>
  <si>
    <t>CONECTOR TIPO H No.3</t>
  </si>
  <si>
    <t>CONECTOR TIPO H 1/0-2/0</t>
  </si>
  <si>
    <t>CONECTOR TIPO CUÑA 2/0 CON ESTRIBO</t>
  </si>
  <si>
    <t>PARARRAYOS PARA TRANSF. TIPO PAD-MOUNTED</t>
  </si>
  <si>
    <t>PARARRAYOS 9KV DE DISTRIBUCIÓN</t>
  </si>
  <si>
    <t>CONECTOR BUSHING DE 3 PULG</t>
  </si>
  <si>
    <t>AISLADOR DE SUSPENSIÓN PARA 34,5KV , POL</t>
  </si>
  <si>
    <t>DETECTOR DE FALLA</t>
  </si>
  <si>
    <t>CRUCETA DE FIBRA DE VIDRIO CON SOPORTE M</t>
  </si>
  <si>
    <t>TERMINAL INTERIOR PARA URD No.2 AISL. PA</t>
  </si>
  <si>
    <t>CONECTOR PARA EMPALME PARA CABLE No.4</t>
  </si>
  <si>
    <t>BORNERA DE ALUMINIO 7 TOMAS</t>
  </si>
  <si>
    <t>BORNERA DE ALUMINIO 9 TOMAS</t>
  </si>
  <si>
    <t>MANGA DE EMPALME</t>
  </si>
  <si>
    <t>Caja Derivadora 3 Borneras</t>
  </si>
  <si>
    <t>CAJA DERIVADORA DE 3 BORNERAS, 30 TOMAS</t>
  </si>
  <si>
    <t>Tubo EMT 3"</t>
  </si>
  <si>
    <t>Tuberia LT 2"</t>
  </si>
  <si>
    <t>Transformador Pad Mounted 225kVA 12.47/7</t>
  </si>
  <si>
    <t>Grasa en Spray Sintética HSS 2000 500 ml</t>
  </si>
  <si>
    <t>Conjunto Zebra de Carraca de 1/2" 23 pie</t>
  </si>
  <si>
    <t>REGISTRO DE POLIPROPILENO 35 x 35 x 40 C</t>
  </si>
  <si>
    <t>CONECTOR ELÁSTICO TIPO CUÑA 2/0 A #2 AL</t>
  </si>
  <si>
    <t>FUSIBLE TIPO D FIJADO  EN CARTUCHO 3.5 A</t>
  </si>
  <si>
    <t>FUNDA TRANSPORTADORA DE MEDIDOR</t>
  </si>
  <si>
    <t>Angular Al 1 1/4"x 3/16"</t>
  </si>
  <si>
    <t>Poste de Acero Galvanizado 55' -12 KN</t>
  </si>
  <si>
    <t>MANGA AUT PLENA T. COND 2/0 - 2/0 AWG AL</t>
  </si>
  <si>
    <t>Disco de Corte 115 x 2.0 x 22.2</t>
  </si>
  <si>
    <t>Electrodo Revestido 3/32" x 14</t>
  </si>
  <si>
    <t>Tornillo Exagonal 1/4" x 1½" con Tuerca</t>
  </si>
  <si>
    <t>Tornillo Exagonal 1/4" x 2" Con Tuerca</t>
  </si>
  <si>
    <t>Tornillo Exagonal 1/4" x 4½" Con Tuerca</t>
  </si>
  <si>
    <t>MANGA AUT PLENA T. COND 465-465 MCM AL</t>
  </si>
  <si>
    <t>TORNILLO MAQ. CAB. HEX. 1/4" X 2 1/2"</t>
  </si>
  <si>
    <t>TORNILLO MAQ. CAB. HEX. 1/4" X 4 1/2"</t>
  </si>
  <si>
    <t>Cable Cobre URD #2 Aisl Neutro 33% 15KV</t>
  </si>
  <si>
    <t>Cable Alum URD 300 mcm Ais P/15 KV</t>
  </si>
  <si>
    <t>WACS MCA SPECTRUM SIM 120V TIPO BOTTOM</t>
  </si>
  <si>
    <t>Cable Alum URD 500 mcm Ais HEPRZ 15KV</t>
  </si>
  <si>
    <t>Unidad recole entrada (IPU) com TWACS</t>
  </si>
  <si>
    <t>Unidad Modul salida (OMU) com TWACS</t>
  </si>
  <si>
    <t>Hand Held GPRS</t>
  </si>
  <si>
    <t>Rutedador Digi Edge DC- WAN GE10A</t>
  </si>
  <si>
    <t>Rollo de Papel 30 x 500  ( Plotter Xerox</t>
  </si>
  <si>
    <t>Display p/Medid.prepag 120v/240v Twacs</t>
  </si>
  <si>
    <t>Gabinete Medición Altur p/12 Medid.TWACS</t>
  </si>
  <si>
    <t>Montaje Fuente Alimentación(Y86907-7-P).</t>
  </si>
  <si>
    <t>Ndaptador DB25 PARA Supresor (Y86978-1).</t>
  </si>
  <si>
    <t>Medidor Modular Prepago 120VAC (GPRS).</t>
  </si>
  <si>
    <t>Pantalla repet. consumo SMCA 120/240V</t>
  </si>
  <si>
    <t>Base para TV</t>
  </si>
  <si>
    <t>Gabinete de pared de 20U</t>
  </si>
  <si>
    <t>CINTA P/MAQUINA SUMADORA</t>
  </si>
  <si>
    <t>Barra UNISTRO de 1 5/8"x1 5/8"x10"</t>
  </si>
  <si>
    <t>Conector Recto Tipo HUB p/Tubo de 3"</t>
  </si>
  <si>
    <t>Registro Metal de 18"x18"x6"Orif 2"N3R</t>
  </si>
  <si>
    <t>Fuente de Modem DIGI</t>
  </si>
  <si>
    <t>Panel 3Ø T/Socket, 8 zoc,main brk 100A</t>
  </si>
  <si>
    <t>Panel 3Ø T/Socket, 16 zoc,main brk 250A</t>
  </si>
  <si>
    <t>Panel 3Ø T/Socket, 20 zoc,main brk 200A</t>
  </si>
  <si>
    <t>Panel 3Ø T/Socket, 25 zoc,main brk 250A</t>
  </si>
  <si>
    <t>Tab Dist 3Ø, 4H, Mbrk 500A, 4BRK+3Disp-A</t>
  </si>
  <si>
    <t>Tab Dist 3Ø, 4H, MBRK 400A, 2BRK+3DISP-C</t>
  </si>
  <si>
    <t>TR Eco 3Ø 112.5KVA 12.47/7.2KV-120/208V</t>
  </si>
  <si>
    <t>TR Eco 3Ø 225KVA 12.47/7.2KV-120/208V</t>
  </si>
  <si>
    <t>Trans Monof 10kv 7.2/12.47kv-480/240v</t>
  </si>
  <si>
    <t>Interruptor Horario digital 240V P/lumin</t>
  </si>
  <si>
    <t>Celda M,Int Aut/3P,CT30-60/5A ,PT,12.5kV</t>
  </si>
  <si>
    <t>Tomacorriente de superficie 125V, 2 sal</t>
  </si>
  <si>
    <t>Tubo Metálico IMC 4"x 10'</t>
  </si>
  <si>
    <t>Remanuf Transf M. 37,5kva 2,4kv 120-240V</t>
  </si>
  <si>
    <t>Booster de 100kva 7,2/2,4kv</t>
  </si>
  <si>
    <t>Booster de 333kva 7,2/2,4kv</t>
  </si>
  <si>
    <t>Cable CCA conc 2x8 AWG,7h aisl XLPE 600V</t>
  </si>
  <si>
    <t>Curva  Ac. Galv. p/tubo IMC 2"</t>
  </si>
  <si>
    <t>Medidor PLC 240V,3h,CL200,FM2S, Socket</t>
  </si>
  <si>
    <t>Med Electrónico 120V,2h FM 1S c/Mod PLC</t>
  </si>
  <si>
    <t>Med Elec 120V,2h FM 1S c/Mod PLC y desc</t>
  </si>
  <si>
    <t>Cable de Cobre # 4/0 AWG  Aisl en THHN</t>
  </si>
  <si>
    <t>TRANSF PM3Ø 1000KVA 12.5KVA 277/480V D-Y</t>
  </si>
  <si>
    <t>Cruceta de metal 6"</t>
  </si>
  <si>
    <t>Cable de Cobre #4 THHN</t>
  </si>
  <si>
    <t>Botas Dielectricas de Seguridad</t>
  </si>
  <si>
    <t>Botas Ergonomicas</t>
  </si>
  <si>
    <t>Tenis para Lectores</t>
  </si>
  <si>
    <t>Sistema  Lava Ojos</t>
  </si>
  <si>
    <t>Soga de Nylon</t>
  </si>
  <si>
    <t>Termometro digital infrarojo</t>
  </si>
  <si>
    <t>Estacion de Acopio</t>
  </si>
  <si>
    <t>Cable concéntrico 3x95/95mm2 CU</t>
  </si>
  <si>
    <t>Muro Tipo Jersey</t>
  </si>
  <si>
    <t>Espuela Acero P/ Linieros</t>
  </si>
  <si>
    <t>Guantes Dieléc Aislado a 1000 V</t>
  </si>
  <si>
    <t>Guantes Rústico para trabajo Gral</t>
  </si>
  <si>
    <t>Manga Dieléctrica Cl 2</t>
  </si>
  <si>
    <t>Llave Exagonal Aislada</t>
  </si>
  <si>
    <t>Linterna para casco</t>
  </si>
  <si>
    <t>Cinta anti Deslizante</t>
  </si>
  <si>
    <t>Destornillador aislados a 1000V</t>
  </si>
  <si>
    <t>SEÑALETICAS INTERNAS</t>
  </si>
  <si>
    <t>Botiquin de Primeros Auxilios</t>
  </si>
  <si>
    <t>Proctores Auditivos</t>
  </si>
  <si>
    <t>Botas de Goma</t>
  </si>
  <si>
    <t>Capa Para Agua</t>
  </si>
  <si>
    <t>Sección  P/ Vara Telescópica 35'</t>
  </si>
  <si>
    <t>Chaleco Reflectivo</t>
  </si>
  <si>
    <t>Pitos Aviso de Emergencia</t>
  </si>
  <si>
    <t>Filtro Multigases para Respiradores</t>
  </si>
  <si>
    <t>Boquilla para Alcoholimetro</t>
  </si>
  <si>
    <t>LETREROS</t>
  </si>
  <si>
    <t>Bandeja Recicladora de Papel</t>
  </si>
  <si>
    <t>Pastilla Purificadora baños</t>
  </si>
  <si>
    <t>Lentes de Seguridad</t>
  </si>
  <si>
    <t>Malacate de Cadena</t>
  </si>
  <si>
    <t>Embudo p/combustible</t>
  </si>
  <si>
    <t>kit Contra Derrames Portatiles</t>
  </si>
  <si>
    <t>Arnes para mangas</t>
  </si>
  <si>
    <t>Cinta Amarilla/Negra</t>
  </si>
  <si>
    <t>Cinta Amarilla</t>
  </si>
  <si>
    <t>Llave T Aislada</t>
  </si>
  <si>
    <t>Fusible de expulsión tipo D, 20A</t>
  </si>
  <si>
    <t>Bota de Goma Aislada a 69000 V</t>
  </si>
  <si>
    <t>Protector Auditivo para casco</t>
  </si>
  <si>
    <t>Conector Simpl t/sillita,#6-350MCM AL-CU</t>
  </si>
  <si>
    <t>Conector doble t/sillita,#6-350MCM AL-CU</t>
  </si>
  <si>
    <t>Luminaria tipo LED 200 W</t>
  </si>
  <si>
    <t>Kit Anti Derrame Tipo Tanque</t>
  </si>
  <si>
    <t>Cinta Tubular Reata de Nylon</t>
  </si>
  <si>
    <t>Comprimidor MD-6</t>
  </si>
  <si>
    <t>Pertiga Vira Poste</t>
  </si>
  <si>
    <t>Módulo de medición SMCA P/12 medidores</t>
  </si>
  <si>
    <t>Kit para Bloqueo y Etiquietado</t>
  </si>
  <si>
    <t>Detector de Gases Multiples</t>
  </si>
  <si>
    <t>Contenedor hidrocarburos y aceites</t>
  </si>
  <si>
    <t>Reductores de Velocidad Redondos</t>
  </si>
  <si>
    <t>Reductores de Velocidad Tipo tope</t>
  </si>
  <si>
    <t>Traje para arco electrico de 50 cal/Cm2</t>
  </si>
  <si>
    <t>Tubo Portafusible de 15kV,100A</t>
  </si>
  <si>
    <t>Transf PM 1000KVA 12.5KVA 120/208V Y-Y</t>
  </si>
  <si>
    <t>Poste de madera de 60 Pies Clase 2</t>
  </si>
  <si>
    <t>Fundas negras 15 Gal. para zafacon</t>
  </si>
  <si>
    <t>Manitas Limpias</t>
  </si>
  <si>
    <t>Limpia Cristal</t>
  </si>
  <si>
    <t>Papel Higienico Fardo</t>
  </si>
  <si>
    <t>Jabon Liquido sin Fragancia</t>
  </si>
  <si>
    <t>Detergente en Polvo</t>
  </si>
  <si>
    <t>Removedor de Piso</t>
  </si>
  <si>
    <t>LLavin para Puerta Comercial</t>
  </si>
  <si>
    <t>Plafones Comercial 2x4</t>
  </si>
  <si>
    <t>Jabon Liquido con Fragancia</t>
  </si>
  <si>
    <t>Espejo Para Inspeccion Vehicular</t>
  </si>
  <si>
    <t>Concentrador de prepago 240V CL20,3hilos</t>
  </si>
  <si>
    <t>Grasa de contacto eléctrico con petróleo</t>
  </si>
  <si>
    <t>Cable cobre aislado XLPE 500MCM, 1kV</t>
  </si>
  <si>
    <t>Celdas p/Interconexión de Barra a 17.5kV</t>
  </si>
  <si>
    <t>Celdas p/Subida de Barra a 17.5kV</t>
  </si>
  <si>
    <t>Aislador T/Carrete Polietileno HD C.53-2</t>
  </si>
  <si>
    <t>Fusible Limitador de Corriente NX, 100A</t>
  </si>
  <si>
    <t>Fusible para codo portafusibe 6A</t>
  </si>
  <si>
    <t>Fusible para codo portafusibe 8A</t>
  </si>
  <si>
    <t>Fusible para codo portafusibe 10A</t>
  </si>
  <si>
    <t>Fusible para codo portafusibe 12A</t>
  </si>
  <si>
    <t>Fusible para codo portafusibe 18A</t>
  </si>
  <si>
    <t>Fusible para codo portafusibe 20A</t>
  </si>
  <si>
    <t>Fusible para codo portafusibe 25A</t>
  </si>
  <si>
    <t>Fusible para codo portafusibe 30A</t>
  </si>
  <si>
    <t>Fusible para codo portafusibe 40A</t>
  </si>
  <si>
    <t>Desfibrilador ventricular</t>
  </si>
  <si>
    <t>Repetidor 120V-2H de medidor en altura</t>
  </si>
  <si>
    <t>Repetidor 240V-2H de medidor en altura</t>
  </si>
  <si>
    <t>Medidor Modular 120V-2H Telem.en altura</t>
  </si>
  <si>
    <t>Medidor Modular 240V-3H Telem.en altura</t>
  </si>
  <si>
    <t>Mod. Transf CT-PT 100-200/5A,7.2/0.12kV</t>
  </si>
  <si>
    <t>Mod. Transf CT-PT 150-300/5A,7.2/0.12kV</t>
  </si>
  <si>
    <t>Mod. Transf CT-PT 200-400/5A,7.2/0.12kV</t>
  </si>
  <si>
    <t>Cable CU Flex 3Cond #12AWG aisl PVC 600V</t>
  </si>
  <si>
    <t>Varilla de anclaje un ojo 3/4'' X 8'</t>
  </si>
  <si>
    <t>Tornillo Maquina Cabeza Hex. 5/8" X 3"</t>
  </si>
  <si>
    <t>Base Circular P/Medidor CL200 240V-FM2S</t>
  </si>
  <si>
    <t>Tapa Protectora de Carga a 15kv, 200A</t>
  </si>
  <si>
    <t>Celda 34.5kV P/salida de circuitos dist.</t>
  </si>
  <si>
    <t>Celda 34.5kV P/Circuitos auxiliares</t>
  </si>
  <si>
    <t>Celda 34.5kV llegada/interconexión barra</t>
  </si>
  <si>
    <t>Luminaria t/Cobra HPS 400W-480V/100V</t>
  </si>
  <si>
    <t>Medidor CL20,120/480V,3H FM35A RS232</t>
  </si>
  <si>
    <t>Base de 10 Clips para Medidor FM9S</t>
  </si>
  <si>
    <t>Poste hormigón armado vibrado 10.5m-5k</t>
  </si>
  <si>
    <t>Poste hormigón armado vibrado 12m-5kN</t>
  </si>
  <si>
    <t>Poste hormigón armado vibrado 14m-8kN</t>
  </si>
  <si>
    <t>Abrazadera Ac Galv Omega P/Moldura de ½"</t>
  </si>
  <si>
    <t>Cable Conc CU 3x120mm2, Aisl XLPE 600V</t>
  </si>
  <si>
    <t>Panel 3Ø T/Socket, 10 zoc, main brk 150A</t>
  </si>
  <si>
    <t>Kit de supervivencia</t>
  </si>
  <si>
    <t>Sistema de lava ojos portátiles</t>
  </si>
  <si>
    <t>Sonómetro digital 31Hz-8kHz</t>
  </si>
  <si>
    <t>Triángulos de señalización piso húmedo</t>
  </si>
  <si>
    <t>Malla Limitatoria plástica color naranja</t>
  </si>
  <si>
    <t>Poste Acero Galvanizado 9m-3kN</t>
  </si>
  <si>
    <t>Poste Acero Galvanizado 12m-6kN</t>
  </si>
  <si>
    <t>Poste Acero Galvanizado 12m-8kN</t>
  </si>
  <si>
    <t>MTU 150kVA,4.16/2.4kV,480/277V,±2%,Y-Y</t>
  </si>
  <si>
    <t>MTU 150kVA,12.47/7.2kV,480/277V,±2%,Y-Y</t>
  </si>
  <si>
    <t>MTU 225kVA,12.47/7.2kV,480/277V,±2%,Y-Y</t>
  </si>
  <si>
    <t>MTU 300kVA,12.47/7.2kV,480/277V,±2%,Y-Y</t>
  </si>
  <si>
    <t>MTU 500kVA,12.47/7.2kV,480/277V,±2%,Y-Y</t>
  </si>
  <si>
    <t>CRU, Acero Inox, 1 Mira, 120VAC, 60HZ,3H</t>
  </si>
  <si>
    <t>Transf 1ø,100kVA,7.2kV,480Y/277V,Reg-25%</t>
  </si>
  <si>
    <t>Conector porta fusible T/Codo 4/0, 15kV</t>
  </si>
  <si>
    <t>Conector porta fusible T/Codo 2/0, 15kV</t>
  </si>
  <si>
    <t>Coupling Ac Galv. P/Tubo IMC 2 1/2"</t>
  </si>
  <si>
    <t>Seccionador trip T/Estación 1200A, 15kV</t>
  </si>
  <si>
    <t>Adaptador inserto doble p/transf PM,15KV</t>
  </si>
  <si>
    <t>ANGULAR AC GALV PERFIL L, DE 2x2x1/4"x5’</t>
  </si>
  <si>
    <t>Breakers Termag fino P/Barra, 60A, 1polo</t>
  </si>
  <si>
    <t>Tanque presurizado fibra vidrio 60 gal</t>
  </si>
  <si>
    <t>Cinta reflectiva adhesiva verde 3mx50mm</t>
  </si>
  <si>
    <t>Cinta antideslizante reflectiva 3mx50mm</t>
  </si>
  <si>
    <t>Protector auditivo inalámbrico comuni 4P</t>
  </si>
  <si>
    <t>Bomba manual rotativa C/Contador de gal</t>
  </si>
  <si>
    <t>Traje antisalpicadura blanco talla L</t>
  </si>
  <si>
    <t>Antena Omni UHF 450-470MHz 12.1dB</t>
  </si>
  <si>
    <t>Antena Omni VHF 138-174MHz 8dB 4 Dipolo</t>
  </si>
  <si>
    <t>IPU P/CONEXION EN CIRCUITO 1A SECUNDARIO</t>
  </si>
  <si>
    <t>IPU P/CONEXION EN CIRCUITO 5A SECUNDARIO</t>
  </si>
  <si>
    <t>Medidor Modular 240V 3H en altura GPRS</t>
  </si>
  <si>
    <t>Gabinete 18 Medidores 120/240V GPRS</t>
  </si>
  <si>
    <t>Repetidor 240V 2H GPRS</t>
  </si>
  <si>
    <t>Repetidor 120V 2H GPRS</t>
  </si>
  <si>
    <t>MTU 112.5kVA 12.47/7.2kV 480/277V ±2%Y-Y</t>
  </si>
  <si>
    <t>Kit Unidad Modulación de salida OMU</t>
  </si>
  <si>
    <t>Tarugo de plomo P/Tornillo 5/16 X 1’’ ½</t>
  </si>
  <si>
    <t>Kit empalme P/Cable URD #2/0AWG 15kV</t>
  </si>
  <si>
    <t>Registro 3Ø Fibra vidrio T/Ped 54x58x25"</t>
  </si>
  <si>
    <t>Kit empalme P/Cable URD #4/0AWG 15kV</t>
  </si>
  <si>
    <t>Regleta EPDM P/Derv Soter 2Bor 15kV-200A</t>
  </si>
  <si>
    <t>Regleta EPDM P/Derv Soter 4Bor 15kV-200A</t>
  </si>
  <si>
    <t>Buzon P/Denuncia acrilico azul 7x11x8½"</t>
  </si>
  <si>
    <t>Formulario desembolso definitivo C/Chica</t>
  </si>
  <si>
    <t>Transf Monof 10kVA 7.2/12.5kV, 240-480V</t>
  </si>
  <si>
    <t>Sello de Seguridad Enduro Azul duplicado</t>
  </si>
  <si>
    <t>Adaptador DB9 Macho a RJ11</t>
  </si>
  <si>
    <t>Ignitor 400W 100V P/Luminaria HPS</t>
  </si>
  <si>
    <t>Ignitor 150-250 100V P/Luminaria HPS</t>
  </si>
  <si>
    <t>Galon D/Ambientador Liquido Concentrado</t>
  </si>
  <si>
    <t>Paño absorvente de microfibra P/limpieza</t>
  </si>
  <si>
    <t>Abrazadera Unistrut para barra 1 5/8"</t>
  </si>
  <si>
    <t>Riel barra Unistrut 1 3/4" X 1 3/4"</t>
  </si>
  <si>
    <t>Tornillo Maquina Cabeza Hex. 5/8" X 10"</t>
  </si>
  <si>
    <t>Colector de datos P/Módulo SMCA 120/240V</t>
  </si>
  <si>
    <t>MTU 45kVA, 4.16/2.4kV,480/277V,±2%,Y-Y</t>
  </si>
  <si>
    <t>MTU 75kVA, 4.16/2.4kV,480/277V,±2%,Y-Y</t>
  </si>
  <si>
    <t>Tornillo P/ aislador T/carrete 5/8 x8”.</t>
  </si>
  <si>
    <t>Terminal Bimetalico #2, 2 agujeros</t>
  </si>
  <si>
    <t>Medidor UMTS,240V,3h,CL20,F4S,SOCK</t>
  </si>
  <si>
    <t>Breaker  Doble 63 Amp</t>
  </si>
  <si>
    <t>Tornillo tiraf Galv 1 1/2"x1/4" Cab. cua</t>
  </si>
  <si>
    <t>Conector Bim P/ Varilla Tierra 5/8"-3/4"</t>
  </si>
  <si>
    <t>Sello de Seguridad Doble Ancla Azul</t>
  </si>
  <si>
    <t>Luminaria Led 150W, 240V-P/Techo</t>
  </si>
  <si>
    <t>MASCARILLA</t>
  </si>
  <si>
    <t>Sticker de Cambio de Medidor</t>
  </si>
  <si>
    <t>Espejo Retrovisor</t>
  </si>
  <si>
    <t>ANILLO COUPLING PVC 3"</t>
  </si>
  <si>
    <t>CLAVO HILTI</t>
  </si>
  <si>
    <t>Impresión de Formularios IDP</t>
  </si>
  <si>
    <t>Repetidor 240v, 2H Prep desc. GPRS</t>
  </si>
  <si>
    <t>Gabinete de 18 Medidores con GPRS</t>
  </si>
  <si>
    <t>Medidor Modular 240V, 3H GPRS</t>
  </si>
  <si>
    <t>Juego de Puesta Tierra</t>
  </si>
  <si>
    <t>Block de 50 Formularios promesa de contr</t>
  </si>
  <si>
    <t>Block de 50 Formularios para norm. GC</t>
  </si>
  <si>
    <t>Block de 50 Form. OT control materiales</t>
  </si>
  <si>
    <t>Guante para Laboratorio (Nitrilo)</t>
  </si>
  <si>
    <t>(en blanco)</t>
  </si>
  <si>
    <t>Precio Final</t>
  </si>
  <si>
    <t>Poste de Acero Galvanizado 45' 8.0 KN</t>
  </si>
  <si>
    <t>Caja Derivadora 3 Borneras 30 TOMAS</t>
  </si>
  <si>
    <t>Aislad T/Esp 4"x3 3/4"x13/16 Polim 43.5</t>
  </si>
  <si>
    <t>Aislador Susp 138kV</t>
  </si>
  <si>
    <t>Aislador Susp 52-9B T/ Clevis</t>
  </si>
  <si>
    <t>Aislador Susp T/Carr 140x165 T/ Clv 52-1</t>
  </si>
  <si>
    <t>Aislador T/ Carr 105x102 T/ Clevis 53-5</t>
  </si>
  <si>
    <t>Aislador T/ Esp PIN CL52-3 1 3/8" 34.5kV</t>
  </si>
  <si>
    <t>Aislador T/ Pin 55-5 Polim 15kV</t>
  </si>
  <si>
    <t>Aislador T/ Pin 56-3 69kV</t>
  </si>
  <si>
    <t>Aislador T/ Susp 34.5kV</t>
  </si>
  <si>
    <t>Aislante de Corte P/Base de Medidor</t>
  </si>
  <si>
    <t>Caja Aisl P/ Conector Compresión 1 3/4"</t>
  </si>
  <si>
    <t>Caja Aislante P/ Contenedor</t>
  </si>
  <si>
    <t>Terminal Cabl Polietil Cu 630mm2,12/20kV</t>
  </si>
  <si>
    <t>Alambre #2 THHN AWG Cobre</t>
  </si>
  <si>
    <t>Alambre #6 AWG-SDO Cu P/ Ligad EMI-Duro</t>
  </si>
  <si>
    <t>Alambre Advanced THHN ST No.6 Amarillo</t>
  </si>
  <si>
    <t>Alambre Advanced THHN ST No.6 Verde</t>
  </si>
  <si>
    <t>Alambre Advanced THHN ST No.8 Amarillo</t>
  </si>
  <si>
    <t>Alambre Advanced THHN ST No.8 Azul</t>
  </si>
  <si>
    <t>Alambre Advanced THHN ST No.8 Negro</t>
  </si>
  <si>
    <t>Alambre Advanced THHN ST No.8 Verde</t>
  </si>
  <si>
    <t>Alambre Control PVC #12 Cu Negr THW 600V</t>
  </si>
  <si>
    <t>Alambre Control PVC #2 Cu Negr THW 600V</t>
  </si>
  <si>
    <t>Alambre Flexible 1.5mm No.14</t>
  </si>
  <si>
    <t>Alambre Flexible 2.5mm No.12</t>
  </si>
  <si>
    <t>Alambre Flexible Multip 4.0mm No.10</t>
  </si>
  <si>
    <t>Alambre Goma AWG 8/4</t>
  </si>
  <si>
    <t>Alambre PVC #2/0 Cu Negro THW 600V</t>
  </si>
  <si>
    <t>Alambre PVC #4/0 Cu Negro THW 600V</t>
  </si>
  <si>
    <t>Alambre THHN LS No.4/0</t>
  </si>
  <si>
    <t>Alambre THHN ST No.6 105 G 600V Blanco</t>
  </si>
  <si>
    <t>Alambre THHN ST No.6 105 G 600V Rojo</t>
  </si>
  <si>
    <t>Alambre THHN ST No.6 105 G 600V Verde</t>
  </si>
  <si>
    <t>Alambre THHN ST No.8 105 G 600V Blanco</t>
  </si>
  <si>
    <t>Alambre TW ST No.6 Negro</t>
  </si>
  <si>
    <t>Alambre TW ST No.8 Blanco</t>
  </si>
  <si>
    <t>Alambre TW ST No.8 Negro</t>
  </si>
  <si>
    <t>Alambre UF 2C AWG No 6 Duplex</t>
  </si>
  <si>
    <t>Cable 4mm Amarillo-Verde</t>
  </si>
  <si>
    <t>Cable Alumin Recub 477 AWG 37 Aisl XLPE</t>
  </si>
  <si>
    <t>Cable Cobre 250 MCM</t>
  </si>
  <si>
    <t>Cable Cobre 500 MCM</t>
  </si>
  <si>
    <t>Cable Cobre Advanced ST #6 THHN AWG Negr</t>
  </si>
  <si>
    <t>Cable Cobre Aislado 477 MCM 600V</t>
  </si>
  <si>
    <t>Cable Control 8 Cond Calibre 12 AWG</t>
  </si>
  <si>
    <t>Cable Cu 35mm2 Aisl 12/20kV XLPE ó AWG</t>
  </si>
  <si>
    <t>Cable Cu 95mm2 Aisl 12/20kV XLPE ó AWG</t>
  </si>
  <si>
    <t>Cable Cu Unif Aisl PVC 0.6/1kV 1x35mm</t>
  </si>
  <si>
    <t>Cable Cuad 4/0 Cond Al Aisl Neutro 2/0</t>
  </si>
  <si>
    <t>Cable de Acometida SEU Tipo SE U, 3 #4</t>
  </si>
  <si>
    <t>Cable de Acometida SEU Tipo SE U, 3 #6</t>
  </si>
  <si>
    <t>Cable de Acometida SEU Tipo SE U, 3 #8</t>
  </si>
  <si>
    <t>Cable de Acometida SEU Tipo SE U, 4h #6</t>
  </si>
  <si>
    <t>Cable de Alimentación P/ Power Conector</t>
  </si>
  <si>
    <t>Cable de Control #18</t>
  </si>
  <si>
    <t>Cable de Control 12"x12" AWG</t>
  </si>
  <si>
    <t>Cable de Control Concéntrico 7 Hilos #14</t>
  </si>
  <si>
    <t>Cable de Control Flex 12h AWG #14, 600V</t>
  </si>
  <si>
    <t>Cable de Control Flex 5h AWG #10, 600V</t>
  </si>
  <si>
    <t>Cable de Control Flex 7h AWG #24, 600V</t>
  </si>
  <si>
    <t>Cable de Control Flex 8h AWG #24, 600V</t>
  </si>
  <si>
    <t>Cable de Viento 3/16"</t>
  </si>
  <si>
    <t>Cable de Viento Bim Acero-Aluminio 5/16"</t>
  </si>
  <si>
    <t>Cable de Viento P/ Comunicaciones 1/4"</t>
  </si>
  <si>
    <t>Cable Duplex #4 Aluminio</t>
  </si>
  <si>
    <t>Cable Electrico Redondo de Goma 10-4h</t>
  </si>
  <si>
    <t>Cable Flex Calib #6 AWG 2h Aisl PVC</t>
  </si>
  <si>
    <t>Cable Multipolar Flex 8h #14 AWG</t>
  </si>
  <si>
    <t>Cable No.14 TW</t>
  </si>
  <si>
    <t>Cable P/ P Tierra Desn Trenz No.2 AWG</t>
  </si>
  <si>
    <t>Cable P/ P Tierra Desn Trenz No.6 AWG</t>
  </si>
  <si>
    <t>Cable P/ Teléfono dos Pares Uso Exterior</t>
  </si>
  <si>
    <t>Cable Redondo de Goma 2 Hilos Calibre 12</t>
  </si>
  <si>
    <t>Cable Redondo de Goma 2 Hilos Calibre 14</t>
  </si>
  <si>
    <t>Cable RG213 Para Antenas</t>
  </si>
  <si>
    <t>Cable RJ11</t>
  </si>
  <si>
    <t>Cable Tripl 2 #4 AAC Neutro #4 AAAC Desn</t>
  </si>
  <si>
    <t>Cable UF Vinil 14/3</t>
  </si>
  <si>
    <t>Conductor Aluminio Alloy 1/0 AAAC 7h</t>
  </si>
  <si>
    <t>Conductor de Cobre HDB #4</t>
  </si>
  <si>
    <t>Conductor de Cobre HDB #6</t>
  </si>
  <si>
    <t>Conductor de Cobre Trenzado de 400 MCM</t>
  </si>
  <si>
    <t>Banco 20 Bater 6VDC C/Prof 190 AH CA-7</t>
  </si>
  <si>
    <t>Banco de Baterías de Gel a 24V</t>
  </si>
  <si>
    <t>Batería 3V 2/3A Li P/ Medidores Q1000</t>
  </si>
  <si>
    <t>Batería Cuadrada de 9 Voltios</t>
  </si>
  <si>
    <t>Batería de 1.2 Voltios 150Amp/Hora</t>
  </si>
  <si>
    <t>Batería de 2 Voltios 150Amp/Hora</t>
  </si>
  <si>
    <t>Batería de Lítio</t>
  </si>
  <si>
    <t>Batería EXIDE 12V Libre Mantenimiento</t>
  </si>
  <si>
    <t>Batería EXIDE COM 12VDC HC-31D/HC-31E</t>
  </si>
  <si>
    <t>Batería EXIDE E-3600 6VDC 200A/H Pb-Acid</t>
  </si>
  <si>
    <t>Batería Gelatina de 12 Voltios 150 AH</t>
  </si>
  <si>
    <t>Batería HPB T/ C10A/H 200 AH 6VDC 2.23V</t>
  </si>
  <si>
    <t>Batería P/ Subest Ni-Cd 1,2V 150-200A/H</t>
  </si>
  <si>
    <t>Batería P/ Subestaciones 6V 150-200A/H</t>
  </si>
  <si>
    <t>Capacitor Recarg Trip Dev T-Mark 410-120</t>
  </si>
  <si>
    <t>Resistencia 25 Watts 5.1R 5%</t>
  </si>
  <si>
    <t>Resistencia 3.3 Ohm 1 a 15 Watts</t>
  </si>
  <si>
    <t>Aparejo Crique 1 Ton C/ Correa Nylon</t>
  </si>
  <si>
    <t>Aparejo Dieléctri Trip C/ Soga Dacron</t>
  </si>
  <si>
    <t>Aparejo Soga 1/2 Dob-Trip C-400-0925</t>
  </si>
  <si>
    <t>Botas Antiest Punt Antid Antip Size 40</t>
  </si>
  <si>
    <t>Botas Antiest Punt Antid Antip Size 41</t>
  </si>
  <si>
    <t>Botas Antiest Punt Antid Antip Size 42</t>
  </si>
  <si>
    <t>Botas Antiest Punt Antid Antip Size 43</t>
  </si>
  <si>
    <t>Botas Antiest Punt Antid Antip Size 44</t>
  </si>
  <si>
    <t>Botas Antiest Punt Antid Antip Size 45</t>
  </si>
  <si>
    <t>Botas Antiest Punt Antid Antip Size 47</t>
  </si>
  <si>
    <t>Botas Dieléct Punt Antid Antip Size 36</t>
  </si>
  <si>
    <t>Camisa en Pint Ponit Cuello Largo</t>
  </si>
  <si>
    <t>Camisa Trabajo Retard Flam Kaki Size L</t>
  </si>
  <si>
    <t>Camisa Trabajo Retard Flam Kaki Size M</t>
  </si>
  <si>
    <t>Camisa Trabajo Retard Flam Kaki Size S</t>
  </si>
  <si>
    <t>Camisa Trabajo Retard Flam Kaki Size XL</t>
  </si>
  <si>
    <t>Camisa Trabajo Retard Flam Kaki Size XXL</t>
  </si>
  <si>
    <t>Casco P/ Motorista</t>
  </si>
  <si>
    <t>Cinta Seg Indic Peligro 3"x2000' Rojo</t>
  </si>
  <si>
    <t>Cinturón Seg Rydom C/ Salvavidas</t>
  </si>
  <si>
    <t>Dispositivo Anticaida C/ Amortig y Freno</t>
  </si>
  <si>
    <t>Estinguidor 20 Lbs Mod. 332</t>
  </si>
  <si>
    <t>Estinguidor 20 Lbs Mod. A411</t>
  </si>
  <si>
    <t>Estinguidor 5 Lbs</t>
  </si>
  <si>
    <t>Estribos</t>
  </si>
  <si>
    <t>Extintor ABC 0.5 Lib</t>
  </si>
  <si>
    <t>Extintor ABC 2.5 Lib</t>
  </si>
  <si>
    <t>Extintor ABC 50 Lib</t>
  </si>
  <si>
    <t>Extintor CO2 50 Lib</t>
  </si>
  <si>
    <t>Fast-Trace II Harness P/ Casco Protector</t>
  </si>
  <si>
    <t>Forro de Guante T/ Verano Cat.4T4987</t>
  </si>
  <si>
    <t>Guantes Aislado P/ 15kV</t>
  </si>
  <si>
    <t>Guantes Aislado P/ 15kV C/ Protector</t>
  </si>
  <si>
    <t>Guantes Aislado P/ 27kV</t>
  </si>
  <si>
    <t>Guantes Aislado P/ 500V S/ Protector</t>
  </si>
  <si>
    <t>Guantes Cortos Azul-Amarillo Propiel</t>
  </si>
  <si>
    <t>Guantes Dieléc Cl 0 1000V Kit Size 10</t>
  </si>
  <si>
    <t>Guantes Dieléc Cl 0 1000V Kit Size 9H</t>
  </si>
  <si>
    <t>Guantes Dieléc Cl 2 17000V Size 10</t>
  </si>
  <si>
    <t>Guantes Dieléc Cl 2 17000V Size 10H</t>
  </si>
  <si>
    <t>Guantes Dieléc Cl 2 17000V Size 9</t>
  </si>
  <si>
    <t>Guantes Dieléc Cl 2 17000V Size 9H</t>
  </si>
  <si>
    <t>Guantes KSR 22-515 Vinil Recub Size 9</t>
  </si>
  <si>
    <t>Guantes PVC Corrugados</t>
  </si>
  <si>
    <t>Guantes Touch Ntuff Nitr Desech Size 9</t>
  </si>
  <si>
    <t>Lentes Antirray a Prueba Impacto Oscuro</t>
  </si>
  <si>
    <t>Lentes P/ Usarse Sobre Lentes Recetados</t>
  </si>
  <si>
    <t>Lentes Protector C/ Filtro 9186 Oscuro</t>
  </si>
  <si>
    <t>Letrero Señaliz Salida en ES C/ Bateria</t>
  </si>
  <si>
    <t>Línea de Vida para Arnés</t>
  </si>
  <si>
    <t>Linga de 25'</t>
  </si>
  <si>
    <t>Materiales de Seguridad Personal</t>
  </si>
  <si>
    <t>Mochila Shalam 4234</t>
  </si>
  <si>
    <t>Overol en Dril Azul</t>
  </si>
  <si>
    <t>Pantalón Trabajo Jeans Azul Mar C/ Logo</t>
  </si>
  <si>
    <t>Pantalón Trabajo Retd Flam Kaki Size 30</t>
  </si>
  <si>
    <t>Pantalón Trabajo Retd Flam Kaki Size 32</t>
  </si>
  <si>
    <t>Pantalón Trabajo Retd Flam Kaki Size 33</t>
  </si>
  <si>
    <t>Pantalón Trabajo Retd Flam Kaki Size 34</t>
  </si>
  <si>
    <t>Pantalón Trabajo Retd Flam Kaki Size 36</t>
  </si>
  <si>
    <t>Pantalón Trabajo Retd Flam Kaki Size 38</t>
  </si>
  <si>
    <t>Pantalón Trabajo Retd Flam Kaki Size 40</t>
  </si>
  <si>
    <t>Protección Mec P/ Guantes Cl 0 Size 9H</t>
  </si>
  <si>
    <t>Protección Mec P/ Guantes Cl 2 Size 9H</t>
  </si>
  <si>
    <t>Protect Vista Uvex Prosp NR 9185 C/ Fil</t>
  </si>
  <si>
    <t>Protect Vista Uvex Prosp NR 9186 C/ Fil</t>
  </si>
  <si>
    <t>Protector de Guantes Manga Size 9</t>
  </si>
  <si>
    <t>Talco P/ Guantes</t>
  </si>
  <si>
    <t>Triángulo de Señalización</t>
  </si>
  <si>
    <t>Bombilla Mercurio Alta Pres 175W 55V HPS</t>
  </si>
  <si>
    <t>Conj Lumin T/ Cobra 100W 24VDC MicroLED</t>
  </si>
  <si>
    <t>Controlador Carga P/ Lumin Sol LED 100W</t>
  </si>
  <si>
    <t>Fotocelda 1000-1800V Socket</t>
  </si>
  <si>
    <t>Fotocelda 100-208V Multir Relay Abiert</t>
  </si>
  <si>
    <t>Fotocelda P/ 240V T/ Socket Roja</t>
  </si>
  <si>
    <t>Kit Iluminac Ext T/ Cobra 250W 208/240V</t>
  </si>
  <si>
    <t>Kit Partes Inter Lumin 400W 240V</t>
  </si>
  <si>
    <t>Kit Partes Inter Lumin 400W 280V</t>
  </si>
  <si>
    <t>Luminaria Alumbrado Públ Merc 175W HPS</t>
  </si>
  <si>
    <t>Luminaria T/ Cobra Bomb Incl 100W 24VDC</t>
  </si>
  <si>
    <t>Módulo Fotovoltaico 120W Para 12h Oper</t>
  </si>
  <si>
    <t>Armario P/ Medición Indirecta</t>
  </si>
  <si>
    <t>Armario PNZ I Derivac Medidores Indirec</t>
  </si>
  <si>
    <t>Arnés P/ Manga Dieléctr Cl 0 C/ Botones</t>
  </si>
  <si>
    <t>Bandala de Seguridad 23 Mtr</t>
  </si>
  <si>
    <t>Base Adhesiva P/ Amarre Plastica</t>
  </si>
  <si>
    <t>Base de Goma PTT</t>
  </si>
  <si>
    <t>Base de Madera P/ Medidor</t>
  </si>
  <si>
    <t>Base Galv P/ Seccionador Monopolar</t>
  </si>
  <si>
    <t>Base Hexag P/ Antena Marconi 1/4 Onda</t>
  </si>
  <si>
    <t>Base Hexag P/ Antena Tipo NMO</t>
  </si>
  <si>
    <t>Base Instal P/ Medidor Bif Sal 1 1/4"</t>
  </si>
  <si>
    <t>Base Instal P/ Medidor Polif Sal 1 1/4"</t>
  </si>
  <si>
    <t>Base Instal P/Med Monof Res Sal 1 1/4 T4</t>
  </si>
  <si>
    <t>Base MCU-15 P/ Eq Comp Medic CT PT TAIT</t>
  </si>
  <si>
    <t>Base P/ Medidor Galv 3/32 C 1/18 1/4</t>
  </si>
  <si>
    <t>Base P/ Relay de 11 PIN</t>
  </si>
  <si>
    <t>Base Plást P/ Acom Medidor Botton Cl100</t>
  </si>
  <si>
    <t>Base Redundant MDS 4790</t>
  </si>
  <si>
    <t>Base Relay Finder 60 12 10A 250V 110VDC</t>
  </si>
  <si>
    <t>Base Socket 200A Trif P/ Med Dig 5 Clips</t>
  </si>
  <si>
    <t>Bloque Contactos Auxiliares 125 VDC</t>
  </si>
  <si>
    <t>Bloque de Control de prueba</t>
  </si>
  <si>
    <t>Bobina 0.101 P/ Cargador Radio PRO-5150</t>
  </si>
  <si>
    <t>Bobina Disparo 125VCD P/ Interrup 72.5kV</t>
  </si>
  <si>
    <t>Bocina Conex-Desconex 125 VDC 15kV</t>
  </si>
  <si>
    <t>Bocina Conex-Desconex 125 VDC 72.5kV</t>
  </si>
  <si>
    <t>Brakers de 25/2 Amp</t>
  </si>
  <si>
    <t>Breaker Bifásico 10 Amp T/ Riel</t>
  </si>
  <si>
    <t>Breaker Bifásico 5 Amp 2 Polos</t>
  </si>
  <si>
    <t>Breaker GE Doble 150 Amp</t>
  </si>
  <si>
    <t>Breaker GE Doble 200 Amp</t>
  </si>
  <si>
    <t>Breaker GE Doble 40 Amp</t>
  </si>
  <si>
    <t>Breaker Tripolar 4 Amp 3 Polos</t>
  </si>
  <si>
    <t>Breaker VS20006 T SDV 15 25 14.4KV 1200A</t>
  </si>
  <si>
    <t>Breakers de 200/3 Amp</t>
  </si>
  <si>
    <t>Breakers de 250/2 Amp</t>
  </si>
  <si>
    <t>Breakers de 6/2 Amp</t>
  </si>
  <si>
    <t>Breakers GE Doble 15 Amp</t>
  </si>
  <si>
    <t>Breakers GE Doble 20 Amp</t>
  </si>
  <si>
    <t>Breakers GE Doble 30 Amp</t>
  </si>
  <si>
    <t>Breakout Cable</t>
  </si>
  <si>
    <t>Caja de Breaker Dos Circuitos</t>
  </si>
  <si>
    <t>Caja de Breaker Dos Circuitos Luminex</t>
  </si>
  <si>
    <t>Caja de Control de Reconectador NULEC</t>
  </si>
  <si>
    <t>Caja de Rejistro 10"x10" 4</t>
  </si>
  <si>
    <t>Caja Distribución Peq 2 Born 10 Tomas</t>
  </si>
  <si>
    <t>Caja Metálica P/ Acometid Múltip 24x20x8</t>
  </si>
  <si>
    <t>Caja P/ Acometidas Múltip Polyest Prens</t>
  </si>
  <si>
    <t>Caja P/ CTS Med 300/5</t>
  </si>
  <si>
    <t>Caja P/ CTS Med 600/5</t>
  </si>
  <si>
    <t>Caja P/ CTS Peq 200/5A 3/32 Cuerp 1/8</t>
  </si>
  <si>
    <t>Caja Policarb P/ Med Electron A200 3h</t>
  </si>
  <si>
    <t>Caja Policarb P/ Med Term 110 Sin</t>
  </si>
  <si>
    <t>Caja Protec Medidor Trif Acero C-14</t>
  </si>
  <si>
    <t>Caja Registro P/ Exteriores 12x10x4</t>
  </si>
  <si>
    <t>Capacitor 2,200 µF a 25V</t>
  </si>
  <si>
    <t>Capacitor 2,200 µF a 35V</t>
  </si>
  <si>
    <t>Capacitor 683 µF a 100V Ref C2469</t>
  </si>
  <si>
    <t>Capacitor Monof T-P 25kVAR 7.2/12.5kV</t>
  </si>
  <si>
    <t>Capacitor Monof T-P 50kVAR 7.2/12.5kV</t>
  </si>
  <si>
    <t>Capacitor Trif T-P 100kVAR 7.2/12.5kV</t>
  </si>
  <si>
    <t>Capacitor Trif T-P 25kVAR 7.2/12.5kV</t>
  </si>
  <si>
    <t>Capacitor Trif T-P 40kVAR 7.2/12.5kV</t>
  </si>
  <si>
    <t>Capacitor Trif T-P 50kVAR 7.2/12.5kV</t>
  </si>
  <si>
    <t>Cápsulas en Vacío 15kV P/ Interruptores</t>
  </si>
  <si>
    <t>Celda P/ Eliminación Servicios Propios</t>
  </si>
  <si>
    <t>Circuito Breaker Miniatura Bipol 15A Aux</t>
  </si>
  <si>
    <t>Circuito Breaker Miniatura Bipol 25A Aux</t>
  </si>
  <si>
    <t>Circuito Breaker Miniatura Bipol 6A Aux</t>
  </si>
  <si>
    <t>Cobertor de Líneas MT 12.5kV MVLC 477</t>
  </si>
  <si>
    <t>Cobertor P/ Conector RS-232 DB25</t>
  </si>
  <si>
    <t>Cobertor P/ Conector RS-232 DB9</t>
  </si>
  <si>
    <t>Cobertura P/ Retenciones 25kV</t>
  </si>
  <si>
    <t>Cobertura P/ Trabajo con Tensión</t>
  </si>
  <si>
    <t>Colgador Aislado</t>
  </si>
  <si>
    <t>COM Tipo 3-Módulo Comunic (RTS/CTS Com</t>
  </si>
  <si>
    <t>Complete Fuse Asembly 34.5kV 100A 20kA</t>
  </si>
  <si>
    <t>Complete Fuse Asembly 34.5kV 200A 20kA</t>
  </si>
  <si>
    <t>Compuesto P/ Contac Eléctr NO Deriv Petr</t>
  </si>
  <si>
    <t>Conjunto Combinado 3 CT y PT 100-20/5A</t>
  </si>
  <si>
    <t>Conjunto Combinado 3 CT y PT 50-100/5A</t>
  </si>
  <si>
    <t>Conjunto Combinado PT y CT 20-40/5A</t>
  </si>
  <si>
    <t>Contacto Auxiliar de Braker</t>
  </si>
  <si>
    <t>Contactor 250A Trifasico G.E.</t>
  </si>
  <si>
    <t>Contactor 30A Contactos 110VAC</t>
  </si>
  <si>
    <t>Contactor 50A 3 Polos 480V 60Hz</t>
  </si>
  <si>
    <t>Contactor 60A 3 Polos 240V 60 HZ</t>
  </si>
  <si>
    <t>Contactor 90-130A 3 Polos 240V 60Hz</t>
  </si>
  <si>
    <t>Contactor Mag P/ Conj Lumin 300A 480V</t>
  </si>
  <si>
    <t>Contactor Mag P/ Conj Lumin125A 220V</t>
  </si>
  <si>
    <t>Contactores Auxiliares 2 Cerrad 2 Abiert</t>
  </si>
  <si>
    <t>Cover 110 V</t>
  </si>
  <si>
    <t>Cover 220 V</t>
  </si>
  <si>
    <t>Cubierta Conductores 5" AB Change</t>
  </si>
  <si>
    <t>Cubierta Cortacircuito AB Chance</t>
  </si>
  <si>
    <t>Cubierta P/ Base de Medidor Socket Plast</t>
  </si>
  <si>
    <t>Cubierta Terminales AB Change</t>
  </si>
  <si>
    <t>Cut-Out 200A 7.8/15kV 95kV BIL Polimeric</t>
  </si>
  <si>
    <t>Cut-Out 200A 7.8/15kV 95KV BIL Porc Susp</t>
  </si>
  <si>
    <t>Cut-Out 34.5kV 100A 170kV Polimeric</t>
  </si>
  <si>
    <t>Cut-Out 7.8kV 50A</t>
  </si>
  <si>
    <t>Cut-Out Tipo L 100A 15/110kV</t>
  </si>
  <si>
    <t>DI/O Tipo 2-Módulo Actuador Reconectado</t>
  </si>
  <si>
    <t>DI/O Tipo1-Módulo I/O Digital Reconectad</t>
  </si>
  <si>
    <t>Empaque de Transformadores</t>
  </si>
  <si>
    <t>Equipo Transferencia Aut P/ MT 12.47kV</t>
  </si>
  <si>
    <t>Estabilizador de Voltaje AC 500W</t>
  </si>
  <si>
    <t>Fan Guard GDS-D9329</t>
  </si>
  <si>
    <t>Fan Guard GDS-D9330</t>
  </si>
  <si>
    <t>Filtro de Deshidratadores</t>
  </si>
  <si>
    <t>Fusible 125A (10/24kV) 442mm</t>
  </si>
  <si>
    <t>Fusible 15A</t>
  </si>
  <si>
    <t>Fusible 16A (10/24kV) 442mm</t>
  </si>
  <si>
    <t>Fusible 25A (10/24kV) 442mm</t>
  </si>
  <si>
    <t>Fusible 3A P/ Luminarias</t>
  </si>
  <si>
    <t>Fusible 5A P/ Porta Fusible de Lumin</t>
  </si>
  <si>
    <t>Fusible 6.3A (10/24kV) 442mm</t>
  </si>
  <si>
    <t>Fusible 63A (10/17.5kV) 442mm</t>
  </si>
  <si>
    <t>Fusible 8A P/ Porta Fusible de Lumin</t>
  </si>
  <si>
    <t>Fusible de Cristal 10A</t>
  </si>
  <si>
    <t>Fusible Kits P/ 34.5kV 10A</t>
  </si>
  <si>
    <t>Fusible Kits P/ 34.5kV 125A Tipo PM</t>
  </si>
  <si>
    <t>Fusible Kits P/ 34.5kV 80A Tipo PM</t>
  </si>
  <si>
    <t>Fusible Kits P/ 69kV 125A Tipo PM</t>
  </si>
  <si>
    <t>Fusible kits P/ 69kV 30A</t>
  </si>
  <si>
    <t>Fusible Placebo P/ Corte</t>
  </si>
  <si>
    <t>Fusible Tipo HHC-In 100A</t>
  </si>
  <si>
    <t>Fusible Tipo K 12A Cabeza Removible</t>
  </si>
  <si>
    <t>Fusible Tipo K 7A Cabeza Removible</t>
  </si>
  <si>
    <t>Fusible Tipo NH 125A</t>
  </si>
  <si>
    <t>Fusible Tipo NH 200A</t>
  </si>
  <si>
    <t>Fusible Tipo NH 300A</t>
  </si>
  <si>
    <t>Fusible Tipo NH 425A</t>
  </si>
  <si>
    <t>Fusible Tipo NH 500A</t>
  </si>
  <si>
    <t>Fusible Tipo NH 80A</t>
  </si>
  <si>
    <t>Fusible Tipo NH 900A</t>
  </si>
  <si>
    <t>Fusible Tipo T 100A</t>
  </si>
  <si>
    <t>Fusible Tipo T 6A</t>
  </si>
  <si>
    <t>Fusible Tipo T 7A</t>
  </si>
  <si>
    <t>Fusible Tipo T Fijado en Cartucho 15A</t>
  </si>
  <si>
    <t>Fusible Tipo U 15A</t>
  </si>
  <si>
    <t>Gabinete Contr Kit Armario 208/80 Comp</t>
  </si>
  <si>
    <t>Gabinete Interfase ACS 1 x 1.2 Mtr</t>
  </si>
  <si>
    <t>Gabinete P/ 2 Medidores Prep LANDIS+Gyr</t>
  </si>
  <si>
    <t>Gabinete P/ 4 Medidores Prep LANDIS+Gyr</t>
  </si>
  <si>
    <t>Gabinete P/ Contador 16 Zócalos</t>
  </si>
  <si>
    <t>Gabinete P/ Contador 3 x 6 x 1.5</t>
  </si>
  <si>
    <t>Gabinete P/ Dos (2) Medidores</t>
  </si>
  <si>
    <t>Gateway Extension 075027 Rev. 1</t>
  </si>
  <si>
    <t>Grapa (Pinza) de Retención 4/0-2/0 Al</t>
  </si>
  <si>
    <t>Grapa (Pinza) de Retención 5/8"-3/8"</t>
  </si>
  <si>
    <t>Grapa Angular 6 AWG a 266 MCM</t>
  </si>
  <si>
    <t>Grapa Calibre 0.125'' Long 1'' Sep 3/8"</t>
  </si>
  <si>
    <t>Grapa de Aterrizaje Pico de Pato</t>
  </si>
  <si>
    <t>Grapa de Derivación AMDLV 800 * 300 MCM</t>
  </si>
  <si>
    <t>Grapa P/ Puesta Tierra de Secc P/ Secc</t>
  </si>
  <si>
    <t>Grapa P/ Puesta Tierra de Secc Perno L</t>
  </si>
  <si>
    <t>Grapa P/ Puesta Tierra de Secc Perno T</t>
  </si>
  <si>
    <t>Grapas a Resorte</t>
  </si>
  <si>
    <t>Guarda Cable Acero Galv 7'x3/16"</t>
  </si>
  <si>
    <t>Juego Contactos del Regulador Bajo Carga</t>
  </si>
  <si>
    <t>Kit Acometida de Poste a Fachada KA-4</t>
  </si>
  <si>
    <t>Kit de Conexión P/ Acometida 120V</t>
  </si>
  <si>
    <t>Kit de Conexión P/ Acometida 240V</t>
  </si>
  <si>
    <t>Kit P/ Prueba de Aceite Transformadores</t>
  </si>
  <si>
    <t>Kit Portafus P/Transf de Pot 34.5KV 100A</t>
  </si>
  <si>
    <t>Limit Switch P/ Lámpara de Techo</t>
  </si>
  <si>
    <t>Local I/O Module 075011 Rev.2 Nuevos</t>
  </si>
  <si>
    <t>Local I/O Module 075011 Rev.2 Reparación</t>
  </si>
  <si>
    <t>Manga Dieléctrica Cl 0 Size L</t>
  </si>
  <si>
    <t>Manga Dieléctrica Cl 0 Size R</t>
  </si>
  <si>
    <t>Manga Dieléctrica Cl 0 Size XL</t>
  </si>
  <si>
    <t>Manga Dieléctrica Cl 2 Size XL</t>
  </si>
  <si>
    <t>Modulo Med 10 Zoc 500A 3Trif 120/208V</t>
  </si>
  <si>
    <t>Modulo Med 20 Zoc  M.Breaker 400/2A</t>
  </si>
  <si>
    <t>Modulo Med 6 Zoc 150A 1Mon 120/240V</t>
  </si>
  <si>
    <t>Modulo Med 7 Zoc 150A 1Mon 120/240V</t>
  </si>
  <si>
    <t>Modulo Med 7 Zoc 150A 1Mon 120/240V Malla</t>
  </si>
  <si>
    <t>Modulo Med 9 Zoc 200A 1Mon 120/240V</t>
  </si>
  <si>
    <t>Módulo Med 9 Zoc 200A 1Mon 120/240V</t>
  </si>
  <si>
    <t>Panel Trifasico de 12 Circuitos</t>
  </si>
  <si>
    <t>Pararrayo 10 KV. Para 12.5 ABB</t>
  </si>
  <si>
    <t>Pararrayo 3kV C/ Desconector de Tierra</t>
  </si>
  <si>
    <t>Pararrayo 69 KV. ABB Transmición</t>
  </si>
  <si>
    <t>Pararrayo 9kV C/ Desconector de Tierra</t>
  </si>
  <si>
    <t>Pararrayo T/ Válvula CL Estación 9-10kV</t>
  </si>
  <si>
    <t>Percha P/ 3 Líneas Secundarias</t>
  </si>
  <si>
    <t>Percha P/ 4 Líneas Secundarias</t>
  </si>
  <si>
    <t>Porta Conductor</t>
  </si>
  <si>
    <t>Portafusible BPA 15 34.5kV 100A 20kA</t>
  </si>
  <si>
    <t>Portafusible BPA 26 34.5KV 200A 20kA</t>
  </si>
  <si>
    <t>Portafusible de Cristal 10A</t>
  </si>
  <si>
    <t>Portafusible P/ 69kV</t>
  </si>
  <si>
    <t>Portafusible T/ BPA Power Fuse 34.5kV</t>
  </si>
  <si>
    <t>Protec Cable Acero Placa 8´0" 4 1/2"</t>
  </si>
  <si>
    <t>Protec Cable Acero S/ Cono 8´0" 4 1/2"</t>
  </si>
  <si>
    <t>Regleta 6P 25A CAMSCO</t>
  </si>
  <si>
    <t>Regleta 7P 25A CAMSCO</t>
  </si>
  <si>
    <t>Regleta 9P 25A CAMSCO</t>
  </si>
  <si>
    <t>Regleta Verificacion P/ Medida Indirecta</t>
  </si>
  <si>
    <t>Regulador de 5V C/ Reset Ref. U402</t>
  </si>
  <si>
    <t>Regulador de Voltaje P/ Paneles Solares</t>
  </si>
  <si>
    <t>Regulador de Voltaje P/ Radio GM300</t>
  </si>
  <si>
    <t>Relay 10A 110VDC (3CC) 11 Pines Finder</t>
  </si>
  <si>
    <t>Relay 2 Cont Cerr-2 Abier110VDC 8 PIN</t>
  </si>
  <si>
    <t>Relay Auxilar con Bocina 125 V DC</t>
  </si>
  <si>
    <t>Relay Auxilar125VDC 2Cont N/C-2Cont N/O</t>
  </si>
  <si>
    <t>Relay Auxiliar 110V AC Contactos 10A</t>
  </si>
  <si>
    <t>Relay Auxiliar P/ Manej Contr 125VDC 10A</t>
  </si>
  <si>
    <t>Relay de 8 PIN 120VDC C/ Base</t>
  </si>
  <si>
    <t>Relay de Protección SEL-387A</t>
  </si>
  <si>
    <t>Relay de Protección SEL-501</t>
  </si>
  <si>
    <t>Relay de Protección SEL-751A</t>
  </si>
  <si>
    <t>Relay Digital ABB DPU 2000R</t>
  </si>
  <si>
    <t>Relay Digital ABB Referencia 316</t>
  </si>
  <si>
    <t>Relay Digital ABB Referencia 542</t>
  </si>
  <si>
    <t>Relay Digital AEG PS-431</t>
  </si>
  <si>
    <t>Relay Digital SIEMENS 7SJ62</t>
  </si>
  <si>
    <t>Relay Digital SIEMENS 7SJ63</t>
  </si>
  <si>
    <t>Relay Finder T/ 60 12 10A 250V 110VDC</t>
  </si>
  <si>
    <t>Relay Module 070559 Rev 0</t>
  </si>
  <si>
    <t>Relay Protec P/Transf T/TPU2000R/CAT544R</t>
  </si>
  <si>
    <t>Relay Protec P/Transf T/TPU2000R/CAT588R</t>
  </si>
  <si>
    <t>Relay Protección P/ Distr T/ MicroShield</t>
  </si>
  <si>
    <t>Relay Protección Trifás SIEMENS 7SJ6111</t>
  </si>
  <si>
    <t>Relay Protección Trifás SIEMENS 7SJ6225</t>
  </si>
  <si>
    <t>Relay Temporizado On Delay 125 VDC</t>
  </si>
  <si>
    <t>Resistencia P/ PT'S de 12.5VA/66V</t>
  </si>
  <si>
    <t>Restaurador de Supercie</t>
  </si>
  <si>
    <t>Sello Empal Grasa P/ Ptes Elect Fco 1/4</t>
  </si>
  <si>
    <t>Sistema Sujeción a Poste Gab 12 Med</t>
  </si>
  <si>
    <t>Sistema Sujeción a Poste Gab 6/8 Med</t>
  </si>
  <si>
    <t>Soporte P/ Jumper Auxiliar</t>
  </si>
  <si>
    <t>Soporte Regleta</t>
  </si>
  <si>
    <t>Soporte Temporario de Conductor</t>
  </si>
  <si>
    <t>Sujetador de Cable (Tight Wrap) 16"</t>
  </si>
  <si>
    <t>Sujetador de Cable (Tight Wrap) 380x8mm</t>
  </si>
  <si>
    <t>Sujetador de Cable (Tight Wrap) 48"x8mm</t>
  </si>
  <si>
    <t>Supresor de Pico 120/240 Vac 3W</t>
  </si>
  <si>
    <t>Supresor de Pico 120/240 Vac 4W</t>
  </si>
  <si>
    <t>Tantalum 47µf 10% 6V Ref. C407</t>
  </si>
  <si>
    <t>Tapa Metal P/ Modulos PC-1 P/ Med 4P</t>
  </si>
  <si>
    <t>Tapa Metal P/ Modulos PD1</t>
  </si>
  <si>
    <t>Tapa Metal P/ Modulos PF-1</t>
  </si>
  <si>
    <t>Tapa P/ Borneras Ref. 39451</t>
  </si>
  <si>
    <t>Tapa Plást P/ Medidor RXRS4 Landis+Gyr</t>
  </si>
  <si>
    <t>Tapa Troqueladas P/ Baquelitas M-4</t>
  </si>
  <si>
    <t>Tape Mastique Vinilo Plast 3M 2210 CDE</t>
  </si>
  <si>
    <t>Tarjeta 6A0003641 Act Recl KYLE NOVA 15</t>
  </si>
  <si>
    <t>Tubo Termocontráctil P/ Casquil Lisos 5'</t>
  </si>
  <si>
    <t>Antena BAHIA VHF 145-174 MHZ</t>
  </si>
  <si>
    <t>Antena BAHIA VHF 160-170 MHZ</t>
  </si>
  <si>
    <t>Antena Marconi 1/4 Longitud de Onda</t>
  </si>
  <si>
    <t>Antena Radio GP-300 Rango 146-176HZ VHF</t>
  </si>
  <si>
    <t>Antena Yagui 3 Elemento VHF 146-174MHz</t>
  </si>
  <si>
    <t>Antena Yagui 5 Elementos 420-450 Mhz</t>
  </si>
  <si>
    <t>Antena Yagui 5 Elementos 450-480 Mhz</t>
  </si>
  <si>
    <t>Antena Yagui 6 Elementos</t>
  </si>
  <si>
    <t>Bateria P/ Radio GP-300</t>
  </si>
  <si>
    <t>Batería para Radio Portátil GP-450</t>
  </si>
  <si>
    <t>Cable Coax 150mm Plug P-5 30-80138M07</t>
  </si>
  <si>
    <t>Cable Coax 200mm Plug P-4 30-80138M08</t>
  </si>
  <si>
    <t>Cable Coax T x Lado Tr J-5  09-80135M01</t>
  </si>
  <si>
    <t>Cable Comun Baja Capacit EIA RS-485 9842</t>
  </si>
  <si>
    <t>Cable Comunic Data P/ Aplicac IED RS232</t>
  </si>
  <si>
    <t>Cable Comunic Data P/ Aplicac IED RS484</t>
  </si>
  <si>
    <t>Cable Kit de Programación de Radio EM400</t>
  </si>
  <si>
    <t>Cable Kit de Programación de Radio GM300</t>
  </si>
  <si>
    <t>Cable Kit de Programación de Radio GP350</t>
  </si>
  <si>
    <t>Cable Kit Prog Radio Motorola PRO-5150</t>
  </si>
  <si>
    <t>Cable Serial RS-232 para Módem Celular</t>
  </si>
  <si>
    <t>Cajas Entradas Salidas Analogo-Digital</t>
  </si>
  <si>
    <t>Captor Opti Unicom Probe III PuertSerial</t>
  </si>
  <si>
    <t>Cargador 20A 12VDC Inteligente</t>
  </si>
  <si>
    <t>Cargador Bateria P/ Radio Port GP-450</t>
  </si>
  <si>
    <t>Click para Batería de Radio EP450</t>
  </si>
  <si>
    <t>Clip para Batería de Radio PRO-5150</t>
  </si>
  <si>
    <t>Cristal P/ Radio GM300 Y151 48-80174D05</t>
  </si>
  <si>
    <t>Cristal P/ Radio GM300 Y51 91-80022M02</t>
  </si>
  <si>
    <t>Diodo Potencia 60A 200V</t>
  </si>
  <si>
    <t>Diodo Protec P/ Radio GM300 Ref MR2W9810</t>
  </si>
  <si>
    <t>Diodos de 10A NTE5916</t>
  </si>
  <si>
    <t>Disco Duro 20GB Conextable a USB</t>
  </si>
  <si>
    <t>Duplexer VHF 146-174 MHZ</t>
  </si>
  <si>
    <t>Equipo Grabacion de Voz</t>
  </si>
  <si>
    <t>Fuente ANSTRON de 20 Amperes 12 Voltios</t>
  </si>
  <si>
    <t>Fuente de Alimentación 24/13.8 VDC</t>
  </si>
  <si>
    <t>Hand Held Terminal HHT 02-1502A02 MDS</t>
  </si>
  <si>
    <t>Indicador Electrónico OHAUS Acer Inox</t>
  </si>
  <si>
    <t>Integrado Amplif Audio TDA1519C U 502</t>
  </si>
  <si>
    <t>Integrado IC QHKS-9251</t>
  </si>
  <si>
    <t>Integrado IC2904</t>
  </si>
  <si>
    <t>Interfaz Program RIB P/ Radio PRO-5150</t>
  </si>
  <si>
    <t>Juego Cord Plugs  A8320 &amp;  CON-8323</t>
  </si>
  <si>
    <t>Kit de Cable RG-58 con Base NMO</t>
  </si>
  <si>
    <t>Micrófono P/ Radio Motorola PRO-5150</t>
  </si>
  <si>
    <t>Micrófono P/ Radio Móvil GM-300</t>
  </si>
  <si>
    <t>Mini UHF Coaxial P/ Radio GM300</t>
  </si>
  <si>
    <t>Mini UHF Coaxial Ref J 1 N/P 09-80131M01</t>
  </si>
  <si>
    <t>Mobil Gm300 m43gmcooD2-aa 40P/RadioMovil</t>
  </si>
  <si>
    <t>Mobil Power Cable hkn 4137ar</t>
  </si>
  <si>
    <t>Módem Celular C/ Accesorios</t>
  </si>
  <si>
    <t>Opamp 4558 SOIC Circ Integr U 401</t>
  </si>
  <si>
    <t>Optical Fiber PC Connect Cable T/500OCC2</t>
  </si>
  <si>
    <t>Panel de Alarma 12 Señales Luminosa Prog</t>
  </si>
  <si>
    <t>Potenciómetro C/ Switch P/ Radio GM 300</t>
  </si>
  <si>
    <t>Potenciómetro C/ Switch P/ Radio PRO5150</t>
  </si>
  <si>
    <t>Power Conect C/ Porta Fusible MOTOROLA</t>
  </si>
  <si>
    <t>Power Supp F6 AC PWR REV 06 (6A00169701)</t>
  </si>
  <si>
    <t>Power Supply 070579 Rev. 0</t>
  </si>
  <si>
    <t>Protector Entrada Program MOT PRO-5150</t>
  </si>
  <si>
    <t>Protector Plást PTT P/Radio MOT PRO-5250</t>
  </si>
  <si>
    <t>Pulsador Amarillo ZBE-101 Telemecanique</t>
  </si>
  <si>
    <t>Push Botton para Radio Motorola PRO 5150</t>
  </si>
  <si>
    <t>Radio Base EM400 16Ch VHF 146-174MHz</t>
  </si>
  <si>
    <t>Radio Data Móden</t>
  </si>
  <si>
    <t>Radio Data Móden MDS4710 13.8V Acces</t>
  </si>
  <si>
    <t>Radio MDS 4710A 12.5KHz 9.6Kb 441-447MHz</t>
  </si>
  <si>
    <t>Radio MOT GM-300 16Ch 146-174MHz 25W</t>
  </si>
  <si>
    <t>Radio MOT GM-300 16Ch 146-174MHz 45W</t>
  </si>
  <si>
    <t>Radio MOT PRO-5150 VHF 16Ch 146-174MHz</t>
  </si>
  <si>
    <t>Radio MOTOROLA PRO-7150</t>
  </si>
  <si>
    <t>Radio PWR Acces Supply Board F5-13 40546</t>
  </si>
  <si>
    <t>Radio YAESO VX-1R</t>
  </si>
  <si>
    <t>Radios Master MDS 4790 y Accesorios</t>
  </si>
  <si>
    <t>Radios P/ Reconectadores Trifasicos</t>
  </si>
  <si>
    <t>Selector 22mm 2 Posiciones 1NO 1NC</t>
  </si>
  <si>
    <t>Selector Canales P/ Radio MOT PRO-5150</t>
  </si>
  <si>
    <t>Selector Coral Remoto</t>
  </si>
  <si>
    <t>Selector Local Remoto</t>
  </si>
  <si>
    <t>Selector XB2-BD33 3Posic CONTACTOS V50A</t>
  </si>
  <si>
    <t>Soft Progr Config Eq Prueba Trif P/ Re</t>
  </si>
  <si>
    <t>Tarjeta Comun T/ 3 Cat. 8R17-1041-313001</t>
  </si>
  <si>
    <t>Tarjeta Comunicación RS-485</t>
  </si>
  <si>
    <t>Tarjeta Red P/ Conex Servidor 10/10</t>
  </si>
  <si>
    <t>Temporizardor On Delay 240 Vac</t>
  </si>
  <si>
    <t>Terminales de Cobros Remotas (Ingénicos)</t>
  </si>
  <si>
    <t>Tramos Torre 10' Galv P/ Antena Comunic</t>
  </si>
  <si>
    <t>Transistor Amplitud de Fuente ECG185</t>
  </si>
  <si>
    <t>Transistor B1142</t>
  </si>
  <si>
    <t>Transistor Dig NPN T/ DTC144W Q501</t>
  </si>
  <si>
    <t>Transistor MPS2</t>
  </si>
  <si>
    <t>Transistor MRF 559</t>
  </si>
  <si>
    <t>Transistor NPN M 1104 Q2440</t>
  </si>
  <si>
    <t>Transistor NPN MMBT 3904 Q453</t>
  </si>
  <si>
    <t>Transistor NPN MRF 2628 Q2430</t>
  </si>
  <si>
    <t>Transistor NPN T/ BFQ43S Q2420</t>
  </si>
  <si>
    <t>Transistor P/ Channel Tmos 5A 60V Q403</t>
  </si>
  <si>
    <t>Transistor PNP M 41L03 Q455</t>
  </si>
  <si>
    <t>Transistor PNP M 9609 Q501</t>
  </si>
  <si>
    <t>Transistor PNP T/ 2SB1142S Q401</t>
  </si>
  <si>
    <t>Transistor PNP T/ 2SB1142S Q451</t>
  </si>
  <si>
    <t>Transistor Potencia M2518 P/ Radio GM300</t>
  </si>
  <si>
    <t>Transistor Potencia M25C22</t>
  </si>
  <si>
    <t>Transistor Potencia MMRF237</t>
  </si>
  <si>
    <t>Transistor Potencia MRF1946 25W Q2330</t>
  </si>
  <si>
    <t>Transistor Pre MµF 238  MRF237</t>
  </si>
  <si>
    <t>Transistor TDA1519C</t>
  </si>
  <si>
    <t>Abanico 12V P/ Enfriamiento de Equipos</t>
  </si>
  <si>
    <t>Bandejas Porta Cables 9"x2"  8'3" Largo</t>
  </si>
  <si>
    <t>Base Pivote P/ Plataforma 4" C-402-1164</t>
  </si>
  <si>
    <t>Base Pivote P/ Plataforma 6" C-402-1173</t>
  </si>
  <si>
    <t>Bimetalic Transition Plate Catálogo TP-B</t>
  </si>
  <si>
    <t>Bomba Eléct P/ Tanq Aceite 120V C/ Vast</t>
  </si>
  <si>
    <t>Bomba Manual para Combustible y Aceite</t>
  </si>
  <si>
    <t>Cargador Bateria 12V de 2-15A</t>
  </si>
  <si>
    <t>Cargador Bateria 230V AC 128DC</t>
  </si>
  <si>
    <t>Conjunto Tira Cables Completo Modelo CT</t>
  </si>
  <si>
    <t>Convert DC/DC VI=125V VO=12V, CC=2.5</t>
  </si>
  <si>
    <t>Convert DC/DC VI=48V, VO=12C, CC=2.5</t>
  </si>
  <si>
    <t>CONVERTIDOR A DC REV. F5-133-1</t>
  </si>
  <si>
    <t>CONVERTIDOR DC A DC, VCS-171-1</t>
  </si>
  <si>
    <t>Convertidor de 24-12 Voltios</t>
  </si>
  <si>
    <t>Convertidor de PL a Mini UHF</t>
  </si>
  <si>
    <t>Equipo Acetileno P/ Soldar SMITH</t>
  </si>
  <si>
    <t>Equipo Aterrizaje P/ Líneas Aéreas MT</t>
  </si>
  <si>
    <t>Equipo Portátil de Fumigación Manual</t>
  </si>
  <si>
    <t>Equipo Probador Aisl Pertiga Maniobr</t>
  </si>
  <si>
    <t>Equipo Prueba Trif de Relay Protección</t>
  </si>
  <si>
    <t>Equipo Puesta a Tierra Líneas de MT</t>
  </si>
  <si>
    <t>Inversor 400W Portátil P/ Vehiculo 12V</t>
  </si>
  <si>
    <t>Inversor140W</t>
  </si>
  <si>
    <t>Juego Acces P/ Medidor Tierra Maniv</t>
  </si>
  <si>
    <t>Juego de Puesta a Tierra (Subterránea)</t>
  </si>
  <si>
    <t>Juego de Rayos</t>
  </si>
  <si>
    <t>Juego Herr P/ Busc Falla Cat. C-40260114</t>
  </si>
  <si>
    <t>Juego Manómetro P/ Equipo Acetileno</t>
  </si>
  <si>
    <t>Juego Puesta Tierra P/ Línea Aér 12.5kV</t>
  </si>
  <si>
    <t>Jumper 1.8Mtr LIAT P/ Puest Tierr PT738E</t>
  </si>
  <si>
    <t>Jumper de Bornera de Tensión</t>
  </si>
  <si>
    <t>Kit Cables y Acces P/ Equipo Prueba Trif</t>
  </si>
  <si>
    <t>Lavadora Presión EVENT 130 TSS 1700PSI</t>
  </si>
  <si>
    <t>Manguera P/ Equipo de Acetileno 50'</t>
  </si>
  <si>
    <t>Manometro P/ 2000 Lbs P/ Presion Aceite</t>
  </si>
  <si>
    <t>Manometro P/ 600 Lbs P/ Presion Aceite</t>
  </si>
  <si>
    <t>Máquina Herramienta Difer 0.20Ton</t>
  </si>
  <si>
    <t>Máquina Herramienta Difer 0.5Ton</t>
  </si>
  <si>
    <t>Máquina Herramienta Difer 0.75Ton</t>
  </si>
  <si>
    <t>Máquina Herramienta Difer 1.5Ton</t>
  </si>
  <si>
    <t>Máquina Herramienta Difer 3/4Ton</t>
  </si>
  <si>
    <t>Maquina P/ Soldar Varilla de Tierra</t>
  </si>
  <si>
    <t>Molde P/ Maquina Soldar Varilla Tierra</t>
  </si>
  <si>
    <t>Montacarga de KRINKER</t>
  </si>
  <si>
    <t>Motor 125V DC para 72.5kV</t>
  </si>
  <si>
    <t>Motor de Carga MLFB: 3AY1511-1E</t>
  </si>
  <si>
    <t>Nock Out Mecanico Hasta 1"</t>
  </si>
  <si>
    <t>Nock Out Mecánico Hasta 3"</t>
  </si>
  <si>
    <t>Patrón Verif Trif Port Cl 0.2% C/ Acces</t>
  </si>
  <si>
    <t>Pistola P/ Sopletear Star 1/4" Recta</t>
  </si>
  <si>
    <t>Planta Elect 75kW</t>
  </si>
  <si>
    <t>Planta Elect Cambel House 3.5kW Gasolina</t>
  </si>
  <si>
    <t>Planta Elect Cambel House 5.5kW Gasolina</t>
  </si>
  <si>
    <t>Planta Generador 5.5kW</t>
  </si>
  <si>
    <t>Plataforma Aislada de 4´C-402-1042</t>
  </si>
  <si>
    <t>Plataforma Aislada de 6´C-402-1043</t>
  </si>
  <si>
    <t>Polea (Pateca) Estándar Plastica</t>
  </si>
  <si>
    <t>Polea (Patecas) Standar Aluminio</t>
  </si>
  <si>
    <t>Polea P/ Tendido LAP C/ Sist Ajust Poste</t>
  </si>
  <si>
    <t>Polea Pateca P/ Tend Cable 1/2" 477MCM</t>
  </si>
  <si>
    <t>Polea Univ Fijador a Cruc Ajust Abraz</t>
  </si>
  <si>
    <t>Polo Compl P/ Interr Siemens SPS2-72.5-4</t>
  </si>
  <si>
    <t>Prensa de Laboratorio 10"</t>
  </si>
  <si>
    <t>Prensa Mecánica de Banco Fija de 6"</t>
  </si>
  <si>
    <t>Prensa P/ Comp Term Burndy MD 6-8 Manual</t>
  </si>
  <si>
    <t>Prensa P/ Sellos de Plomo Grab y Num</t>
  </si>
  <si>
    <t>Prensa P/ Sellos Roto-Seal Sin Dados</t>
  </si>
  <si>
    <t>Prensacable Nylon 1/2" BSP</t>
  </si>
  <si>
    <t>Prensacable Nylon 3/8" BSP</t>
  </si>
  <si>
    <t>Printer de Label 48 3 TPO 3 BDR-001</t>
  </si>
  <si>
    <t>Puente Auxiliar Aislado</t>
  </si>
  <si>
    <t>Puentes Rectificadores T/ SCR 60A</t>
  </si>
  <si>
    <t>Pulidora de 9" 20Amp</t>
  </si>
  <si>
    <t>Rectificador SCRF C/ Contac Alarm 120VAC</t>
  </si>
  <si>
    <t>Red Amortig Doble SEMIKRON SKRC440-2</t>
  </si>
  <si>
    <t>Regul HiQ Redline P/ Gases Esp 0-100Psi</t>
  </si>
  <si>
    <t>Regul HiQ Redline P/ Gases Esp 0-15Psi</t>
  </si>
  <si>
    <t>Sirena de 15-20 Db 125VDC</t>
  </si>
  <si>
    <t>Soldador de 100 Watts</t>
  </si>
  <si>
    <t>Soldador de 30 Watts</t>
  </si>
  <si>
    <t>Soldador de 35 Watts</t>
  </si>
  <si>
    <t>Soldador de 40 Watts</t>
  </si>
  <si>
    <t>Soldador de 80 Watts</t>
  </si>
  <si>
    <t>Taladro 1/2"</t>
  </si>
  <si>
    <t>Taladro 3/8" 5.0 Amp #5392</t>
  </si>
  <si>
    <t>Taladro Inalámbrico de 18 Voltios</t>
  </si>
  <si>
    <t>Tensor Criollo P/ Tramos Torre Comunic</t>
  </si>
  <si>
    <t>Tensor Mecanico Ojal-GRILLETE DT</t>
  </si>
  <si>
    <t>Transductor Volt 1F 125VDC M100-VA1-PG</t>
  </si>
  <si>
    <t>Transf Top Oil ACC-A8615</t>
  </si>
  <si>
    <t>Abrazadera 8-10.5" Acero Galv 4 Pzas</t>
  </si>
  <si>
    <t>Abrazadera Acer Galv Doble 7-8" Pata Abi</t>
  </si>
  <si>
    <t>Abrazadera Acer Galv Doble 8-9"</t>
  </si>
  <si>
    <t>Abrazadera Acer Galv Simple 6-6 1/2"</t>
  </si>
  <si>
    <t>Abrazadera Acer Galv Simple 9-10"</t>
  </si>
  <si>
    <t>Abrazadera Contra Presión P/ Tubo 2 1/2"</t>
  </si>
  <si>
    <t>Abrazadera EMT P/ Tubo 1/2"</t>
  </si>
  <si>
    <t>Abrazadera Galv 3/8" TW</t>
  </si>
  <si>
    <t>Abrazadera Galv P/ Tuberia 4" Reforz</t>
  </si>
  <si>
    <t>Accesorios Montaje Banco de Baterias</t>
  </si>
  <si>
    <t>Angular 1 1/2"x3/16"</t>
  </si>
  <si>
    <t>Angular Al 4"x4"x1/4" 16 P.L. (Barra)</t>
  </si>
  <si>
    <t>Angulo Ranurado 2"x2"x2.5"</t>
  </si>
  <si>
    <t>Barra Channel UNITRUST 41.3mm 20.65mm</t>
  </si>
  <si>
    <t>Blocks Teminal EB-2</t>
  </si>
  <si>
    <t>Blocks Teminal EB-27</t>
  </si>
  <si>
    <t>Blocks Teminal S/ Covertor</t>
  </si>
  <si>
    <t>Cerradura P/ Caja Metal C/ Cil P/ Perno</t>
  </si>
  <si>
    <t>Curva Electrica Galv 4"</t>
  </si>
  <si>
    <t>Fleje Angular 1 1/2x1" 1/2"x3 1/16"x39"</t>
  </si>
  <si>
    <t>Fleje Galv 1-7/32"x7/32"x2"</t>
  </si>
  <si>
    <t>Fleje Galv 1-7/32"x7/32"x24"</t>
  </si>
  <si>
    <t>Fleje Vertical Acer Galv Perfil L-26"</t>
  </si>
  <si>
    <t>Fleje Vertical Acer Galv Perfil L-64"</t>
  </si>
  <si>
    <t>Fleje Voladizo 90"</t>
  </si>
  <si>
    <t>Guardacabo Lata Rest P/ Retenid Aereas</t>
  </si>
  <si>
    <t>Horquilla Clevis C/ Ojo 5/8"</t>
  </si>
  <si>
    <t>Kit de herrajes de acometidas KA-04</t>
  </si>
  <si>
    <t>Letra T de 6x1" Registro IMC Rosca 1"</t>
  </si>
  <si>
    <t>Placa Vertical P/ Soporte Transf</t>
  </si>
  <si>
    <t>Planchuela Cuadrada 2 Aguj Bimet</t>
  </si>
  <si>
    <t>Soporte de Luminarias 12' P/ Poste Conc</t>
  </si>
  <si>
    <t>Soporte de Luminarias 12' P/ Poste Mad</t>
  </si>
  <si>
    <t>Soporte de Luminarias 6' P/ Poste Conc</t>
  </si>
  <si>
    <t>Soporte en Cruceta C/ Accesorios</t>
  </si>
  <si>
    <t>Soporte Fij P/ Equipo Med ECU1520A 22CM</t>
  </si>
  <si>
    <t>Soporte P/ Fijac Trip 2 APR630 a Poste</t>
  </si>
  <si>
    <t>Soporte P/ Pararrayos Acero Galv</t>
  </si>
  <si>
    <t>Tapa P/ Letra T de 6"x1</t>
  </si>
  <si>
    <t>Tapon Macho Galv de 1 1/4"</t>
  </si>
  <si>
    <t>Tapon Macho Galv de 1"</t>
  </si>
  <si>
    <t>Tubo Anclaje 1"x10' Sched 80</t>
  </si>
  <si>
    <t>Tubo Anclaje 2 1/2"x10"</t>
  </si>
  <si>
    <t>Tubo BMX 1"</t>
  </si>
  <si>
    <t>Varilla de Anclaje 1"x10'</t>
  </si>
  <si>
    <t>Varilla Preformada P/155.4 (2/0)</t>
  </si>
  <si>
    <t>Varilla Preformada P/246.8 (4/0)</t>
  </si>
  <si>
    <t>Varilla Roscada 3/4"x6'</t>
  </si>
  <si>
    <t>Alicate Compresor de Terminales</t>
  </si>
  <si>
    <t>Alicate Corte Diagonal 6"</t>
  </si>
  <si>
    <t>Alicate Corte diagonal ST. 6"</t>
  </si>
  <si>
    <t>Alicate Eléctrico Klein D-213-9NE</t>
  </si>
  <si>
    <t>Alicate HD213-9NE</t>
  </si>
  <si>
    <t>Alicate P/ Plug Mini UHF</t>
  </si>
  <si>
    <t>Alicate Universal Mango Aislado (1000V)</t>
  </si>
  <si>
    <t>Arco de Sierra M-4455-23</t>
  </si>
  <si>
    <t>Banda P/ Tenazas 2 1/2"</t>
  </si>
  <si>
    <t>Barra P/ Hoyar Stanley 6 largo</t>
  </si>
  <si>
    <t>Barra Perforada 10´x2" T/ Riel</t>
  </si>
  <si>
    <t>Barrena 1" Cobalto Estándar P/ Metal</t>
  </si>
  <si>
    <t>Barrena 1/2" x 12" P/ Postes Concreto</t>
  </si>
  <si>
    <t>Barrena 1/2"x12" P/ Poste Concreto</t>
  </si>
  <si>
    <t>Barrena 1/8" Cobalto Estándar P/ Metal</t>
  </si>
  <si>
    <t>Barrena 3/13" Cobalto Estándar P/ Metal</t>
  </si>
  <si>
    <t>Barrena 3/4" Cobalto Estándar P/ Metal</t>
  </si>
  <si>
    <t>Barrena 3/4"x12" P/ Poste Concreto</t>
  </si>
  <si>
    <t>Barrena 5/16" Cobalto Estándar P/ Metal</t>
  </si>
  <si>
    <t>Barrena 5/8" Cobalto Estándar P/ Metal</t>
  </si>
  <si>
    <t>Barrena 5/8"x12" P/ Poste Concreto</t>
  </si>
  <si>
    <t>Barrena 5/8"x12" P/ Postes Concreto</t>
  </si>
  <si>
    <t>Barrena 7/16" Cobalto Estándar P/ Metal</t>
  </si>
  <si>
    <t>Barrena 9/16" Cobalto Estándar P/ Metal</t>
  </si>
  <si>
    <t>Barrena P/ Taladro HILTI 3/4"x18"</t>
  </si>
  <si>
    <t>Barrena P/ Taladro HILTI 5/8"x18"</t>
  </si>
  <si>
    <t>Barrena SDS Plus 3/4"x10"x12" P/ Tal DW</t>
  </si>
  <si>
    <t>Barrena SDS Plus 5/8"x10"x12" P/ Tal DW</t>
  </si>
  <si>
    <t>Binocular 10 x 25</t>
  </si>
  <si>
    <t>Binocular 12 x 25</t>
  </si>
  <si>
    <t>Bolsa P/ Guantes Clase 0</t>
  </si>
  <si>
    <t>Bolsa P/ Guantes Clase 2</t>
  </si>
  <si>
    <t>Bolsa P/ Mangas C-417-0149</t>
  </si>
  <si>
    <t>Bolsa P/ Mangas Dieléctricas Clase 2</t>
  </si>
  <si>
    <t>Bolsa P/ vainas de Coma C-417-0151</t>
  </si>
  <si>
    <t>Bolso P/ Portar Puesta a Tierra</t>
  </si>
  <si>
    <t>Brazo Auxiliar Completo</t>
  </si>
  <si>
    <t>Brazo de Extensión 3" x 6'</t>
  </si>
  <si>
    <t>Brazo Doble Aux Similar Change C400-0075</t>
  </si>
  <si>
    <t>Burro P/ Mecanico 12 Ton (Torres)</t>
  </si>
  <si>
    <t>Cabesote P/ Equipos Comp</t>
  </si>
  <si>
    <t>Cabezote Equip Comp P/ Conect Term</t>
  </si>
  <si>
    <t>Cadena Eslabon Corto 1/4 6mm</t>
  </si>
  <si>
    <t>Caja Herramientas 12 Gavetas kleim</t>
  </si>
  <si>
    <t>Caja Herramientas 9 Gavetas kleim 54302</t>
  </si>
  <si>
    <t>Caja Herramientas Aprox 46.5Cmx17Cm</t>
  </si>
  <si>
    <t>Cajon de Herramientas P/ Camioneta</t>
  </si>
  <si>
    <t>Canasta P/ Mantas</t>
  </si>
  <si>
    <t>Candado Amaestrado 50mm CISA</t>
  </si>
  <si>
    <t>Chicharra Estándar 1/2"x10"</t>
  </si>
  <si>
    <t>Chicharra Estándar 3/8"x8"</t>
  </si>
  <si>
    <t>Cincel de Punta Estándar 5/8"x10"</t>
  </si>
  <si>
    <t>Cinturón Porta Herramientas</t>
  </si>
  <si>
    <t>Cizalla 11/16 18mm1/2 Hard 42" KLEINTOOL</t>
  </si>
  <si>
    <t>Cizalla 5/8 16mm 36" Peq KLEINTOOLS</t>
  </si>
  <si>
    <t>Cizalla Cortadora Conductor Al-Acero</t>
  </si>
  <si>
    <t>Cizalla Cortadora Conductor Al-Cu</t>
  </si>
  <si>
    <t>Cizalla Corte Klein 42" Ref 63342/63542</t>
  </si>
  <si>
    <t>Compás Eclimetro</t>
  </si>
  <si>
    <t>Compresion Tool  Discopre-VC6FT</t>
  </si>
  <si>
    <t>Correas de Anclajes</t>
  </si>
  <si>
    <t>Cortador Cable T/ Trinq Cu Estir 400MCM</t>
  </si>
  <si>
    <t>Cubeta Fibra Vidrio Porta Herramientas</t>
  </si>
  <si>
    <t>Cubo Acesa 3/4-7/16" 710</t>
  </si>
  <si>
    <t>Cubo Acesa 3/8-1/2" 710</t>
  </si>
  <si>
    <t>Cubos de 3/4" Adicionales</t>
  </si>
  <si>
    <t>Cuchilla 501A40 Panamex</t>
  </si>
  <si>
    <t>Cuchilla Klein</t>
  </si>
  <si>
    <t>Dado para MD-6 #2/0</t>
  </si>
  <si>
    <t>Destornillador 8" Estría</t>
  </si>
  <si>
    <t>Destornillador Cubo ST. 3/8 0461-809</t>
  </si>
  <si>
    <t>Destornillador Estría 10"</t>
  </si>
  <si>
    <t>Destornillador Estría 3/8"x8"</t>
  </si>
  <si>
    <t>Destornillador Estría 4"</t>
  </si>
  <si>
    <t>Destornillador Plano 10"</t>
  </si>
  <si>
    <t>Destornillador Plano 3/8"x8" V A 49765</t>
  </si>
  <si>
    <t>Destornillador Plano 4"</t>
  </si>
  <si>
    <t>Destornillador Plano 6"x102mm Aisl 1000V</t>
  </si>
  <si>
    <t>Destornillador Plano 6"x152mm Aisl 1000V</t>
  </si>
  <si>
    <t>Destornillador Plano 6"x76mm Aisl 1000V</t>
  </si>
  <si>
    <t>Empalmador Modos (Hod) Vc 6-h</t>
  </si>
  <si>
    <t>Engrasadora de Mano</t>
  </si>
  <si>
    <t>Escalera Fibra de Vidrio 20'</t>
  </si>
  <si>
    <t>Escalera T/ Extención Fibra Vidrio 8'</t>
  </si>
  <si>
    <t>Escalera T/ Extensión Fibra Vidrio 28'</t>
  </si>
  <si>
    <t>Escuadra Estándar de 16"x24"</t>
  </si>
  <si>
    <t>Eslinga Nylon 2"x6' Soport Tranf y Post</t>
  </si>
  <si>
    <t>Espátula Estándar 3"</t>
  </si>
  <si>
    <t>Foco de Khipton</t>
  </si>
  <si>
    <t>Gancho P/ Soga M-1849</t>
  </si>
  <si>
    <t>Gato Hidráulico 0.75 Ton</t>
  </si>
  <si>
    <t>Hebilla Para Cinta TB</t>
  </si>
  <si>
    <t>Herramiento zunchadora ZUN</t>
  </si>
  <si>
    <t>Hidraulic Power Source Elect Cat PW-115</t>
  </si>
  <si>
    <t>Horquilla Porta Contador C-4805-17</t>
  </si>
  <si>
    <t>Juego Botones-Resor Pértig Telesc 10.5M</t>
  </si>
  <si>
    <t>Juego Cinco Llaves Acod Polig Trinq Rev</t>
  </si>
  <si>
    <t>Juego Cubo Klein 12 Pza Ref 65504</t>
  </si>
  <si>
    <t>Juego Cubos Std 1/2" 25/1 10-25mm</t>
  </si>
  <si>
    <t>Juego Dado P/ Herramienta Compres Y-35</t>
  </si>
  <si>
    <t>Juego de Barrenas de 15 Piezas Concreto</t>
  </si>
  <si>
    <t>Juego de Barrenas de 29 Piezas Metal</t>
  </si>
  <si>
    <t>Juego de Barrenas P/ Metal 1/16-1/2"</t>
  </si>
  <si>
    <t>Juego de Cubo Tipo Destornilladores</t>
  </si>
  <si>
    <t>Juego de Cuñas Separadoras de Triplex</t>
  </si>
  <si>
    <t>Juego de Dado Para el MD-6-8, W-BG"</t>
  </si>
  <si>
    <t>Juego de Destornillador ST 4/1 0464-454</t>
  </si>
  <si>
    <t>Juego de Limpieza de Epoxiglas</t>
  </si>
  <si>
    <t>Juego de Parchado Adhesivo</t>
  </si>
  <si>
    <t>Juego Destor Torx T5 T6 T7 T8 T9 T15 T20</t>
  </si>
  <si>
    <t>Juego Destornill Aisl 1000V Estria Grde</t>
  </si>
  <si>
    <t>Juego Destornill Aisl 1000V Plano Grde</t>
  </si>
  <si>
    <t>Juego Destornillador Aisl 1000V Plano</t>
  </si>
  <si>
    <t>Juego Destornillador Estrias 5 Pzas</t>
  </si>
  <si>
    <t>Juego Destornillador Klein 7 Pzas</t>
  </si>
  <si>
    <t>Juego Destornillador Plano 5 Pzas</t>
  </si>
  <si>
    <t>Juego Mecánico (Perforación)</t>
  </si>
  <si>
    <t>Juego Portabotones Pértig Telesc 10.5Mtr</t>
  </si>
  <si>
    <t>Kit Pelacables P/ Conductor URD</t>
  </si>
  <si>
    <t>Lima Redonda 12"x3/8"</t>
  </si>
  <si>
    <t>Linga P/ Servicios Multiples 12'</t>
  </si>
  <si>
    <t>Llave Ajustable 6"</t>
  </si>
  <si>
    <t>Llave Boca F 1/4"-5/16" Españ Aisl 1000V</t>
  </si>
  <si>
    <t>Llave de Linea</t>
  </si>
  <si>
    <t>Llave Estirada 1/2" Diametro 1000V</t>
  </si>
  <si>
    <t>Llave Hexagonal 13mm Mango Aisl 1000V</t>
  </si>
  <si>
    <t>Llave Hexagonal E/C13 JB</t>
  </si>
  <si>
    <t>Llave P/ Tornillo Magar</t>
  </si>
  <si>
    <t>Llave para Poste</t>
  </si>
  <si>
    <t>Llave Seg P/ Aro de Seguridad T/ Socket</t>
  </si>
  <si>
    <t>Llave Seg Torpedo P/ Cand Barrel Lock F</t>
  </si>
  <si>
    <t>Llave Steelson 12"</t>
  </si>
  <si>
    <t>Llave Steelson 14"</t>
  </si>
  <si>
    <t>Llave Termomágneticas Unipol 20A Cl C</t>
  </si>
  <si>
    <t>Llave Tipo Chicharra</t>
  </si>
  <si>
    <t>Llave Vaso Profundo 1/2" Impulso 1/2"</t>
  </si>
  <si>
    <t>Llave Vaso Profundo 3/4" Impulso 1/2"</t>
  </si>
  <si>
    <t>Llave Vaso Profundo 9/16" Impulso 1/2"</t>
  </si>
  <si>
    <t>Malacate de Cadena 0.75 Ton</t>
  </si>
  <si>
    <t>Malacate de Cadena 3 Ton</t>
  </si>
  <si>
    <t>Maletin C/ Herramienta Klein Ref 70262</t>
  </si>
  <si>
    <t>Mandarria a 2 KG Aislada a 1000V</t>
  </si>
  <si>
    <t>Mandarria de 4 Libras</t>
  </si>
  <si>
    <t>Manija Accionam Tornillo Antifr Ap Caj</t>
  </si>
  <si>
    <t>Maquina Manual MD-6</t>
  </si>
  <si>
    <t>Martillo de 500 Grs</t>
  </si>
  <si>
    <t>Martillo de Goma de 300 Grs</t>
  </si>
  <si>
    <t>Mechas P/ Taladro 1/2"x 6"</t>
  </si>
  <si>
    <t>Mechas P/ Taladro 3/8" x 6"</t>
  </si>
  <si>
    <t>Metro de Madera (Folding Rule) M-4455-16</t>
  </si>
  <si>
    <t>Moldaza P/ Cable Acero Galv CAT 1684-74</t>
  </si>
  <si>
    <t>Moldaza P/ Cable Pelado ACSR Al Cu Trenz</t>
  </si>
  <si>
    <t>Montacarga con Cinta de Nylon</t>
  </si>
  <si>
    <t>Navaja Tramontina 2090 03</t>
  </si>
  <si>
    <t>Perfilador de Aislador Digital MT y AT</t>
  </si>
  <si>
    <t>Pértiga a Eslabon Espiral</t>
  </si>
  <si>
    <t>Pértiga a Rodillo</t>
  </si>
  <si>
    <t>Pertiga Acoplable de 9 Mts L</t>
  </si>
  <si>
    <t>Pértiga Acople Univ Long Extend 6 Mtr</t>
  </si>
  <si>
    <t>Pértiga Gancho Espiral</t>
  </si>
  <si>
    <t>Pértiga Soporte 2" x 8'</t>
  </si>
  <si>
    <t>Pértiga Soporte 2/12" x 10'</t>
  </si>
  <si>
    <t>Pinza P/ Manguito Preaislado</t>
  </si>
  <si>
    <t>Pinza Punta Media Caña Aisl 1000V</t>
  </si>
  <si>
    <t>Pinza Tiracables Mod. JP</t>
  </si>
  <si>
    <t>Rana 1/0</t>
  </si>
  <si>
    <t>Riel OMEGA XIM</t>
  </si>
  <si>
    <t>Riel Para Montura 1 Metro CAMSCO</t>
  </si>
  <si>
    <t>Saco de Lona P/ Guante Cat 4T498 (14)</t>
  </si>
  <si>
    <t>Saco P/ Guardar 2 Mangos T/ Universal</t>
  </si>
  <si>
    <t>Sección Punta P/ Vara Telescópica 40'</t>
  </si>
  <si>
    <t>Separador de Face LAP DSFP</t>
  </si>
  <si>
    <t>Serrucho Podador (Pruning Sew) M-4455-26</t>
  </si>
  <si>
    <t>Silleta C/ Abrazadera 1 1/2" de 38mm</t>
  </si>
  <si>
    <t>Silleta C/ Abrazadera 2 1/2" de 63mm</t>
  </si>
  <si>
    <t>Silleta de Anillos y Cadena</t>
  </si>
  <si>
    <t>Silleta de Ojales M-1846W</t>
  </si>
  <si>
    <t>Silleta y Grapa de 2</t>
  </si>
  <si>
    <t>Taladro 1-3/4" 11.5A Roto-Martillo</t>
  </si>
  <si>
    <t>Tapa Inferior Pértiga Telescóp 10.5Mtr</t>
  </si>
  <si>
    <t>Vara (Pertica) Soport 2-1/2x12 H-4647-12</t>
  </si>
  <si>
    <t>Vara (Pertica) Soport 2-1/2x14 H-4647-14</t>
  </si>
  <si>
    <t>Vara (Pertica) Soporte 2"x8' H-4647-8</t>
  </si>
  <si>
    <t>Vara Pérti 3 Secci Acopl 6Mtr (ES VT-6D)</t>
  </si>
  <si>
    <t>Vara Perti C/ Gancho P/ Cond 1-1/4"x6.5'</t>
  </si>
  <si>
    <t>Vara Pertiga 3 Secc Acoplable 6 Mtr</t>
  </si>
  <si>
    <t>Vara Pertiga C/ Rod L-5'x8" Ext 1-1/4x12</t>
  </si>
  <si>
    <t>Vara Pertiga Gancho Hoja Girat L-8'x2"</t>
  </si>
  <si>
    <t>Vara Pertiga Gancho Retrác 1 1/4" 6'</t>
  </si>
  <si>
    <t>Vara Pertiga Tensora Gancho Espiral</t>
  </si>
  <si>
    <t>Vara Pertiga Tensora Hot Slick C-400-574</t>
  </si>
  <si>
    <t>Vara Telescópica 25' 6"</t>
  </si>
  <si>
    <t>Vara Telescópica 30' AB Chence</t>
  </si>
  <si>
    <t>Vara Telescópica 40'</t>
  </si>
  <si>
    <t>Ammeter With Padded St Carr Case 0-2000A</t>
  </si>
  <si>
    <t>Amperímetro AC/DC 1000A 1000V -40-1372ºC</t>
  </si>
  <si>
    <t>Amperimetro Digital 600V 600A 200Ohm</t>
  </si>
  <si>
    <t>Amperímetro Panel Digital AC/DC 72 x 72</t>
  </si>
  <si>
    <t>Analog 5kV Megger Ins Tester 500-5000V</t>
  </si>
  <si>
    <t>Balanza Plataf Eléct Mettler 4'x4' 1000K</t>
  </si>
  <si>
    <t>Camara Termográfica Pequeña</t>
  </si>
  <si>
    <t>Camara Termográfica ThermaCam</t>
  </si>
  <si>
    <t>Cronómetro</t>
  </si>
  <si>
    <t>DC CLAM-ON PROGRAMMA</t>
  </si>
  <si>
    <t>DC Dielectric Test Set 70kV</t>
  </si>
  <si>
    <t>Densimetro y Term Programa</t>
  </si>
  <si>
    <t>Detector Fuga de Gas SF6</t>
  </si>
  <si>
    <t>Detector Voltaje Unipolar P/ MT 5-15kV</t>
  </si>
  <si>
    <t>Diaphragm Valve ¼"  fnpt x ¼" fnpt</t>
  </si>
  <si>
    <t>Equipo Detector de Derivación Soterrada</t>
  </si>
  <si>
    <t>Equipo Medición 20-40/5A 15/30VA 60Hz</t>
  </si>
  <si>
    <t>Fluke 63 Mini Infrared Thermometer</t>
  </si>
  <si>
    <t>Frecuencímetro Panel Digital 220V 72x72</t>
  </si>
  <si>
    <t>Kilovoltímetro Digital Rango 0-40kV</t>
  </si>
  <si>
    <t>Lente P/ Cámara Term T-400 15ºIR f=30mm</t>
  </si>
  <si>
    <t>Lente P/ Cámara Thermo Cam P60</t>
  </si>
  <si>
    <t>Med Aisl AT C/ Estu/ Cab.Cat.Metris</t>
  </si>
  <si>
    <t>Med C/ Agua Enaceitado CAT.MK</t>
  </si>
  <si>
    <t>Medidor de Corriente de Fuga Dig 70kV DC</t>
  </si>
  <si>
    <t>Medidor de Resistencia 10Amp</t>
  </si>
  <si>
    <t>Medidor de Tierra de Manivela</t>
  </si>
  <si>
    <t>Medidor Estado Solido Multiuncionario</t>
  </si>
  <si>
    <t>Medidor P/ Tierra C/ Maleta S/ Tambor</t>
  </si>
  <si>
    <t>Medidor Resist Tierra Transm Distribuc</t>
  </si>
  <si>
    <t>Mega Onmio Mad. 5000 N/5100/5110</t>
  </si>
  <si>
    <t>Megometro 1000 Voltios</t>
  </si>
  <si>
    <t>Meter Evaluator &amp; Tester Ring Style</t>
  </si>
  <si>
    <t>Multi-Tester</t>
  </si>
  <si>
    <t>Multi-Tester AC 44-1200-200A FLK-0028</t>
  </si>
  <si>
    <t>Multi-Tester Analogo</t>
  </si>
  <si>
    <t>Multi-tester Digital 1000A 750V</t>
  </si>
  <si>
    <t>Odómetro Fijo P/ Medición Dist Lineales</t>
  </si>
  <si>
    <t>Odometro Yamayo</t>
  </si>
  <si>
    <t>Osciloscopio Dig 60 150 250MHz Pant LCD</t>
  </si>
  <si>
    <t>Pinza Amperim 500/ 5A 480VAECM AC</t>
  </si>
  <si>
    <t>Pinza Amperim P/ Lineas BT Mod ABMC512</t>
  </si>
  <si>
    <t>Pinza Amperim P/ Líneas MT</t>
  </si>
  <si>
    <t>Pinza Amperimetrica 1,000 750V</t>
  </si>
  <si>
    <t>Pinza Amperimétrica 400kV 0-2000A</t>
  </si>
  <si>
    <t>Pinza Amperimétrica 500kV 0-2000A</t>
  </si>
  <si>
    <t>Pinza Amperimétrica AMPROBE 1000V</t>
  </si>
  <si>
    <t>Printer Kit P/ Prob Rigidez Diel 60kV</t>
  </si>
  <si>
    <t>Probador Rigidez Diel Aut 60kV Oil Test</t>
  </si>
  <si>
    <t>Registrador de Medicion RR2-12 1A20</t>
  </si>
  <si>
    <t>Registrador de Medicion RR2-1231A 200</t>
  </si>
  <si>
    <t>Regulador Voltaje 0-250V 2000W</t>
  </si>
  <si>
    <t>Secuencímetro</t>
  </si>
  <si>
    <t>Vatímetro 2000V</t>
  </si>
  <si>
    <t>Vatímetro BIRD Rango 5-500W</t>
  </si>
  <si>
    <t>Voltímetro Digital AC/DC 72 x 72</t>
  </si>
  <si>
    <t>Adapt Copling 1/8-1 1/2" Bronce-Cu</t>
  </si>
  <si>
    <t>Adaptador Mod AK000305 Patrón WECO</t>
  </si>
  <si>
    <t>Aluminium Stud to Flat ADSF-14-1-D-40940</t>
  </si>
  <si>
    <t>Baquelita P/ Base de Medidor 5 Clips</t>
  </si>
  <si>
    <t>Baquelitas de 2 Clips a 240 Voltios</t>
  </si>
  <si>
    <t>Baquelitas de 4 Clips</t>
  </si>
  <si>
    <t>Baquelitas de 8 Clips</t>
  </si>
  <si>
    <t>Bronze Paral Conec Sing Center Bolt ST-4</t>
  </si>
  <si>
    <t>Cabezal Grande (Referencia 69633-2)</t>
  </si>
  <si>
    <t>Conect Auxime Borna Cable T/ 7431-2020</t>
  </si>
  <si>
    <t>Conect Auxime T/ 7412A-2020 P/ Cable 477</t>
  </si>
  <si>
    <t>Conect Bimestral Transición P/ Elect</t>
  </si>
  <si>
    <t>Conect Comp Hidraulic MDD VC6-F Manual</t>
  </si>
  <si>
    <t>Conect Comp P/Cond 500-336.5 3/0-1/0 AWG</t>
  </si>
  <si>
    <t>Conect Comp P/Cond 500-4/0 500-4/0 AWG</t>
  </si>
  <si>
    <t>Conect Espec T/ T P/Barra Subest 1000MCM</t>
  </si>
  <si>
    <t>Conect N Hemb P/Cable Heliax 1/2" Cu</t>
  </si>
  <si>
    <t>Conect N Mach P/Cable Heliax 1/2" Cu</t>
  </si>
  <si>
    <t>Conect Neut 2 Vía C/Pern Arand 2/0 Alloy</t>
  </si>
  <si>
    <t>Conect ParaloGround Conect 2709-2-30EH</t>
  </si>
  <si>
    <t>Conect Perno Part P/ Cable No.2 al 1/0</t>
  </si>
  <si>
    <t>Conect Perno Part P/Cable Viento 1/4"</t>
  </si>
  <si>
    <t>Conect Prue Agua P/ SEU1-1/4 Caj T/Sock</t>
  </si>
  <si>
    <t>Conect Prue Agua P/ SEU3No.4 Caj T/Sock</t>
  </si>
  <si>
    <t>Conect Prue Agua P/ SEU4No.6 Caj T/Sock</t>
  </si>
  <si>
    <t>Conect PWR Includer Feedthru J2</t>
  </si>
  <si>
    <t>Conect Simp Dent P/ Cond 2/0-4/0 Aisl Al</t>
  </si>
  <si>
    <t>Conect Sop P/Cab Aisl Dobl C/Torn 2"</t>
  </si>
  <si>
    <t>Conector Apernado 600-4/0</t>
  </si>
  <si>
    <t>Conector Apernado AL-3/0/0-2/0</t>
  </si>
  <si>
    <t>Conector Apernado AL-4/0-2/0</t>
  </si>
  <si>
    <t>Conector Apernado AL-465 a 4/0-2/0</t>
  </si>
  <si>
    <t>Conector Aprueba de Agua 3/6</t>
  </si>
  <si>
    <t>Conector ATCC-1111</t>
  </si>
  <si>
    <t>Conector ATCC-99</t>
  </si>
  <si>
    <t>Conector Comp 477 ACSR-4/0 STR-YHN 525</t>
  </si>
  <si>
    <t>Conector Compr 4-4 AWG CF22</t>
  </si>
  <si>
    <t>Conector Compresión Cobre #2</t>
  </si>
  <si>
    <t>Conector Compresión Cobre #3</t>
  </si>
  <si>
    <t>Conector Compresión Cobre #5</t>
  </si>
  <si>
    <t>Conector Compresión Cobre #6</t>
  </si>
  <si>
    <t>Conector Compresión Cobre #7</t>
  </si>
  <si>
    <t>Conector Compresión Cobre #8 3/0-4/0</t>
  </si>
  <si>
    <t>Conector Compresión Hidraulico Simple</t>
  </si>
  <si>
    <t>Conector Cu 2/0-1000 MCM</t>
  </si>
  <si>
    <t>Conector de Aluminio '' T ''</t>
  </si>
  <si>
    <t>Conector de Aluminio ADST-1220-90-12</t>
  </si>
  <si>
    <t>Conector de Compresión 4 AAAC</t>
  </si>
  <si>
    <t>Conector de Compresión 4hn</t>
  </si>
  <si>
    <t>Conector de Ensamble</t>
  </si>
  <si>
    <t>Conector de Ensamble VC3BN15E</t>
  </si>
  <si>
    <t>Conector de Ranura Paralela</t>
  </si>
  <si>
    <t>Conector de RF P/ Radio SCADA RFN-M</t>
  </si>
  <si>
    <t>Conector de RF RG-58</t>
  </si>
  <si>
    <t>Conector de Tierra Cu Doble 4/0</t>
  </si>
  <si>
    <t>Conector Doble Vía 1/0 400 MCM</t>
  </si>
  <si>
    <t>Conector Liquid Tight de 3" Recto</t>
  </si>
  <si>
    <t>Conector Mec P/ Cable 2/0</t>
  </si>
  <si>
    <t>Conector Mec P/Cable 4/0 x 4/0 Bif 2 Ton</t>
  </si>
  <si>
    <t>Conector Neutro de Simple Via</t>
  </si>
  <si>
    <t>Conector Ojo 1/0 -500 MCM Cu</t>
  </si>
  <si>
    <t>Conector P/ Bussing de 350-600 MCM AL</t>
  </si>
  <si>
    <t>Conector P/ Cable Micrófono Ref RJ45</t>
  </si>
  <si>
    <t>Conector P/ Radio GM300 Original</t>
  </si>
  <si>
    <t>Conector paralelo 500 MCM (3 tornillo)</t>
  </si>
  <si>
    <t>Conector Perno Partido 2/0 350 MCM</t>
  </si>
  <si>
    <t>Conector Plano 250-500 MCM 4/0</t>
  </si>
  <si>
    <t>Conector Ranura 3 Torn 465 a 500 MCM</t>
  </si>
  <si>
    <t>Conector Ranura 3 Torn 500 MCM a 4/0</t>
  </si>
  <si>
    <t>Conector Recto T 350-600 MCM</t>
  </si>
  <si>
    <t>Conector RS-232 DB25 Macho</t>
  </si>
  <si>
    <t>Conector RS-232 DB9 Hembra</t>
  </si>
  <si>
    <t>Conector Separable Aisl 3M Tipo 5452</t>
  </si>
  <si>
    <t>Conector T/ Manga 500 MCM</t>
  </si>
  <si>
    <t>Conector T/ Manga NVU10PC 12-10</t>
  </si>
  <si>
    <t>Conector T/ Perno Partido Cable 4/0</t>
  </si>
  <si>
    <t>Conector T/ Planch Cu P/ Alambre 4/0</t>
  </si>
  <si>
    <t>Conector T/ Plancha Cu P/ Alambre 2/0</t>
  </si>
  <si>
    <t>Conector T/ Planchuela 3 Sal Secund Al</t>
  </si>
  <si>
    <t>Conector T/ T 350-600 MCM</t>
  </si>
  <si>
    <t>Conector T/ T 7412-2020 P/ Cable 477</t>
  </si>
  <si>
    <t>Conector TNC Macho P/ Cable RG-8/ C1180</t>
  </si>
  <si>
    <t>Conector Tornillo Bronce P/ Electricidad</t>
  </si>
  <si>
    <t>Conectores Bushing-Cable 15kV</t>
  </si>
  <si>
    <t>Conectores Bushing-Cable 72.kKV</t>
  </si>
  <si>
    <t>Conectores PL</t>
  </si>
  <si>
    <t>Conectores Split Bolt No 4/0 Bimet 40Hp</t>
  </si>
  <si>
    <t>Contactor 65A - 80A 1th TLMQ</t>
  </si>
  <si>
    <t>Empalme P/ Cables Aislado 15kV #1/0</t>
  </si>
  <si>
    <t>Empalme P/ Cables Aislado 15kV #2</t>
  </si>
  <si>
    <t>Empalme P/ Cables Aislado 15kV #2/0</t>
  </si>
  <si>
    <t>Empalme P/ Cables Aislado 15kV #4/0</t>
  </si>
  <si>
    <t>Empalme P/ Cables Aislado 15kV 500 Al</t>
  </si>
  <si>
    <t>Grapa P/ Puesta Tierr Cabl 2/0 250MCM</t>
  </si>
  <si>
    <t>Joining Fitting JN1</t>
  </si>
  <si>
    <t>Joining Fitting JN3</t>
  </si>
  <si>
    <t>Kit Conect Acom Neutro Desn KC-07RD</t>
  </si>
  <si>
    <t>Kit de Empalme para Cable URD # 2</t>
  </si>
  <si>
    <t>Kit Empal Cabl Aisl 15kV 5418-1000 Al-Cu</t>
  </si>
  <si>
    <t>Manga Aut Plena Tensión P/ Cond Cu#2 1/0</t>
  </si>
  <si>
    <t>Manga Empal Cable Scotch Cu-Al 500 Al</t>
  </si>
  <si>
    <t>Manga Full Tension 4/0 Curva</t>
  </si>
  <si>
    <t>Manga Full Tension 559-5 Al</t>
  </si>
  <si>
    <t>Manga Plást P/ Aisl Term Medidor T/ Zoc</t>
  </si>
  <si>
    <t>Manguito Compr 4/0 ACSR 6 Al</t>
  </si>
  <si>
    <t>Manguito Compr 4/0-Al-Alloy Alliance</t>
  </si>
  <si>
    <t>Manguito Compr 465.4-Al-Alloy Cairo</t>
  </si>
  <si>
    <t>Manguito Compr Cu #2</t>
  </si>
  <si>
    <t>Porta Zincho 0,7 x 20 x 50 MTS ZU 720</t>
  </si>
  <si>
    <t>Reduccion Copa HG 1/2"x3/8"</t>
  </si>
  <si>
    <t>Sujetador de Cable Separados de los Kit</t>
  </si>
  <si>
    <t>Termin Ext Porcel P/Cabl URD 4/0 1000MCM</t>
  </si>
  <si>
    <t>Termin Ojo Cu Eyebolt 1/0-500 MCM P/Recl</t>
  </si>
  <si>
    <t>Terminal Atorn C/ Placa Fij P/ Recl 630A</t>
  </si>
  <si>
    <t>Terminal Bim Compr P/ Cond Aisl 1000MCM</t>
  </si>
  <si>
    <t>Terminal Bim P/ Cond Aisl 5000MCM 15kV</t>
  </si>
  <si>
    <t>Terminal Bimet Compr Cu-Al 465.4 MCM</t>
  </si>
  <si>
    <t>Terminal Bronce Cable Cat. TLS-89L</t>
  </si>
  <si>
    <t>Terminal Compr 4 Aguj 465 Al-19</t>
  </si>
  <si>
    <t>Terminal Compr Al 4 Aguj AI-Cu 500 MCM</t>
  </si>
  <si>
    <t>Terminal Compr Cu 4AWG 3/8"</t>
  </si>
  <si>
    <t>Terminal Compr T/ Planch 2 Aguj 500MCM</t>
  </si>
  <si>
    <t>Terminal Contraible Inter P/ Cable #2/0</t>
  </si>
  <si>
    <t>Terminal Cu Comp Aisl P/ Cable 10 AWG</t>
  </si>
  <si>
    <t>Terminal de Ojo 1/4 10-12</t>
  </si>
  <si>
    <t>Terminal de Punta 18-22</t>
  </si>
  <si>
    <t>Terminal Elbow Tipo Codo para Cable 2/0</t>
  </si>
  <si>
    <t>Terminal Enchufable #14</t>
  </si>
  <si>
    <t>Terminal Enchufable #16</t>
  </si>
  <si>
    <t>Terminal Exterior 500MCM</t>
  </si>
  <si>
    <t>Terminal Exterior P/ Cable Aisl 15KV</t>
  </si>
  <si>
    <t>Terminal Exterior P/ Cable Aisl 35KV</t>
  </si>
  <si>
    <t>Terminal Gris M 4/6</t>
  </si>
  <si>
    <t>Terminal Int Rep P/ Portaf Aereo T00803</t>
  </si>
  <si>
    <t>Terminal Interior 500MCM</t>
  </si>
  <si>
    <t>Terminal Interior P/ URD No.4/0</t>
  </si>
  <si>
    <t>Terminal Mang Macho MPT 3/8"x3/8"</t>
  </si>
  <si>
    <t>Terminal NEMA 2 Aguj P/ Recl COOPER</t>
  </si>
  <si>
    <t>Terminal Ojo Cerrado 3/8" 10-12D-01-1106</t>
  </si>
  <si>
    <t>Terminal P/ Alm No.12</t>
  </si>
  <si>
    <t>Terminal P/ Cable Aisl 15kV</t>
  </si>
  <si>
    <t>Terminal P/ Tubo Aluminio 2' 600-900MCM</t>
  </si>
  <si>
    <t>Terminal Preformada P/465.4</t>
  </si>
  <si>
    <t>Terminal Preformado 3/8"</t>
  </si>
  <si>
    <t>Terminal SAM 500-4N 4 Aguj Cu-Al</t>
  </si>
  <si>
    <t>Terminal SAM 600-4N 4 Aguj Cu-Al</t>
  </si>
  <si>
    <t>Terminal SAM 750 N 608 2 Aguj Cu-Al</t>
  </si>
  <si>
    <t>Terminal T/ Planchuela 4 Aguj 1 1/2"</t>
  </si>
  <si>
    <t>Terminal T/ Silla 2 Salida #10 AWG</t>
  </si>
  <si>
    <t>Terminal T/ Silla 2 Salida #6 AWG</t>
  </si>
  <si>
    <t>Terminal T/ Silla 2 Salidas #1/0 AWG</t>
  </si>
  <si>
    <t>Terminal T/ Silla 2 Salidas #2 AWG</t>
  </si>
  <si>
    <t>Terminal Termocontraible Inter P/ URD #2</t>
  </si>
  <si>
    <t>Terminal Termocontraible P/ URD #2</t>
  </si>
  <si>
    <t>Tope Final P/ Borneras Ref. 36458</t>
  </si>
  <si>
    <t>Unión N-N Macho</t>
  </si>
  <si>
    <t>Unión PL-PL</t>
  </si>
  <si>
    <t>Union TUBING O/D x O/D 316 JUU 1/4"x1/4"</t>
  </si>
  <si>
    <t>Zocalo T Baquelita 100A</t>
  </si>
  <si>
    <t>Base C/ Bypass P/ Medidor Cl 200 4h Prep</t>
  </si>
  <si>
    <t>Base P/ Medidor Electrónico Clase 320</t>
  </si>
  <si>
    <t>Contador de Descarga 9/10kV</t>
  </si>
  <si>
    <t>Cristal P/ Medidor 120V Landis &amp; Gyr MX</t>
  </si>
  <si>
    <t>Cristal P/ Medidor 240V Sangamo J3S</t>
  </si>
  <si>
    <t>Etiqueta Seguridad P/ Cuerpo de Medidor</t>
  </si>
  <si>
    <t>Fuente Polif P/ Med Cl 20 4h 120/480V</t>
  </si>
  <si>
    <t>Fuente Polif P/ Med Cl 200 4h 120/480V</t>
  </si>
  <si>
    <t>Med Botton Cl100</t>
  </si>
  <si>
    <t>Med Campo Electromag 3Ejes EMF Indic Dig</t>
  </si>
  <si>
    <t>Med Cl100 120V 2h FM 1S GE I-70S</t>
  </si>
  <si>
    <t>Med Cl100 120V 2h FM 1S MEIX-T NANSE</t>
  </si>
  <si>
    <t>Med Cl100 120V 2h FM 1S NANSEN</t>
  </si>
  <si>
    <t>Med Cl100 120V 2h FM 1S SIESCO</t>
  </si>
  <si>
    <t>Med Cl100 240V 3h</t>
  </si>
  <si>
    <t>Med Cl100 T/ Zocalo 120V 5A</t>
  </si>
  <si>
    <t>Med Cl20 120V 3h C/ Modem</t>
  </si>
  <si>
    <t>Med Cl20 240V 3h</t>
  </si>
  <si>
    <t>Med Cl20 240V 4h</t>
  </si>
  <si>
    <t>Med Cl200 120/480V 3h C/ Modem</t>
  </si>
  <si>
    <t>Med Cl200 120/480V 3h C/ Modem RXRS4</t>
  </si>
  <si>
    <t>Med Cl200 120/480V 3h FM 12S Modem</t>
  </si>
  <si>
    <t>Med Cl200 120/480V 4h FM 16S/15S</t>
  </si>
  <si>
    <t>Med Cl200 240V 3h FM 2S ABB AB1</t>
  </si>
  <si>
    <t>Med Cl200 240V 3h ME2X NANSEN</t>
  </si>
  <si>
    <t>Med Com A3 Alpha 240V FM 2S AC300KD0L5</t>
  </si>
  <si>
    <t>Med Electr A3 ALPHA Cl20 4h FM 9/8S</t>
  </si>
  <si>
    <t>Med Electr Cl100 120/480V 3h 45/5A</t>
  </si>
  <si>
    <t>Med Electr Cl100 120/480V 4h 45/5A</t>
  </si>
  <si>
    <t>Med Electr Cl20 120/480V 4h 45/5A</t>
  </si>
  <si>
    <t>Med Electr Cl20 120/480V 4h FM 4/5S</t>
  </si>
  <si>
    <t>Med Electr Cl200 120/480V 3h 12S Elster</t>
  </si>
  <si>
    <t>Med Electr Cl200 120/480V 4h 12S Elster</t>
  </si>
  <si>
    <t>Med Electromec Cl100 120V 2h FM 1S</t>
  </si>
  <si>
    <t>Med Electromec Cl200 240V 3h FM 16S</t>
  </si>
  <si>
    <t>Med Electromec Cl200 240V 3h FM 2S</t>
  </si>
  <si>
    <t>Med Electróni 120V C/ Sal Rep, Cont Cicl</t>
  </si>
  <si>
    <t>Med Electróni 240V C/ Sal Rep, Cont Cicl</t>
  </si>
  <si>
    <t>Med Electróni A3 ALPHA Cl20 3h FM 45/5A</t>
  </si>
  <si>
    <t>Med Electróni A3 ALPHA Cl20 4h FM 9/10A</t>
  </si>
  <si>
    <t>Med Electróni Cl200 120V 12S 3h</t>
  </si>
  <si>
    <t>Med Electróni Cl320 120/480V 4h</t>
  </si>
  <si>
    <t>Med Elster A3 Alpha Cl20 4h FM 9S Tarj</t>
  </si>
  <si>
    <t>Med ION 8300 Cl20 120/277V 9S 60Hz</t>
  </si>
  <si>
    <t>Med ION 8500 120/277V 4h 3E 60Hz</t>
  </si>
  <si>
    <t>Med ION 8600 Cl2 57/277V 4h FM 9S Cl0.2S</t>
  </si>
  <si>
    <t>Med MFM 12S Cl100 120V 3h Socket Nt</t>
  </si>
  <si>
    <t>Med Monof Cl100 120V 2h FM 1S Socket</t>
  </si>
  <si>
    <t>Med Monof Cl100 120V 3h</t>
  </si>
  <si>
    <t>Med Monof Cl200 240V 3h 6Hz</t>
  </si>
  <si>
    <t>Med Monof Cl200 240V 3h FM 2S Socket</t>
  </si>
  <si>
    <t>Med Potencia STQ200 120V 3f 9A 60Hz</t>
  </si>
  <si>
    <t>Med Potencia STQ220 120V 3f 60Hz</t>
  </si>
  <si>
    <t>Med Q1000 120V 4h 2.5</t>
  </si>
  <si>
    <t>Med Q1000 Cl2 69V 4h 1.0A FM 9S</t>
  </si>
  <si>
    <t>Med Q1000 Cl20 120V 4h FM 9S RS-485</t>
  </si>
  <si>
    <t>Med Resid Cl200 240V 3h FM 2S</t>
  </si>
  <si>
    <t>Med Ruido C/ Interf RS 232 31.5-8kHZ</t>
  </si>
  <si>
    <t>Memoria P/ Medidores</t>
  </si>
  <si>
    <t>Separador de Bornera de 6mm</t>
  </si>
  <si>
    <t>Single-Phase TTR Hand-Crank Med Rel Tr</t>
  </si>
  <si>
    <t>Software EPS P/ Med Prepago 120/240V</t>
  </si>
  <si>
    <t>Tapa Crist C/ Aro Met P/ Med Res Socket</t>
  </si>
  <si>
    <t>Tapa Crist C/ Aro Plást P/ Med Socket</t>
  </si>
  <si>
    <t>Tapa Plást P/ Medidor Residencial</t>
  </si>
  <si>
    <t>Tarjeta Módem P/ Med ION 8500 V232</t>
  </si>
  <si>
    <t>Tarjeta Módem P/ Med ION 8500 V240</t>
  </si>
  <si>
    <t>Tarjeta Módem P/ Med Landis RXRS4 D-Up</t>
  </si>
  <si>
    <t>Cono Anclar Superf 250" 161-300mm2</t>
  </si>
  <si>
    <t>Cruceta Acer 3"x3"x1/4" Perf L 3'-0"</t>
  </si>
  <si>
    <t>Cruceta Mad 3 3/4"x3 3/4" L 6'-0 Galv</t>
  </si>
  <si>
    <t>Cruceta Mad 4 3/4"x4 3/4" L 6'-0 S/ Orif</t>
  </si>
  <si>
    <t>Cruceta Mad 4 3/4"x5 3/4" L 22'</t>
  </si>
  <si>
    <t>Cruceta Mad 4"x4" 10'</t>
  </si>
  <si>
    <t>Cruceta Mad 4"x4" 6'</t>
  </si>
  <si>
    <t>Pilastra de Hormigón Armado de 3 Mtr</t>
  </si>
  <si>
    <t>Poste de Acero Galvanizado 30' 2 KN</t>
  </si>
  <si>
    <t>Poste de Concreto Vibrado 35' 4 KN</t>
  </si>
  <si>
    <t>Poste de Concreto Vibrado 40' 5 KN</t>
  </si>
  <si>
    <t>Poste de madera 45' Clase 2</t>
  </si>
  <si>
    <t>Poste de Madera 55'</t>
  </si>
  <si>
    <t>115 VAC/125VDC Power Supply P/ NTU-7550</t>
  </si>
  <si>
    <t>Caja Control de Equipo P/ Recl ABB</t>
  </si>
  <si>
    <t>Caja Control de Equipo P/ Recl COOPER</t>
  </si>
  <si>
    <t>Caja Control de Reconectador COOPER F&amp;6</t>
  </si>
  <si>
    <t>Cargador Loader RX-ML Single Way Master</t>
  </si>
  <si>
    <t>Cargador Loader RX-SL Single Way Secund</t>
  </si>
  <si>
    <t>Carro Porta Interruptor ABB VD4 1200A</t>
  </si>
  <si>
    <t>Carro Porta Interruptor ABB VD4 2500A</t>
  </si>
  <si>
    <t>Celda de Media Tensión Siemens 8BK20</t>
  </si>
  <si>
    <t>Celda Modul Compacta Cable Barra Tipo S</t>
  </si>
  <si>
    <t>Celda Modul Compacta MT Tipo C</t>
  </si>
  <si>
    <t>Data Load Logger</t>
  </si>
  <si>
    <t>Equipo Comunicación P/ Reclosers</t>
  </si>
  <si>
    <t>Interruptor de Reserva P/ Celdas de Sal</t>
  </si>
  <si>
    <t>Interruptor de Reserva Siemens 3AH366-3</t>
  </si>
  <si>
    <t>Interruptor KANOPY de 10A</t>
  </si>
  <si>
    <t>Interruptor Pot BBC SF6 In-2000A 72.5kVA</t>
  </si>
  <si>
    <t>Interruptor Termomagnetico K32a 50/1</t>
  </si>
  <si>
    <t>Interruptor Termomagnetico K32a 60/1</t>
  </si>
  <si>
    <t>Interruptor Transf Manual 1600A 480-277V</t>
  </si>
  <si>
    <t>Kit 1Carrying Case &amp; 3Eq LoadLog LL-230A</t>
  </si>
  <si>
    <t>Maletin P/ 3 Equipos Loadlogger LL-230A</t>
  </si>
  <si>
    <t>Módulo CPU Tipo 2 de Reconect ABB PCD200</t>
  </si>
  <si>
    <t>Módulo UPS 48VDC P/ Recl ABB PCD 2000</t>
  </si>
  <si>
    <t>Motor Accionam P/ Recarg Resorte Int Pot</t>
  </si>
  <si>
    <t>Recloser Trip T/ Poste 34.5kV 800A</t>
  </si>
  <si>
    <t>Reconect Trip 15.5kV 560A</t>
  </si>
  <si>
    <t>Reconect Trip 34.5kV 630A</t>
  </si>
  <si>
    <t>Reconect Trip T/ Estac 15.5kV 1200A</t>
  </si>
  <si>
    <t>Seccionad ABB T/ HOP 34.4kV 600A</t>
  </si>
  <si>
    <t>Seccionad Air 69kV 1200A RF-2</t>
  </si>
  <si>
    <t>Seccionad By-Pass 600A Min 8.3kV Max</t>
  </si>
  <si>
    <t>Seccionad Fusible BT 3P 630A 500V</t>
  </si>
  <si>
    <t>Seccionad Trip 15kV  35A</t>
  </si>
  <si>
    <t>Seccionad Trip H 630A 12.47kV Aisl 110kV</t>
  </si>
  <si>
    <t>Seccionad Trip H 800A 12.47kV Aisl 110kV</t>
  </si>
  <si>
    <t>Seccionad Trip T/ VJR 15.5kV 400A</t>
  </si>
  <si>
    <t>Seccionad Trip V 630A 12.47kV Aisl 110kV</t>
  </si>
  <si>
    <t>Seccionad Trip V 800A 12.47kV Aisl 110kV</t>
  </si>
  <si>
    <t>Seccionad Trip Vert 34.4kV 600A</t>
  </si>
  <si>
    <t>Seccionad Unip 15kV 50A</t>
  </si>
  <si>
    <t>Seccionad Unip 15kV 70A</t>
  </si>
  <si>
    <t>Seccionad Unip 36kV 25A</t>
  </si>
  <si>
    <t>Seccionad Unip 36kV 35A</t>
  </si>
  <si>
    <t>Seccionad Unip 36kV 50A</t>
  </si>
  <si>
    <t>Seccionad Vert 600A 14.4kV Aisl 95kV</t>
  </si>
  <si>
    <t>Seccionad Vert 630A 7.2kV Aisl 95kV</t>
  </si>
  <si>
    <t>Seccionad Vert 800A 12.47kV Aisl 95kV</t>
  </si>
  <si>
    <t>Tarjeta P/ Recloser ABB DIO Tipo 1</t>
  </si>
  <si>
    <t>Tarjeta P/ Recloser ABB DIO Tipo 2</t>
  </si>
  <si>
    <t>Tarjeta P/ Recloser ABB UPS Tipo 2</t>
  </si>
  <si>
    <t>Tarjeta P/ Reconectador COOPER RS-232</t>
  </si>
  <si>
    <t>Arandela 3/16"</t>
  </si>
  <si>
    <t>Arandela Cuad Plana 3x3x3/16 Aguj 13/16</t>
  </si>
  <si>
    <t>Arandela Cuad Plana 4x4x3/16 Aguj 5/8</t>
  </si>
  <si>
    <t>Arandela Curv 2 1/4x2 1/4 T3/4 Orif 5/8"</t>
  </si>
  <si>
    <t>Arandela Presión P/ Tornillo 1/8"</t>
  </si>
  <si>
    <t>Arandela Redonda 1 1/2" P/ Tornillo 3/8"</t>
  </si>
  <si>
    <t>Arandela Ribete 1/4x3x6 Aguj 13/16"</t>
  </si>
  <si>
    <t>Casquillo Liso Al C/ Protec Pern Liso 2</t>
  </si>
  <si>
    <t>Casquillo Liso Al C/Protec Pern Liso 1/0</t>
  </si>
  <si>
    <t>Casquillo Liso Al C/Protec Pern Liso 2/0</t>
  </si>
  <si>
    <t>Contra Tuerca P/ Tuerca 1" EMT</t>
  </si>
  <si>
    <t>Contra Tuerca P/ Tuerca 2" EMT</t>
  </si>
  <si>
    <t>Fijadores 1"x1"</t>
  </si>
  <si>
    <t>Perno Seguridad Acero Inox Comb EDE-01</t>
  </si>
  <si>
    <t>Perno Seguridad Acero Inox Comb EDE-02</t>
  </si>
  <si>
    <t>Perno Seguridad Acero Inox Comb EDE-04</t>
  </si>
  <si>
    <t>Perno Seguridad Nivel Seg I Comb EDE-03</t>
  </si>
  <si>
    <t>Perno Seguridad Tipo Torpedo</t>
  </si>
  <si>
    <t>Tarugo Perno Acero Recub Zn 3/8x2 1/4"</t>
  </si>
  <si>
    <t>Tarugo Plomo 1/4"x1"</t>
  </si>
  <si>
    <t>Tarugo Plomo 3/8" C/ Tornillo</t>
  </si>
  <si>
    <t>Tonillo Maq Cab 3/8"x16"</t>
  </si>
  <si>
    <t>Tonillo Maq Cab 3/8"x20"</t>
  </si>
  <si>
    <t>Tornillo 1/2" C/ Tuerca y Arandela</t>
  </si>
  <si>
    <t>Tornillo 1/2"x3" Acer Inox Rosc Corr</t>
  </si>
  <si>
    <t>Tornillo 3/16"x1" C/ Tuerca</t>
  </si>
  <si>
    <t>Tornillo Aluminio Terminal ACF7CY90</t>
  </si>
  <si>
    <t>Tornillo Aluminio Terminal SHHO80C</t>
  </si>
  <si>
    <t>Tornillo Aluminio Terminal T</t>
  </si>
  <si>
    <t>Tornillo Antifrau P/ Activar Corte Energ</t>
  </si>
  <si>
    <t>Tornillo Antifrau P/ Cierre de Caja</t>
  </si>
  <si>
    <t>Tornillo Cab Hex 1 1/2"x12" Cab Curva</t>
  </si>
  <si>
    <t>Tornillo Cab Hex 1 1/2"x9"</t>
  </si>
  <si>
    <t>Tornillo Cab Hex 1/2"x1 1/2" Tirafondo</t>
  </si>
  <si>
    <t>Tornillo Cab Hex 1/2"x2" Tirafondo</t>
  </si>
  <si>
    <t>Tornillo Cab Hex 1/2"x3" Tirafondo</t>
  </si>
  <si>
    <t>Tornillo Cab Hex 7/16"-14x3/4"</t>
  </si>
  <si>
    <t>Tornillo Cab Hex Acero Inox 1/2"x2"</t>
  </si>
  <si>
    <t>Tornillo Cab Hong Cuello Cuad 3/8x5 3/4"</t>
  </si>
  <si>
    <t>Tornillo Carruaje de 5/8"x6"</t>
  </si>
  <si>
    <t>Tornillo Conector P/ Cable</t>
  </si>
  <si>
    <t>Tornillo de Bronce P/ Cable</t>
  </si>
  <si>
    <t>Tornillo Desconectador P/ Caja</t>
  </si>
  <si>
    <t>Tornillo Esp 4 Tuerc Cuad 3/4x24" Rosc C</t>
  </si>
  <si>
    <t>Tornillo Esp 4 Tuerc Cuad 5/8"x24"</t>
  </si>
  <si>
    <t>Tornillo Guardacabo Curvo 3/8"x10"</t>
  </si>
  <si>
    <t>Tornillo Guardacabo Curvo 5/8"x10"</t>
  </si>
  <si>
    <t>Tornillo Guardacabo Curvo 5/8"x16"</t>
  </si>
  <si>
    <t>Tornillo Guardacabo Curvo 5/8"x8"</t>
  </si>
  <si>
    <t>Tornillo Hex Headbolts Cat HBS-250</t>
  </si>
  <si>
    <t>Tornillo Hex Headbolts Cat HBS-350</t>
  </si>
  <si>
    <t>Tornillo Máq Cab Cuad 1/2"x14"</t>
  </si>
  <si>
    <t>Tornillo Máq Cab Cuad 1/2"x3"</t>
  </si>
  <si>
    <t>Tornillo Máq Cab Cuad 1/8"x2"</t>
  </si>
  <si>
    <t>Tornillo Máq Cab Cuad 3/4"x 8"</t>
  </si>
  <si>
    <t>Tornillo Máq Cab Cuad 3/4"x16"</t>
  </si>
  <si>
    <t>Tornillo Máq Cab Cuad 3/4"x20"</t>
  </si>
  <si>
    <t>Tornillo Máq Cab Cuad 3/8"x3"</t>
  </si>
  <si>
    <t>Tornillo Máq Cab Cuad 5/8"x6"</t>
  </si>
  <si>
    <t>Tornillo Maq Cab Cuad Aran Fija 5/8x16"</t>
  </si>
  <si>
    <t>Tornillo Máq Cab Hex 3/4"x10" Acer Galv</t>
  </si>
  <si>
    <t>Tornillo Máq Cab Hex 5/8"x18"</t>
  </si>
  <si>
    <t>Tornillo Niquelado 1/2"x3"</t>
  </si>
  <si>
    <t>Tornillo P/ Soporte Aluminio</t>
  </si>
  <si>
    <t>Tornillo P/ Soporte Patecas Aluminio</t>
  </si>
  <si>
    <t>Tornillo Pasante C/ Tuerca 5/8"x6"</t>
  </si>
  <si>
    <t>Tornillo Pasante Guardac Recto 5/8"x10"</t>
  </si>
  <si>
    <t>Tornillo Pasante Ojo-Arand Sold 5/8"x10"</t>
  </si>
  <si>
    <t>Tornillo Pasante Ojo-Arand Sold 5/8"x12"</t>
  </si>
  <si>
    <t>Tornillo Pasante Ojo-Arand Sold 5/8"x8"</t>
  </si>
  <si>
    <t>Tornillo Pasante T/ Carrete</t>
  </si>
  <si>
    <t>Tornillo Pasante1/2"x1 1/2"</t>
  </si>
  <si>
    <t>Tornillo Rosca Madera 1 1/2"x12"</t>
  </si>
  <si>
    <t>Tornillo Rosca Madera 1"x12"</t>
  </si>
  <si>
    <t>Tornillo Rosca Madera 1/2"x4"</t>
  </si>
  <si>
    <t>Tornillo Rosca Madera 3/8" x 3½"</t>
  </si>
  <si>
    <t>Tornillo Rosca Madera 3/8"x1/2"</t>
  </si>
  <si>
    <t>Tornillo Rosca Madera 3/8"x2"</t>
  </si>
  <si>
    <t>Tornillo T Aluminio P/ Electricidad</t>
  </si>
  <si>
    <t>Tornillo T/ Pint 5/8' x 6 1/2"</t>
  </si>
  <si>
    <t>Tornillo T/ Pint P/ Cruceta J203</t>
  </si>
  <si>
    <t>Tornillo Tiraf 14"x1 1/2"</t>
  </si>
  <si>
    <t>Tornillo Tiraf 3/16"x2" Estrías</t>
  </si>
  <si>
    <t>Tornillo Tiraf Ace Galv 3/8"x2"</t>
  </si>
  <si>
    <t>Tornillo Tiraf Ace Galv Cab C 1/2x4 1/2"</t>
  </si>
  <si>
    <t>Tornillo Tiraf Ace Galv Cab C 10x1 1/2"</t>
  </si>
  <si>
    <t>Tornillo Tiraf Ace Galv Cab C 5/16x2 1/2</t>
  </si>
  <si>
    <t>Tornillo Tiraf Ace Galv Cab Cuad 3/8"x3"</t>
  </si>
  <si>
    <t>Tornillo Tiraf Ace Galv Cab Cuad 3/8"x4"</t>
  </si>
  <si>
    <t>Tornillo Tiraf Ace Galv Cab Cuad 5/8"x5"</t>
  </si>
  <si>
    <t>Tornillo Tiraf Acer Galv10"x1"</t>
  </si>
  <si>
    <t>Tornillo Tiraf Retenc Cab Curv 5 3/8"x3"</t>
  </si>
  <si>
    <t>Tornillo Tiraf Retenc Cab Curv 5/16"x3½"</t>
  </si>
  <si>
    <t>Tuerca de Ojo (OVAL) P/ Tornillo 3/4"</t>
  </si>
  <si>
    <t>Bobina P/ Totaliz T/ Donut 60/5A Cl0.5%</t>
  </si>
  <si>
    <t>Bushing 1200A 72.5kV</t>
  </si>
  <si>
    <t>Bushing Compl P/ Interruptor T/ SPS 72.5</t>
  </si>
  <si>
    <t>Bushing de Alta 138kV</t>
  </si>
  <si>
    <t>Bushing de Baja 12.5kV</t>
  </si>
  <si>
    <t>Bushing Tensión Nominal 145kV C/ Borna</t>
  </si>
  <si>
    <t>Cabria P/ Transformadores</t>
  </si>
  <si>
    <t>Condensador o Capacitor de 7.5</t>
  </si>
  <si>
    <t>CT's de A.T. 138kV 150-300/1-1-5-5A</t>
  </si>
  <si>
    <t>CT's de A.T. 69kV 100-200-300/5-5-5-5-5A</t>
  </si>
  <si>
    <t>CT's de A.T. 69kV 200-400/5-5-5-5-5A</t>
  </si>
  <si>
    <t>CT's de A.T. 69kV 35-70/5-5-5-5-5A</t>
  </si>
  <si>
    <t>CT's de A.T. 69kV 50-100/5-5-5-5A</t>
  </si>
  <si>
    <t>CT's de A.T. 69kV 50-100-200/5-5-5-5A</t>
  </si>
  <si>
    <t>Equipo Trif 75-150/5A 15VA 5S 7.2/0.12kV</t>
  </si>
  <si>
    <t>Resistor Compensación 0.5 Ohm 50W 5A</t>
  </si>
  <si>
    <t>Resistor Compensación 0.5 Ohm 7.5W 5A</t>
  </si>
  <si>
    <t>Resistor Compensación 1320 Ohm 50W 5A</t>
  </si>
  <si>
    <t>Resistor Compensación 2650 Ohm 50W 5A</t>
  </si>
  <si>
    <t>Resistor Compensación 440 Ohm 160W 5A</t>
  </si>
  <si>
    <t>Resistor Compensación 880 Ohm 50W 5A</t>
  </si>
  <si>
    <t>Transf 0.75MVA 69kV 7.2-2.4kV</t>
  </si>
  <si>
    <t>Transf 1.5MVA 34.5kV 7.2-2.4kV</t>
  </si>
  <si>
    <t>Transf 10kVA 2.4kV 120/240V</t>
  </si>
  <si>
    <t>Transf 15kVA 7.2kV 240-480V</t>
  </si>
  <si>
    <t>Transf 1MVA 34.5kV 7.2-2.4kV</t>
  </si>
  <si>
    <t>Transf 50kVA 7.2kV 240-480</t>
  </si>
  <si>
    <t>Transf 7MVA 34.5kV 200-110kV P/ SubEst</t>
  </si>
  <si>
    <t>Transf Corr 200/5-5A 12.47-17.5kV</t>
  </si>
  <si>
    <t>Transf Corr 2000/5-1-1A 12.5kV</t>
  </si>
  <si>
    <t>Transf Corr CT'S Ko-11 100/5A 110kv 60Hz</t>
  </si>
  <si>
    <t>Transf Corr CT'S Ko-11 50-100/5A 110kV</t>
  </si>
  <si>
    <t>Transf Corr Ko 100/5-5-5-5A 69kV</t>
  </si>
  <si>
    <t>Transf Corr Ko 100-200/5-5-5-5A 69kV</t>
  </si>
  <si>
    <t>Transf Corr Ko 2000/5-5-5-5A 69kV</t>
  </si>
  <si>
    <t>Transf Corr Ko 300/5-5-5A 72.5-69kV</t>
  </si>
  <si>
    <t>Transf Corr TAIT 100-200/5A 34.5kV 60Hz</t>
  </si>
  <si>
    <t>Transf Corriente (CT) 15kV-15.5A</t>
  </si>
  <si>
    <t>Transf Corriente (CT) 15kV-35.5A</t>
  </si>
  <si>
    <t>Transf Corriente (CT) 15kV-40.5A</t>
  </si>
  <si>
    <t>Transf Corriente 15-30/5A 15kV</t>
  </si>
  <si>
    <t>Transf Corriente 300/5A 10V 12.47kV</t>
  </si>
  <si>
    <t>Transf Corriente 600/5A 12.5kV</t>
  </si>
  <si>
    <t>Transf Corriente 75-150/5A</t>
  </si>
  <si>
    <t>Transf Corriente 800/5A 12.5kV</t>
  </si>
  <si>
    <t>Transf Corriente CT'S 100/5A</t>
  </si>
  <si>
    <t>Transf Corriente CT'S 1000/5A</t>
  </si>
  <si>
    <t>Transf Corriente CT'S 2000/5A</t>
  </si>
  <si>
    <t>Transf Corriente CT'S 300/5A</t>
  </si>
  <si>
    <t>Transf Corriente CT'S 400/5A</t>
  </si>
  <si>
    <t>Transf Corriente CT'S 7200/5A</t>
  </si>
  <si>
    <t>Transf Intensidad 72.5/140/32.5kV</t>
  </si>
  <si>
    <t>Transf Monof 15kVA 2.4kV 120-240V</t>
  </si>
  <si>
    <t>Transf Monof 15kVA 34.5kV 120-240V</t>
  </si>
  <si>
    <t>Transf Monof 167kVA 7.2kV 277-480V</t>
  </si>
  <si>
    <t>Transf Monof 250kVA 2.4kV 120-240V</t>
  </si>
  <si>
    <t>Transf Monof 250kVA 2.4kV 240-480V</t>
  </si>
  <si>
    <t>Transf Monof 250kVA 7.2kV 120-240V Pltf</t>
  </si>
  <si>
    <t>Transf Monof 37.5kVA 7.2kV 120-240V 25%</t>
  </si>
  <si>
    <t>Transf P-M 100kVA 2.4kV 120-240V</t>
  </si>
  <si>
    <t>Transf P-M 100kVA 7.2/2.4kV 120-240V</t>
  </si>
  <si>
    <t>Transf P-M 112.5kVA 7.2/2.4kV 120-208V</t>
  </si>
  <si>
    <t>Transf P-M 150kVA 2.4kV 120-240V</t>
  </si>
  <si>
    <t>Transf P-M 15kVA 2.4kV 120-240V</t>
  </si>
  <si>
    <t>Transf P-M 15kVA 7.2kV 120-240V</t>
  </si>
  <si>
    <t>Transf P-M 167kVA 2.4kV 120-240V</t>
  </si>
  <si>
    <t>Transf P-M 167kVA 7.2kV 120-240V</t>
  </si>
  <si>
    <t>Transf P-M 200kVA 2.4kV 120-240V</t>
  </si>
  <si>
    <t>Transf P-M 200kVA 7.2kV 120-240V</t>
  </si>
  <si>
    <t>Transf P-M 250kVA 12.5kV 120-208V</t>
  </si>
  <si>
    <t>Transf P-M 250kVA 2.4kV 120-240V</t>
  </si>
  <si>
    <t>Transf P-M 275kVA 2.4kV 120-240V</t>
  </si>
  <si>
    <t>Transf P-M 300kVA 2.4kV 120-240V</t>
  </si>
  <si>
    <t>Transf P-M 354kVA 2.4kV 120-240V</t>
  </si>
  <si>
    <t>Transf P-M 37.5kVA 2.4kV 120-240V</t>
  </si>
  <si>
    <t>Transf P-M 375kVA 2.4kV 120-240V</t>
  </si>
  <si>
    <t>Transf P-M 375kVA 7.2kV 120-240V</t>
  </si>
  <si>
    <t>Transf P-M 400kVA 2.4kV 120-240V</t>
  </si>
  <si>
    <t>Transf P-M 400kVA 7.2kV 120-240V</t>
  </si>
  <si>
    <t>Transf P-M 450kVA 2.4kV 120-240V</t>
  </si>
  <si>
    <t>Transf P-M 450kVA 7.2kV 120-240V</t>
  </si>
  <si>
    <t>Transf P-M 475kVA 2.4kV 120-240V</t>
  </si>
  <si>
    <t>Transf P-M 475kVA 7.2kV 120-240V</t>
  </si>
  <si>
    <t>Transf P-M 500kVA 2.4kV 120-240V</t>
  </si>
  <si>
    <t>Transf P-M 50kVA 2.4kV 120-240V</t>
  </si>
  <si>
    <t>Transf P-M 75kVA 2.4kV 120-240V</t>
  </si>
  <si>
    <t>Transf Pot Trif 28/40MVA 69/12.5kV</t>
  </si>
  <si>
    <t>Transf Pot Trif Dual 15/28MVA 69/12.5kV</t>
  </si>
  <si>
    <t>Transf Potencia PT'S 1000VA 60/1</t>
  </si>
  <si>
    <t>Transf Potencia PT'S 12.5/3 60-1</t>
  </si>
  <si>
    <t>Transf Potencia Trif 5-6MVA 69-12kV</t>
  </si>
  <si>
    <t>Transf Potencia Trif 5-7MVA 69-34.5kV</t>
  </si>
  <si>
    <t>Transf T/ Booter 75kVA 7.2/12.47kV</t>
  </si>
  <si>
    <t>Transf Tens Ko138/V3-3XO115/V3kV VPU-145</t>
  </si>
  <si>
    <t>Transf Tens TAIT 100-400/5A 34.5kV 60Hz</t>
  </si>
  <si>
    <t>Transf Tens TAIT 12,5/1,73-0 12kV 110kV</t>
  </si>
  <si>
    <t>Transf Tens TAIT 4.16/1.73-0.12kV 45kV</t>
  </si>
  <si>
    <t>Transf Tensión 69/1.732kV</t>
  </si>
  <si>
    <t>Transf Tension Ko 69/1,73-0,12kV-0"</t>
  </si>
  <si>
    <t>Transf T-P 50kVA 7.2kV 120/240V CSP</t>
  </si>
  <si>
    <t>Transf Trif 10-14MVA 69-34/12.5-4.16kV</t>
  </si>
  <si>
    <t>Transf Trif 500kVA 12.5kV 277/480V</t>
  </si>
  <si>
    <t>Transf Trif 63kVA 7.2kV 277-480V</t>
  </si>
  <si>
    <t>Transf Trif Red 10-14MVA 69/12.5kV 60Hz</t>
  </si>
  <si>
    <t>Transf Trif Red 7MVA 69/4.16-2.4kV 60Hz</t>
  </si>
  <si>
    <t>Transf Variable 2kVA 110-240V</t>
  </si>
  <si>
    <t>Transf Volt PT'S 60 20:1 60kV 2400-4160V</t>
  </si>
  <si>
    <t>Transf Voltaje 1000V 63.5:1.15kV</t>
  </si>
  <si>
    <t>Ventil P/Transf Pot 1/2hp Trif 206-230V</t>
  </si>
  <si>
    <t>Ventil P/Transf Pot 1/4hp Monof 206-230V</t>
  </si>
  <si>
    <t>Abrazadera Nylon 0301CV-200 K</t>
  </si>
  <si>
    <t>Canaleta 3"X4" Perforada</t>
  </si>
  <si>
    <t>Canaleta LEGRAN 60 x 180</t>
  </si>
  <si>
    <t>Canaleta Plást 50 x 50</t>
  </si>
  <si>
    <t>Canaleta Plást 80 x 60</t>
  </si>
  <si>
    <t>Conector Recto de PVC 1"</t>
  </si>
  <si>
    <t>Conector Recto de PVC 2"</t>
  </si>
  <si>
    <t>Conectores Machos 2" PVC</t>
  </si>
  <si>
    <t>Curva PVC 1/2''</t>
  </si>
  <si>
    <t>Tapa P/ Canaleta</t>
  </si>
  <si>
    <t>Tuberia Semi-Presión 4"</t>
  </si>
  <si>
    <t>Tubo 3/4"x20' SDR-26 PVC</t>
  </si>
  <si>
    <t>Tubo 6"x19' SDR-26 PVC</t>
  </si>
  <si>
    <t>Tubo 6"x19' SDR-41 PVC</t>
  </si>
  <si>
    <t>Tubo 8"x19' SDR-41 PVC</t>
  </si>
  <si>
    <t>Medidor PLC-TC 240V,3h,CL200,FM2S,Socket</t>
  </si>
  <si>
    <t>Med Electrónico 240V,3h FM 4S c/Mod PLC</t>
  </si>
  <si>
    <t>Base circular polic Med CL200 240V-FM2S</t>
  </si>
  <si>
    <t>Sello de Seguridad tipo Pin</t>
  </si>
  <si>
    <t>Aro de seguridad c/tornillo p/med socket</t>
  </si>
  <si>
    <t>Perno Seguridad Carbon Steel Electronico</t>
  </si>
  <si>
    <t>Colector 120V con GPRS</t>
  </si>
  <si>
    <t xml:space="preserve">CAJA DE POLICARBONATO PORTAMEDIDOR TIPO SOCKET CL 20,FM 4S,3H,240 V </t>
  </si>
  <si>
    <t>HEX HXP200-1(7) ME MO 240 GPRS 10 1M 1 (Hexing)</t>
  </si>
  <si>
    <t>Sello de seguridad tipo Pin</t>
  </si>
  <si>
    <t>CONDUCTOR CONCÉNTRICO DE COBRE 3 X # 4 AWG</t>
  </si>
  <si>
    <t>FUSIBLE EXPULSIÓN 14.0 A TIPO D</t>
  </si>
  <si>
    <t>FUSIBLE EXPULSIÓN 2.1 A TIPO D</t>
  </si>
  <si>
    <t>TUBO IMC DE 1 1/2" X 10"</t>
  </si>
  <si>
    <t>Caja Derivadora P/ Acometidas 17 Tomas</t>
  </si>
  <si>
    <t>POSTE DE ACERO GALVANIZADO 40', 8KN</t>
  </si>
  <si>
    <t>Aislador tipo espiga de porcelana clase</t>
  </si>
  <si>
    <t>TERMINAL COMP, AL/CU PARA COND, # 2AWG</t>
  </si>
  <si>
    <t>Organizadores de Cable</t>
  </si>
  <si>
    <t>Toma Corriente de Superficie 125v,1 Sali</t>
  </si>
  <si>
    <t>Resma Papel Bond 11" x 17"</t>
  </si>
  <si>
    <t>Cable heliax 7/8 (1000 pies) (rollo)</t>
  </si>
  <si>
    <t>GOMA DE BORRAR</t>
  </si>
  <si>
    <t>Hydraulic Knockout Punch Driver Kit Hole</t>
  </si>
  <si>
    <t>Rejilla  plastica cuadriculada</t>
  </si>
  <si>
    <t>Caja proteccion de termostato</t>
  </si>
  <si>
    <t>Linterna de Mano</t>
  </si>
  <si>
    <t>Guantes de Nitrilo/Combustible</t>
  </si>
  <si>
    <t>Lampara de Emergencia Universal</t>
  </si>
  <si>
    <t>Cable multifibra 30 x 1mm</t>
  </si>
  <si>
    <t>Tubo Portafusible de 15kV,200A</t>
  </si>
  <si>
    <t>Bandita de Goma</t>
  </si>
  <si>
    <t>Carpeta con Argolla 1/2" con 3 Orificios</t>
  </si>
  <si>
    <t>Carpeta con Argollas 1" con 3 Orificio</t>
  </si>
  <si>
    <t>Carpeta con Argollas 2" con 3 Orificio</t>
  </si>
  <si>
    <t>Corrector Liquido Blanco</t>
  </si>
  <si>
    <t>Dispensador de Cinta Adhesiva de 3/4"</t>
  </si>
  <si>
    <t>Lapiz de Carbón</t>
  </si>
  <si>
    <t>Libro Record 300 paginas</t>
  </si>
  <si>
    <t>Cloro</t>
  </si>
  <si>
    <t>Atomizador de Botella</t>
  </si>
  <si>
    <t>Recogedor de Basura</t>
  </si>
  <si>
    <t>Papel Servilleta Fardo</t>
  </si>
  <si>
    <t>Suape No. 32</t>
  </si>
  <si>
    <t>Desinfectante Floral</t>
  </si>
  <si>
    <t>Guantes de Gomas Resistentes</t>
  </si>
  <si>
    <t>Extension Electrica 50"</t>
  </si>
  <si>
    <t>Aislador T/Espiga Polietileno HD CL.55-5</t>
  </si>
  <si>
    <t>Aislador T/Espiga Polietileno HD CL.57-1</t>
  </si>
  <si>
    <t>Mod. Transf CT-PT 400-800/5A,7.2/0.12kV</t>
  </si>
  <si>
    <t>Protector de Hojas Simples 8 1/2 x 11"</t>
  </si>
  <si>
    <t>Gas Refrigerante R-134-A Cilindro 25 lb</t>
  </si>
  <si>
    <t>Gas Refrigerante R-22 Cilindro 25 lb</t>
  </si>
  <si>
    <t>Capacitor AA/Mar Al Oval 1.5 mF/370 Vac</t>
  </si>
  <si>
    <t>Capacitor AA/Mar Al Oval 3.0 mF/370 Vac</t>
  </si>
  <si>
    <t>Capacitor AA/Mar Al Oval 10 mF/370 Vac</t>
  </si>
  <si>
    <t>Capacitor AA/Mar Al Oval 40 mF/370 Vac</t>
  </si>
  <si>
    <t>Capacitor AA/Mar Al Oval 50 mF/370 Vac</t>
  </si>
  <si>
    <t>Capacitor AA/Mar Al Oval 60 mF/370 Vac</t>
  </si>
  <si>
    <t>Gas Ar T/ MAG para soldadura de AA</t>
  </si>
  <si>
    <t>Fibra Vegetal para rejilla de AA</t>
  </si>
  <si>
    <t>Filtro Deshidratador 3/4HP entrada 1/4"</t>
  </si>
  <si>
    <t>TARUGO PERNO DE 1/2X2 3/4 C/ANCLA EXPAN</t>
  </si>
  <si>
    <t>Transformador AA Negro 208/479Vac 24Vac</t>
  </si>
  <si>
    <t>Temporizador AA D/Retardo mecánico R1.5A</t>
  </si>
  <si>
    <t>Cinta adhesiva gris P/Ducto PE reforzado</t>
  </si>
  <si>
    <t>Fan Relay AA 30A 24V</t>
  </si>
  <si>
    <t>Pizarras Fondo Blanco 36 x 48"</t>
  </si>
  <si>
    <t>Cafetera de goteo AL de 55 tazas</t>
  </si>
  <si>
    <t>Cable duplex CU #14 AWG Aisl PVC, 600V</t>
  </si>
  <si>
    <t>Conectores miniuhf</t>
  </si>
  <si>
    <t>Breaker IND 3P/600 A (420-600-A) S/E</t>
  </si>
  <si>
    <t>Medidor PLC 69-480V,4h,CL20,FM9/10A,Bott</t>
  </si>
  <si>
    <t>Medidor modular  SMCA 240V,CL100,3 Hilos</t>
  </si>
  <si>
    <t>Mod.Transf CT-PT 10-20-40/5A,7.2/0.12kV</t>
  </si>
  <si>
    <t>MÓDULO DE MEDICIÓN CONCENTRADA P/18 MED</t>
  </si>
  <si>
    <t>Mod.Trans CT-PT 50-100-200/5A,7.2/0.12kV</t>
  </si>
  <si>
    <t>TWACS MCA SPECTRUM SIM 120V TIPO BOTTOM</t>
  </si>
  <si>
    <t>Luminaria T/Cobra LED 90W</t>
  </si>
  <si>
    <t>PINTURA AZUL ESMALTE</t>
  </si>
  <si>
    <t>ESPATULA DE 6 METAL</t>
  </si>
  <si>
    <t>Sujetador de cables haz hilos a 8¨</t>
  </si>
  <si>
    <t>CAJA SIM SEDNA PLC TWACS</t>
  </si>
  <si>
    <t>Display TCCI Indoor 120V</t>
  </si>
  <si>
    <t>Servidor Con accesorios</t>
  </si>
  <si>
    <t>Utiliflex Software License P/ 4,500 punt</t>
  </si>
  <si>
    <t>CRU Outdoor stainless Steel</t>
  </si>
  <si>
    <t>OMU+TSC KIT OMU+TSC KIT</t>
  </si>
  <si>
    <t>Guantes de Nitrilo P/Laboratorio</t>
  </si>
  <si>
    <t>Guantillas P/Mecánicos</t>
  </si>
  <si>
    <t>Lentes Tipo Google</t>
  </si>
  <si>
    <t>Boquilla tipo inserto 15KV-200A</t>
  </si>
  <si>
    <t>Jabon Liquido para Fregar</t>
  </si>
  <si>
    <t>Fusible Expulsión tipo D 1.4A</t>
  </si>
  <si>
    <t>ROLLO DE PAPEL PARA PLOTTER 24" X 500'</t>
  </si>
  <si>
    <t>ROLLO DE PAPEL PARA PLOTTER 36" X 500'</t>
  </si>
  <si>
    <t>Fusible de Expulsión tipo D 2.1A</t>
  </si>
  <si>
    <t>Fusible de Expulsión tipo D 32A</t>
  </si>
  <si>
    <t>Fusible de Expulsión tipo D 46A</t>
  </si>
  <si>
    <t>Válvula de 5 Vías de conexion</t>
  </si>
  <si>
    <t>Transf Seco 112.5KVA,277-480/120-208,D-Y</t>
  </si>
  <si>
    <t>Transf Seco 150KVA,277-480/120-208,Y-Y</t>
  </si>
  <si>
    <t>Detector D/Tensión BT Lumínico y Acústic</t>
  </si>
  <si>
    <t>Multi-Tester Digital</t>
  </si>
  <si>
    <t>Alambre No. 2 Color Verde</t>
  </si>
  <si>
    <t>Empalmes 36/66kv, 240-630 en frio</t>
  </si>
  <si>
    <t>CINTA FIBRA 300`X2"</t>
  </si>
  <si>
    <t>LIJA DE YESO #120</t>
  </si>
  <si>
    <t>Precios</t>
  </si>
  <si>
    <t>SOPORTE SIMPLE PARA CAJA DERIVADORA</t>
  </si>
  <si>
    <t>Cantidad</t>
  </si>
  <si>
    <t>Terminal Interior P/ URD No.2/0</t>
  </si>
  <si>
    <t>Cable cobre urd #2/0 aisl p/ 15kv</t>
  </si>
  <si>
    <t>2026-139415</t>
  </si>
  <si>
    <t>2026-129080</t>
  </si>
  <si>
    <t>2026-112693</t>
  </si>
  <si>
    <t>2026-109856</t>
  </si>
  <si>
    <t>2026-25839</t>
  </si>
  <si>
    <t>2026-18964</t>
  </si>
  <si>
    <t>2026-15964</t>
  </si>
  <si>
    <t>2026-86991</t>
  </si>
  <si>
    <t>2026-79869</t>
  </si>
  <si>
    <t>2026-68036</t>
  </si>
  <si>
    <t>2026-54758</t>
  </si>
  <si>
    <t>2026-41969</t>
  </si>
  <si>
    <t>2026-40825</t>
  </si>
  <si>
    <t>2026-38867</t>
  </si>
  <si>
    <t>2026-6941</t>
  </si>
  <si>
    <t>BOCA-02</t>
  </si>
  <si>
    <t>FECHA</t>
  </si>
  <si>
    <t xml:space="preserve">BOCA-03 </t>
  </si>
  <si>
    <t>2026-6942</t>
  </si>
  <si>
    <t>2026-15965</t>
  </si>
  <si>
    <t>2026-18963</t>
  </si>
  <si>
    <t>2026-25847</t>
  </si>
  <si>
    <t>2026-79870</t>
  </si>
  <si>
    <t>2026-87005</t>
  </si>
  <si>
    <t>2026-109857</t>
  </si>
  <si>
    <t>2026-112694</t>
  </si>
  <si>
    <t>2026-139424</t>
  </si>
  <si>
    <t>2026-129081</t>
  </si>
  <si>
    <t>2026-68037</t>
  </si>
  <si>
    <t>2026-54757</t>
  </si>
  <si>
    <t>2026-40826</t>
  </si>
  <si>
    <t>2026-41970</t>
  </si>
  <si>
    <t>2026-38868</t>
  </si>
  <si>
    <t>Pararrayo de distribución 10kV-10kA</t>
  </si>
  <si>
    <t>Material</t>
  </si>
  <si>
    <t>Texto breve de material</t>
  </si>
  <si>
    <t>Ctd. en UM entrada</t>
  </si>
  <si>
    <t>Un. medida de entrada</t>
  </si>
  <si>
    <t>Almacén</t>
  </si>
  <si>
    <t>Texto cab. documento</t>
  </si>
  <si>
    <t>Fe. contabilización</t>
  </si>
  <si>
    <t>Clase de movimiento</t>
  </si>
  <si>
    <t>Documento material</t>
  </si>
  <si>
    <t>Pedido</t>
  </si>
  <si>
    <t>Nº reserva</t>
  </si>
  <si>
    <t>Importe ML</t>
  </si>
  <si>
    <t>Elemento PEP</t>
  </si>
  <si>
    <t>UN</t>
  </si>
  <si>
    <t>SABANA LARGA</t>
  </si>
  <si>
    <t>P-I1-26-0007-07-03</t>
  </si>
  <si>
    <t>Sabana Larga</t>
  </si>
  <si>
    <t>P-I1-26-0007-07-02</t>
  </si>
  <si>
    <t>P-I1-25-0007-10-01</t>
  </si>
  <si>
    <t>SAN LUIS</t>
  </si>
  <si>
    <t>San Luis</t>
  </si>
  <si>
    <t>ALMACEN SAN LUIS</t>
  </si>
  <si>
    <t>Tornillo Tirafondo Diablito 4mm x25.4 mm</t>
  </si>
  <si>
    <t>Característica</t>
  </si>
  <si>
    <t>Norovirus (GI/GII)</t>
  </si>
  <si>
    <t>EPEC (E. coli Enteropatógena)</t>
  </si>
  <si>
    <t>ETEC (E. coli Enteroxigénica)</t>
  </si>
  <si>
    <t>Tipo de agente</t>
  </si>
  <si>
    <r>
      <t>Virus</t>
    </r>
    <r>
      <rPr>
        <sz val="11"/>
        <color theme="1"/>
        <rFont val="Arial"/>
        <family val="2"/>
      </rPr>
      <t xml:space="preserve"> (altamente contagioso)</t>
    </r>
  </si>
  <si>
    <t>Bacteria</t>
  </si>
  <si>
    <t>Población más afectada</t>
  </si>
  <si>
    <t>Todas las edades (brotes en comunidades)</t>
  </si>
  <si>
    <t>Lactantes y niños pequeños</t>
  </si>
  <si>
    <t>Viajeros y personas en zonas endémicas</t>
  </si>
  <si>
    <t>Mecanismo</t>
  </si>
  <si>
    <t>Infección directa de las células intestinales</t>
  </si>
  <si>
    <t>Daño estructural a la superficie intestinal por adhesión</t>
  </si>
  <si>
    <t>Producción de toxinas que provocan secreción masiva de agua</t>
  </si>
  <si>
    <t>Transmisión principal</t>
  </si>
  <si>
    <t>Persona a persona, superficies, alimentos y agua</t>
  </si>
  <si>
    <t>Alimentos o agua contaminados</t>
  </si>
  <si>
    <t>Tabla Comparativa Resumida</t>
  </si>
  <si>
    <t>Aleman_12345</t>
  </si>
  <si>
    <t>13.08.2025</t>
  </si>
  <si>
    <t>PROYECTO PD 1</t>
  </si>
  <si>
    <t>RESERVA 419743</t>
  </si>
  <si>
    <t>SM grafo de proyecto</t>
  </si>
  <si>
    <t>EE006697</t>
  </si>
  <si>
    <t>12.12.2022</t>
  </si>
  <si>
    <t>Distribucion pd 2</t>
  </si>
  <si>
    <t>RESERVA 336546</t>
  </si>
  <si>
    <t>SM para grafo</t>
  </si>
  <si>
    <t>17.11.2022</t>
  </si>
  <si>
    <t>15.04.2025</t>
  </si>
  <si>
    <t>DISTRIBUCION PD 71</t>
  </si>
  <si>
    <t>RESERVA 402820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</si>
</sst>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2C0A]\ * #,##0.00_-;\-[$$-2C0A]\ * #,##0.00_-;_-[$$-2C0A]\ * &quot;-&quot;??_-;_-@_-"/>
  </numFmts>
  <fonts count="18" x14ac:knownFonts="1">
    <font>
      <sz val="11"/>
      <color theme="1"/>
      <name val="Calibri"/>
      <family val="2"/>
      <scheme val="minor"/>
    </font>
    <font>
      <b/>
      <sz val="10"/>
      <color rgb="FFFFFF0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8"/>
      <name val="Tahoma"/>
      <family val="2"/>
    </font>
    <font>
      <sz val="10"/>
      <color rgb="FFFF0000"/>
      <name val="Tahoma"/>
      <family val="2"/>
    </font>
    <font>
      <sz val="10"/>
      <color theme="1"/>
      <name val="Tahoma"/>
      <family val="2"/>
    </font>
    <font>
      <sz val="1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3.5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54">
    <xf numFmtId="0" fontId="0" fillId="0" borderId="0" xfId="0"/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left"/>
    </xf>
    <xf numFmtId="0" fontId="0" fillId="0" borderId="0" xfId="0" applyAlignment="1">
      <alignment vertical="top"/>
    </xf>
    <xf numFmtId="0" fontId="1" fillId="2" borderId="1" xfId="0" applyFont="1" applyFill="1" applyBorder="1" applyAlignment="1">
      <alignment vertical="top"/>
    </xf>
    <xf numFmtId="0" fontId="2" fillId="0" borderId="1" xfId="0" applyFont="1" applyBorder="1" applyAlignment="1">
      <alignment vertical="top"/>
    </xf>
    <xf numFmtId="0" fontId="0" fillId="0" borderId="1" xfId="0" applyBorder="1"/>
    <xf numFmtId="4" fontId="1" fillId="2" borderId="1" xfId="0" applyNumberFormat="1" applyFont="1" applyFill="1" applyBorder="1" applyAlignment="1">
      <alignment vertical="top"/>
    </xf>
    <xf numFmtId="4" fontId="0" fillId="0" borderId="1" xfId="0" applyNumberFormat="1" applyBorder="1"/>
    <xf numFmtId="4" fontId="0" fillId="0" borderId="0" xfId="0" applyNumberFormat="1"/>
    <xf numFmtId="0" fontId="0" fillId="0" borderId="0" xfId="0" pivotButton="1"/>
    <xf numFmtId="164" fontId="5" fillId="3" borderId="1" xfId="0" applyNumberFormat="1" applyFont="1" applyFill="1" applyBorder="1" applyAlignment="1">
      <alignment horizontal="left" vertical="center" wrapText="1"/>
    </xf>
    <xf numFmtId="164" fontId="0" fillId="0" borderId="0" xfId="0" applyNumberFormat="1"/>
    <xf numFmtId="164" fontId="0" fillId="0" borderId="1" xfId="0" applyNumberFormat="1" applyBorder="1"/>
    <xf numFmtId="49" fontId="6" fillId="0" borderId="1" xfId="1" applyNumberFormat="1" applyFont="1" applyBorder="1"/>
    <xf numFmtId="49" fontId="6" fillId="4" borderId="1" xfId="1" applyNumberFormat="1" applyFont="1" applyFill="1" applyBorder="1"/>
    <xf numFmtId="49" fontId="7" fillId="0" borderId="1" xfId="1" applyNumberFormat="1" applyFont="1" applyBorder="1"/>
    <xf numFmtId="49" fontId="6" fillId="5" borderId="1" xfId="1" applyNumberFormat="1" applyFont="1" applyFill="1" applyBorder="1"/>
    <xf numFmtId="0" fontId="8" fillId="5" borderId="1" xfId="2" applyFont="1" applyFill="1" applyBorder="1" applyAlignment="1">
      <alignment horizontal="left"/>
    </xf>
    <xf numFmtId="49" fontId="9" fillId="0" borderId="1" xfId="1" applyNumberFormat="1" applyFont="1" applyBorder="1"/>
    <xf numFmtId="0" fontId="9" fillId="6" borderId="1" xfId="2" applyFont="1" applyFill="1" applyBorder="1" applyAlignment="1">
      <alignment vertical="center"/>
    </xf>
    <xf numFmtId="0" fontId="4" fillId="7" borderId="1" xfId="0" applyFont="1" applyFill="1" applyBorder="1"/>
    <xf numFmtId="164" fontId="4" fillId="7" borderId="1" xfId="0" applyNumberFormat="1" applyFont="1" applyFill="1" applyBorder="1"/>
    <xf numFmtId="164" fontId="0" fillId="8" borderId="1" xfId="0" applyNumberFormat="1" applyFill="1" applyBorder="1"/>
    <xf numFmtId="0" fontId="4" fillId="2" borderId="1" xfId="0" applyFont="1" applyFill="1" applyBorder="1"/>
    <xf numFmtId="0" fontId="10" fillId="2" borderId="1" xfId="0" applyFont="1" applyFill="1" applyBorder="1"/>
    <xf numFmtId="14" fontId="0" fillId="8" borderId="1" xfId="0" applyNumberFormat="1" applyFill="1" applyBorder="1"/>
    <xf numFmtId="0" fontId="0" fillId="8" borderId="1" xfId="0" applyFill="1" applyBorder="1"/>
    <xf numFmtId="14" fontId="0" fillId="0" borderId="1" xfId="0" applyNumberFormat="1" applyBorder="1"/>
    <xf numFmtId="0" fontId="11" fillId="0" borderId="0" xfId="0" applyFont="1"/>
    <xf numFmtId="0" fontId="0" fillId="3" borderId="1" xfId="0" applyFill="1" applyBorder="1"/>
    <xf numFmtId="0" fontId="11" fillId="0" borderId="1" xfId="0" applyFont="1" applyBorder="1"/>
    <xf numFmtId="0" fontId="12" fillId="9" borderId="2" xfId="0" applyFont="1" applyFill="1" applyBorder="1" applyAlignment="1">
      <alignment vertical="center"/>
    </xf>
    <xf numFmtId="0" fontId="12" fillId="9" borderId="3" xfId="0" applyFont="1" applyFill="1" applyBorder="1" applyAlignment="1">
      <alignment vertical="center"/>
    </xf>
    <xf numFmtId="0" fontId="12" fillId="9" borderId="3" xfId="0" applyFont="1" applyFill="1" applyBorder="1" applyAlignment="1">
      <alignment vertical="center" wrapText="1"/>
    </xf>
    <xf numFmtId="0" fontId="13" fillId="0" borderId="4" xfId="0" applyFont="1" applyBorder="1" applyAlignment="1">
      <alignment horizontal="right" vertical="center"/>
    </xf>
    <xf numFmtId="0" fontId="13" fillId="0" borderId="5" xfId="0" applyFont="1" applyBorder="1" applyAlignment="1">
      <alignment vertical="center"/>
    </xf>
    <xf numFmtId="0" fontId="13" fillId="0" borderId="5" xfId="0" applyFont="1" applyBorder="1" applyAlignment="1">
      <alignment horizontal="right" vertical="center"/>
    </xf>
    <xf numFmtId="14" fontId="13" fillId="0" borderId="5" xfId="0" applyNumberFormat="1" applyFont="1" applyBorder="1" applyAlignment="1">
      <alignment horizontal="right" vertical="center"/>
    </xf>
    <xf numFmtId="4" fontId="13" fillId="0" borderId="5" xfId="0" applyNumberFormat="1" applyFont="1" applyBorder="1" applyAlignment="1">
      <alignment horizontal="right" vertical="center"/>
    </xf>
    <xf numFmtId="0" fontId="13" fillId="0" borderId="6" xfId="0" applyFont="1" applyBorder="1" applyAlignment="1">
      <alignment horizontal="right" vertical="center"/>
    </xf>
    <xf numFmtId="0" fontId="13" fillId="0" borderId="7" xfId="0" applyFont="1" applyBorder="1" applyAlignment="1">
      <alignment vertical="center"/>
    </xf>
    <xf numFmtId="0" fontId="13" fillId="0" borderId="7" xfId="0" applyFont="1" applyBorder="1" applyAlignment="1">
      <alignment horizontal="right" vertical="center"/>
    </xf>
    <xf numFmtId="14" fontId="13" fillId="0" borderId="7" xfId="0" applyNumberFormat="1" applyFont="1" applyBorder="1" applyAlignment="1">
      <alignment horizontal="right" vertical="center"/>
    </xf>
    <xf numFmtId="4" fontId="13" fillId="0" borderId="7" xfId="0" applyNumberFormat="1" applyFont="1" applyBorder="1" applyAlignment="1">
      <alignment horizontal="right" vertical="center"/>
    </xf>
    <xf numFmtId="3" fontId="13" fillId="0" borderId="7" xfId="0" applyNumberFormat="1" applyFont="1" applyBorder="1" applyAlignment="1">
      <alignment horizontal="right" vertical="center"/>
    </xf>
    <xf numFmtId="0" fontId="16" fillId="0" borderId="8" xfId="0" applyFont="1" applyBorder="1" applyAlignment="1">
      <alignment horizontal="left" vertical="center" wrapText="1" indent="1"/>
    </xf>
    <xf numFmtId="0" fontId="15" fillId="0" borderId="8" xfId="0" applyFont="1" applyBorder="1" applyAlignment="1">
      <alignment horizontal="left" vertical="center" wrapText="1" indent="1"/>
    </xf>
    <xf numFmtId="0" fontId="16" fillId="0" borderId="9" xfId="0" applyFont="1" applyBorder="1" applyAlignment="1">
      <alignment horizontal="left" vertical="center" wrapText="1" indent="1"/>
    </xf>
    <xf numFmtId="0" fontId="17" fillId="10" borderId="9" xfId="0" applyFont="1" applyFill="1" applyBorder="1" applyAlignment="1">
      <alignment horizontal="left" vertical="center" wrapText="1" indent="1"/>
    </xf>
    <xf numFmtId="4" fontId="11" fillId="0" borderId="0" xfId="0" applyNumberFormat="1" applyFont="1"/>
    <xf numFmtId="21" fontId="0" fillId="0" borderId="0" xfId="0" applyNumberFormat="1"/>
    <xf numFmtId="0" fontId="14" fillId="0" borderId="1" xfId="0" applyFont="1" applyBorder="1" applyAlignment="1">
      <alignment horizontal="center" vertical="center"/>
    </xf>
  </cellXfs>
  <cellStyles count="3">
    <cellStyle name="Normal" xfId="0" builtinId="0"/>
    <cellStyle name="Normal 2 2" xfId="1" xr:uid="{00000000-0005-0000-0000-000001000000}"/>
    <cellStyle name="Normal 6" xfId="2" xr:uid="{00000000-0005-0000-0000-000002000000}"/>
  </cellStyles>
  <dxfs count="1">
    <dxf>
      <fill>
        <patternFill>
          <bgColor indexed="4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0</xdr:rowOff>
    </xdr:from>
    <xdr:to>
      <xdr:col>10</xdr:col>
      <xdr:colOff>583012</xdr:colOff>
      <xdr:row>30</xdr:row>
      <xdr:rowOff>176640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B48842D-3A51-3583-E223-40D453B1F6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320540"/>
          <a:ext cx="14580952" cy="420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0115\controles%20gdd\Controles\HORAS%20EXTRAS\GERENCIA%20OBRAS%20DESARROLLO%20DE%20LA%20RED%202011\PARA%20FRANKLIN\Obras%20de%20Desarrollo\Fotos%20de%20Proyectos\Carmelo\Control%20de%20materiales\Listado%20de%20material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es"/>
      <sheetName val="Precios"/>
    </sheetNames>
    <sheetDataSet>
      <sheetData sheetId="0" refreshError="1">
        <row r="5">
          <cell r="A5" t="str">
            <v>Material</v>
          </cell>
          <cell r="B5" t="str">
            <v>Texto breve de material</v>
          </cell>
          <cell r="C5" t="str">
            <v>Lote</v>
          </cell>
          <cell r="D5" t="str">
            <v>Grupo</v>
          </cell>
          <cell r="E5" t="str">
            <v>Centro</v>
          </cell>
          <cell r="F5" t="str">
            <v>Tipo Mat</v>
          </cell>
          <cell r="G5" t="str">
            <v>U de M</v>
          </cell>
          <cell r="H5" t="str">
            <v>Mon.</v>
          </cell>
          <cell r="I5" t="str">
            <v>Cantidad</v>
          </cell>
          <cell r="J5" t="str">
            <v>Valor total</v>
          </cell>
          <cell r="K5" t="str">
            <v>Cantidad</v>
          </cell>
          <cell r="L5" t="str">
            <v>Valor total</v>
          </cell>
          <cell r="M5" t="str">
            <v>Cantidad</v>
          </cell>
          <cell r="N5" t="str">
            <v>Valor total</v>
          </cell>
          <cell r="O5" t="str">
            <v>Cantidad</v>
          </cell>
          <cell r="P5" t="str">
            <v>Valor total</v>
          </cell>
          <cell r="Q5" t="str">
            <v>Cantidad</v>
          </cell>
          <cell r="R5" t="str">
            <v>Valor total</v>
          </cell>
          <cell r="S5" t="str">
            <v>Total de cantidades</v>
          </cell>
          <cell r="T5" t="str">
            <v>Valores totales</v>
          </cell>
          <cell r="U5" t="str">
            <v>Precio</v>
          </cell>
        </row>
        <row r="6">
          <cell r="A6">
            <v>1000000</v>
          </cell>
          <cell r="B6" t="str">
            <v>Aislad T/Carr 3x3-1/8 76x80mm 11/16 53-2</v>
          </cell>
          <cell r="D6">
            <v>6001</v>
          </cell>
          <cell r="E6">
            <v>1000</v>
          </cell>
          <cell r="F6" t="str">
            <v>ZALM</v>
          </cell>
          <cell r="G6" t="str">
            <v>UN</v>
          </cell>
          <cell r="H6" t="str">
            <v>DOP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30</v>
          </cell>
          <cell r="N6">
            <v>676.74</v>
          </cell>
          <cell r="O6">
            <v>0</v>
          </cell>
          <cell r="P6">
            <v>0</v>
          </cell>
          <cell r="Q6">
            <v>124</v>
          </cell>
          <cell r="R6">
            <v>2797.2</v>
          </cell>
          <cell r="S6">
            <v>154</v>
          </cell>
          <cell r="T6">
            <v>3473.94</v>
          </cell>
          <cell r="U6">
            <v>22.558051948051901</v>
          </cell>
        </row>
        <row r="7">
          <cell r="A7">
            <v>1000001</v>
          </cell>
          <cell r="B7" t="str">
            <v>Aislad T/Esp 4"x3 3/4"x13/16 Polim 43.5</v>
          </cell>
          <cell r="D7">
            <v>6001</v>
          </cell>
          <cell r="E7">
            <v>1000</v>
          </cell>
          <cell r="F7" t="str">
            <v>ZALM</v>
          </cell>
          <cell r="G7" t="str">
            <v>UN</v>
          </cell>
          <cell r="H7" t="str">
            <v>DOP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 t="e">
            <v>#N/A</v>
          </cell>
        </row>
        <row r="8">
          <cell r="A8">
            <v>1000002</v>
          </cell>
          <cell r="B8" t="str">
            <v>Aislador Ríg P/ Sist 34.5kV T/ Sub Polim</v>
          </cell>
          <cell r="D8">
            <v>6001</v>
          </cell>
          <cell r="E8">
            <v>1000</v>
          </cell>
          <cell r="F8" t="str">
            <v>ZALM</v>
          </cell>
          <cell r="G8" t="str">
            <v>UN</v>
          </cell>
          <cell r="H8" t="str">
            <v>DOP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19</v>
          </cell>
          <cell r="N8">
            <v>161655.91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19</v>
          </cell>
          <cell r="T8">
            <v>161655.91</v>
          </cell>
          <cell r="U8">
            <v>8508.2057894736899</v>
          </cell>
        </row>
        <row r="9">
          <cell r="A9">
            <v>1000003</v>
          </cell>
          <cell r="B9" t="str">
            <v>Aislador Ríg P/ Sist 72.5kV T/ Sub Polim</v>
          </cell>
          <cell r="D9">
            <v>6001</v>
          </cell>
          <cell r="E9">
            <v>1000</v>
          </cell>
          <cell r="F9" t="str">
            <v>ZALM</v>
          </cell>
          <cell r="G9" t="str">
            <v>UN</v>
          </cell>
          <cell r="H9" t="str">
            <v>DOP</v>
          </cell>
          <cell r="I9">
            <v>3</v>
          </cell>
          <cell r="J9">
            <v>61632.84</v>
          </cell>
          <cell r="K9">
            <v>0</v>
          </cell>
          <cell r="L9">
            <v>0</v>
          </cell>
          <cell r="M9">
            <v>15</v>
          </cell>
          <cell r="N9">
            <v>308164.21000000002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18</v>
          </cell>
          <cell r="T9">
            <v>369797.05</v>
          </cell>
          <cell r="U9">
            <v>20544.280555555601</v>
          </cell>
        </row>
        <row r="10">
          <cell r="A10">
            <v>1000004</v>
          </cell>
          <cell r="B10" t="str">
            <v>Aislador Ríg T/ Esp 57-1 C/ Esp y Tuerca</v>
          </cell>
          <cell r="D10">
            <v>6001</v>
          </cell>
          <cell r="E10">
            <v>1000</v>
          </cell>
          <cell r="F10" t="str">
            <v>ZALM</v>
          </cell>
          <cell r="G10" t="str">
            <v>UN</v>
          </cell>
          <cell r="H10" t="str">
            <v>DOP</v>
          </cell>
          <cell r="I10">
            <v>37</v>
          </cell>
          <cell r="J10">
            <v>21030.799999999999</v>
          </cell>
          <cell r="K10">
            <v>0</v>
          </cell>
          <cell r="L10">
            <v>0</v>
          </cell>
          <cell r="M10">
            <v>138</v>
          </cell>
          <cell r="N10">
            <v>78439.199999999997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175</v>
          </cell>
          <cell r="T10">
            <v>99470</v>
          </cell>
          <cell r="U10">
            <v>568.4</v>
          </cell>
        </row>
        <row r="11">
          <cell r="A11">
            <v>1000005</v>
          </cell>
          <cell r="B11" t="str">
            <v>Aislador Susp 12.5kV Polimérico</v>
          </cell>
          <cell r="D11">
            <v>6001</v>
          </cell>
          <cell r="E11">
            <v>1000</v>
          </cell>
          <cell r="F11" t="str">
            <v>ZALM</v>
          </cell>
          <cell r="G11" t="str">
            <v>UN</v>
          </cell>
          <cell r="H11" t="str">
            <v>DOP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485</v>
          </cell>
          <cell r="N11">
            <v>220840.56</v>
          </cell>
          <cell r="O11">
            <v>0</v>
          </cell>
          <cell r="P11">
            <v>0</v>
          </cell>
          <cell r="Q11">
            <v>138</v>
          </cell>
          <cell r="R11">
            <v>62837.11</v>
          </cell>
          <cell r="S11">
            <v>623</v>
          </cell>
          <cell r="T11">
            <v>283677.67</v>
          </cell>
          <cell r="U11">
            <v>455.341364365971</v>
          </cell>
        </row>
        <row r="12">
          <cell r="A12">
            <v>1000006</v>
          </cell>
          <cell r="B12" t="str">
            <v>Aislador Susp 138kV</v>
          </cell>
          <cell r="D12">
            <v>6001</v>
          </cell>
          <cell r="E12">
            <v>1000</v>
          </cell>
          <cell r="F12" t="str">
            <v>ZALM</v>
          </cell>
          <cell r="G12" t="str">
            <v>UN</v>
          </cell>
          <cell r="H12" t="str">
            <v>DOP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 t="e">
            <v>#N/A</v>
          </cell>
        </row>
        <row r="13">
          <cell r="A13">
            <v>1000007</v>
          </cell>
          <cell r="B13" t="str">
            <v>Aislador Susp 35kV Polimérico</v>
          </cell>
          <cell r="D13">
            <v>6001</v>
          </cell>
          <cell r="E13">
            <v>1000</v>
          </cell>
          <cell r="F13" t="str">
            <v>ZALM</v>
          </cell>
          <cell r="G13" t="str">
            <v>UN</v>
          </cell>
          <cell r="H13" t="str">
            <v>DOP</v>
          </cell>
          <cell r="I13">
            <v>19</v>
          </cell>
          <cell r="J13">
            <v>11300.9</v>
          </cell>
          <cell r="K13">
            <v>0</v>
          </cell>
          <cell r="L13">
            <v>0</v>
          </cell>
          <cell r="M13">
            <v>517</v>
          </cell>
          <cell r="N13">
            <v>307503.40999999997</v>
          </cell>
          <cell r="O13">
            <v>0</v>
          </cell>
          <cell r="P13">
            <v>0</v>
          </cell>
          <cell r="Q13">
            <v>4</v>
          </cell>
          <cell r="R13">
            <v>2379.14</v>
          </cell>
          <cell r="S13">
            <v>540</v>
          </cell>
          <cell r="T13">
            <v>321183.45</v>
          </cell>
          <cell r="U13">
            <v>594.78416666666703</v>
          </cell>
        </row>
        <row r="14">
          <cell r="A14">
            <v>1000008</v>
          </cell>
          <cell r="B14" t="str">
            <v>Aislador Susp 52-9B T/ Clevis</v>
          </cell>
          <cell r="D14">
            <v>6001</v>
          </cell>
          <cell r="E14">
            <v>1000</v>
          </cell>
          <cell r="F14" t="str">
            <v>ZALM</v>
          </cell>
          <cell r="G14" t="str">
            <v>UN</v>
          </cell>
          <cell r="H14" t="str">
            <v>DOP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 t="e">
            <v>#N/A</v>
          </cell>
        </row>
        <row r="15">
          <cell r="A15">
            <v>1000009</v>
          </cell>
          <cell r="B15" t="str">
            <v>Aislador Susp 7.2-7.5kV MT Clevis Porcel</v>
          </cell>
          <cell r="D15">
            <v>6001</v>
          </cell>
          <cell r="E15">
            <v>1000</v>
          </cell>
          <cell r="F15" t="str">
            <v>ZALM</v>
          </cell>
          <cell r="G15" t="str">
            <v>UN</v>
          </cell>
          <cell r="H15" t="str">
            <v>DOP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 t="e">
            <v>#N/A</v>
          </cell>
        </row>
        <row r="16">
          <cell r="A16">
            <v>1000010</v>
          </cell>
          <cell r="B16" t="str">
            <v>Aislador Susp CL52-1 T/ Clevis 12.47kV</v>
          </cell>
          <cell r="D16">
            <v>6001</v>
          </cell>
          <cell r="E16">
            <v>1000</v>
          </cell>
          <cell r="F16" t="str">
            <v>ZALM</v>
          </cell>
          <cell r="G16" t="str">
            <v>UN</v>
          </cell>
          <cell r="H16" t="str">
            <v>DOP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367</v>
          </cell>
          <cell r="N16">
            <v>100096.09</v>
          </cell>
          <cell r="O16">
            <v>0</v>
          </cell>
          <cell r="P16">
            <v>0</v>
          </cell>
          <cell r="Q16">
            <v>452</v>
          </cell>
          <cell r="R16">
            <v>123279.11</v>
          </cell>
          <cell r="S16">
            <v>819</v>
          </cell>
          <cell r="T16">
            <v>223375.2</v>
          </cell>
          <cell r="U16">
            <v>272.74139194139201</v>
          </cell>
        </row>
        <row r="17">
          <cell r="A17">
            <v>1000011</v>
          </cell>
          <cell r="B17" t="str">
            <v>Aislador Susp P/ Sist 72.5kV Polimérico</v>
          </cell>
          <cell r="D17">
            <v>6001</v>
          </cell>
          <cell r="E17">
            <v>1000</v>
          </cell>
          <cell r="F17" t="str">
            <v>ZALM</v>
          </cell>
          <cell r="G17" t="str">
            <v>UN</v>
          </cell>
          <cell r="H17" t="str">
            <v>DOP</v>
          </cell>
          <cell r="I17">
            <v>2</v>
          </cell>
          <cell r="J17">
            <v>8468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2</v>
          </cell>
          <cell r="T17">
            <v>8468</v>
          </cell>
          <cell r="U17">
            <v>4234</v>
          </cell>
        </row>
        <row r="18">
          <cell r="A18">
            <v>1000012</v>
          </cell>
          <cell r="B18" t="str">
            <v>Aislador Susp T/Carr 140x165 T/ Clv 52-1</v>
          </cell>
          <cell r="D18">
            <v>6001</v>
          </cell>
          <cell r="E18">
            <v>1000</v>
          </cell>
          <cell r="F18" t="str">
            <v>ZALM</v>
          </cell>
          <cell r="G18" t="str">
            <v>UN</v>
          </cell>
          <cell r="H18" t="str">
            <v>DOP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 t="e">
            <v>#N/A</v>
          </cell>
        </row>
        <row r="19">
          <cell r="A19">
            <v>1000013</v>
          </cell>
          <cell r="B19" t="str">
            <v>Aislador T/ Carr 105x102 T/ Clevis 53-5</v>
          </cell>
          <cell r="D19">
            <v>6001</v>
          </cell>
          <cell r="E19">
            <v>1000</v>
          </cell>
          <cell r="F19" t="str">
            <v>ZALM</v>
          </cell>
          <cell r="G19" t="str">
            <v>UN</v>
          </cell>
          <cell r="H19" t="str">
            <v>DOP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 t="e">
            <v>#N/A</v>
          </cell>
        </row>
        <row r="20">
          <cell r="A20">
            <v>1000014</v>
          </cell>
          <cell r="B20" t="str">
            <v>Aislador T/ Carr 2 1/8"x2 1/4" 53-1</v>
          </cell>
          <cell r="D20">
            <v>6001</v>
          </cell>
          <cell r="E20">
            <v>1000</v>
          </cell>
          <cell r="F20" t="str">
            <v>ZALM</v>
          </cell>
          <cell r="G20" t="str">
            <v>UN</v>
          </cell>
          <cell r="H20" t="str">
            <v>DOP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 t="e">
            <v>#N/A</v>
          </cell>
        </row>
        <row r="21">
          <cell r="A21">
            <v>1000015</v>
          </cell>
          <cell r="B21" t="str">
            <v>Aislador T/ Esp PIN CL52-3 1 3/8" 34.5kV</v>
          </cell>
          <cell r="D21">
            <v>6001</v>
          </cell>
          <cell r="E21">
            <v>1000</v>
          </cell>
          <cell r="F21" t="str">
            <v>ZALM</v>
          </cell>
          <cell r="G21" t="str">
            <v>UN</v>
          </cell>
          <cell r="H21" t="str">
            <v>DOP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 t="e">
            <v>#N/A</v>
          </cell>
        </row>
        <row r="22">
          <cell r="A22">
            <v>1000016</v>
          </cell>
          <cell r="B22" t="str">
            <v>Aislador T/ Esp PIN CL55-3 1" 13.2kV</v>
          </cell>
          <cell r="D22">
            <v>6001</v>
          </cell>
          <cell r="E22">
            <v>1000</v>
          </cell>
          <cell r="F22" t="str">
            <v>ZALM</v>
          </cell>
          <cell r="G22" t="str">
            <v>UN</v>
          </cell>
          <cell r="H22" t="str">
            <v>DOP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 t="e">
            <v>#N/A</v>
          </cell>
        </row>
        <row r="23">
          <cell r="A23">
            <v>1000017</v>
          </cell>
          <cell r="B23" t="str">
            <v>Aislador T/ Esp PIN CL55-5 1"</v>
          </cell>
          <cell r="D23">
            <v>6001</v>
          </cell>
          <cell r="E23">
            <v>1000</v>
          </cell>
          <cell r="F23" t="str">
            <v>ZALM</v>
          </cell>
          <cell r="G23" t="str">
            <v>UN</v>
          </cell>
          <cell r="H23" t="str">
            <v>DOP</v>
          </cell>
          <cell r="I23">
            <v>13</v>
          </cell>
          <cell r="J23">
            <v>3830.32</v>
          </cell>
          <cell r="K23">
            <v>0</v>
          </cell>
          <cell r="L23">
            <v>0</v>
          </cell>
          <cell r="M23">
            <v>281</v>
          </cell>
          <cell r="N23">
            <v>82793.84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294</v>
          </cell>
          <cell r="T23">
            <v>86624.16</v>
          </cell>
          <cell r="U23">
            <v>294.64</v>
          </cell>
        </row>
        <row r="24">
          <cell r="A24">
            <v>1000018</v>
          </cell>
          <cell r="B24" t="str">
            <v>Aislador T/ Esp PIN CL56-3 1 3/8" 34.5kV</v>
          </cell>
          <cell r="D24">
            <v>6001</v>
          </cell>
          <cell r="E24">
            <v>1000</v>
          </cell>
          <cell r="F24" t="str">
            <v>ZALM</v>
          </cell>
          <cell r="G24" t="str">
            <v>UN</v>
          </cell>
          <cell r="H24" t="str">
            <v>DOP</v>
          </cell>
          <cell r="I24">
            <v>1261</v>
          </cell>
          <cell r="J24">
            <v>283381.88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1261</v>
          </cell>
          <cell r="T24">
            <v>283381.88</v>
          </cell>
          <cell r="U24">
            <v>224.727898493259</v>
          </cell>
        </row>
        <row r="25">
          <cell r="A25">
            <v>1000019</v>
          </cell>
          <cell r="B25" t="str">
            <v>Aislador T/ Estación Vert 145kV Porcel</v>
          </cell>
          <cell r="D25">
            <v>6001</v>
          </cell>
          <cell r="E25">
            <v>1000</v>
          </cell>
          <cell r="F25" t="str">
            <v>ZALM</v>
          </cell>
          <cell r="G25" t="str">
            <v>UN</v>
          </cell>
          <cell r="H25" t="str">
            <v>DOP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 t="e">
            <v>#N/A</v>
          </cell>
        </row>
        <row r="26">
          <cell r="A26">
            <v>1000020</v>
          </cell>
          <cell r="B26" t="str">
            <v>Aislador T/ Pin 55-2 1" P/ Neutro</v>
          </cell>
          <cell r="D26">
            <v>6001</v>
          </cell>
          <cell r="E26">
            <v>1000</v>
          </cell>
          <cell r="F26" t="str">
            <v>ZALM</v>
          </cell>
          <cell r="G26" t="str">
            <v>UN</v>
          </cell>
          <cell r="H26" t="str">
            <v>DOP</v>
          </cell>
          <cell r="I26">
            <v>1173</v>
          </cell>
          <cell r="J26">
            <v>32844</v>
          </cell>
          <cell r="K26">
            <v>0</v>
          </cell>
          <cell r="L26">
            <v>0</v>
          </cell>
          <cell r="M26">
            <v>23</v>
          </cell>
          <cell r="N26">
            <v>644</v>
          </cell>
          <cell r="O26">
            <v>0</v>
          </cell>
          <cell r="P26">
            <v>0</v>
          </cell>
          <cell r="Q26">
            <v>132</v>
          </cell>
          <cell r="R26">
            <v>3696</v>
          </cell>
          <cell r="S26">
            <v>1328</v>
          </cell>
          <cell r="T26">
            <v>37184</v>
          </cell>
          <cell r="U26">
            <v>28</v>
          </cell>
        </row>
        <row r="27">
          <cell r="A27">
            <v>1000021</v>
          </cell>
          <cell r="B27" t="str">
            <v>Aislador T/ Pin 55-5 Polim 15kV</v>
          </cell>
          <cell r="D27">
            <v>6001</v>
          </cell>
          <cell r="E27">
            <v>1000</v>
          </cell>
          <cell r="F27" t="str">
            <v>ZALM</v>
          </cell>
          <cell r="G27" t="str">
            <v>UN</v>
          </cell>
          <cell r="H27" t="str">
            <v>DOP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 t="e">
            <v>#N/A</v>
          </cell>
        </row>
        <row r="28">
          <cell r="A28">
            <v>1000022</v>
          </cell>
          <cell r="B28" t="str">
            <v>Aislador T/ Pin 56-3 69kV</v>
          </cell>
          <cell r="D28">
            <v>6001</v>
          </cell>
          <cell r="E28">
            <v>1000</v>
          </cell>
          <cell r="F28" t="str">
            <v>ZALM</v>
          </cell>
          <cell r="G28" t="str">
            <v>UN</v>
          </cell>
          <cell r="H28" t="str">
            <v>DOP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 t="e">
            <v>#N/A</v>
          </cell>
        </row>
        <row r="29">
          <cell r="A29">
            <v>1000023</v>
          </cell>
          <cell r="B29" t="str">
            <v>Aislador T/ Pin Polim 15kV</v>
          </cell>
          <cell r="D29">
            <v>6001</v>
          </cell>
          <cell r="E29">
            <v>1000</v>
          </cell>
          <cell r="F29" t="str">
            <v>ZALM</v>
          </cell>
          <cell r="G29" t="str">
            <v>UN</v>
          </cell>
          <cell r="H29" t="str">
            <v>DOP</v>
          </cell>
          <cell r="I29">
            <v>8</v>
          </cell>
          <cell r="J29">
            <v>2950.35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8</v>
          </cell>
          <cell r="T29">
            <v>2950.35</v>
          </cell>
          <cell r="U29">
            <v>368.79374999999999</v>
          </cell>
        </row>
        <row r="30">
          <cell r="A30">
            <v>1000024</v>
          </cell>
          <cell r="B30" t="str">
            <v>Aislador T/ Susp 34.5kV</v>
          </cell>
          <cell r="D30">
            <v>6001</v>
          </cell>
          <cell r="E30">
            <v>1000</v>
          </cell>
          <cell r="F30" t="str">
            <v>ZALM</v>
          </cell>
          <cell r="G30" t="str">
            <v>UN</v>
          </cell>
          <cell r="H30" t="str">
            <v>DOP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 t="e">
            <v>#N/A</v>
          </cell>
        </row>
        <row r="31">
          <cell r="A31">
            <v>1000025</v>
          </cell>
          <cell r="B31" t="str">
            <v>Aislante de Corte P/Base de Medidor</v>
          </cell>
          <cell r="D31">
            <v>6001</v>
          </cell>
          <cell r="E31">
            <v>1000</v>
          </cell>
          <cell r="F31" t="str">
            <v>ZALM</v>
          </cell>
          <cell r="G31" t="str">
            <v>UN</v>
          </cell>
          <cell r="H31" t="str">
            <v>DOP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 t="e">
            <v>#N/A</v>
          </cell>
        </row>
        <row r="32">
          <cell r="A32">
            <v>1000026</v>
          </cell>
          <cell r="B32" t="str">
            <v>Barra Aisl Fib Vid 3/4"x54" P/Viento Aer</v>
          </cell>
          <cell r="D32">
            <v>6001</v>
          </cell>
          <cell r="E32">
            <v>1000</v>
          </cell>
          <cell r="F32" t="str">
            <v>ZALM</v>
          </cell>
          <cell r="G32" t="str">
            <v>UN</v>
          </cell>
          <cell r="H32" t="str">
            <v>DOP</v>
          </cell>
          <cell r="I32">
            <v>1</v>
          </cell>
          <cell r="J32">
            <v>2431.25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1</v>
          </cell>
          <cell r="R32">
            <v>2431.25</v>
          </cell>
          <cell r="S32">
            <v>2</v>
          </cell>
          <cell r="T32">
            <v>4862.5</v>
          </cell>
          <cell r="U32">
            <v>2431.25</v>
          </cell>
        </row>
        <row r="33">
          <cell r="A33">
            <v>1000027</v>
          </cell>
          <cell r="B33" t="str">
            <v>Barra Aisl Fib Vid C/ Guard Cab 7/8"x78"</v>
          </cell>
          <cell r="D33">
            <v>6001</v>
          </cell>
          <cell r="E33">
            <v>1000</v>
          </cell>
          <cell r="F33" t="str">
            <v>ZALM</v>
          </cell>
          <cell r="G33" t="str">
            <v>UN</v>
          </cell>
          <cell r="H33" t="str">
            <v>DOP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191</v>
          </cell>
          <cell r="N33">
            <v>319925.98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191</v>
          </cell>
          <cell r="T33">
            <v>319925.98</v>
          </cell>
          <cell r="U33">
            <v>1675.0051308900499</v>
          </cell>
        </row>
        <row r="34">
          <cell r="A34">
            <v>1000028</v>
          </cell>
          <cell r="B34" t="str">
            <v>Caja Aisl P/ Conector Compresión 1 3/4"</v>
          </cell>
          <cell r="D34">
            <v>6001</v>
          </cell>
          <cell r="E34">
            <v>1000</v>
          </cell>
          <cell r="F34" t="str">
            <v>ZALM</v>
          </cell>
          <cell r="G34" t="str">
            <v>UN</v>
          </cell>
          <cell r="H34" t="str">
            <v>DOP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 t="e">
            <v>#N/A</v>
          </cell>
        </row>
        <row r="35">
          <cell r="A35">
            <v>1000029</v>
          </cell>
          <cell r="B35" t="str">
            <v>Caja Aisl P/ Conector Compresión 2 1/2"</v>
          </cell>
          <cell r="D35">
            <v>6001</v>
          </cell>
          <cell r="E35">
            <v>1000</v>
          </cell>
          <cell r="F35" t="str">
            <v>ZALM</v>
          </cell>
          <cell r="G35" t="str">
            <v>UN</v>
          </cell>
          <cell r="H35" t="str">
            <v>DOP</v>
          </cell>
          <cell r="I35">
            <v>28885</v>
          </cell>
          <cell r="J35">
            <v>134315.25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28885</v>
          </cell>
          <cell r="T35">
            <v>134315.25</v>
          </cell>
          <cell r="U35">
            <v>4.6500000000000004</v>
          </cell>
        </row>
        <row r="36">
          <cell r="A36">
            <v>1000030</v>
          </cell>
          <cell r="B36" t="str">
            <v>Caja Aisl P/ Conector Compresión 2 3/4"</v>
          </cell>
          <cell r="D36">
            <v>6001</v>
          </cell>
          <cell r="E36">
            <v>1000</v>
          </cell>
          <cell r="F36" t="str">
            <v>ZALM</v>
          </cell>
          <cell r="G36" t="str">
            <v>UN</v>
          </cell>
          <cell r="H36" t="str">
            <v>DOP</v>
          </cell>
          <cell r="I36">
            <v>254</v>
          </cell>
          <cell r="J36">
            <v>254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254</v>
          </cell>
          <cell r="T36">
            <v>254</v>
          </cell>
          <cell r="U36">
            <v>1</v>
          </cell>
        </row>
        <row r="37">
          <cell r="A37">
            <v>1000031</v>
          </cell>
          <cell r="B37" t="str">
            <v>Caja Aisl P/ Conector Compresión 2"</v>
          </cell>
          <cell r="D37">
            <v>6001</v>
          </cell>
          <cell r="E37">
            <v>1000</v>
          </cell>
          <cell r="F37" t="str">
            <v>ZALM</v>
          </cell>
          <cell r="G37" t="str">
            <v>UN</v>
          </cell>
          <cell r="H37" t="str">
            <v>DOP</v>
          </cell>
          <cell r="I37">
            <v>19275</v>
          </cell>
          <cell r="J37">
            <v>19275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19275</v>
          </cell>
          <cell r="T37">
            <v>19275</v>
          </cell>
          <cell r="U37">
            <v>1</v>
          </cell>
        </row>
        <row r="38">
          <cell r="A38">
            <v>1000032</v>
          </cell>
          <cell r="B38" t="str">
            <v>Caja Aisl P/ Conector Compresión 3 1/2"</v>
          </cell>
          <cell r="D38">
            <v>6001</v>
          </cell>
          <cell r="E38">
            <v>1000</v>
          </cell>
          <cell r="F38" t="str">
            <v>ZALM</v>
          </cell>
          <cell r="G38" t="str">
            <v>UN</v>
          </cell>
          <cell r="H38" t="str">
            <v>DOP</v>
          </cell>
          <cell r="I38">
            <v>15221</v>
          </cell>
          <cell r="J38">
            <v>84530.39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15221</v>
          </cell>
          <cell r="T38">
            <v>84530.39</v>
          </cell>
          <cell r="U38">
            <v>5.5535372183167997</v>
          </cell>
        </row>
        <row r="39">
          <cell r="A39">
            <v>1000033</v>
          </cell>
          <cell r="B39" t="str">
            <v>Caja Aisl P/ Conector Compresion 5 3/16"</v>
          </cell>
          <cell r="D39">
            <v>6001</v>
          </cell>
          <cell r="E39">
            <v>1000</v>
          </cell>
          <cell r="F39" t="str">
            <v>ZALM</v>
          </cell>
          <cell r="G39" t="str">
            <v>UN</v>
          </cell>
          <cell r="H39" t="str">
            <v>DOP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 t="e">
            <v>#N/A</v>
          </cell>
        </row>
        <row r="40">
          <cell r="A40">
            <v>1000034</v>
          </cell>
          <cell r="B40" t="str">
            <v>Caja Aisl P/ Conector Compresión 5"</v>
          </cell>
          <cell r="D40">
            <v>6001</v>
          </cell>
          <cell r="E40">
            <v>1000</v>
          </cell>
          <cell r="F40" t="str">
            <v>ZALM</v>
          </cell>
          <cell r="G40" t="str">
            <v>UN</v>
          </cell>
          <cell r="H40" t="str">
            <v>DOP</v>
          </cell>
          <cell r="I40">
            <v>22777</v>
          </cell>
          <cell r="J40">
            <v>98396.64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22777</v>
          </cell>
          <cell r="T40">
            <v>98396.64</v>
          </cell>
          <cell r="U40">
            <v>4.32</v>
          </cell>
        </row>
        <row r="41">
          <cell r="A41">
            <v>1000035</v>
          </cell>
          <cell r="B41" t="str">
            <v>Caja Aisl P/ Conector Compresión 5/8x2"</v>
          </cell>
          <cell r="D41">
            <v>6001</v>
          </cell>
          <cell r="E41">
            <v>1000</v>
          </cell>
          <cell r="F41" t="str">
            <v>ZALM</v>
          </cell>
          <cell r="G41" t="str">
            <v>UN</v>
          </cell>
          <cell r="H41" t="str">
            <v>DOP</v>
          </cell>
          <cell r="I41">
            <v>20000</v>
          </cell>
          <cell r="J41">
            <v>20000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20000</v>
          </cell>
          <cell r="T41">
            <v>20000</v>
          </cell>
          <cell r="U41">
            <v>1</v>
          </cell>
        </row>
        <row r="42">
          <cell r="A42">
            <v>1000036</v>
          </cell>
          <cell r="B42" t="str">
            <v>Caja Aislante P/ Contenedor</v>
          </cell>
          <cell r="D42">
            <v>6001</v>
          </cell>
          <cell r="E42">
            <v>1000</v>
          </cell>
          <cell r="F42" t="str">
            <v>ZALM</v>
          </cell>
          <cell r="G42" t="str">
            <v>UN</v>
          </cell>
          <cell r="H42" t="str">
            <v>DOP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 t="e">
            <v>#N/A</v>
          </cell>
        </row>
        <row r="43">
          <cell r="A43">
            <v>1000037</v>
          </cell>
          <cell r="B43" t="str">
            <v>Terminal Cabl Polietil Cu 630mm2,12/20kV</v>
          </cell>
          <cell r="D43">
            <v>6001</v>
          </cell>
          <cell r="E43">
            <v>1000</v>
          </cell>
          <cell r="F43" t="str">
            <v>ZALM</v>
          </cell>
          <cell r="G43" t="str">
            <v>UN</v>
          </cell>
          <cell r="H43" t="str">
            <v>DOP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 t="e">
            <v>#N/A</v>
          </cell>
        </row>
        <row r="44">
          <cell r="A44">
            <v>1000038</v>
          </cell>
          <cell r="B44" t="str">
            <v>Cinta P/ Impresora Caja Mod ERC-30P</v>
          </cell>
          <cell r="D44">
            <v>8401</v>
          </cell>
          <cell r="E44">
            <v>1000</v>
          </cell>
          <cell r="F44" t="str">
            <v>ZALM</v>
          </cell>
          <cell r="G44" t="str">
            <v>UN</v>
          </cell>
          <cell r="H44" t="str">
            <v>DOP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 t="e">
            <v>#N/A</v>
          </cell>
        </row>
        <row r="45">
          <cell r="A45">
            <v>1000039</v>
          </cell>
          <cell r="B45" t="str">
            <v>Cinta P/ Impresora Caja Mod ERC-32B</v>
          </cell>
          <cell r="D45">
            <v>8401</v>
          </cell>
          <cell r="E45">
            <v>1000</v>
          </cell>
          <cell r="F45" t="str">
            <v>ZALM</v>
          </cell>
          <cell r="G45" t="str">
            <v>UN</v>
          </cell>
          <cell r="H45" t="str">
            <v>DOP</v>
          </cell>
          <cell r="I45">
            <v>45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45</v>
          </cell>
          <cell r="T45">
            <v>0</v>
          </cell>
          <cell r="U45">
            <v>0</v>
          </cell>
        </row>
        <row r="46">
          <cell r="A46">
            <v>1000040</v>
          </cell>
          <cell r="B46" t="str">
            <v>Papel P/ Impresora Caja 2P 3" Rollo</v>
          </cell>
          <cell r="D46">
            <v>8401</v>
          </cell>
          <cell r="E46">
            <v>1000</v>
          </cell>
          <cell r="F46" t="str">
            <v>ZALM</v>
          </cell>
          <cell r="G46" t="str">
            <v>UN</v>
          </cell>
          <cell r="H46" t="str">
            <v>DOP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 t="e">
            <v>#N/A</v>
          </cell>
        </row>
        <row r="47">
          <cell r="A47">
            <v>1000041</v>
          </cell>
          <cell r="B47" t="str">
            <v>Papel Térmico P/ Impr TSP600 3.15" Rollo</v>
          </cell>
          <cell r="D47">
            <v>8401</v>
          </cell>
          <cell r="E47">
            <v>1000</v>
          </cell>
          <cell r="F47" t="str">
            <v>ZALM</v>
          </cell>
          <cell r="G47" t="str">
            <v>UN</v>
          </cell>
          <cell r="H47" t="str">
            <v>DOP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 t="e">
            <v>#N/A</v>
          </cell>
        </row>
        <row r="48">
          <cell r="A48">
            <v>1000042</v>
          </cell>
          <cell r="B48" t="str">
            <v>Papel Térmico P/ Verip 2 1/4"x120' Rollo</v>
          </cell>
          <cell r="D48">
            <v>8401</v>
          </cell>
          <cell r="E48">
            <v>1000</v>
          </cell>
          <cell r="F48" t="str">
            <v>ZALM</v>
          </cell>
          <cell r="G48" t="str">
            <v>UN</v>
          </cell>
          <cell r="H48" t="str">
            <v>DOP</v>
          </cell>
          <cell r="I48">
            <v>50</v>
          </cell>
          <cell r="J48">
            <v>750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50</v>
          </cell>
          <cell r="T48">
            <v>750</v>
          </cell>
          <cell r="U48">
            <v>15</v>
          </cell>
        </row>
        <row r="49">
          <cell r="A49">
            <v>1000043</v>
          </cell>
          <cell r="B49" t="str">
            <v>Resma Papel Bond 20 8 1/2"x11"</v>
          </cell>
          <cell r="D49">
            <v>8401</v>
          </cell>
          <cell r="E49">
            <v>1000</v>
          </cell>
          <cell r="F49" t="str">
            <v>ZALM</v>
          </cell>
          <cell r="G49" t="str">
            <v>UN</v>
          </cell>
          <cell r="H49" t="str">
            <v>DOP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 t="e">
            <v>#N/A</v>
          </cell>
        </row>
        <row r="50">
          <cell r="A50">
            <v>1000044</v>
          </cell>
          <cell r="B50" t="str">
            <v>Resma Papel Bond 20 8 1/2"x13"</v>
          </cell>
          <cell r="D50">
            <v>8401</v>
          </cell>
          <cell r="E50">
            <v>1000</v>
          </cell>
          <cell r="F50" t="str">
            <v>ZALM</v>
          </cell>
          <cell r="G50" t="str">
            <v>UN</v>
          </cell>
          <cell r="H50" t="str">
            <v>DOP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 t="e">
            <v>#N/A</v>
          </cell>
        </row>
        <row r="51">
          <cell r="A51">
            <v>1000045</v>
          </cell>
          <cell r="B51" t="str">
            <v>Resma Papel Bond 20 8 1/2"x14"</v>
          </cell>
          <cell r="D51">
            <v>8401</v>
          </cell>
          <cell r="E51">
            <v>1000</v>
          </cell>
          <cell r="F51" t="str">
            <v>ZALM</v>
          </cell>
          <cell r="G51" t="str">
            <v>UN</v>
          </cell>
          <cell r="H51" t="str">
            <v>DOP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 t="e">
            <v>#N/A</v>
          </cell>
        </row>
        <row r="52">
          <cell r="A52">
            <v>1000046</v>
          </cell>
          <cell r="B52" t="str">
            <v>Ticket P/ Turn-O-Matic</v>
          </cell>
          <cell r="D52">
            <v>8401</v>
          </cell>
          <cell r="E52">
            <v>1000</v>
          </cell>
          <cell r="F52" t="str">
            <v>ZALM</v>
          </cell>
          <cell r="G52" t="str">
            <v>UN</v>
          </cell>
          <cell r="H52" t="str">
            <v>DOP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 t="e">
            <v>#N/A</v>
          </cell>
        </row>
        <row r="53">
          <cell r="A53">
            <v>1000047</v>
          </cell>
          <cell r="B53" t="str">
            <v>Alambre #1/0 THHN AWG Cobre</v>
          </cell>
          <cell r="D53">
            <v>6000</v>
          </cell>
          <cell r="E53">
            <v>1000</v>
          </cell>
          <cell r="F53" t="str">
            <v>ZALM</v>
          </cell>
          <cell r="G53" t="str">
            <v>M</v>
          </cell>
          <cell r="H53" t="str">
            <v>DOP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 t="e">
            <v>#N/A</v>
          </cell>
        </row>
        <row r="54">
          <cell r="A54">
            <v>1000048</v>
          </cell>
          <cell r="B54" t="str">
            <v>Alambre #2 THHN AWG Cobre</v>
          </cell>
          <cell r="D54">
            <v>6000</v>
          </cell>
          <cell r="E54">
            <v>1000</v>
          </cell>
          <cell r="F54" t="str">
            <v>ZALM</v>
          </cell>
          <cell r="G54" t="str">
            <v>M</v>
          </cell>
          <cell r="H54" t="str">
            <v>DOP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 t="e">
            <v>#N/A</v>
          </cell>
        </row>
        <row r="55">
          <cell r="A55">
            <v>1000049</v>
          </cell>
          <cell r="B55" t="str">
            <v>Alambre #2/0 THHN AWG Cobre</v>
          </cell>
          <cell r="D55">
            <v>6000</v>
          </cell>
          <cell r="E55">
            <v>1000</v>
          </cell>
          <cell r="F55" t="str">
            <v>ZALM</v>
          </cell>
          <cell r="G55" t="str">
            <v>M</v>
          </cell>
          <cell r="H55" t="str">
            <v>DOP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 t="e">
            <v>#N/A</v>
          </cell>
        </row>
        <row r="56">
          <cell r="A56">
            <v>1000050</v>
          </cell>
          <cell r="B56" t="str">
            <v>Alambre #4 AWG-SDO Al P/ Ligadura</v>
          </cell>
          <cell r="D56">
            <v>6000</v>
          </cell>
          <cell r="E56">
            <v>1000</v>
          </cell>
          <cell r="F56" t="str">
            <v>ZALM</v>
          </cell>
          <cell r="G56" t="str">
            <v>M</v>
          </cell>
          <cell r="H56" t="str">
            <v>DOP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 t="e">
            <v>#N/A</v>
          </cell>
        </row>
        <row r="57">
          <cell r="A57">
            <v>1000051</v>
          </cell>
          <cell r="B57" t="str">
            <v>Alambre #6 AWG-SDO Cu P/ Ligad EMI-Duro</v>
          </cell>
          <cell r="D57">
            <v>6000</v>
          </cell>
          <cell r="E57">
            <v>1000</v>
          </cell>
          <cell r="F57" t="str">
            <v>ZALM</v>
          </cell>
          <cell r="G57" t="str">
            <v>M</v>
          </cell>
          <cell r="H57" t="str">
            <v>DOP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 t="e">
            <v>#N/A</v>
          </cell>
        </row>
        <row r="58">
          <cell r="A58">
            <v>1000052</v>
          </cell>
          <cell r="B58" t="str">
            <v>Alambre Advanced THHN ST No.10 Negro</v>
          </cell>
          <cell r="D58">
            <v>6000</v>
          </cell>
          <cell r="E58">
            <v>1000</v>
          </cell>
          <cell r="F58" t="str">
            <v>ZALM</v>
          </cell>
          <cell r="G58" t="str">
            <v>M</v>
          </cell>
          <cell r="H58" t="str">
            <v>DOP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 t="e">
            <v>#N/A</v>
          </cell>
        </row>
        <row r="59">
          <cell r="A59">
            <v>1000053</v>
          </cell>
          <cell r="B59" t="str">
            <v>Alambre Advanced THHN ST No.6 Amarillo</v>
          </cell>
          <cell r="D59">
            <v>6000</v>
          </cell>
          <cell r="E59">
            <v>1000</v>
          </cell>
          <cell r="F59" t="str">
            <v>ZALM</v>
          </cell>
          <cell r="G59" t="str">
            <v>M</v>
          </cell>
          <cell r="H59" t="str">
            <v>DOP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 t="e">
            <v>#N/A</v>
          </cell>
        </row>
        <row r="60">
          <cell r="A60">
            <v>1000054</v>
          </cell>
          <cell r="B60" t="str">
            <v>Alambre Advanced THHN ST No.6 Blanco</v>
          </cell>
          <cell r="D60">
            <v>6000</v>
          </cell>
          <cell r="E60">
            <v>1000</v>
          </cell>
          <cell r="F60" t="str">
            <v>ZALM</v>
          </cell>
          <cell r="G60" t="str">
            <v>M</v>
          </cell>
          <cell r="H60" t="str">
            <v>DOP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 t="e">
            <v>#N/A</v>
          </cell>
        </row>
        <row r="61">
          <cell r="A61">
            <v>1000055</v>
          </cell>
          <cell r="B61" t="str">
            <v>Alambre Advanced THHN ST No.6 Rojo</v>
          </cell>
          <cell r="D61">
            <v>6000</v>
          </cell>
          <cell r="E61">
            <v>1000</v>
          </cell>
          <cell r="F61" t="str">
            <v>ZALM</v>
          </cell>
          <cell r="G61" t="str">
            <v>M</v>
          </cell>
          <cell r="H61" t="str">
            <v>DOP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 t="e">
            <v>#N/A</v>
          </cell>
        </row>
        <row r="62">
          <cell r="A62">
            <v>1000056</v>
          </cell>
          <cell r="B62" t="str">
            <v>Alambre Advanced THHN ST No.6 Verde</v>
          </cell>
          <cell r="D62">
            <v>6000</v>
          </cell>
          <cell r="E62">
            <v>1000</v>
          </cell>
          <cell r="F62" t="str">
            <v>ZALM</v>
          </cell>
          <cell r="G62" t="str">
            <v>M</v>
          </cell>
          <cell r="H62" t="str">
            <v>DOP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 t="e">
            <v>#N/A</v>
          </cell>
        </row>
        <row r="63">
          <cell r="A63">
            <v>1000057</v>
          </cell>
          <cell r="B63" t="str">
            <v>Alambre Advanced THHN ST No.8 Amarillo</v>
          </cell>
          <cell r="D63">
            <v>6000</v>
          </cell>
          <cell r="E63">
            <v>1000</v>
          </cell>
          <cell r="F63" t="str">
            <v>ZALM</v>
          </cell>
          <cell r="G63" t="str">
            <v>M</v>
          </cell>
          <cell r="H63" t="str">
            <v>DOP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 t="e">
            <v>#N/A</v>
          </cell>
        </row>
        <row r="64">
          <cell r="A64">
            <v>1000058</v>
          </cell>
          <cell r="B64" t="str">
            <v>Alambre Advanced THHN ST No.8 Azul</v>
          </cell>
          <cell r="D64">
            <v>6000</v>
          </cell>
          <cell r="E64">
            <v>1000</v>
          </cell>
          <cell r="F64" t="str">
            <v>ZALM</v>
          </cell>
          <cell r="G64" t="str">
            <v>M</v>
          </cell>
          <cell r="H64" t="str">
            <v>DOP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 t="e">
            <v>#N/A</v>
          </cell>
        </row>
        <row r="65">
          <cell r="A65">
            <v>1000059</v>
          </cell>
          <cell r="B65" t="str">
            <v>Alambre Advanced THHN ST No.8 Negro</v>
          </cell>
          <cell r="D65">
            <v>6000</v>
          </cell>
          <cell r="E65">
            <v>1000</v>
          </cell>
          <cell r="F65" t="str">
            <v>ZALM</v>
          </cell>
          <cell r="G65" t="str">
            <v>M</v>
          </cell>
          <cell r="H65" t="str">
            <v>DOP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 t="e">
            <v>#N/A</v>
          </cell>
        </row>
        <row r="66">
          <cell r="A66">
            <v>1000060</v>
          </cell>
          <cell r="B66" t="str">
            <v>Alambre Advanced THHN ST No.8 Verde</v>
          </cell>
          <cell r="D66">
            <v>6000</v>
          </cell>
          <cell r="E66">
            <v>1000</v>
          </cell>
          <cell r="F66" t="str">
            <v>ZALM</v>
          </cell>
          <cell r="G66" t="str">
            <v>M</v>
          </cell>
          <cell r="H66" t="str">
            <v>DOP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 t="e">
            <v>#N/A</v>
          </cell>
        </row>
        <row r="67">
          <cell r="A67">
            <v>1000061</v>
          </cell>
          <cell r="B67" t="str">
            <v>Alambre Control PVC #12 Cu Negr THW 600V</v>
          </cell>
          <cell r="D67">
            <v>6000</v>
          </cell>
          <cell r="E67">
            <v>1000</v>
          </cell>
          <cell r="F67" t="str">
            <v>ZALM</v>
          </cell>
          <cell r="G67" t="str">
            <v>M</v>
          </cell>
          <cell r="H67" t="str">
            <v>DOP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 t="e">
            <v>#N/A</v>
          </cell>
        </row>
        <row r="68">
          <cell r="A68">
            <v>1000062</v>
          </cell>
          <cell r="B68" t="str">
            <v>Alambre Control PVC #2 Cu Negr THW 600V</v>
          </cell>
          <cell r="D68">
            <v>6000</v>
          </cell>
          <cell r="E68">
            <v>1000</v>
          </cell>
          <cell r="F68" t="str">
            <v>ZALM</v>
          </cell>
          <cell r="G68" t="str">
            <v>M</v>
          </cell>
          <cell r="H68" t="str">
            <v>DOP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 t="e">
            <v>#N/A</v>
          </cell>
        </row>
        <row r="69">
          <cell r="A69">
            <v>1000063</v>
          </cell>
          <cell r="B69" t="str">
            <v>Alambre Desn Trenz 4/0 Cu Semid P/Sist T</v>
          </cell>
          <cell r="D69">
            <v>6000</v>
          </cell>
          <cell r="E69">
            <v>1000</v>
          </cell>
          <cell r="F69" t="str">
            <v>ZALM</v>
          </cell>
          <cell r="G69" t="str">
            <v>M</v>
          </cell>
          <cell r="H69" t="str">
            <v>DOP</v>
          </cell>
          <cell r="I69">
            <v>3</v>
          </cell>
          <cell r="J69">
            <v>1628.64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3</v>
          </cell>
          <cell r="T69">
            <v>1628.64</v>
          </cell>
          <cell r="U69">
            <v>542.88</v>
          </cell>
        </row>
        <row r="70">
          <cell r="A70">
            <v>1000064</v>
          </cell>
          <cell r="B70" t="str">
            <v>Alambre Flexible 1.5mm No.14</v>
          </cell>
          <cell r="D70">
            <v>6000</v>
          </cell>
          <cell r="E70">
            <v>1000</v>
          </cell>
          <cell r="F70" t="str">
            <v>ZALM</v>
          </cell>
          <cell r="G70" t="str">
            <v>M</v>
          </cell>
          <cell r="H70" t="str">
            <v>DOP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 t="e">
            <v>#N/A</v>
          </cell>
        </row>
        <row r="71">
          <cell r="A71">
            <v>1000065</v>
          </cell>
          <cell r="B71" t="str">
            <v>Alambre Flexible 2.5mm No.12</v>
          </cell>
          <cell r="D71">
            <v>6000</v>
          </cell>
          <cell r="E71">
            <v>1000</v>
          </cell>
          <cell r="F71" t="str">
            <v>ZALM</v>
          </cell>
          <cell r="G71" t="str">
            <v>M</v>
          </cell>
          <cell r="H71" t="str">
            <v>DOP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 t="e">
            <v>#N/A</v>
          </cell>
        </row>
        <row r="72">
          <cell r="A72">
            <v>1000066</v>
          </cell>
          <cell r="B72" t="str">
            <v>Alambre Flexible Multip 4.0mm No.10</v>
          </cell>
          <cell r="D72">
            <v>6000</v>
          </cell>
          <cell r="E72">
            <v>1000</v>
          </cell>
          <cell r="F72" t="str">
            <v>ZALM</v>
          </cell>
          <cell r="G72" t="str">
            <v>M</v>
          </cell>
          <cell r="H72" t="str">
            <v>DOP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 t="e">
            <v>#N/A</v>
          </cell>
        </row>
        <row r="73">
          <cell r="A73">
            <v>1000067</v>
          </cell>
          <cell r="B73" t="str">
            <v>Alambre Goma AWG 8/4</v>
          </cell>
          <cell r="D73">
            <v>6000</v>
          </cell>
          <cell r="E73">
            <v>1000</v>
          </cell>
          <cell r="F73" t="str">
            <v>ZALM</v>
          </cell>
          <cell r="G73" t="str">
            <v>M</v>
          </cell>
          <cell r="H73" t="str">
            <v>DOP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 t="e">
            <v>#N/A</v>
          </cell>
        </row>
        <row r="74">
          <cell r="A74">
            <v>1000068</v>
          </cell>
          <cell r="B74" t="str">
            <v>Alambre Multifibras AWG 1/0</v>
          </cell>
          <cell r="D74">
            <v>6000</v>
          </cell>
          <cell r="E74">
            <v>1000</v>
          </cell>
          <cell r="F74" t="str">
            <v>ZALM</v>
          </cell>
          <cell r="G74" t="str">
            <v>M</v>
          </cell>
          <cell r="H74" t="str">
            <v>DOP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 t="e">
            <v>#N/A</v>
          </cell>
        </row>
        <row r="75">
          <cell r="A75">
            <v>1000069</v>
          </cell>
          <cell r="B75" t="str">
            <v>Alambre Multifibras AWG 2/0</v>
          </cell>
          <cell r="D75">
            <v>6000</v>
          </cell>
          <cell r="E75">
            <v>1000</v>
          </cell>
          <cell r="F75" t="str">
            <v>ZALM</v>
          </cell>
          <cell r="G75" t="str">
            <v>M</v>
          </cell>
          <cell r="H75" t="str">
            <v>DOP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 t="e">
            <v>#N/A</v>
          </cell>
        </row>
        <row r="76">
          <cell r="A76">
            <v>1000070</v>
          </cell>
          <cell r="B76" t="str">
            <v>Alambre PVC #2/0 Cu Negro THW 600V</v>
          </cell>
          <cell r="D76">
            <v>6000</v>
          </cell>
          <cell r="E76">
            <v>1000</v>
          </cell>
          <cell r="F76" t="str">
            <v>ZALM</v>
          </cell>
          <cell r="G76" t="str">
            <v>M</v>
          </cell>
          <cell r="H76" t="str">
            <v>DOP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 t="e">
            <v>#N/A</v>
          </cell>
        </row>
        <row r="77">
          <cell r="A77">
            <v>1000071</v>
          </cell>
          <cell r="B77" t="str">
            <v>Alambre PVC #4/0 Cu Negro THW 600V</v>
          </cell>
          <cell r="D77">
            <v>6000</v>
          </cell>
          <cell r="E77">
            <v>1000</v>
          </cell>
          <cell r="F77" t="str">
            <v>ZALM</v>
          </cell>
          <cell r="G77" t="str">
            <v>M</v>
          </cell>
          <cell r="H77" t="str">
            <v>DOP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 t="e">
            <v>#N/A</v>
          </cell>
        </row>
        <row r="78">
          <cell r="A78">
            <v>1000072</v>
          </cell>
          <cell r="B78" t="str">
            <v>Alambre THHN LS No.4/0</v>
          </cell>
          <cell r="D78">
            <v>6000</v>
          </cell>
          <cell r="E78">
            <v>1000</v>
          </cell>
          <cell r="F78" t="str">
            <v>ZALM</v>
          </cell>
          <cell r="G78" t="str">
            <v>M</v>
          </cell>
          <cell r="H78" t="str">
            <v>DOP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 t="e">
            <v>#N/A</v>
          </cell>
        </row>
        <row r="79">
          <cell r="A79">
            <v>1000073</v>
          </cell>
          <cell r="B79" t="str">
            <v>Alambre THHN ST No.6 105 G 600V Amarillo</v>
          </cell>
          <cell r="D79">
            <v>6000</v>
          </cell>
          <cell r="E79">
            <v>1000</v>
          </cell>
          <cell r="F79" t="str">
            <v>ZALM</v>
          </cell>
          <cell r="G79" t="str">
            <v>M</v>
          </cell>
          <cell r="H79" t="str">
            <v>DOP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 t="e">
            <v>#N/A</v>
          </cell>
        </row>
        <row r="80">
          <cell r="A80">
            <v>1000074</v>
          </cell>
          <cell r="B80" t="str">
            <v>Alambre THHN ST No.6 105 G 600V Blanco</v>
          </cell>
          <cell r="D80">
            <v>6000</v>
          </cell>
          <cell r="E80">
            <v>1000</v>
          </cell>
          <cell r="F80" t="str">
            <v>ZALM</v>
          </cell>
          <cell r="G80" t="str">
            <v>M</v>
          </cell>
          <cell r="H80" t="str">
            <v>DOP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 t="e">
            <v>#N/A</v>
          </cell>
        </row>
        <row r="81">
          <cell r="A81">
            <v>1000075</v>
          </cell>
          <cell r="B81" t="str">
            <v>Alambre THHN ST No.6 105 G 600V Rojo</v>
          </cell>
          <cell r="D81">
            <v>6000</v>
          </cell>
          <cell r="E81">
            <v>1000</v>
          </cell>
          <cell r="F81" t="str">
            <v>ZALM</v>
          </cell>
          <cell r="G81" t="str">
            <v>M</v>
          </cell>
          <cell r="H81" t="str">
            <v>DOP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 t="e">
            <v>#N/A</v>
          </cell>
        </row>
        <row r="82">
          <cell r="A82">
            <v>1000076</v>
          </cell>
          <cell r="B82" t="str">
            <v>Alambre THHN ST No.6 105 G 600V Verde</v>
          </cell>
          <cell r="D82">
            <v>6000</v>
          </cell>
          <cell r="E82">
            <v>1000</v>
          </cell>
          <cell r="F82" t="str">
            <v>ZALM</v>
          </cell>
          <cell r="G82" t="str">
            <v>M</v>
          </cell>
          <cell r="H82" t="str">
            <v>DOP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 t="e">
            <v>#N/A</v>
          </cell>
        </row>
        <row r="83">
          <cell r="A83">
            <v>1000077</v>
          </cell>
          <cell r="B83" t="str">
            <v>Alambre THHN ST No.8 105 G 600V Blanco</v>
          </cell>
          <cell r="D83">
            <v>6000</v>
          </cell>
          <cell r="E83">
            <v>1000</v>
          </cell>
          <cell r="F83" t="str">
            <v>ZALM</v>
          </cell>
          <cell r="G83" t="str">
            <v>M</v>
          </cell>
          <cell r="H83" t="str">
            <v>DOP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 t="e">
            <v>#N/A</v>
          </cell>
        </row>
        <row r="84">
          <cell r="A84">
            <v>1000078</v>
          </cell>
          <cell r="B84" t="str">
            <v>Alambre TW ST No.6 Negro</v>
          </cell>
          <cell r="D84">
            <v>6000</v>
          </cell>
          <cell r="E84">
            <v>1000</v>
          </cell>
          <cell r="F84" t="str">
            <v>ZALM</v>
          </cell>
          <cell r="G84" t="str">
            <v>M</v>
          </cell>
          <cell r="H84" t="str">
            <v>DOP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 t="e">
            <v>#N/A</v>
          </cell>
        </row>
        <row r="85">
          <cell r="A85">
            <v>1000079</v>
          </cell>
          <cell r="B85" t="str">
            <v>Alambre TW ST No.8 Blanco</v>
          </cell>
          <cell r="D85">
            <v>6000</v>
          </cell>
          <cell r="E85">
            <v>1000</v>
          </cell>
          <cell r="F85" t="str">
            <v>ZALM</v>
          </cell>
          <cell r="G85" t="str">
            <v>M</v>
          </cell>
          <cell r="H85" t="str">
            <v>DOP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 t="e">
            <v>#N/A</v>
          </cell>
        </row>
        <row r="86">
          <cell r="A86">
            <v>1000080</v>
          </cell>
          <cell r="B86" t="str">
            <v>Alambre TW ST No.8 Negro</v>
          </cell>
          <cell r="D86">
            <v>6000</v>
          </cell>
          <cell r="E86">
            <v>1000</v>
          </cell>
          <cell r="F86" t="str">
            <v>ZALM</v>
          </cell>
          <cell r="G86" t="str">
            <v>M</v>
          </cell>
          <cell r="H86" t="str">
            <v>DOP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 t="e">
            <v>#N/A</v>
          </cell>
        </row>
        <row r="87">
          <cell r="A87">
            <v>1000081</v>
          </cell>
          <cell r="B87" t="str">
            <v>Alambre UF 2C AWG No 6 Duplex</v>
          </cell>
          <cell r="D87">
            <v>6000</v>
          </cell>
          <cell r="E87">
            <v>1000</v>
          </cell>
          <cell r="F87" t="str">
            <v>ZALM</v>
          </cell>
          <cell r="G87" t="str">
            <v>M</v>
          </cell>
          <cell r="H87" t="str">
            <v>DOP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 t="e">
            <v>#N/A</v>
          </cell>
        </row>
        <row r="88">
          <cell r="A88">
            <v>1000082</v>
          </cell>
          <cell r="B88" t="str">
            <v>Cable 4mm Amarillo-Verde</v>
          </cell>
          <cell r="D88">
            <v>6000</v>
          </cell>
          <cell r="E88">
            <v>1000</v>
          </cell>
          <cell r="F88" t="str">
            <v>ZALM</v>
          </cell>
          <cell r="G88" t="str">
            <v>M</v>
          </cell>
          <cell r="H88" t="str">
            <v>DOP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 t="e">
            <v>#N/A</v>
          </cell>
        </row>
        <row r="89">
          <cell r="A89">
            <v>1000083</v>
          </cell>
          <cell r="B89" t="str">
            <v>Cable Aisl 15kV 1000MCM Al PVC Neutr Cu</v>
          </cell>
          <cell r="D89">
            <v>6000</v>
          </cell>
          <cell r="E89">
            <v>1000</v>
          </cell>
          <cell r="F89" t="str">
            <v>ZALM</v>
          </cell>
          <cell r="G89" t="str">
            <v>M</v>
          </cell>
          <cell r="H89" t="str">
            <v>DOP</v>
          </cell>
          <cell r="I89">
            <v>1766</v>
          </cell>
          <cell r="J89">
            <v>1510320.89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1766</v>
          </cell>
          <cell r="T89">
            <v>1510320.89</v>
          </cell>
          <cell r="U89">
            <v>855.22134201585504</v>
          </cell>
        </row>
        <row r="90">
          <cell r="A90">
            <v>1000084</v>
          </cell>
          <cell r="B90" t="str">
            <v>Cable Alumin Recub 477 AWG 37 Aisl XLPE</v>
          </cell>
          <cell r="D90">
            <v>6000</v>
          </cell>
          <cell r="E90">
            <v>1000</v>
          </cell>
          <cell r="F90" t="str">
            <v>ZALM</v>
          </cell>
          <cell r="G90" t="str">
            <v>M</v>
          </cell>
          <cell r="H90" t="str">
            <v>DOP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 t="e">
            <v>#N/A</v>
          </cell>
        </row>
        <row r="91">
          <cell r="A91">
            <v>1000085</v>
          </cell>
          <cell r="B91" t="str">
            <v>Cable Aluminio Recub 2/0 AWG 7 Aisl XLPE</v>
          </cell>
          <cell r="D91">
            <v>6000</v>
          </cell>
          <cell r="E91">
            <v>1000</v>
          </cell>
          <cell r="F91" t="str">
            <v>ZALM</v>
          </cell>
          <cell r="G91" t="str">
            <v>M</v>
          </cell>
          <cell r="H91" t="str">
            <v>DOP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 t="e">
            <v>#N/A</v>
          </cell>
        </row>
        <row r="92">
          <cell r="A92">
            <v>1000086</v>
          </cell>
          <cell r="B92" t="str">
            <v>Cable Aluminio Recub 4/0 AWG 7 Aisl XLPE</v>
          </cell>
          <cell r="D92">
            <v>6000</v>
          </cell>
          <cell r="E92">
            <v>1000</v>
          </cell>
          <cell r="F92" t="str">
            <v>ZALM</v>
          </cell>
          <cell r="G92" t="str">
            <v>M</v>
          </cell>
          <cell r="H92" t="str">
            <v>DOP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 t="e">
            <v>#N/A</v>
          </cell>
        </row>
        <row r="93">
          <cell r="A93">
            <v>1000087</v>
          </cell>
          <cell r="B93" t="str">
            <v>Cable Cobre 250 MCM</v>
          </cell>
          <cell r="D93">
            <v>6000</v>
          </cell>
          <cell r="E93">
            <v>1000</v>
          </cell>
          <cell r="F93" t="str">
            <v>ZALM</v>
          </cell>
          <cell r="G93" t="str">
            <v>M</v>
          </cell>
          <cell r="H93" t="str">
            <v>DOP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 t="e">
            <v>#N/A</v>
          </cell>
        </row>
        <row r="94">
          <cell r="A94">
            <v>1000088</v>
          </cell>
          <cell r="B94" t="str">
            <v>Cable Cobre 500 MCM</v>
          </cell>
          <cell r="D94">
            <v>6000</v>
          </cell>
          <cell r="E94">
            <v>1000</v>
          </cell>
          <cell r="F94" t="str">
            <v>ZALM</v>
          </cell>
          <cell r="G94" t="str">
            <v>M</v>
          </cell>
          <cell r="H94" t="str">
            <v>DOP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 t="e">
            <v>#N/A</v>
          </cell>
        </row>
        <row r="95">
          <cell r="A95">
            <v>1000089</v>
          </cell>
          <cell r="B95" t="str">
            <v>Cable Cobre Advanced ST #6 THHN AWG Negr</v>
          </cell>
          <cell r="D95">
            <v>6000</v>
          </cell>
          <cell r="E95">
            <v>1000</v>
          </cell>
          <cell r="F95" t="str">
            <v>ZALM</v>
          </cell>
          <cell r="G95" t="str">
            <v>M</v>
          </cell>
          <cell r="H95" t="str">
            <v>DOP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 t="e">
            <v>#N/A</v>
          </cell>
        </row>
        <row r="96">
          <cell r="A96">
            <v>1000090</v>
          </cell>
          <cell r="B96" t="str">
            <v>Cable Cobre Aislado 477 MCM 600V</v>
          </cell>
          <cell r="D96">
            <v>6000</v>
          </cell>
          <cell r="E96">
            <v>1000</v>
          </cell>
          <cell r="F96" t="str">
            <v>ZALM</v>
          </cell>
          <cell r="G96" t="str">
            <v>M</v>
          </cell>
          <cell r="H96" t="str">
            <v>DOP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 t="e">
            <v>#N/A</v>
          </cell>
        </row>
        <row r="97">
          <cell r="A97">
            <v>1000091</v>
          </cell>
          <cell r="B97" t="str">
            <v>Cable Cobre Estañado #2 AWG Desnudo</v>
          </cell>
          <cell r="D97">
            <v>6000</v>
          </cell>
          <cell r="E97">
            <v>1000</v>
          </cell>
          <cell r="F97" t="str">
            <v>ZALM</v>
          </cell>
          <cell r="G97" t="str">
            <v>M</v>
          </cell>
          <cell r="H97" t="str">
            <v>DOP</v>
          </cell>
          <cell r="I97">
            <v>3</v>
          </cell>
          <cell r="J97">
            <v>589.41</v>
          </cell>
          <cell r="K97">
            <v>4273</v>
          </cell>
          <cell r="L97">
            <v>839513.19</v>
          </cell>
          <cell r="M97">
            <v>1665</v>
          </cell>
          <cell r="N97">
            <v>327121.33</v>
          </cell>
          <cell r="O97">
            <v>0</v>
          </cell>
          <cell r="P97">
            <v>0</v>
          </cell>
          <cell r="Q97">
            <v>97716</v>
          </cell>
          <cell r="R97">
            <v>19198191.09</v>
          </cell>
          <cell r="S97">
            <v>103657</v>
          </cell>
          <cell r="T97">
            <v>20365415.02</v>
          </cell>
          <cell r="U97">
            <v>196.469269031517</v>
          </cell>
        </row>
        <row r="98">
          <cell r="A98">
            <v>1000092</v>
          </cell>
          <cell r="B98" t="str">
            <v>Cable Cobre Flex Trenz 600V 4 Cond #12</v>
          </cell>
          <cell r="D98">
            <v>6000</v>
          </cell>
          <cell r="E98">
            <v>1000</v>
          </cell>
          <cell r="F98" t="str">
            <v>ZALM</v>
          </cell>
          <cell r="G98" t="str">
            <v>M</v>
          </cell>
          <cell r="H98" t="str">
            <v>DOP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 t="e">
            <v>#N/A</v>
          </cell>
        </row>
        <row r="99">
          <cell r="A99">
            <v>1000093</v>
          </cell>
          <cell r="B99" t="str">
            <v>Cable Cobre Multip Flex 7 x 14 AWG</v>
          </cell>
          <cell r="D99">
            <v>6000</v>
          </cell>
          <cell r="E99">
            <v>1000</v>
          </cell>
          <cell r="F99" t="str">
            <v>ZALM</v>
          </cell>
          <cell r="G99" t="str">
            <v>M</v>
          </cell>
          <cell r="H99" t="str">
            <v>DOP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 t="e">
            <v>#N/A</v>
          </cell>
        </row>
        <row r="100">
          <cell r="A100">
            <v>1000094</v>
          </cell>
          <cell r="B100" t="str">
            <v>Cable Cobre ST #8 THHN AWG 600V Rojo</v>
          </cell>
          <cell r="D100">
            <v>6000</v>
          </cell>
          <cell r="E100">
            <v>1000</v>
          </cell>
          <cell r="F100" t="str">
            <v>ZALM</v>
          </cell>
          <cell r="G100" t="str">
            <v>M</v>
          </cell>
          <cell r="H100" t="str">
            <v>DOP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 t="e">
            <v>#N/A</v>
          </cell>
        </row>
        <row r="101">
          <cell r="A101">
            <v>1000095</v>
          </cell>
          <cell r="B101" t="str">
            <v>Cable Cobre Trenzado 4/0 Semiduro</v>
          </cell>
          <cell r="D101">
            <v>6000</v>
          </cell>
          <cell r="E101">
            <v>1000</v>
          </cell>
          <cell r="F101" t="str">
            <v>ZALM</v>
          </cell>
          <cell r="G101" t="str">
            <v>M</v>
          </cell>
          <cell r="H101" t="str">
            <v>DOP</v>
          </cell>
          <cell r="I101">
            <v>67</v>
          </cell>
          <cell r="J101">
            <v>40141.49</v>
          </cell>
          <cell r="K101">
            <v>0</v>
          </cell>
          <cell r="L101">
            <v>0</v>
          </cell>
          <cell r="M101">
            <v>905</v>
          </cell>
          <cell r="N101">
            <v>542209.66</v>
          </cell>
          <cell r="O101">
            <v>0</v>
          </cell>
          <cell r="P101">
            <v>0</v>
          </cell>
          <cell r="Q101">
            <v>62</v>
          </cell>
          <cell r="R101">
            <v>37145.85</v>
          </cell>
          <cell r="S101">
            <v>1034</v>
          </cell>
          <cell r="T101">
            <v>619497</v>
          </cell>
          <cell r="U101">
            <v>599.12669245647999</v>
          </cell>
        </row>
        <row r="102">
          <cell r="A102">
            <v>1000096</v>
          </cell>
          <cell r="B102" t="str">
            <v>Cable Cobre URD #2 Aisl P/ 15kV</v>
          </cell>
          <cell r="D102">
            <v>6000</v>
          </cell>
          <cell r="E102">
            <v>1000</v>
          </cell>
          <cell r="F102" t="str">
            <v>ZALM</v>
          </cell>
          <cell r="G102" t="str">
            <v>M</v>
          </cell>
          <cell r="H102" t="str">
            <v>DOP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 t="e">
            <v>#N/A</v>
          </cell>
        </row>
        <row r="103">
          <cell r="A103">
            <v>1000097</v>
          </cell>
          <cell r="B103" t="str">
            <v>Cable Cobre URD #2/0 Aisl P/ 15kV</v>
          </cell>
          <cell r="D103">
            <v>6000</v>
          </cell>
          <cell r="E103">
            <v>1000</v>
          </cell>
          <cell r="F103" t="str">
            <v>ZALM</v>
          </cell>
          <cell r="G103" t="str">
            <v>M</v>
          </cell>
          <cell r="H103" t="str">
            <v>DOP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 t="e">
            <v>#N/A</v>
          </cell>
        </row>
        <row r="104">
          <cell r="A104">
            <v>1000098</v>
          </cell>
          <cell r="B104" t="str">
            <v>Cable Cobre URD #4/0 Aisl P/ 15kV</v>
          </cell>
          <cell r="D104">
            <v>6000</v>
          </cell>
          <cell r="E104">
            <v>1000</v>
          </cell>
          <cell r="F104" t="str">
            <v>ZALM</v>
          </cell>
          <cell r="G104" t="str">
            <v>M</v>
          </cell>
          <cell r="H104" t="str">
            <v>DOP</v>
          </cell>
          <cell r="I104">
            <v>11</v>
          </cell>
          <cell r="J104">
            <v>18761.02</v>
          </cell>
          <cell r="K104">
            <v>0</v>
          </cell>
          <cell r="L104">
            <v>0</v>
          </cell>
          <cell r="M104">
            <v>1060</v>
          </cell>
          <cell r="N104">
            <v>1807879.93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1071</v>
          </cell>
          <cell r="T104">
            <v>1826640.95</v>
          </cell>
          <cell r="U104">
            <v>1705.5471055088699</v>
          </cell>
        </row>
        <row r="105">
          <cell r="A105">
            <v>1000099</v>
          </cell>
          <cell r="B105" t="str">
            <v>Cable Concéntr 2 Cond Señal 1x8+8+2 #22</v>
          </cell>
          <cell r="D105">
            <v>6000</v>
          </cell>
          <cell r="E105">
            <v>1000</v>
          </cell>
          <cell r="F105" t="str">
            <v>ZALM</v>
          </cell>
          <cell r="G105" t="str">
            <v>M</v>
          </cell>
          <cell r="H105" t="str">
            <v>DOP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 t="e">
            <v>#N/A</v>
          </cell>
        </row>
        <row r="106">
          <cell r="A106">
            <v>1000100</v>
          </cell>
          <cell r="B106" t="str">
            <v>Cable Concéntrico 1x8+8 Al Bip AWG #8</v>
          </cell>
          <cell r="D106">
            <v>6000</v>
          </cell>
          <cell r="E106">
            <v>1000</v>
          </cell>
          <cell r="F106" t="str">
            <v>ZALM</v>
          </cell>
          <cell r="G106" t="str">
            <v>M</v>
          </cell>
          <cell r="H106" t="str">
            <v>DOP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108688</v>
          </cell>
          <cell r="R106">
            <v>6075993.25</v>
          </cell>
          <cell r="S106">
            <v>108688</v>
          </cell>
          <cell r="T106">
            <v>6075993.25</v>
          </cell>
          <cell r="U106">
            <v>55.903073476372697</v>
          </cell>
        </row>
        <row r="107">
          <cell r="A107">
            <v>1000101</v>
          </cell>
          <cell r="B107" t="str">
            <v>Cable Concéntrico 1x8+8 Cu Bip AWG #8</v>
          </cell>
          <cell r="D107">
            <v>6000</v>
          </cell>
          <cell r="E107">
            <v>1000</v>
          </cell>
          <cell r="F107" t="str">
            <v>ZALM</v>
          </cell>
          <cell r="G107" t="str">
            <v>M</v>
          </cell>
          <cell r="H107" t="str">
            <v>DOP</v>
          </cell>
          <cell r="I107">
            <v>30</v>
          </cell>
          <cell r="J107">
            <v>3633.55</v>
          </cell>
          <cell r="K107">
            <v>35837</v>
          </cell>
          <cell r="L107">
            <v>4340520.42</v>
          </cell>
          <cell r="M107">
            <v>3100</v>
          </cell>
          <cell r="N107">
            <v>375467.07</v>
          </cell>
          <cell r="O107">
            <v>0</v>
          </cell>
          <cell r="P107">
            <v>0</v>
          </cell>
          <cell r="Q107">
            <v>6863</v>
          </cell>
          <cell r="R107">
            <v>831235.64</v>
          </cell>
          <cell r="S107">
            <v>45830</v>
          </cell>
          <cell r="T107">
            <v>5550856.6799999997</v>
          </cell>
          <cell r="U107">
            <v>121.118408902466</v>
          </cell>
        </row>
        <row r="108">
          <cell r="A108">
            <v>1000102</v>
          </cell>
          <cell r="B108" t="str">
            <v>Cable Concéntrico 2x6+6 Al Trip AWG #6</v>
          </cell>
          <cell r="D108">
            <v>6000</v>
          </cell>
          <cell r="E108">
            <v>1000</v>
          </cell>
          <cell r="F108" t="str">
            <v>ZALM</v>
          </cell>
          <cell r="G108" t="str">
            <v>M</v>
          </cell>
          <cell r="H108" t="str">
            <v>DOP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13357</v>
          </cell>
          <cell r="R108">
            <v>1971115.36</v>
          </cell>
          <cell r="S108">
            <v>13357</v>
          </cell>
          <cell r="T108">
            <v>1971115.36</v>
          </cell>
          <cell r="U108">
            <v>147.57171221082601</v>
          </cell>
        </row>
        <row r="109">
          <cell r="A109">
            <v>1000103</v>
          </cell>
          <cell r="B109" t="str">
            <v>Cable Concéntrico 2x6+6 Cu Trip AWG #6</v>
          </cell>
          <cell r="D109">
            <v>6000</v>
          </cell>
          <cell r="E109">
            <v>1000</v>
          </cell>
          <cell r="F109" t="str">
            <v>ZALM</v>
          </cell>
          <cell r="G109" t="str">
            <v>M</v>
          </cell>
          <cell r="H109" t="str">
            <v>DOP</v>
          </cell>
          <cell r="I109">
            <v>4434</v>
          </cell>
          <cell r="J109">
            <v>1492744.75</v>
          </cell>
          <cell r="K109">
            <v>76068</v>
          </cell>
          <cell r="L109">
            <v>25608955.280000001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145833</v>
          </cell>
          <cell r="R109">
            <v>49095950.670000002</v>
          </cell>
          <cell r="S109">
            <v>226335</v>
          </cell>
          <cell r="T109">
            <v>76197650.700000003</v>
          </cell>
          <cell r="U109">
            <v>336.65871694612002</v>
          </cell>
        </row>
        <row r="110">
          <cell r="A110">
            <v>1000104</v>
          </cell>
          <cell r="B110" t="str">
            <v>Cable Conex Dob Ref 5'Conect T/Banan 4mm</v>
          </cell>
          <cell r="D110">
            <v>6000</v>
          </cell>
          <cell r="E110">
            <v>1000</v>
          </cell>
          <cell r="F110" t="str">
            <v>ZALM</v>
          </cell>
          <cell r="G110" t="str">
            <v>UN</v>
          </cell>
          <cell r="H110" t="str">
            <v>DOP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 t="e">
            <v>#N/A</v>
          </cell>
        </row>
        <row r="111">
          <cell r="A111">
            <v>1000105</v>
          </cell>
          <cell r="B111" t="str">
            <v>Cable Control 8 Cond Calibre 12 AWG</v>
          </cell>
          <cell r="D111">
            <v>6000</v>
          </cell>
          <cell r="E111">
            <v>1000</v>
          </cell>
          <cell r="F111" t="str">
            <v>ZALM</v>
          </cell>
          <cell r="G111" t="str">
            <v>M</v>
          </cell>
          <cell r="H111" t="str">
            <v>DOP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 t="e">
            <v>#N/A</v>
          </cell>
        </row>
        <row r="112">
          <cell r="A112">
            <v>1000106</v>
          </cell>
          <cell r="B112" t="str">
            <v>Cable Cu 35mm2 Aisl 12/20kV XLPE ó AWG</v>
          </cell>
          <cell r="D112">
            <v>6000</v>
          </cell>
          <cell r="E112">
            <v>1000</v>
          </cell>
          <cell r="F112" t="str">
            <v>ZALM</v>
          </cell>
          <cell r="G112" t="str">
            <v>M</v>
          </cell>
          <cell r="H112" t="str">
            <v>DOP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 t="e">
            <v>#N/A</v>
          </cell>
        </row>
        <row r="113">
          <cell r="A113">
            <v>1000107</v>
          </cell>
          <cell r="B113" t="str">
            <v>Cable Cu 630mm2 Aisl 12/20kV XLPE ó AWG</v>
          </cell>
          <cell r="D113">
            <v>6000</v>
          </cell>
          <cell r="E113">
            <v>1000</v>
          </cell>
          <cell r="F113" t="str">
            <v>ZALM</v>
          </cell>
          <cell r="G113" t="str">
            <v>M</v>
          </cell>
          <cell r="H113" t="str">
            <v>DOP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 t="e">
            <v>#N/A</v>
          </cell>
        </row>
        <row r="114">
          <cell r="A114">
            <v>1000108</v>
          </cell>
          <cell r="B114" t="str">
            <v>Cable Cu 95mm2 Aisl 12/20kV XLPE ó AWG</v>
          </cell>
          <cell r="D114">
            <v>6000</v>
          </cell>
          <cell r="E114">
            <v>1000</v>
          </cell>
          <cell r="F114" t="str">
            <v>ZALM</v>
          </cell>
          <cell r="G114" t="str">
            <v>M</v>
          </cell>
          <cell r="H114" t="str">
            <v>DOP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 t="e">
            <v>#N/A</v>
          </cell>
        </row>
        <row r="115">
          <cell r="A115">
            <v>1000109</v>
          </cell>
          <cell r="B115" t="str">
            <v>Cable Cu Unif Aisl PVC 0.6/1kV 1x35mm</v>
          </cell>
          <cell r="D115">
            <v>6000</v>
          </cell>
          <cell r="E115">
            <v>1000</v>
          </cell>
          <cell r="F115" t="str">
            <v>ZALM</v>
          </cell>
          <cell r="G115" t="str">
            <v>M</v>
          </cell>
          <cell r="H115" t="str">
            <v>DOP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 t="e">
            <v>#N/A</v>
          </cell>
        </row>
        <row r="116">
          <cell r="A116">
            <v>1000110</v>
          </cell>
          <cell r="B116" t="str">
            <v>Cable Cuad 4/0 Cond Al Aisl Neutro 2/0</v>
          </cell>
          <cell r="D116">
            <v>6000</v>
          </cell>
          <cell r="E116">
            <v>1000</v>
          </cell>
          <cell r="F116" t="str">
            <v>ZALM</v>
          </cell>
          <cell r="G116" t="str">
            <v>M</v>
          </cell>
          <cell r="H116" t="str">
            <v>DOP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 t="e">
            <v>#N/A</v>
          </cell>
        </row>
        <row r="117">
          <cell r="A117">
            <v>1000111</v>
          </cell>
          <cell r="B117" t="str">
            <v>Cable de Acometida SEU Tipo SE R, 2 #8</v>
          </cell>
          <cell r="D117">
            <v>6000</v>
          </cell>
          <cell r="E117">
            <v>1000</v>
          </cell>
          <cell r="F117" t="str">
            <v>ZALM</v>
          </cell>
          <cell r="G117" t="str">
            <v>M</v>
          </cell>
          <cell r="H117" t="str">
            <v>DOP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 t="e">
            <v>#N/A</v>
          </cell>
        </row>
        <row r="118">
          <cell r="A118">
            <v>1000112</v>
          </cell>
          <cell r="B118" t="str">
            <v>Cable de Acometida SEU Tipo SE U, 3 #4</v>
          </cell>
          <cell r="D118">
            <v>6000</v>
          </cell>
          <cell r="E118">
            <v>1000</v>
          </cell>
          <cell r="F118" t="str">
            <v>ZALM</v>
          </cell>
          <cell r="G118" t="str">
            <v>M</v>
          </cell>
          <cell r="H118" t="str">
            <v>DOP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 t="e">
            <v>#N/A</v>
          </cell>
        </row>
        <row r="119">
          <cell r="A119">
            <v>1000113</v>
          </cell>
          <cell r="B119" t="str">
            <v>Cable de Acometida SEU Tipo SE U, 3 #6</v>
          </cell>
          <cell r="D119">
            <v>6000</v>
          </cell>
          <cell r="E119">
            <v>1000</v>
          </cell>
          <cell r="F119" t="str">
            <v>ZALM</v>
          </cell>
          <cell r="G119" t="str">
            <v>M</v>
          </cell>
          <cell r="H119" t="str">
            <v>DOP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 t="e">
            <v>#N/A</v>
          </cell>
        </row>
        <row r="120">
          <cell r="A120">
            <v>1000114</v>
          </cell>
          <cell r="B120" t="str">
            <v>Cable de Acometida SEU Tipo SE U, 3 #8</v>
          </cell>
          <cell r="D120">
            <v>6000</v>
          </cell>
          <cell r="E120">
            <v>1000</v>
          </cell>
          <cell r="F120" t="str">
            <v>ZALM</v>
          </cell>
          <cell r="G120" t="str">
            <v>M</v>
          </cell>
          <cell r="H120" t="str">
            <v>DOP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 t="e">
            <v>#N/A</v>
          </cell>
        </row>
        <row r="121">
          <cell r="A121">
            <v>1000115</v>
          </cell>
          <cell r="B121" t="str">
            <v>Cable de Acometida SEU Tipo SE U, 4h #6</v>
          </cell>
          <cell r="D121">
            <v>6000</v>
          </cell>
          <cell r="E121">
            <v>1000</v>
          </cell>
          <cell r="F121" t="str">
            <v>ZALM</v>
          </cell>
          <cell r="G121" t="str">
            <v>M</v>
          </cell>
          <cell r="H121" t="str">
            <v>DOP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 t="e">
            <v>#N/A</v>
          </cell>
        </row>
        <row r="122">
          <cell r="A122">
            <v>1000116</v>
          </cell>
          <cell r="B122" t="str">
            <v>Cable de Alimentación P/ Power Conector</v>
          </cell>
          <cell r="D122">
            <v>6000</v>
          </cell>
          <cell r="E122">
            <v>1000</v>
          </cell>
          <cell r="F122" t="str">
            <v>ZALM</v>
          </cell>
          <cell r="G122" t="str">
            <v>UN</v>
          </cell>
          <cell r="H122" t="str">
            <v>DOP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 t="e">
            <v>#N/A</v>
          </cell>
        </row>
        <row r="123">
          <cell r="A123">
            <v>1000117</v>
          </cell>
          <cell r="B123" t="str">
            <v>Cable de Cobre Estañado 2/0 AWG, Desnudo</v>
          </cell>
          <cell r="D123">
            <v>6000</v>
          </cell>
          <cell r="E123">
            <v>1000</v>
          </cell>
          <cell r="F123" t="str">
            <v>ZALM</v>
          </cell>
          <cell r="G123" t="str">
            <v>M</v>
          </cell>
          <cell r="H123" t="str">
            <v>DOP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 t="e">
            <v>#N/A</v>
          </cell>
        </row>
        <row r="124">
          <cell r="A124">
            <v>1000118</v>
          </cell>
          <cell r="B124" t="str">
            <v>Cable de Control #18</v>
          </cell>
          <cell r="D124">
            <v>6000</v>
          </cell>
          <cell r="E124">
            <v>1000</v>
          </cell>
          <cell r="F124" t="str">
            <v>ZALM</v>
          </cell>
          <cell r="G124" t="str">
            <v>M</v>
          </cell>
          <cell r="H124" t="str">
            <v>DOP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 t="e">
            <v>#N/A</v>
          </cell>
        </row>
        <row r="125">
          <cell r="A125">
            <v>1000119</v>
          </cell>
          <cell r="B125" t="str">
            <v>Cable de Control 12"x12" AWG</v>
          </cell>
          <cell r="D125">
            <v>6000</v>
          </cell>
          <cell r="E125">
            <v>1000</v>
          </cell>
          <cell r="F125" t="str">
            <v>ZALM</v>
          </cell>
          <cell r="G125" t="str">
            <v>M</v>
          </cell>
          <cell r="H125" t="str">
            <v>DOP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 t="e">
            <v>#N/A</v>
          </cell>
        </row>
        <row r="126">
          <cell r="A126">
            <v>1000120</v>
          </cell>
          <cell r="B126" t="str">
            <v>Cable de Control Concéntrico 7 Hilos #14</v>
          </cell>
          <cell r="D126">
            <v>6000</v>
          </cell>
          <cell r="E126">
            <v>1000</v>
          </cell>
          <cell r="F126" t="str">
            <v>ZALM</v>
          </cell>
          <cell r="G126" t="str">
            <v>M</v>
          </cell>
          <cell r="H126" t="str">
            <v>DOP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 t="e">
            <v>#N/A</v>
          </cell>
        </row>
        <row r="127">
          <cell r="A127">
            <v>1000121</v>
          </cell>
          <cell r="B127" t="str">
            <v>Cable de Control Flex 12h AWG #14, 600V</v>
          </cell>
          <cell r="D127">
            <v>6000</v>
          </cell>
          <cell r="E127">
            <v>1000</v>
          </cell>
          <cell r="F127" t="str">
            <v>ZALM</v>
          </cell>
          <cell r="G127" t="str">
            <v>M</v>
          </cell>
          <cell r="H127" t="str">
            <v>DOP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 t="e">
            <v>#N/A</v>
          </cell>
        </row>
        <row r="128">
          <cell r="A128">
            <v>1000122</v>
          </cell>
          <cell r="B128" t="str">
            <v>Cable de Control Flex 16h AWG #14, 600V</v>
          </cell>
          <cell r="D128">
            <v>6000</v>
          </cell>
          <cell r="E128">
            <v>1000</v>
          </cell>
          <cell r="F128" t="str">
            <v>ZALM</v>
          </cell>
          <cell r="G128" t="str">
            <v>M</v>
          </cell>
          <cell r="H128" t="str">
            <v>DOP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 t="e">
            <v>#N/A</v>
          </cell>
        </row>
        <row r="129">
          <cell r="A129">
            <v>1000123</v>
          </cell>
          <cell r="B129" t="str">
            <v>Cable de Control Flex 24h AWG #24, 600V</v>
          </cell>
          <cell r="D129">
            <v>6000</v>
          </cell>
          <cell r="E129">
            <v>1000</v>
          </cell>
          <cell r="F129" t="str">
            <v>ZALM</v>
          </cell>
          <cell r="G129" t="str">
            <v>M</v>
          </cell>
          <cell r="H129" t="str">
            <v>DOP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 t="e">
            <v>#N/A</v>
          </cell>
        </row>
        <row r="130">
          <cell r="A130">
            <v>1000124</v>
          </cell>
          <cell r="B130" t="str">
            <v>Cable de Control Flex 4h AWG #10</v>
          </cell>
          <cell r="D130">
            <v>6000</v>
          </cell>
          <cell r="E130">
            <v>1000</v>
          </cell>
          <cell r="F130" t="str">
            <v>ZALM</v>
          </cell>
          <cell r="G130" t="str">
            <v>M</v>
          </cell>
          <cell r="H130" t="str">
            <v>DOP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 t="e">
            <v>#N/A</v>
          </cell>
        </row>
        <row r="131">
          <cell r="A131">
            <v>1000125</v>
          </cell>
          <cell r="B131" t="str">
            <v>Cable de Control Flex 5h AWG #10, 600V</v>
          </cell>
          <cell r="D131">
            <v>6000</v>
          </cell>
          <cell r="E131">
            <v>1000</v>
          </cell>
          <cell r="F131" t="str">
            <v>ZALM</v>
          </cell>
          <cell r="G131" t="str">
            <v>M</v>
          </cell>
          <cell r="H131" t="str">
            <v>DOP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 t="e">
            <v>#N/A</v>
          </cell>
        </row>
        <row r="132">
          <cell r="A132">
            <v>1000126</v>
          </cell>
          <cell r="B132" t="str">
            <v>Cable de Control Flex 7h AWG #24, 600V</v>
          </cell>
          <cell r="D132">
            <v>6000</v>
          </cell>
          <cell r="E132">
            <v>1000</v>
          </cell>
          <cell r="F132" t="str">
            <v>ZALM</v>
          </cell>
          <cell r="G132" t="str">
            <v>M</v>
          </cell>
          <cell r="H132" t="str">
            <v>DOP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 t="e">
            <v>#N/A</v>
          </cell>
        </row>
        <row r="133">
          <cell r="A133">
            <v>1000127</v>
          </cell>
          <cell r="B133" t="str">
            <v>Cable de Control Flex 8h AWG #24, 600V</v>
          </cell>
          <cell r="D133">
            <v>6000</v>
          </cell>
          <cell r="E133">
            <v>1000</v>
          </cell>
          <cell r="F133" t="str">
            <v>ZALM</v>
          </cell>
          <cell r="G133" t="str">
            <v>M</v>
          </cell>
          <cell r="H133" t="str">
            <v>DOP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 t="e">
            <v>#N/A</v>
          </cell>
        </row>
        <row r="134">
          <cell r="A134">
            <v>1000128</v>
          </cell>
          <cell r="B134" t="str">
            <v>Cable de Viento 3/16"</v>
          </cell>
          <cell r="D134">
            <v>6000</v>
          </cell>
          <cell r="E134">
            <v>1000</v>
          </cell>
          <cell r="F134" t="str">
            <v>ZALM</v>
          </cell>
          <cell r="G134" t="str">
            <v>M</v>
          </cell>
          <cell r="H134" t="str">
            <v>DOP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 t="e">
            <v>#N/A</v>
          </cell>
        </row>
        <row r="135">
          <cell r="A135">
            <v>1000129</v>
          </cell>
          <cell r="B135" t="str">
            <v>Cable de Viento 5/16'' 44 KN</v>
          </cell>
          <cell r="D135">
            <v>6000</v>
          </cell>
          <cell r="E135">
            <v>1000</v>
          </cell>
          <cell r="F135" t="str">
            <v>ZALM</v>
          </cell>
          <cell r="G135" t="str">
            <v>M</v>
          </cell>
          <cell r="H135" t="str">
            <v>DOP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 t="e">
            <v>#N/A</v>
          </cell>
        </row>
        <row r="136">
          <cell r="A136">
            <v>1000130</v>
          </cell>
          <cell r="B136" t="str">
            <v>Cable de Viento 7/16" 70 KN</v>
          </cell>
          <cell r="D136">
            <v>6000</v>
          </cell>
          <cell r="E136">
            <v>1000</v>
          </cell>
          <cell r="F136" t="str">
            <v>ZALM</v>
          </cell>
          <cell r="G136" t="str">
            <v>M</v>
          </cell>
          <cell r="H136" t="str">
            <v>DOP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8</v>
          </cell>
          <cell r="R136">
            <v>422.69</v>
          </cell>
          <cell r="S136">
            <v>8</v>
          </cell>
          <cell r="T136">
            <v>422.69</v>
          </cell>
          <cell r="U136">
            <v>52.83625</v>
          </cell>
        </row>
        <row r="137">
          <cell r="A137">
            <v>1000131</v>
          </cell>
          <cell r="B137" t="str">
            <v>Cable de Viento Bim Acero-Aluminio 5/16"</v>
          </cell>
          <cell r="D137">
            <v>6000</v>
          </cell>
          <cell r="E137">
            <v>1000</v>
          </cell>
          <cell r="F137" t="str">
            <v>ZALM</v>
          </cell>
          <cell r="G137" t="str">
            <v>M</v>
          </cell>
          <cell r="H137" t="str">
            <v>DOP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 t="e">
            <v>#N/A</v>
          </cell>
        </row>
        <row r="138">
          <cell r="A138">
            <v>1000132</v>
          </cell>
          <cell r="B138" t="str">
            <v>Cable de Viento P/ Comunicaciones 1/4"</v>
          </cell>
          <cell r="D138">
            <v>6000</v>
          </cell>
          <cell r="E138">
            <v>1000</v>
          </cell>
          <cell r="F138" t="str">
            <v>ZALM</v>
          </cell>
          <cell r="G138" t="str">
            <v>M</v>
          </cell>
          <cell r="H138" t="str">
            <v>DOP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 t="e">
            <v>#N/A</v>
          </cell>
        </row>
        <row r="139">
          <cell r="A139">
            <v>1000133</v>
          </cell>
          <cell r="B139" t="str">
            <v>Cable Duplex #4 Aluminio</v>
          </cell>
          <cell r="D139">
            <v>6000</v>
          </cell>
          <cell r="E139">
            <v>1000</v>
          </cell>
          <cell r="F139" t="str">
            <v>ZALM</v>
          </cell>
          <cell r="G139" t="str">
            <v>M</v>
          </cell>
          <cell r="H139" t="str">
            <v>DOP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 t="e">
            <v>#N/A</v>
          </cell>
        </row>
        <row r="140">
          <cell r="A140">
            <v>1000134</v>
          </cell>
          <cell r="B140" t="str">
            <v>Cable Electrico Redondo de Goma 10-2h</v>
          </cell>
          <cell r="D140">
            <v>6000</v>
          </cell>
          <cell r="E140">
            <v>1000</v>
          </cell>
          <cell r="F140" t="str">
            <v>ZALM</v>
          </cell>
          <cell r="G140" t="str">
            <v>M</v>
          </cell>
          <cell r="H140" t="str">
            <v>DOP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 t="e">
            <v>#N/A</v>
          </cell>
        </row>
        <row r="141">
          <cell r="A141">
            <v>1000135</v>
          </cell>
          <cell r="B141" t="str">
            <v>Cable Electrico Redondo de Goma 10-4h</v>
          </cell>
          <cell r="D141">
            <v>6000</v>
          </cell>
          <cell r="E141">
            <v>1000</v>
          </cell>
          <cell r="F141" t="str">
            <v>ZALM</v>
          </cell>
          <cell r="G141" t="str">
            <v>PIE</v>
          </cell>
          <cell r="H141" t="str">
            <v>DOP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 t="e">
            <v>#N/A</v>
          </cell>
        </row>
        <row r="142">
          <cell r="A142">
            <v>1000136</v>
          </cell>
          <cell r="B142" t="str">
            <v>Cable Flex Calib #12 AWG 12h Aisl PVC</v>
          </cell>
          <cell r="D142">
            <v>6000</v>
          </cell>
          <cell r="E142">
            <v>1000</v>
          </cell>
          <cell r="F142" t="str">
            <v>ZALM</v>
          </cell>
          <cell r="G142" t="str">
            <v>M</v>
          </cell>
          <cell r="H142" t="str">
            <v>DOP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362</v>
          </cell>
          <cell r="R142">
            <v>115574.58</v>
          </cell>
          <cell r="S142">
            <v>362</v>
          </cell>
          <cell r="T142">
            <v>115574.58</v>
          </cell>
          <cell r="U142">
            <v>319.26679558011</v>
          </cell>
        </row>
        <row r="143">
          <cell r="A143">
            <v>1000137</v>
          </cell>
          <cell r="B143" t="str">
            <v>Cable Flex Calib #12 AWG 4h Aisl PVC</v>
          </cell>
          <cell r="D143">
            <v>6000</v>
          </cell>
          <cell r="E143">
            <v>1000</v>
          </cell>
          <cell r="F143" t="str">
            <v>ZALM</v>
          </cell>
          <cell r="G143" t="str">
            <v>M</v>
          </cell>
          <cell r="H143" t="str">
            <v>DOP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 t="e">
            <v>#N/A</v>
          </cell>
        </row>
        <row r="144">
          <cell r="A144">
            <v>1000138</v>
          </cell>
          <cell r="B144" t="str">
            <v>Cable Flex Calib #12 AWG 7h Aisl PVC</v>
          </cell>
          <cell r="D144">
            <v>6000</v>
          </cell>
          <cell r="E144">
            <v>1000</v>
          </cell>
          <cell r="F144" t="str">
            <v>ZALM</v>
          </cell>
          <cell r="G144" t="str">
            <v>M</v>
          </cell>
          <cell r="H144" t="str">
            <v>DOP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 t="e">
            <v>#N/A</v>
          </cell>
        </row>
        <row r="145">
          <cell r="A145">
            <v>1000139</v>
          </cell>
          <cell r="B145" t="str">
            <v>Cable Flex Calib #6 AWG 2h Aisl PVC</v>
          </cell>
          <cell r="D145">
            <v>6000</v>
          </cell>
          <cell r="E145">
            <v>1000</v>
          </cell>
          <cell r="F145" t="str">
            <v>ZALM</v>
          </cell>
          <cell r="G145" t="str">
            <v>M</v>
          </cell>
          <cell r="H145" t="str">
            <v>DOP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 t="e">
            <v>#N/A</v>
          </cell>
        </row>
        <row r="146">
          <cell r="A146">
            <v>1000140</v>
          </cell>
          <cell r="B146" t="str">
            <v>Cable Heliax 1/2"</v>
          </cell>
          <cell r="D146">
            <v>6000</v>
          </cell>
          <cell r="E146">
            <v>1000</v>
          </cell>
          <cell r="F146" t="str">
            <v>ZALM</v>
          </cell>
          <cell r="G146" t="str">
            <v>PIE</v>
          </cell>
          <cell r="H146" t="str">
            <v>DOP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 t="e">
            <v>#N/A</v>
          </cell>
        </row>
        <row r="147">
          <cell r="A147">
            <v>1000141</v>
          </cell>
          <cell r="B147" t="str">
            <v>Cable Multipolar Flex 1.5mm #14</v>
          </cell>
          <cell r="D147">
            <v>6000</v>
          </cell>
          <cell r="E147">
            <v>1000</v>
          </cell>
          <cell r="F147" t="str">
            <v>ZALM</v>
          </cell>
          <cell r="G147" t="str">
            <v>M</v>
          </cell>
          <cell r="H147" t="str">
            <v>DOP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 t="e">
            <v>#N/A</v>
          </cell>
        </row>
        <row r="148">
          <cell r="A148">
            <v>1000142</v>
          </cell>
          <cell r="B148" t="str">
            <v>Cable Multipolar Flex 4h #14 AWG</v>
          </cell>
          <cell r="D148">
            <v>6000</v>
          </cell>
          <cell r="E148">
            <v>1000</v>
          </cell>
          <cell r="F148" t="str">
            <v>ZALM</v>
          </cell>
          <cell r="G148" t="str">
            <v>M</v>
          </cell>
          <cell r="H148" t="str">
            <v>DOP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37061</v>
          </cell>
          <cell r="R148">
            <v>2275071.0299999998</v>
          </cell>
          <cell r="S148">
            <v>37061</v>
          </cell>
          <cell r="T148">
            <v>2275071.0299999998</v>
          </cell>
          <cell r="U148">
            <v>61.387200291411503</v>
          </cell>
        </row>
        <row r="149">
          <cell r="A149">
            <v>1000143</v>
          </cell>
          <cell r="B149" t="str">
            <v>Cable Multipolar Flex 5h #12 AWG</v>
          </cell>
          <cell r="D149">
            <v>6000</v>
          </cell>
          <cell r="E149">
            <v>1000</v>
          </cell>
          <cell r="F149" t="str">
            <v>ZALM</v>
          </cell>
          <cell r="G149" t="str">
            <v>M</v>
          </cell>
          <cell r="H149" t="str">
            <v>DOP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 t="e">
            <v>#N/A</v>
          </cell>
        </row>
        <row r="150">
          <cell r="A150">
            <v>1000144</v>
          </cell>
          <cell r="B150" t="str">
            <v>Cable Multipolar Flex 5h #14 AWG</v>
          </cell>
          <cell r="D150">
            <v>6000</v>
          </cell>
          <cell r="E150">
            <v>1000</v>
          </cell>
          <cell r="F150" t="str">
            <v>ZALM</v>
          </cell>
          <cell r="G150" t="str">
            <v>M</v>
          </cell>
          <cell r="H150" t="str">
            <v>DOP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 t="e">
            <v>#N/A</v>
          </cell>
        </row>
        <row r="151">
          <cell r="A151">
            <v>1000145</v>
          </cell>
          <cell r="B151" t="str">
            <v>Cable Multipolar Flex 7h #12 AWG</v>
          </cell>
          <cell r="D151">
            <v>6000</v>
          </cell>
          <cell r="E151">
            <v>1000</v>
          </cell>
          <cell r="F151" t="str">
            <v>ZALM</v>
          </cell>
          <cell r="G151" t="str">
            <v>M</v>
          </cell>
          <cell r="H151" t="str">
            <v>DOP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 t="e">
            <v>#N/A</v>
          </cell>
        </row>
        <row r="152">
          <cell r="A152">
            <v>1000146</v>
          </cell>
          <cell r="B152" t="str">
            <v>Cable Multipolar Flex 8h #14 AWG</v>
          </cell>
          <cell r="D152">
            <v>6000</v>
          </cell>
          <cell r="E152">
            <v>1000</v>
          </cell>
          <cell r="F152" t="str">
            <v>ZALM</v>
          </cell>
          <cell r="G152" t="str">
            <v>M</v>
          </cell>
          <cell r="H152" t="str">
            <v>DOP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 t="e">
            <v>#N/A</v>
          </cell>
        </row>
        <row r="153">
          <cell r="A153">
            <v>1000147</v>
          </cell>
          <cell r="B153" t="str">
            <v>Cable No.12 TW</v>
          </cell>
          <cell r="D153">
            <v>6000</v>
          </cell>
          <cell r="E153">
            <v>1000</v>
          </cell>
          <cell r="F153" t="str">
            <v>ZALM</v>
          </cell>
          <cell r="G153" t="str">
            <v>PIE</v>
          </cell>
          <cell r="H153" t="str">
            <v>DOP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 t="e">
            <v>#N/A</v>
          </cell>
        </row>
        <row r="154">
          <cell r="A154">
            <v>1000148</v>
          </cell>
          <cell r="B154" t="str">
            <v>Cable No.14 TW</v>
          </cell>
          <cell r="D154">
            <v>6000</v>
          </cell>
          <cell r="E154">
            <v>1000</v>
          </cell>
          <cell r="F154" t="str">
            <v>ZALM</v>
          </cell>
          <cell r="G154" t="str">
            <v>M</v>
          </cell>
          <cell r="H154" t="str">
            <v>DOP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 t="e">
            <v>#N/A</v>
          </cell>
        </row>
        <row r="155">
          <cell r="A155">
            <v>1000149</v>
          </cell>
          <cell r="B155" t="str">
            <v>Cable P/ P Tierra Desn Trenz No.2 AWG</v>
          </cell>
          <cell r="D155">
            <v>6000</v>
          </cell>
          <cell r="E155">
            <v>1000</v>
          </cell>
          <cell r="F155" t="str">
            <v>ZALM</v>
          </cell>
          <cell r="G155" t="str">
            <v>M</v>
          </cell>
          <cell r="H155" t="str">
            <v>DOP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 t="e">
            <v>#N/A</v>
          </cell>
        </row>
        <row r="156">
          <cell r="A156">
            <v>1000150</v>
          </cell>
          <cell r="B156" t="str">
            <v>Cable P/ P Tierra Desn Trenz No.4 AWG</v>
          </cell>
          <cell r="D156">
            <v>6000</v>
          </cell>
          <cell r="E156">
            <v>1000</v>
          </cell>
          <cell r="F156" t="str">
            <v>ZALM</v>
          </cell>
          <cell r="G156" t="str">
            <v>M</v>
          </cell>
          <cell r="H156" t="str">
            <v>DOP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 t="e">
            <v>#N/A</v>
          </cell>
        </row>
        <row r="157">
          <cell r="A157">
            <v>1000151</v>
          </cell>
          <cell r="B157" t="str">
            <v>Cable P/ P Tierra Desn Trenz No.6 AWG</v>
          </cell>
          <cell r="D157">
            <v>6000</v>
          </cell>
          <cell r="E157">
            <v>1000</v>
          </cell>
          <cell r="F157" t="str">
            <v>ZALM</v>
          </cell>
          <cell r="G157" t="str">
            <v>M</v>
          </cell>
          <cell r="H157" t="str">
            <v>DOP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 t="e">
            <v>#N/A</v>
          </cell>
        </row>
        <row r="158">
          <cell r="A158">
            <v>1000152</v>
          </cell>
          <cell r="B158" t="str">
            <v>Cable P/ Teléfono dos Pares Uso Exterior</v>
          </cell>
          <cell r="D158">
            <v>6000</v>
          </cell>
          <cell r="E158">
            <v>1000</v>
          </cell>
          <cell r="F158" t="str">
            <v>ZALM</v>
          </cell>
          <cell r="G158" t="str">
            <v>M</v>
          </cell>
          <cell r="H158" t="str">
            <v>DOP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 t="e">
            <v>#N/A</v>
          </cell>
        </row>
        <row r="159">
          <cell r="A159">
            <v>1000153</v>
          </cell>
          <cell r="B159" t="str">
            <v>Cable Redondo de Goma 2 Hilos Calibre 12</v>
          </cell>
          <cell r="D159">
            <v>6000</v>
          </cell>
          <cell r="E159">
            <v>1000</v>
          </cell>
          <cell r="F159" t="str">
            <v>ZALM</v>
          </cell>
          <cell r="G159" t="str">
            <v>M</v>
          </cell>
          <cell r="H159" t="str">
            <v>DOP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 t="e">
            <v>#N/A</v>
          </cell>
        </row>
        <row r="160">
          <cell r="A160">
            <v>1000154</v>
          </cell>
          <cell r="B160" t="str">
            <v>Cable Redondo de Goma 2 Hilos Calibre 14</v>
          </cell>
          <cell r="D160">
            <v>6000</v>
          </cell>
          <cell r="E160">
            <v>1000</v>
          </cell>
          <cell r="F160" t="str">
            <v>ZALM</v>
          </cell>
          <cell r="G160" t="str">
            <v>PIE</v>
          </cell>
          <cell r="H160" t="str">
            <v>DOP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 t="e">
            <v>#N/A</v>
          </cell>
        </row>
        <row r="161">
          <cell r="A161">
            <v>1000155</v>
          </cell>
          <cell r="B161" t="str">
            <v>Cable RG213 Para Antenas</v>
          </cell>
          <cell r="D161">
            <v>6000</v>
          </cell>
          <cell r="E161">
            <v>1000</v>
          </cell>
          <cell r="F161" t="str">
            <v>ZALM</v>
          </cell>
          <cell r="G161" t="str">
            <v>M</v>
          </cell>
          <cell r="H161" t="str">
            <v>DOP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 t="e">
            <v>#N/A</v>
          </cell>
        </row>
        <row r="162">
          <cell r="A162">
            <v>1000156</v>
          </cell>
          <cell r="B162" t="str">
            <v>Cable RG58 Para Comunicaciones</v>
          </cell>
          <cell r="D162">
            <v>6000</v>
          </cell>
          <cell r="E162">
            <v>1000</v>
          </cell>
          <cell r="F162" t="str">
            <v>ZALM</v>
          </cell>
          <cell r="G162" t="str">
            <v>PIE</v>
          </cell>
          <cell r="H162" t="str">
            <v>DOP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 t="e">
            <v>#N/A</v>
          </cell>
        </row>
        <row r="163">
          <cell r="A163">
            <v>1000157</v>
          </cell>
          <cell r="B163" t="str">
            <v>Cable RJ11</v>
          </cell>
          <cell r="D163">
            <v>6000</v>
          </cell>
          <cell r="E163">
            <v>1000</v>
          </cell>
          <cell r="F163" t="str">
            <v>ZALM</v>
          </cell>
          <cell r="G163" t="str">
            <v>M</v>
          </cell>
          <cell r="H163" t="str">
            <v>DOP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 t="e">
            <v>#N/A</v>
          </cell>
        </row>
        <row r="164">
          <cell r="A164">
            <v>1000158</v>
          </cell>
          <cell r="B164" t="str">
            <v>Cable Tripl 2 #4 AAC Neutro #4 AAAC Desn</v>
          </cell>
          <cell r="D164">
            <v>6000</v>
          </cell>
          <cell r="E164">
            <v>1000</v>
          </cell>
          <cell r="F164" t="str">
            <v>ZALM</v>
          </cell>
          <cell r="G164" t="str">
            <v>M</v>
          </cell>
          <cell r="H164" t="str">
            <v>DOP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 t="e">
            <v>#N/A</v>
          </cell>
        </row>
        <row r="165">
          <cell r="A165">
            <v>1000159</v>
          </cell>
          <cell r="B165" t="str">
            <v>Cable Tripl 2 #4 AAC Neutro #4 ACSR Aisl</v>
          </cell>
          <cell r="D165">
            <v>6000</v>
          </cell>
          <cell r="E165">
            <v>1000</v>
          </cell>
          <cell r="F165" t="str">
            <v>ZALM</v>
          </cell>
          <cell r="G165" t="str">
            <v>M</v>
          </cell>
          <cell r="H165" t="str">
            <v>DOP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 t="e">
            <v>#N/A</v>
          </cell>
        </row>
        <row r="166">
          <cell r="A166">
            <v>1000160</v>
          </cell>
          <cell r="B166" t="str">
            <v>Cable Tripl Aisl XLPE Cond 2/0 Al Cond N</v>
          </cell>
          <cell r="D166">
            <v>6000</v>
          </cell>
          <cell r="E166">
            <v>1000</v>
          </cell>
          <cell r="F166" t="str">
            <v>ZALM</v>
          </cell>
          <cell r="G166" t="str">
            <v>M</v>
          </cell>
          <cell r="H166" t="str">
            <v>DOP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 t="e">
            <v>#N/A</v>
          </cell>
        </row>
        <row r="167">
          <cell r="A167">
            <v>1000161</v>
          </cell>
          <cell r="B167" t="str">
            <v>Cable Tripl Aisl XLPE Cond 4/0 Al Cond N</v>
          </cell>
          <cell r="D167">
            <v>6000</v>
          </cell>
          <cell r="E167">
            <v>1000</v>
          </cell>
          <cell r="F167" t="str">
            <v>ZALM</v>
          </cell>
          <cell r="G167" t="str">
            <v>M</v>
          </cell>
          <cell r="H167" t="str">
            <v>DOP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 t="e">
            <v>#N/A</v>
          </cell>
        </row>
        <row r="168">
          <cell r="A168">
            <v>1000162</v>
          </cell>
          <cell r="B168" t="str">
            <v>Cable UF Vinil 14/3</v>
          </cell>
          <cell r="D168">
            <v>6000</v>
          </cell>
          <cell r="E168">
            <v>1000</v>
          </cell>
          <cell r="F168" t="str">
            <v>ZALM</v>
          </cell>
          <cell r="G168" t="str">
            <v>M</v>
          </cell>
          <cell r="H168" t="str">
            <v>DOP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 t="e">
            <v>#N/A</v>
          </cell>
        </row>
        <row r="169">
          <cell r="A169">
            <v>1000163</v>
          </cell>
          <cell r="B169" t="str">
            <v>Conductor Aluminio 155.4 MCM 2/0 AAAC 7h</v>
          </cell>
          <cell r="D169">
            <v>6000</v>
          </cell>
          <cell r="E169">
            <v>1000</v>
          </cell>
          <cell r="F169" t="str">
            <v>ZALM</v>
          </cell>
          <cell r="G169" t="str">
            <v>M</v>
          </cell>
          <cell r="H169" t="str">
            <v>DOP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80</v>
          </cell>
          <cell r="N169">
            <v>5289.6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80</v>
          </cell>
          <cell r="T169">
            <v>5289.6</v>
          </cell>
          <cell r="U169">
            <v>66.12</v>
          </cell>
        </row>
        <row r="170">
          <cell r="A170">
            <v>1000164</v>
          </cell>
          <cell r="B170" t="str">
            <v>Conductor Aluminio 246.8 MCM 4/0 AAAC 7h</v>
          </cell>
          <cell r="D170">
            <v>6000</v>
          </cell>
          <cell r="E170">
            <v>1000</v>
          </cell>
          <cell r="F170" t="str">
            <v>ZALM</v>
          </cell>
          <cell r="G170" t="str">
            <v>M</v>
          </cell>
          <cell r="H170" t="str">
            <v>DOP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 t="e">
            <v>#N/A</v>
          </cell>
        </row>
        <row r="171">
          <cell r="A171">
            <v>1000165</v>
          </cell>
          <cell r="B171" t="str">
            <v>Conductor Aluminio 465.4 MCM AAAC 19h</v>
          </cell>
          <cell r="D171">
            <v>6000</v>
          </cell>
          <cell r="E171">
            <v>1000</v>
          </cell>
          <cell r="F171" t="str">
            <v>ZALM</v>
          </cell>
          <cell r="G171" t="str">
            <v>M</v>
          </cell>
          <cell r="H171" t="str">
            <v>DOP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215</v>
          </cell>
          <cell r="N171">
            <v>38113.97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215</v>
          </cell>
          <cell r="T171">
            <v>38113.97</v>
          </cell>
          <cell r="U171">
            <v>177.274279069767</v>
          </cell>
        </row>
        <row r="172">
          <cell r="A172">
            <v>1000166</v>
          </cell>
          <cell r="B172" t="str">
            <v>Conductor Aluminio Alloy 1/0 AAAC 7h</v>
          </cell>
          <cell r="D172">
            <v>6000</v>
          </cell>
          <cell r="E172">
            <v>1000</v>
          </cell>
          <cell r="F172" t="str">
            <v>ZALM</v>
          </cell>
          <cell r="G172" t="str">
            <v>M</v>
          </cell>
          <cell r="H172" t="str">
            <v>DOP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 t="e">
            <v>#N/A</v>
          </cell>
        </row>
        <row r="173">
          <cell r="A173">
            <v>1000167</v>
          </cell>
          <cell r="B173" t="str">
            <v>Conductor de Cobre HDB #4</v>
          </cell>
          <cell r="D173">
            <v>6000</v>
          </cell>
          <cell r="E173">
            <v>1000</v>
          </cell>
          <cell r="F173" t="str">
            <v>ZALM</v>
          </cell>
          <cell r="G173" t="str">
            <v>M</v>
          </cell>
          <cell r="H173" t="str">
            <v>DOP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 t="e">
            <v>#N/A</v>
          </cell>
        </row>
        <row r="174">
          <cell r="A174">
            <v>1000168</v>
          </cell>
          <cell r="B174" t="str">
            <v>Conductor de Cobre HDB #6</v>
          </cell>
          <cell r="D174">
            <v>6000</v>
          </cell>
          <cell r="E174">
            <v>1000</v>
          </cell>
          <cell r="F174" t="str">
            <v>ZALM</v>
          </cell>
          <cell r="G174" t="str">
            <v>M</v>
          </cell>
          <cell r="H174" t="str">
            <v>DOP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 t="e">
            <v>#N/A</v>
          </cell>
        </row>
        <row r="175">
          <cell r="A175">
            <v>1000169</v>
          </cell>
          <cell r="B175" t="str">
            <v>Conductor de Cobre Trenzado de 400 MCM</v>
          </cell>
          <cell r="D175">
            <v>6000</v>
          </cell>
          <cell r="E175">
            <v>1000</v>
          </cell>
          <cell r="F175" t="str">
            <v>ZALM</v>
          </cell>
          <cell r="G175" t="str">
            <v>M</v>
          </cell>
          <cell r="H175" t="str">
            <v>DOP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 t="e">
            <v>#N/A</v>
          </cell>
        </row>
        <row r="176">
          <cell r="A176">
            <v>1000170</v>
          </cell>
          <cell r="B176" t="str">
            <v>Banco 20 Bater 6VDC C/Prof 190 AH CA-7</v>
          </cell>
          <cell r="D176">
            <v>6008</v>
          </cell>
          <cell r="E176">
            <v>1000</v>
          </cell>
          <cell r="F176" t="str">
            <v>ZALM</v>
          </cell>
          <cell r="G176" t="str">
            <v>UN</v>
          </cell>
          <cell r="H176" t="str">
            <v>DOP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 t="e">
            <v>#N/A</v>
          </cell>
        </row>
        <row r="177">
          <cell r="A177">
            <v>1000171</v>
          </cell>
          <cell r="B177" t="str">
            <v>Banco de Baterías de Gel a 24V</v>
          </cell>
          <cell r="D177">
            <v>6008</v>
          </cell>
          <cell r="E177">
            <v>1000</v>
          </cell>
          <cell r="F177" t="str">
            <v>ZALM</v>
          </cell>
          <cell r="G177" t="str">
            <v>UN</v>
          </cell>
          <cell r="H177" t="str">
            <v>DOP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 t="e">
            <v>#N/A</v>
          </cell>
        </row>
        <row r="178">
          <cell r="A178">
            <v>1000172</v>
          </cell>
          <cell r="B178" t="str">
            <v>Batería 3V 2/3A Li P/ Medidores Q1000</v>
          </cell>
          <cell r="D178">
            <v>6008</v>
          </cell>
          <cell r="E178">
            <v>1000</v>
          </cell>
          <cell r="F178" t="str">
            <v>ZALM</v>
          </cell>
          <cell r="G178" t="str">
            <v>UN</v>
          </cell>
          <cell r="H178" t="str">
            <v>DOP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 t="e">
            <v>#N/A</v>
          </cell>
        </row>
        <row r="179">
          <cell r="A179">
            <v>1000173</v>
          </cell>
          <cell r="B179" t="str">
            <v>Batería AA de 3.6V Li</v>
          </cell>
          <cell r="D179">
            <v>6008</v>
          </cell>
          <cell r="E179">
            <v>1000</v>
          </cell>
          <cell r="F179" t="str">
            <v>ZALM</v>
          </cell>
          <cell r="G179" t="str">
            <v>UN</v>
          </cell>
          <cell r="H179" t="str">
            <v>DOP</v>
          </cell>
          <cell r="I179">
            <v>150</v>
          </cell>
          <cell r="J179">
            <v>86281.12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150</v>
          </cell>
          <cell r="T179">
            <v>86281.12</v>
          </cell>
          <cell r="U179">
            <v>575.20746666666696</v>
          </cell>
        </row>
        <row r="180">
          <cell r="A180">
            <v>1000174</v>
          </cell>
          <cell r="B180" t="str">
            <v>Batería Cuadrada de 9 Voltios</v>
          </cell>
          <cell r="D180">
            <v>6008</v>
          </cell>
          <cell r="E180">
            <v>1000</v>
          </cell>
          <cell r="F180" t="str">
            <v>ZALM</v>
          </cell>
          <cell r="G180" t="str">
            <v>UN</v>
          </cell>
          <cell r="H180" t="str">
            <v>DOP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 t="e">
            <v>#N/A</v>
          </cell>
        </row>
        <row r="181">
          <cell r="A181">
            <v>1000175</v>
          </cell>
          <cell r="B181" t="str">
            <v>Batería de 1.2 Voltios 150Amp/Hora</v>
          </cell>
          <cell r="D181">
            <v>6008</v>
          </cell>
          <cell r="E181">
            <v>1000</v>
          </cell>
          <cell r="F181" t="str">
            <v>ZALM</v>
          </cell>
          <cell r="G181" t="str">
            <v>UN</v>
          </cell>
          <cell r="H181" t="str">
            <v>DOP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 t="e">
            <v>#N/A</v>
          </cell>
        </row>
        <row r="182">
          <cell r="A182">
            <v>1000176</v>
          </cell>
          <cell r="B182" t="str">
            <v>Batería de 12 Voltios 150Amp/Hora</v>
          </cell>
          <cell r="D182">
            <v>6008</v>
          </cell>
          <cell r="E182">
            <v>1000</v>
          </cell>
          <cell r="F182" t="str">
            <v>ZALM</v>
          </cell>
          <cell r="G182" t="str">
            <v>UN</v>
          </cell>
          <cell r="H182" t="str">
            <v>DOP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 t="e">
            <v>#N/A</v>
          </cell>
        </row>
        <row r="183">
          <cell r="A183">
            <v>1000177</v>
          </cell>
          <cell r="B183" t="str">
            <v>Batería de 12 Voltios 8Amp/Hora</v>
          </cell>
          <cell r="D183">
            <v>6008</v>
          </cell>
          <cell r="E183">
            <v>1000</v>
          </cell>
          <cell r="F183" t="str">
            <v>ZALM</v>
          </cell>
          <cell r="G183" t="str">
            <v>UN</v>
          </cell>
          <cell r="H183" t="str">
            <v>DOP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 t="e">
            <v>#N/A</v>
          </cell>
        </row>
        <row r="184">
          <cell r="A184">
            <v>1000178</v>
          </cell>
          <cell r="B184" t="str">
            <v>Batería de 2 Voltios 150Amp/Hora</v>
          </cell>
          <cell r="D184">
            <v>6008</v>
          </cell>
          <cell r="E184">
            <v>1000</v>
          </cell>
          <cell r="F184" t="str">
            <v>ZALM</v>
          </cell>
          <cell r="G184" t="str">
            <v>UN</v>
          </cell>
          <cell r="H184" t="str">
            <v>DOP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 t="e">
            <v>#N/A</v>
          </cell>
        </row>
        <row r="185">
          <cell r="A185">
            <v>1000179</v>
          </cell>
          <cell r="B185" t="str">
            <v>Batería de 3.6 Voltios Lithium Battery</v>
          </cell>
          <cell r="D185">
            <v>6008</v>
          </cell>
          <cell r="E185">
            <v>1000</v>
          </cell>
          <cell r="F185" t="str">
            <v>ZALM</v>
          </cell>
          <cell r="G185" t="str">
            <v>UN</v>
          </cell>
          <cell r="H185" t="str">
            <v>DOP</v>
          </cell>
          <cell r="I185">
            <v>150</v>
          </cell>
          <cell r="J185">
            <v>36551.4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3475</v>
          </cell>
          <cell r="R185">
            <v>846774.03</v>
          </cell>
          <cell r="S185">
            <v>3625</v>
          </cell>
          <cell r="T185">
            <v>883325.43</v>
          </cell>
          <cell r="U185">
            <v>243.67598068965501</v>
          </cell>
        </row>
        <row r="186">
          <cell r="A186">
            <v>1000180</v>
          </cell>
          <cell r="B186" t="str">
            <v>Batería de Lítio</v>
          </cell>
          <cell r="D186">
            <v>6008</v>
          </cell>
          <cell r="E186">
            <v>1000</v>
          </cell>
          <cell r="F186" t="str">
            <v>ZALM</v>
          </cell>
          <cell r="G186" t="str">
            <v>UN</v>
          </cell>
          <cell r="H186" t="str">
            <v>DOP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 t="e">
            <v>#N/A</v>
          </cell>
        </row>
        <row r="187">
          <cell r="A187">
            <v>1000181</v>
          </cell>
          <cell r="B187" t="str">
            <v>Batería Estacionaria 2V 200A/H Pb-Acido</v>
          </cell>
          <cell r="D187">
            <v>6008</v>
          </cell>
          <cell r="E187">
            <v>1000</v>
          </cell>
          <cell r="F187" t="str">
            <v>ZALM</v>
          </cell>
          <cell r="G187" t="str">
            <v>UN</v>
          </cell>
          <cell r="H187" t="str">
            <v>DOP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 t="e">
            <v>#N/A</v>
          </cell>
        </row>
        <row r="188">
          <cell r="A188">
            <v>1000182</v>
          </cell>
          <cell r="B188" t="str">
            <v>Batería EXIDE 12V Libre Mantenimiento</v>
          </cell>
          <cell r="D188">
            <v>6008</v>
          </cell>
          <cell r="E188">
            <v>1000</v>
          </cell>
          <cell r="F188" t="str">
            <v>ZALM</v>
          </cell>
          <cell r="G188" t="str">
            <v>UN</v>
          </cell>
          <cell r="H188" t="str">
            <v>DOP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 t="e">
            <v>#N/A</v>
          </cell>
        </row>
        <row r="189">
          <cell r="A189">
            <v>1000183</v>
          </cell>
          <cell r="B189" t="str">
            <v>Batería EXIDE COM 12VDC HC-31D/HC-31E</v>
          </cell>
          <cell r="D189">
            <v>6008</v>
          </cell>
          <cell r="E189">
            <v>1000</v>
          </cell>
          <cell r="F189" t="str">
            <v>ZALM</v>
          </cell>
          <cell r="G189" t="str">
            <v>UN</v>
          </cell>
          <cell r="H189" t="str">
            <v>DOP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 t="e">
            <v>#N/A</v>
          </cell>
        </row>
        <row r="190">
          <cell r="A190">
            <v>1000184</v>
          </cell>
          <cell r="B190" t="str">
            <v>Batería EXIDE E-3600 6VDC 200A/H Pb-Acid</v>
          </cell>
          <cell r="D190">
            <v>6008</v>
          </cell>
          <cell r="E190">
            <v>1000</v>
          </cell>
          <cell r="F190" t="str">
            <v>ZALM</v>
          </cell>
          <cell r="G190" t="str">
            <v>UN</v>
          </cell>
          <cell r="H190" t="str">
            <v>DOP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 t="e">
            <v>#N/A</v>
          </cell>
        </row>
        <row r="191">
          <cell r="A191">
            <v>1000185</v>
          </cell>
          <cell r="B191" t="str">
            <v>Batería Gelatina de 12 Voltios 150 AH</v>
          </cell>
          <cell r="D191">
            <v>6008</v>
          </cell>
          <cell r="E191">
            <v>1000</v>
          </cell>
          <cell r="F191" t="str">
            <v>ZALM</v>
          </cell>
          <cell r="G191" t="str">
            <v>UN</v>
          </cell>
          <cell r="H191" t="str">
            <v>DOP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 t="e">
            <v>#N/A</v>
          </cell>
        </row>
        <row r="192">
          <cell r="A192">
            <v>1000186</v>
          </cell>
          <cell r="B192" t="str">
            <v>Batería HPB T/ C10A/H 200 AH 6VDC 2.23V</v>
          </cell>
          <cell r="D192">
            <v>6008</v>
          </cell>
          <cell r="E192">
            <v>1000</v>
          </cell>
          <cell r="F192" t="str">
            <v>ZALM</v>
          </cell>
          <cell r="G192" t="str">
            <v>UN</v>
          </cell>
          <cell r="H192" t="str">
            <v>DOP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 t="e">
            <v>#N/A</v>
          </cell>
        </row>
        <row r="193">
          <cell r="A193">
            <v>1000187</v>
          </cell>
          <cell r="B193" t="str">
            <v>Batería P/ Subest Ni-Cd 1,2V 150-200A/H</v>
          </cell>
          <cell r="D193">
            <v>6008</v>
          </cell>
          <cell r="E193">
            <v>1000</v>
          </cell>
          <cell r="F193" t="str">
            <v>ZALM</v>
          </cell>
          <cell r="G193" t="str">
            <v>UN</v>
          </cell>
          <cell r="H193" t="str">
            <v>DOP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 t="e">
            <v>#N/A</v>
          </cell>
        </row>
        <row r="194">
          <cell r="A194">
            <v>1000188</v>
          </cell>
          <cell r="B194" t="str">
            <v>Batería P/ Subestaciones 6V 150-200A/H</v>
          </cell>
          <cell r="D194">
            <v>6008</v>
          </cell>
          <cell r="E194">
            <v>1000</v>
          </cell>
          <cell r="F194" t="str">
            <v>ZALM</v>
          </cell>
          <cell r="G194" t="str">
            <v>UN</v>
          </cell>
          <cell r="H194" t="str">
            <v>DOP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 t="e">
            <v>#N/A</v>
          </cell>
        </row>
        <row r="195">
          <cell r="A195">
            <v>1000189</v>
          </cell>
          <cell r="B195" t="str">
            <v>Batería P/ Subestaciones 6V 225A/H</v>
          </cell>
          <cell r="D195">
            <v>6008</v>
          </cell>
          <cell r="E195">
            <v>1000</v>
          </cell>
          <cell r="F195" t="str">
            <v>ZALM</v>
          </cell>
          <cell r="G195" t="str">
            <v>UN</v>
          </cell>
          <cell r="H195" t="str">
            <v>DOP</v>
          </cell>
          <cell r="I195">
            <v>26</v>
          </cell>
          <cell r="J195">
            <v>431567.68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26</v>
          </cell>
          <cell r="T195">
            <v>431567.68</v>
          </cell>
          <cell r="U195">
            <v>16598.7569230769</v>
          </cell>
        </row>
        <row r="196">
          <cell r="A196">
            <v>1000190</v>
          </cell>
          <cell r="B196" t="str">
            <v>Capacitor de Desacople 200 µF</v>
          </cell>
          <cell r="D196">
            <v>6008</v>
          </cell>
          <cell r="E196">
            <v>1000</v>
          </cell>
          <cell r="F196" t="str">
            <v>ZALM</v>
          </cell>
          <cell r="G196" t="str">
            <v>UN</v>
          </cell>
          <cell r="H196" t="str">
            <v>DOP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 t="e">
            <v>#N/A</v>
          </cell>
        </row>
        <row r="197">
          <cell r="A197">
            <v>1000191</v>
          </cell>
          <cell r="B197" t="str">
            <v>Capacitor Recarg Trip Dev T-Mark 410-120</v>
          </cell>
          <cell r="D197">
            <v>6008</v>
          </cell>
          <cell r="E197">
            <v>1000</v>
          </cell>
          <cell r="F197" t="str">
            <v>ZALM</v>
          </cell>
          <cell r="G197" t="str">
            <v>UN</v>
          </cell>
          <cell r="H197" t="str">
            <v>DOP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 t="e">
            <v>#N/A</v>
          </cell>
        </row>
        <row r="198">
          <cell r="A198">
            <v>1000192</v>
          </cell>
          <cell r="B198" t="str">
            <v>Pila Cuadrada de 9V Alcalina</v>
          </cell>
          <cell r="D198">
            <v>6008</v>
          </cell>
          <cell r="E198">
            <v>1000</v>
          </cell>
          <cell r="F198" t="str">
            <v>ZALM</v>
          </cell>
          <cell r="G198" t="str">
            <v>UN</v>
          </cell>
          <cell r="H198" t="str">
            <v>DOP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 t="e">
            <v>#N/A</v>
          </cell>
        </row>
        <row r="199">
          <cell r="A199">
            <v>1000193</v>
          </cell>
          <cell r="B199" t="str">
            <v>Pilas de 1.5 Voltios (Grande)</v>
          </cell>
          <cell r="D199">
            <v>6008</v>
          </cell>
          <cell r="E199">
            <v>1000</v>
          </cell>
          <cell r="F199" t="str">
            <v>ZALM</v>
          </cell>
          <cell r="G199" t="str">
            <v>UN</v>
          </cell>
          <cell r="H199" t="str">
            <v>DOP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 t="e">
            <v>#N/A</v>
          </cell>
        </row>
        <row r="200">
          <cell r="A200">
            <v>1000194</v>
          </cell>
          <cell r="B200" t="str">
            <v>Resistencia 25 Watts 5.1R 5%</v>
          </cell>
          <cell r="D200">
            <v>6008</v>
          </cell>
          <cell r="E200">
            <v>1000</v>
          </cell>
          <cell r="F200" t="str">
            <v>ZALM</v>
          </cell>
          <cell r="G200" t="str">
            <v>UN</v>
          </cell>
          <cell r="H200" t="str">
            <v>DOP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 t="e">
            <v>#N/A</v>
          </cell>
        </row>
        <row r="201">
          <cell r="A201">
            <v>1000195</v>
          </cell>
          <cell r="B201" t="str">
            <v>Resistencia 3.3 Ohm 1 a 15 Watts</v>
          </cell>
          <cell r="D201">
            <v>6008</v>
          </cell>
          <cell r="E201">
            <v>1000</v>
          </cell>
          <cell r="F201" t="str">
            <v>ZALM</v>
          </cell>
          <cell r="G201" t="str">
            <v>UN</v>
          </cell>
          <cell r="H201" t="str">
            <v>DOP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 t="e">
            <v>#N/A</v>
          </cell>
        </row>
        <row r="202">
          <cell r="A202">
            <v>1000196</v>
          </cell>
          <cell r="B202" t="str">
            <v>Aparejo Crique 1 Ton C/ Correa Nylon</v>
          </cell>
          <cell r="D202">
            <v>7201</v>
          </cell>
          <cell r="E202">
            <v>1000</v>
          </cell>
          <cell r="F202" t="str">
            <v>ZALM</v>
          </cell>
          <cell r="G202" t="str">
            <v>UN</v>
          </cell>
          <cell r="H202" t="str">
            <v>DOP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 t="e">
            <v>#N/A</v>
          </cell>
        </row>
        <row r="203">
          <cell r="A203">
            <v>1000197</v>
          </cell>
          <cell r="B203" t="str">
            <v>Aparejo Dieléctri Trip C/ Soga Dacron</v>
          </cell>
          <cell r="D203">
            <v>7201</v>
          </cell>
          <cell r="E203">
            <v>1000</v>
          </cell>
          <cell r="F203" t="str">
            <v>ZALM</v>
          </cell>
          <cell r="G203" t="str">
            <v>UN</v>
          </cell>
          <cell r="H203" t="str">
            <v>DOP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 t="e">
            <v>#N/A</v>
          </cell>
        </row>
        <row r="204">
          <cell r="A204">
            <v>1000198</v>
          </cell>
          <cell r="B204" t="str">
            <v>Aparejo Soga 1/2 Dob-Trip C-400-0925</v>
          </cell>
          <cell r="D204">
            <v>7201</v>
          </cell>
          <cell r="E204">
            <v>1000</v>
          </cell>
          <cell r="F204" t="str">
            <v>ZALM</v>
          </cell>
          <cell r="G204" t="str">
            <v>UN</v>
          </cell>
          <cell r="H204" t="str">
            <v>DOP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 t="e">
            <v>#N/A</v>
          </cell>
        </row>
        <row r="205">
          <cell r="A205">
            <v>1000199</v>
          </cell>
          <cell r="B205" t="str">
            <v>Arnés Corporal de Posicionamiento</v>
          </cell>
          <cell r="D205">
            <v>7201</v>
          </cell>
          <cell r="E205">
            <v>1000</v>
          </cell>
          <cell r="F205" t="str">
            <v>ZALM</v>
          </cell>
          <cell r="G205" t="str">
            <v>UN</v>
          </cell>
          <cell r="H205" t="str">
            <v>DOP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 t="e">
            <v>#N/A</v>
          </cell>
        </row>
        <row r="206">
          <cell r="A206">
            <v>1000200</v>
          </cell>
          <cell r="B206" t="str">
            <v>Arnés Protec Caída y Lumbar 5 Ptos Ancl</v>
          </cell>
          <cell r="D206">
            <v>7201</v>
          </cell>
          <cell r="E206">
            <v>1000</v>
          </cell>
          <cell r="F206" t="str">
            <v>ZALM</v>
          </cell>
          <cell r="G206" t="str">
            <v>UN</v>
          </cell>
          <cell r="H206" t="str">
            <v>DOP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 t="e">
            <v>#N/A</v>
          </cell>
        </row>
        <row r="207">
          <cell r="A207">
            <v>1000201</v>
          </cell>
          <cell r="B207" t="str">
            <v>Botas Antiest Punt Antid Antip Size 38</v>
          </cell>
          <cell r="D207">
            <v>7201</v>
          </cell>
          <cell r="E207">
            <v>1000</v>
          </cell>
          <cell r="F207" t="str">
            <v>ZALM</v>
          </cell>
          <cell r="G207" t="str">
            <v>UN</v>
          </cell>
          <cell r="H207" t="str">
            <v>DOP</v>
          </cell>
          <cell r="I207">
            <v>4</v>
          </cell>
          <cell r="J207">
            <v>8282.4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4</v>
          </cell>
          <cell r="T207">
            <v>8282.4</v>
          </cell>
          <cell r="U207">
            <v>2070.6</v>
          </cell>
        </row>
        <row r="208">
          <cell r="A208">
            <v>1000202</v>
          </cell>
          <cell r="B208" t="str">
            <v>Botas Antiest Punt Antid Antip Size 39</v>
          </cell>
          <cell r="D208">
            <v>7201</v>
          </cell>
          <cell r="E208">
            <v>1000</v>
          </cell>
          <cell r="F208" t="str">
            <v>ZALM</v>
          </cell>
          <cell r="G208" t="str">
            <v>UN</v>
          </cell>
          <cell r="H208" t="str">
            <v>DOP</v>
          </cell>
          <cell r="I208">
            <v>2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2</v>
          </cell>
          <cell r="T208">
            <v>0</v>
          </cell>
          <cell r="U208">
            <v>0</v>
          </cell>
        </row>
        <row r="209">
          <cell r="A209">
            <v>1000203</v>
          </cell>
          <cell r="B209" t="str">
            <v>Botas Antiest Punt Antid Antip Size 40</v>
          </cell>
          <cell r="D209">
            <v>7201</v>
          </cell>
          <cell r="E209">
            <v>1000</v>
          </cell>
          <cell r="F209" t="str">
            <v>ZALM</v>
          </cell>
          <cell r="G209" t="str">
            <v>UN</v>
          </cell>
          <cell r="H209" t="str">
            <v>DOP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 t="e">
            <v>#N/A</v>
          </cell>
        </row>
        <row r="210">
          <cell r="A210">
            <v>1000204</v>
          </cell>
          <cell r="B210" t="str">
            <v>Botas Antiest Punt Antid Antip Size 41</v>
          </cell>
          <cell r="D210">
            <v>7201</v>
          </cell>
          <cell r="E210">
            <v>1000</v>
          </cell>
          <cell r="F210" t="str">
            <v>ZALM</v>
          </cell>
          <cell r="G210" t="str">
            <v>UN</v>
          </cell>
          <cell r="H210" t="str">
            <v>DOP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 t="e">
            <v>#N/A</v>
          </cell>
        </row>
        <row r="211">
          <cell r="A211">
            <v>1000205</v>
          </cell>
          <cell r="B211" t="str">
            <v>Botas Antiest Punt Antid Antip Size 42</v>
          </cell>
          <cell r="D211">
            <v>7201</v>
          </cell>
          <cell r="E211">
            <v>1000</v>
          </cell>
          <cell r="F211" t="str">
            <v>ZALM</v>
          </cell>
          <cell r="G211" t="str">
            <v>UN</v>
          </cell>
          <cell r="H211" t="str">
            <v>DOP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 t="e">
            <v>#N/A</v>
          </cell>
        </row>
        <row r="212">
          <cell r="A212">
            <v>1000206</v>
          </cell>
          <cell r="B212" t="str">
            <v>Botas Antiest Punt Antid Antip Size 43</v>
          </cell>
          <cell r="D212">
            <v>7201</v>
          </cell>
          <cell r="E212">
            <v>1000</v>
          </cell>
          <cell r="F212" t="str">
            <v>ZALM</v>
          </cell>
          <cell r="G212" t="str">
            <v>UN</v>
          </cell>
          <cell r="H212" t="str">
            <v>DOP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 t="e">
            <v>#N/A</v>
          </cell>
        </row>
        <row r="213">
          <cell r="A213">
            <v>1000207</v>
          </cell>
          <cell r="B213" t="str">
            <v>Botas Antiest Punt Antid Antip Size 44</v>
          </cell>
          <cell r="D213">
            <v>7201</v>
          </cell>
          <cell r="E213">
            <v>1000</v>
          </cell>
          <cell r="F213" t="str">
            <v>ZALM</v>
          </cell>
          <cell r="G213" t="str">
            <v>UN</v>
          </cell>
          <cell r="H213" t="str">
            <v>DOP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 t="e">
            <v>#N/A</v>
          </cell>
        </row>
        <row r="214">
          <cell r="A214">
            <v>1000208</v>
          </cell>
          <cell r="B214" t="str">
            <v>Botas Antiest Punt Antid Antip Size 45</v>
          </cell>
          <cell r="D214">
            <v>7201</v>
          </cell>
          <cell r="E214">
            <v>1000</v>
          </cell>
          <cell r="F214" t="str">
            <v>ZALM</v>
          </cell>
          <cell r="G214" t="str">
            <v>UN</v>
          </cell>
          <cell r="H214" t="str">
            <v>DOP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 t="e">
            <v>#N/A</v>
          </cell>
        </row>
        <row r="215">
          <cell r="A215">
            <v>1000209</v>
          </cell>
          <cell r="B215" t="str">
            <v>Botas Antiest Punt Antid Antip Size 46</v>
          </cell>
          <cell r="D215">
            <v>7201</v>
          </cell>
          <cell r="E215">
            <v>1000</v>
          </cell>
          <cell r="F215" t="str">
            <v>ZALM</v>
          </cell>
          <cell r="G215" t="str">
            <v>UN</v>
          </cell>
          <cell r="H215" t="str">
            <v>DOP</v>
          </cell>
          <cell r="I215">
            <v>3</v>
          </cell>
          <cell r="J215">
            <v>7148.61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3</v>
          </cell>
          <cell r="T215">
            <v>7148.61</v>
          </cell>
          <cell r="U215">
            <v>2382.87</v>
          </cell>
        </row>
        <row r="216">
          <cell r="A216">
            <v>1000210</v>
          </cell>
          <cell r="B216" t="str">
            <v>Botas Antiest Punt Antid Antip Size 47</v>
          </cell>
          <cell r="D216">
            <v>7201</v>
          </cell>
          <cell r="E216">
            <v>1000</v>
          </cell>
          <cell r="F216" t="str">
            <v>ZALM</v>
          </cell>
          <cell r="G216" t="str">
            <v>UN</v>
          </cell>
          <cell r="H216" t="str">
            <v>DOP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 t="e">
            <v>#N/A</v>
          </cell>
        </row>
        <row r="217">
          <cell r="A217">
            <v>1000211</v>
          </cell>
          <cell r="B217" t="str">
            <v>Botas de Goma Size 39</v>
          </cell>
          <cell r="D217">
            <v>7201</v>
          </cell>
          <cell r="E217">
            <v>1000</v>
          </cell>
          <cell r="F217" t="str">
            <v>ZALM</v>
          </cell>
          <cell r="G217" t="str">
            <v>UN</v>
          </cell>
          <cell r="H217" t="str">
            <v>DOP</v>
          </cell>
          <cell r="I217">
            <v>59</v>
          </cell>
          <cell r="J217">
            <v>16579.59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59</v>
          </cell>
          <cell r="T217">
            <v>16579.59</v>
          </cell>
          <cell r="U217">
            <v>281.01</v>
          </cell>
        </row>
        <row r="218">
          <cell r="A218">
            <v>1000212</v>
          </cell>
          <cell r="B218" t="str">
            <v>Botas de Goma Size 40</v>
          </cell>
          <cell r="D218">
            <v>7201</v>
          </cell>
          <cell r="E218">
            <v>1000</v>
          </cell>
          <cell r="F218" t="str">
            <v>ZALM</v>
          </cell>
          <cell r="G218" t="str">
            <v>UN</v>
          </cell>
          <cell r="H218" t="str">
            <v>DOP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 t="e">
            <v>#N/A</v>
          </cell>
        </row>
        <row r="219">
          <cell r="A219">
            <v>1000213</v>
          </cell>
          <cell r="B219" t="str">
            <v>Botas de Goma Size 41</v>
          </cell>
          <cell r="D219">
            <v>7201</v>
          </cell>
          <cell r="E219">
            <v>1000</v>
          </cell>
          <cell r="F219" t="str">
            <v>ZALM</v>
          </cell>
          <cell r="G219" t="str">
            <v>UN</v>
          </cell>
          <cell r="H219" t="str">
            <v>DOP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 t="e">
            <v>#N/A</v>
          </cell>
        </row>
        <row r="220">
          <cell r="A220">
            <v>1000214</v>
          </cell>
          <cell r="B220" t="str">
            <v>Botas de Goma Size 42</v>
          </cell>
          <cell r="D220">
            <v>7201</v>
          </cell>
          <cell r="E220">
            <v>1000</v>
          </cell>
          <cell r="F220" t="str">
            <v>ZALM</v>
          </cell>
          <cell r="G220" t="str">
            <v>UN</v>
          </cell>
          <cell r="H220" t="str">
            <v>DOP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 t="e">
            <v>#N/A</v>
          </cell>
        </row>
        <row r="221">
          <cell r="A221">
            <v>1000215</v>
          </cell>
          <cell r="B221" t="str">
            <v>Botas Dieléct Punt Antid Antip Size 34</v>
          </cell>
          <cell r="D221">
            <v>7201</v>
          </cell>
          <cell r="E221">
            <v>1000</v>
          </cell>
          <cell r="F221" t="str">
            <v>ZALM</v>
          </cell>
          <cell r="G221" t="str">
            <v>UN</v>
          </cell>
          <cell r="H221" t="str">
            <v>DOP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 t="e">
            <v>#N/A</v>
          </cell>
        </row>
        <row r="222">
          <cell r="A222">
            <v>1000216</v>
          </cell>
          <cell r="B222" t="str">
            <v>Botas Dieléct Punt Antid Antip Size 36</v>
          </cell>
          <cell r="D222">
            <v>7201</v>
          </cell>
          <cell r="E222">
            <v>1000</v>
          </cell>
          <cell r="F222" t="str">
            <v>ZALM</v>
          </cell>
          <cell r="G222" t="str">
            <v>UN</v>
          </cell>
          <cell r="H222" t="str">
            <v>DOP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 t="e">
            <v>#N/A</v>
          </cell>
        </row>
        <row r="223">
          <cell r="A223">
            <v>1000217</v>
          </cell>
          <cell r="B223" t="str">
            <v>Botas Dieléct Punt Antid Antip Size 37</v>
          </cell>
          <cell r="D223">
            <v>7201</v>
          </cell>
          <cell r="E223">
            <v>1000</v>
          </cell>
          <cell r="F223" t="str">
            <v>ZALM</v>
          </cell>
          <cell r="G223" t="str">
            <v>UN</v>
          </cell>
          <cell r="H223" t="str">
            <v>DOP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 t="e">
            <v>#N/A</v>
          </cell>
        </row>
        <row r="224">
          <cell r="A224">
            <v>1000218</v>
          </cell>
          <cell r="B224" t="str">
            <v>Botas Dieléct Punt Antid Antip Size 38</v>
          </cell>
          <cell r="D224">
            <v>7201</v>
          </cell>
          <cell r="E224">
            <v>1000</v>
          </cell>
          <cell r="F224" t="str">
            <v>ZALM</v>
          </cell>
          <cell r="G224" t="str">
            <v>UN</v>
          </cell>
          <cell r="H224" t="str">
            <v>DOP</v>
          </cell>
          <cell r="I224">
            <v>9</v>
          </cell>
          <cell r="J224">
            <v>35719.040000000001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9</v>
          </cell>
          <cell r="T224">
            <v>35719.040000000001</v>
          </cell>
          <cell r="U224">
            <v>3968.7822222222198</v>
          </cell>
        </row>
        <row r="225">
          <cell r="A225">
            <v>1000219</v>
          </cell>
          <cell r="B225" t="str">
            <v>Botas Dieléct Punt Antid Antip Size 39</v>
          </cell>
          <cell r="D225">
            <v>7201</v>
          </cell>
          <cell r="E225">
            <v>1000</v>
          </cell>
          <cell r="F225" t="str">
            <v>ZALM</v>
          </cell>
          <cell r="G225" t="str">
            <v>UN</v>
          </cell>
          <cell r="H225" t="str">
            <v>DOP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 t="e">
            <v>#N/A</v>
          </cell>
        </row>
        <row r="226">
          <cell r="A226">
            <v>1000220</v>
          </cell>
          <cell r="B226" t="str">
            <v>Botas Dieléct Punt Antid Antip Size 40</v>
          </cell>
          <cell r="D226">
            <v>7201</v>
          </cell>
          <cell r="E226">
            <v>1000</v>
          </cell>
          <cell r="F226" t="str">
            <v>ZALM</v>
          </cell>
          <cell r="G226" t="str">
            <v>UN</v>
          </cell>
          <cell r="H226" t="str">
            <v>DOP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 t="e">
            <v>#N/A</v>
          </cell>
        </row>
        <row r="227">
          <cell r="A227">
            <v>1000221</v>
          </cell>
          <cell r="B227" t="str">
            <v>Botas Dieléct Punt Antid Antip Size 41</v>
          </cell>
          <cell r="D227">
            <v>7201</v>
          </cell>
          <cell r="E227">
            <v>1000</v>
          </cell>
          <cell r="F227" t="str">
            <v>ZALM</v>
          </cell>
          <cell r="G227" t="str">
            <v>UN</v>
          </cell>
          <cell r="H227" t="str">
            <v>DOP</v>
          </cell>
          <cell r="I227">
            <v>5</v>
          </cell>
          <cell r="J227">
            <v>20930.419999999998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5</v>
          </cell>
          <cell r="T227">
            <v>20930.419999999998</v>
          </cell>
          <cell r="U227">
            <v>4186.0839999999998</v>
          </cell>
        </row>
        <row r="228">
          <cell r="A228">
            <v>1000222</v>
          </cell>
          <cell r="B228" t="str">
            <v>Botas Dieléct Punt Antid Antip Size 42</v>
          </cell>
          <cell r="D228">
            <v>7201</v>
          </cell>
          <cell r="E228">
            <v>1000</v>
          </cell>
          <cell r="F228" t="str">
            <v>ZALM</v>
          </cell>
          <cell r="G228" t="str">
            <v>UN</v>
          </cell>
          <cell r="H228" t="str">
            <v>DOP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 t="e">
            <v>#N/A</v>
          </cell>
        </row>
        <row r="229">
          <cell r="A229">
            <v>1000223</v>
          </cell>
          <cell r="B229" t="str">
            <v>Botas Dieléct Punt Antid Antip Size 43</v>
          </cell>
          <cell r="D229">
            <v>7201</v>
          </cell>
          <cell r="E229">
            <v>1000</v>
          </cell>
          <cell r="F229" t="str">
            <v>ZALM</v>
          </cell>
          <cell r="G229" t="str">
            <v>UN</v>
          </cell>
          <cell r="H229" t="str">
            <v>DOP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 t="e">
            <v>#N/A</v>
          </cell>
        </row>
        <row r="230">
          <cell r="A230">
            <v>1000224</v>
          </cell>
          <cell r="B230" t="str">
            <v>Botas Dieléct Punt Antid Antip Size 44</v>
          </cell>
          <cell r="D230">
            <v>7201</v>
          </cell>
          <cell r="E230">
            <v>1000</v>
          </cell>
          <cell r="F230" t="str">
            <v>ZALM</v>
          </cell>
          <cell r="G230" t="str">
            <v>UN</v>
          </cell>
          <cell r="H230" t="str">
            <v>DOP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 t="e">
            <v>#N/A</v>
          </cell>
        </row>
        <row r="231">
          <cell r="A231">
            <v>1000225</v>
          </cell>
          <cell r="B231" t="str">
            <v>Botas Dieléct Punt Antid Antip Size 45</v>
          </cell>
          <cell r="D231">
            <v>7201</v>
          </cell>
          <cell r="E231">
            <v>1000</v>
          </cell>
          <cell r="F231" t="str">
            <v>ZALM</v>
          </cell>
          <cell r="G231" t="str">
            <v>UN</v>
          </cell>
          <cell r="H231" t="str">
            <v>DOP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 t="e">
            <v>#N/A</v>
          </cell>
        </row>
        <row r="232">
          <cell r="A232">
            <v>1000226</v>
          </cell>
          <cell r="B232" t="str">
            <v>Botas Dieléct Punt Antid Antip Size 46</v>
          </cell>
          <cell r="D232">
            <v>7201</v>
          </cell>
          <cell r="E232">
            <v>1000</v>
          </cell>
          <cell r="F232" t="str">
            <v>ZALM</v>
          </cell>
          <cell r="G232" t="str">
            <v>UN</v>
          </cell>
          <cell r="H232" t="str">
            <v>DOP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 t="e">
            <v>#N/A</v>
          </cell>
        </row>
        <row r="233">
          <cell r="A233">
            <v>1000227</v>
          </cell>
          <cell r="B233" t="str">
            <v>Botas Dieléct Punt Antid Antip Size 47</v>
          </cell>
          <cell r="D233">
            <v>7201</v>
          </cell>
          <cell r="E233">
            <v>1000</v>
          </cell>
          <cell r="F233" t="str">
            <v>ZALM</v>
          </cell>
          <cell r="G233" t="str">
            <v>UN</v>
          </cell>
          <cell r="H233" t="str">
            <v>DOP</v>
          </cell>
          <cell r="I233">
            <v>9</v>
          </cell>
          <cell r="J233">
            <v>17226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9</v>
          </cell>
          <cell r="T233">
            <v>17226</v>
          </cell>
          <cell r="U233">
            <v>1914</v>
          </cell>
        </row>
        <row r="234">
          <cell r="A234">
            <v>1000228</v>
          </cell>
          <cell r="B234" t="str">
            <v>Botiquín Primeros Auxilios P/ Automovil</v>
          </cell>
          <cell r="D234">
            <v>7201</v>
          </cell>
          <cell r="E234">
            <v>1000</v>
          </cell>
          <cell r="F234" t="str">
            <v>ZALM</v>
          </cell>
          <cell r="G234" t="str">
            <v>UN</v>
          </cell>
          <cell r="H234" t="str">
            <v>DOP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 t="e">
            <v>#N/A</v>
          </cell>
        </row>
        <row r="235">
          <cell r="A235">
            <v>1000229</v>
          </cell>
          <cell r="B235" t="str">
            <v>Camisa Azul Osc M/L Log EDEEste Size XXL</v>
          </cell>
          <cell r="D235">
            <v>7201</v>
          </cell>
          <cell r="E235">
            <v>1000</v>
          </cell>
          <cell r="F235" t="str">
            <v>ZALM</v>
          </cell>
          <cell r="G235" t="str">
            <v>UN</v>
          </cell>
          <cell r="H235" t="str">
            <v>DOP</v>
          </cell>
          <cell r="I235">
            <v>4</v>
          </cell>
          <cell r="J235">
            <v>1948.8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4</v>
          </cell>
          <cell r="T235">
            <v>1948.8</v>
          </cell>
          <cell r="U235">
            <v>487.2</v>
          </cell>
        </row>
        <row r="236">
          <cell r="A236">
            <v>1000230</v>
          </cell>
          <cell r="B236" t="str">
            <v>Camisa Azul Osc M/L Logo EDEEste Size L</v>
          </cell>
          <cell r="D236">
            <v>7201</v>
          </cell>
          <cell r="E236">
            <v>1000</v>
          </cell>
          <cell r="F236" t="str">
            <v>ZALM</v>
          </cell>
          <cell r="G236" t="str">
            <v>UN</v>
          </cell>
          <cell r="H236" t="str">
            <v>DOP</v>
          </cell>
          <cell r="I236">
            <v>3</v>
          </cell>
          <cell r="J236">
            <v>1461.6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3</v>
          </cell>
          <cell r="T236">
            <v>1461.6</v>
          </cell>
          <cell r="U236">
            <v>487.2</v>
          </cell>
        </row>
        <row r="237">
          <cell r="A237">
            <v>1000231</v>
          </cell>
          <cell r="B237" t="str">
            <v>Camisa Azul Osc M/L Logo EDEEste Size M</v>
          </cell>
          <cell r="D237">
            <v>7201</v>
          </cell>
          <cell r="E237">
            <v>1000</v>
          </cell>
          <cell r="F237" t="str">
            <v>ZALM</v>
          </cell>
          <cell r="G237" t="str">
            <v>UN</v>
          </cell>
          <cell r="H237" t="str">
            <v>DOP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 t="e">
            <v>#N/A</v>
          </cell>
        </row>
        <row r="238">
          <cell r="A238">
            <v>1000232</v>
          </cell>
          <cell r="B238" t="str">
            <v>Camisa Azul Osc M/L Logo EDEEste Size S</v>
          </cell>
          <cell r="D238">
            <v>7201</v>
          </cell>
          <cell r="E238">
            <v>1000</v>
          </cell>
          <cell r="F238" t="str">
            <v>ZALM</v>
          </cell>
          <cell r="G238" t="str">
            <v>UN</v>
          </cell>
          <cell r="H238" t="str">
            <v>DOP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 t="e">
            <v>#N/A</v>
          </cell>
        </row>
        <row r="239">
          <cell r="A239">
            <v>1000233</v>
          </cell>
          <cell r="B239" t="str">
            <v>Camisa Azul Osc M/L Logo EDEEste Size XL</v>
          </cell>
          <cell r="D239">
            <v>7201</v>
          </cell>
          <cell r="E239">
            <v>1000</v>
          </cell>
          <cell r="F239" t="str">
            <v>ZALM</v>
          </cell>
          <cell r="G239" t="str">
            <v>UN</v>
          </cell>
          <cell r="H239" t="str">
            <v>DOP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 t="e">
            <v>#N/A</v>
          </cell>
        </row>
        <row r="240">
          <cell r="A240">
            <v>1000234</v>
          </cell>
          <cell r="B240" t="str">
            <v>Camisa Azul P/ Lectores Size L</v>
          </cell>
          <cell r="D240">
            <v>7201</v>
          </cell>
          <cell r="E240">
            <v>1000</v>
          </cell>
          <cell r="F240" t="str">
            <v>ZALM</v>
          </cell>
          <cell r="G240" t="str">
            <v>UN</v>
          </cell>
          <cell r="H240" t="str">
            <v>DOP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 t="e">
            <v>#N/A</v>
          </cell>
        </row>
        <row r="241">
          <cell r="A241">
            <v>1000235</v>
          </cell>
          <cell r="B241" t="str">
            <v>Camisa Azul P/ Lectores Size M</v>
          </cell>
          <cell r="D241">
            <v>7201</v>
          </cell>
          <cell r="E241">
            <v>1000</v>
          </cell>
          <cell r="F241" t="str">
            <v>ZALM</v>
          </cell>
          <cell r="G241" t="str">
            <v>UN</v>
          </cell>
          <cell r="H241" t="str">
            <v>DOP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 t="e">
            <v>#N/A</v>
          </cell>
        </row>
        <row r="242">
          <cell r="A242">
            <v>1000236</v>
          </cell>
          <cell r="B242" t="str">
            <v>Camisa Azul P/ Lectores Size S</v>
          </cell>
          <cell r="D242">
            <v>7201</v>
          </cell>
          <cell r="E242">
            <v>1000</v>
          </cell>
          <cell r="F242" t="str">
            <v>ZALM</v>
          </cell>
          <cell r="G242" t="str">
            <v>UN</v>
          </cell>
          <cell r="H242" t="str">
            <v>DOP</v>
          </cell>
          <cell r="I242">
            <v>94</v>
          </cell>
          <cell r="J242">
            <v>47432.4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94</v>
          </cell>
          <cell r="T242">
            <v>47432.4</v>
          </cell>
          <cell r="U242">
            <v>504.6</v>
          </cell>
        </row>
        <row r="243">
          <cell r="A243">
            <v>1000237</v>
          </cell>
          <cell r="B243" t="str">
            <v>Camisa Azul P/ Lectores Size XL</v>
          </cell>
          <cell r="D243">
            <v>7201</v>
          </cell>
          <cell r="E243">
            <v>1000</v>
          </cell>
          <cell r="F243" t="str">
            <v>ZALM</v>
          </cell>
          <cell r="G243" t="str">
            <v>UN</v>
          </cell>
          <cell r="H243" t="str">
            <v>DOP</v>
          </cell>
          <cell r="I243">
            <v>18</v>
          </cell>
          <cell r="J243">
            <v>8560.7999999999993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18</v>
          </cell>
          <cell r="T243">
            <v>8560.7999999999993</v>
          </cell>
          <cell r="U243">
            <v>475.6</v>
          </cell>
        </row>
        <row r="244">
          <cell r="A244">
            <v>1000238</v>
          </cell>
          <cell r="B244" t="str">
            <v>Camisa Azul P/ Lectores Size XXL</v>
          </cell>
          <cell r="D244">
            <v>7201</v>
          </cell>
          <cell r="E244">
            <v>1000</v>
          </cell>
          <cell r="F244" t="str">
            <v>ZALM</v>
          </cell>
          <cell r="G244" t="str">
            <v>UN</v>
          </cell>
          <cell r="H244" t="str">
            <v>DOP</v>
          </cell>
          <cell r="I244">
            <v>15</v>
          </cell>
          <cell r="J244">
            <v>6838.2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15</v>
          </cell>
          <cell r="T244">
            <v>6838.2</v>
          </cell>
          <cell r="U244">
            <v>455.88</v>
          </cell>
        </row>
        <row r="245">
          <cell r="A245">
            <v>1000239</v>
          </cell>
          <cell r="B245" t="str">
            <v>Camisa Blca M/C Logo EDEEste Size L</v>
          </cell>
          <cell r="D245">
            <v>7201</v>
          </cell>
          <cell r="E245">
            <v>1000</v>
          </cell>
          <cell r="F245" t="str">
            <v>ZALM</v>
          </cell>
          <cell r="G245" t="str">
            <v>UN</v>
          </cell>
          <cell r="H245" t="str">
            <v>DOP</v>
          </cell>
          <cell r="I245">
            <v>806</v>
          </cell>
          <cell r="J245">
            <v>388008.4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806</v>
          </cell>
          <cell r="T245">
            <v>388008.4</v>
          </cell>
          <cell r="U245">
            <v>481.4</v>
          </cell>
        </row>
        <row r="246">
          <cell r="A246">
            <v>1000240</v>
          </cell>
          <cell r="B246" t="str">
            <v>Camisa Blca M/C Logo EDEEste Size M</v>
          </cell>
          <cell r="D246">
            <v>7201</v>
          </cell>
          <cell r="E246">
            <v>1000</v>
          </cell>
          <cell r="F246" t="str">
            <v>ZALM</v>
          </cell>
          <cell r="G246" t="str">
            <v>UN</v>
          </cell>
          <cell r="H246" t="str">
            <v>DOP</v>
          </cell>
          <cell r="I246">
            <v>369</v>
          </cell>
          <cell r="J246">
            <v>177636.6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369</v>
          </cell>
          <cell r="T246">
            <v>177636.6</v>
          </cell>
          <cell r="U246">
            <v>481.4</v>
          </cell>
        </row>
        <row r="247">
          <cell r="A247">
            <v>1000241</v>
          </cell>
          <cell r="B247" t="str">
            <v>Camisa Blca M/C Logo EDEEste Size S</v>
          </cell>
          <cell r="D247">
            <v>7201</v>
          </cell>
          <cell r="E247">
            <v>1000</v>
          </cell>
          <cell r="F247" t="str">
            <v>ZALM</v>
          </cell>
          <cell r="G247" t="str">
            <v>UN</v>
          </cell>
          <cell r="H247" t="str">
            <v>DOP</v>
          </cell>
          <cell r="I247">
            <v>437</v>
          </cell>
          <cell r="J247">
            <v>210371.8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437</v>
          </cell>
          <cell r="T247">
            <v>210371.8</v>
          </cell>
          <cell r="U247">
            <v>481.4</v>
          </cell>
        </row>
        <row r="248">
          <cell r="A248">
            <v>1000242</v>
          </cell>
          <cell r="B248" t="str">
            <v>Camisa Blca M/C Logo EDEEste Size XL</v>
          </cell>
          <cell r="D248">
            <v>7201</v>
          </cell>
          <cell r="E248">
            <v>1000</v>
          </cell>
          <cell r="F248" t="str">
            <v>ZALM</v>
          </cell>
          <cell r="G248" t="str">
            <v>UN</v>
          </cell>
          <cell r="H248" t="str">
            <v>DOP</v>
          </cell>
          <cell r="I248">
            <v>429</v>
          </cell>
          <cell r="J248">
            <v>206520.6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429</v>
          </cell>
          <cell r="T248">
            <v>206520.6</v>
          </cell>
          <cell r="U248">
            <v>481.4</v>
          </cell>
        </row>
        <row r="249">
          <cell r="A249">
            <v>1000243</v>
          </cell>
          <cell r="B249" t="str">
            <v>Camisa Blca M/C Logo EDEEste Size XXL</v>
          </cell>
          <cell r="D249">
            <v>7201</v>
          </cell>
          <cell r="E249">
            <v>1000</v>
          </cell>
          <cell r="F249" t="str">
            <v>ZALM</v>
          </cell>
          <cell r="G249" t="str">
            <v>UN</v>
          </cell>
          <cell r="H249" t="str">
            <v>DOP</v>
          </cell>
          <cell r="I249">
            <v>60</v>
          </cell>
          <cell r="J249">
            <v>28884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60</v>
          </cell>
          <cell r="T249">
            <v>28884</v>
          </cell>
          <cell r="U249">
            <v>481.4</v>
          </cell>
        </row>
        <row r="250">
          <cell r="A250">
            <v>1000244</v>
          </cell>
          <cell r="B250" t="str">
            <v>Camisa en Pint Ponit Cuello Largo</v>
          </cell>
          <cell r="D250">
            <v>7201</v>
          </cell>
          <cell r="E250">
            <v>1000</v>
          </cell>
          <cell r="F250" t="str">
            <v>ZALM</v>
          </cell>
          <cell r="G250" t="str">
            <v>UN</v>
          </cell>
          <cell r="H250" t="str">
            <v>DOP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 t="e">
            <v>#N/A</v>
          </cell>
        </row>
        <row r="251">
          <cell r="A251">
            <v>1000245</v>
          </cell>
          <cell r="B251" t="str">
            <v>Camisa Trabajo 100% Alg Kaki Size L</v>
          </cell>
          <cell r="D251">
            <v>7201</v>
          </cell>
          <cell r="E251">
            <v>1000</v>
          </cell>
          <cell r="F251" t="str">
            <v>ZALM</v>
          </cell>
          <cell r="G251" t="str">
            <v>UN</v>
          </cell>
          <cell r="H251" t="str">
            <v>DOP</v>
          </cell>
          <cell r="I251">
            <v>315</v>
          </cell>
          <cell r="J251">
            <v>190008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315</v>
          </cell>
          <cell r="T251">
            <v>190008</v>
          </cell>
          <cell r="U251">
            <v>603.20000000000005</v>
          </cell>
        </row>
        <row r="252">
          <cell r="A252">
            <v>1000246</v>
          </cell>
          <cell r="B252" t="str">
            <v>Camisa Trabajo 100% Alg Kaki Size M</v>
          </cell>
          <cell r="D252">
            <v>7201</v>
          </cell>
          <cell r="E252">
            <v>1000</v>
          </cell>
          <cell r="F252" t="str">
            <v>ZALM</v>
          </cell>
          <cell r="G252" t="str">
            <v>UN</v>
          </cell>
          <cell r="H252" t="str">
            <v>DOP</v>
          </cell>
          <cell r="I252">
            <v>165</v>
          </cell>
          <cell r="J252">
            <v>88508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165</v>
          </cell>
          <cell r="T252">
            <v>88508</v>
          </cell>
          <cell r="U252">
            <v>536.41212121212095</v>
          </cell>
        </row>
        <row r="253">
          <cell r="A253">
            <v>1000247</v>
          </cell>
          <cell r="B253" t="str">
            <v>Camisa Trabajo 100% Alg Kaki Size S</v>
          </cell>
          <cell r="D253">
            <v>7201</v>
          </cell>
          <cell r="E253">
            <v>1000</v>
          </cell>
          <cell r="F253" t="str">
            <v>ZALM</v>
          </cell>
          <cell r="G253" t="str">
            <v>UN</v>
          </cell>
          <cell r="H253" t="str">
            <v>DOP</v>
          </cell>
          <cell r="I253">
            <v>166</v>
          </cell>
          <cell r="J253">
            <v>100131.2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166</v>
          </cell>
          <cell r="T253">
            <v>100131.2</v>
          </cell>
          <cell r="U253">
            <v>603.20000000000005</v>
          </cell>
        </row>
        <row r="254">
          <cell r="A254">
            <v>1000248</v>
          </cell>
          <cell r="B254" t="str">
            <v>Camisa Trabajo 100% Alg Kaki Size XL</v>
          </cell>
          <cell r="D254">
            <v>7201</v>
          </cell>
          <cell r="E254">
            <v>1000</v>
          </cell>
          <cell r="F254" t="str">
            <v>ZALM</v>
          </cell>
          <cell r="G254" t="str">
            <v>UN</v>
          </cell>
          <cell r="H254" t="str">
            <v>DOP</v>
          </cell>
          <cell r="I254">
            <v>110</v>
          </cell>
          <cell r="J254">
            <v>66352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110</v>
          </cell>
          <cell r="T254">
            <v>66352</v>
          </cell>
          <cell r="U254">
            <v>603.20000000000005</v>
          </cell>
        </row>
        <row r="255">
          <cell r="A255">
            <v>1000249</v>
          </cell>
          <cell r="B255" t="str">
            <v>Camisa Trabajo 100% Alg Kaki Size XXL</v>
          </cell>
          <cell r="D255">
            <v>7201</v>
          </cell>
          <cell r="E255">
            <v>1000</v>
          </cell>
          <cell r="F255" t="str">
            <v>ZALM</v>
          </cell>
          <cell r="G255" t="str">
            <v>UN</v>
          </cell>
          <cell r="H255" t="str">
            <v>DOP</v>
          </cell>
          <cell r="I255">
            <v>31</v>
          </cell>
          <cell r="J255">
            <v>18003.2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31</v>
          </cell>
          <cell r="T255">
            <v>18003.2</v>
          </cell>
          <cell r="U255">
            <v>580.74838709677397</v>
          </cell>
        </row>
        <row r="256">
          <cell r="A256">
            <v>1000250</v>
          </cell>
          <cell r="B256" t="str">
            <v>Camisa Trabajo Retard Flam Kaki Size L</v>
          </cell>
          <cell r="D256">
            <v>7201</v>
          </cell>
          <cell r="E256">
            <v>1000</v>
          </cell>
          <cell r="F256" t="str">
            <v>ZALM</v>
          </cell>
          <cell r="G256" t="str">
            <v>UN</v>
          </cell>
          <cell r="H256" t="str">
            <v>DOP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 t="e">
            <v>#N/A</v>
          </cell>
        </row>
        <row r="257">
          <cell r="A257">
            <v>1000251</v>
          </cell>
          <cell r="B257" t="str">
            <v>Camisa Trabajo Retard Flam Kaki Size M</v>
          </cell>
          <cell r="D257">
            <v>7201</v>
          </cell>
          <cell r="E257">
            <v>1000</v>
          </cell>
          <cell r="F257" t="str">
            <v>ZALM</v>
          </cell>
          <cell r="G257" t="str">
            <v>UN</v>
          </cell>
          <cell r="H257" t="str">
            <v>DOP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 t="e">
            <v>#N/A</v>
          </cell>
        </row>
        <row r="258">
          <cell r="A258">
            <v>1000252</v>
          </cell>
          <cell r="B258" t="str">
            <v>Camisa Trabajo Retard Flam Kaki Size S</v>
          </cell>
          <cell r="D258">
            <v>7201</v>
          </cell>
          <cell r="E258">
            <v>1000</v>
          </cell>
          <cell r="F258" t="str">
            <v>ZALM</v>
          </cell>
          <cell r="G258" t="str">
            <v>UN</v>
          </cell>
          <cell r="H258" t="str">
            <v>DOP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 t="e">
            <v>#N/A</v>
          </cell>
        </row>
        <row r="259">
          <cell r="A259">
            <v>1000253</v>
          </cell>
          <cell r="B259" t="str">
            <v>Camisa Trabajo Retard Flam Kaki Size XL</v>
          </cell>
          <cell r="D259">
            <v>7201</v>
          </cell>
          <cell r="E259">
            <v>1000</v>
          </cell>
          <cell r="F259" t="str">
            <v>ZALM</v>
          </cell>
          <cell r="G259" t="str">
            <v>UN</v>
          </cell>
          <cell r="H259" t="str">
            <v>DOP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 t="e">
            <v>#N/A</v>
          </cell>
        </row>
        <row r="260">
          <cell r="A260">
            <v>1000254</v>
          </cell>
          <cell r="B260" t="str">
            <v>Camisa Trabajo Retard Flam Kaki Size XXL</v>
          </cell>
          <cell r="D260">
            <v>7201</v>
          </cell>
          <cell r="E260">
            <v>1000</v>
          </cell>
          <cell r="F260" t="str">
            <v>ZALM</v>
          </cell>
          <cell r="G260" t="str">
            <v>UN</v>
          </cell>
          <cell r="H260" t="str">
            <v>DOP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 t="e">
            <v>#N/A</v>
          </cell>
        </row>
        <row r="261">
          <cell r="A261">
            <v>1000255</v>
          </cell>
          <cell r="B261" t="str">
            <v>Capa P/ Agua Amarillo Size L Cam/ Pant</v>
          </cell>
          <cell r="D261">
            <v>7201</v>
          </cell>
          <cell r="E261">
            <v>1000</v>
          </cell>
          <cell r="F261" t="str">
            <v>ZALM</v>
          </cell>
          <cell r="G261" t="str">
            <v>UN</v>
          </cell>
          <cell r="H261" t="str">
            <v>DOP</v>
          </cell>
          <cell r="I261">
            <v>32</v>
          </cell>
          <cell r="J261">
            <v>16884.55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32</v>
          </cell>
          <cell r="T261">
            <v>16884.55</v>
          </cell>
          <cell r="U261">
            <v>527.64218749999998</v>
          </cell>
        </row>
        <row r="262">
          <cell r="A262">
            <v>1000256</v>
          </cell>
          <cell r="B262" t="str">
            <v>Capa P/ Agua Amarillo Size M Cam/ Pant</v>
          </cell>
          <cell r="D262">
            <v>7201</v>
          </cell>
          <cell r="E262">
            <v>1000</v>
          </cell>
          <cell r="F262" t="str">
            <v>ZALM</v>
          </cell>
          <cell r="G262" t="str">
            <v>UN</v>
          </cell>
          <cell r="H262" t="str">
            <v>DOP</v>
          </cell>
          <cell r="I262">
            <v>107</v>
          </cell>
          <cell r="J262">
            <v>56432.02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107</v>
          </cell>
          <cell r="T262">
            <v>56432.02</v>
          </cell>
          <cell r="U262">
            <v>527.40205607476605</v>
          </cell>
        </row>
        <row r="263">
          <cell r="A263">
            <v>1000257</v>
          </cell>
          <cell r="B263" t="str">
            <v>Capa P/ Agua Amarillo Size S Cam/ Pant</v>
          </cell>
          <cell r="D263">
            <v>7201</v>
          </cell>
          <cell r="E263">
            <v>1000</v>
          </cell>
          <cell r="F263" t="str">
            <v>ZALM</v>
          </cell>
          <cell r="G263" t="str">
            <v>UN</v>
          </cell>
          <cell r="H263" t="str">
            <v>DOP</v>
          </cell>
          <cell r="I263">
            <v>123</v>
          </cell>
          <cell r="J263">
            <v>64881.11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123</v>
          </cell>
          <cell r="T263">
            <v>64881.11</v>
          </cell>
          <cell r="U263">
            <v>527.48869918699199</v>
          </cell>
        </row>
        <row r="264">
          <cell r="A264">
            <v>1000258</v>
          </cell>
          <cell r="B264" t="str">
            <v>Capa P/ Agua Amarillo Size XL Cam/ Pant</v>
          </cell>
          <cell r="D264">
            <v>7201</v>
          </cell>
          <cell r="E264">
            <v>1000</v>
          </cell>
          <cell r="F264" t="str">
            <v>ZALM</v>
          </cell>
          <cell r="G264" t="str">
            <v>UN</v>
          </cell>
          <cell r="H264" t="str">
            <v>DOP</v>
          </cell>
          <cell r="I264">
            <v>57</v>
          </cell>
          <cell r="J264">
            <v>30070.54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57</v>
          </cell>
          <cell r="T264">
            <v>30070.54</v>
          </cell>
          <cell r="U264">
            <v>527.55333333333294</v>
          </cell>
        </row>
        <row r="265">
          <cell r="A265">
            <v>1000259</v>
          </cell>
          <cell r="B265" t="str">
            <v>Capa P/ Agua Amarillo Size XXL Cam/ Pant</v>
          </cell>
          <cell r="D265">
            <v>7201</v>
          </cell>
          <cell r="E265">
            <v>1000</v>
          </cell>
          <cell r="F265" t="str">
            <v>ZALM</v>
          </cell>
          <cell r="G265" t="str">
            <v>UN</v>
          </cell>
          <cell r="H265" t="str">
            <v>DOP</v>
          </cell>
          <cell r="I265">
            <v>134</v>
          </cell>
          <cell r="J265">
            <v>70665.100000000006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134</v>
          </cell>
          <cell r="T265">
            <v>70665.100000000006</v>
          </cell>
          <cell r="U265">
            <v>527.35149253731299</v>
          </cell>
        </row>
        <row r="266">
          <cell r="A266">
            <v>1000260</v>
          </cell>
          <cell r="B266" t="str">
            <v>Casco Diel Cl E&amp;G MSA C/ Susp F-Trac II</v>
          </cell>
          <cell r="D266">
            <v>7201</v>
          </cell>
          <cell r="E266">
            <v>1000</v>
          </cell>
          <cell r="F266" t="str">
            <v>ZALM</v>
          </cell>
          <cell r="G266" t="str">
            <v>UN</v>
          </cell>
          <cell r="H266" t="str">
            <v>DOP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 t="e">
            <v>#N/A</v>
          </cell>
        </row>
        <row r="267">
          <cell r="A267">
            <v>1000261</v>
          </cell>
          <cell r="B267" t="str">
            <v>Casco P/ Motorista</v>
          </cell>
          <cell r="D267">
            <v>7201</v>
          </cell>
          <cell r="E267">
            <v>1000</v>
          </cell>
          <cell r="F267" t="str">
            <v>ZALM</v>
          </cell>
          <cell r="G267" t="str">
            <v>UN</v>
          </cell>
          <cell r="H267" t="str">
            <v>DOP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 t="e">
            <v>#N/A</v>
          </cell>
        </row>
        <row r="268">
          <cell r="A268">
            <v>1000262</v>
          </cell>
          <cell r="B268" t="str">
            <v>Chaleco Reflec Alta Visib Amar Cl III L</v>
          </cell>
          <cell r="D268">
            <v>7201</v>
          </cell>
          <cell r="E268">
            <v>1000</v>
          </cell>
          <cell r="F268" t="str">
            <v>ZALM</v>
          </cell>
          <cell r="G268" t="str">
            <v>UN</v>
          </cell>
          <cell r="H268" t="str">
            <v>DOP</v>
          </cell>
          <cell r="I268">
            <v>2</v>
          </cell>
          <cell r="J268">
            <v>1070.17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2</v>
          </cell>
          <cell r="T268">
            <v>1070.17</v>
          </cell>
          <cell r="U268">
            <v>535.08500000000004</v>
          </cell>
        </row>
        <row r="269">
          <cell r="A269">
            <v>1000263</v>
          </cell>
          <cell r="B269" t="str">
            <v>Chaleco Reflec Alta Visib Amar Cl III M</v>
          </cell>
          <cell r="D269">
            <v>7201</v>
          </cell>
          <cell r="E269">
            <v>1000</v>
          </cell>
          <cell r="F269" t="str">
            <v>ZALM</v>
          </cell>
          <cell r="G269" t="str">
            <v>UN</v>
          </cell>
          <cell r="H269" t="str">
            <v>DOP</v>
          </cell>
          <cell r="I269">
            <v>48</v>
          </cell>
          <cell r="J269">
            <v>25684.07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48</v>
          </cell>
          <cell r="T269">
            <v>25684.07</v>
          </cell>
          <cell r="U269">
            <v>535.084791666667</v>
          </cell>
        </row>
        <row r="270">
          <cell r="A270">
            <v>1000264</v>
          </cell>
          <cell r="B270" t="str">
            <v>Chaleco Reflec Alta Visib Amar Cl III S</v>
          </cell>
          <cell r="D270">
            <v>7201</v>
          </cell>
          <cell r="E270">
            <v>1000</v>
          </cell>
          <cell r="F270" t="str">
            <v>ZALM</v>
          </cell>
          <cell r="G270" t="str">
            <v>UN</v>
          </cell>
          <cell r="H270" t="str">
            <v>DOP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 t="e">
            <v>#N/A</v>
          </cell>
        </row>
        <row r="271">
          <cell r="A271">
            <v>1000265</v>
          </cell>
          <cell r="B271" t="str">
            <v>Chaleco Reflec Alta Visib Amar Cl III XL</v>
          </cell>
          <cell r="D271">
            <v>7201</v>
          </cell>
          <cell r="E271">
            <v>1000</v>
          </cell>
          <cell r="F271" t="str">
            <v>ZALM</v>
          </cell>
          <cell r="G271" t="str">
            <v>UN</v>
          </cell>
          <cell r="H271" t="str">
            <v>DOP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 t="e">
            <v>#N/A</v>
          </cell>
        </row>
        <row r="272">
          <cell r="A272">
            <v>1000266</v>
          </cell>
          <cell r="B272" t="str">
            <v>Cinta Seg Indic Peligro 3"x1000' Amar</v>
          </cell>
          <cell r="D272">
            <v>7201</v>
          </cell>
          <cell r="E272">
            <v>1000</v>
          </cell>
          <cell r="F272" t="str">
            <v>ZALM</v>
          </cell>
          <cell r="G272" t="str">
            <v>UN</v>
          </cell>
          <cell r="H272" t="str">
            <v>DOP</v>
          </cell>
          <cell r="I272">
            <v>18</v>
          </cell>
          <cell r="J272">
            <v>4923.5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18</v>
          </cell>
          <cell r="T272">
            <v>4923.5</v>
          </cell>
          <cell r="U272">
            <v>273.527777777778</v>
          </cell>
        </row>
        <row r="273">
          <cell r="A273">
            <v>1000267</v>
          </cell>
          <cell r="B273" t="str">
            <v>Cinta Seg Indic Peligro 3"x1000' Rojo</v>
          </cell>
          <cell r="D273">
            <v>7201</v>
          </cell>
          <cell r="E273">
            <v>1000</v>
          </cell>
          <cell r="F273" t="str">
            <v>ZALM</v>
          </cell>
          <cell r="G273" t="str">
            <v>UN</v>
          </cell>
          <cell r="H273" t="str">
            <v>DOP</v>
          </cell>
          <cell r="I273">
            <v>110</v>
          </cell>
          <cell r="J273">
            <v>40222.79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110</v>
          </cell>
          <cell r="T273">
            <v>40222.79</v>
          </cell>
          <cell r="U273">
            <v>365.66172727272698</v>
          </cell>
        </row>
        <row r="274">
          <cell r="A274">
            <v>1000268</v>
          </cell>
          <cell r="B274" t="str">
            <v>Cinta Seg Indic Peligro 3"x2000' Rojo</v>
          </cell>
          <cell r="D274">
            <v>7201</v>
          </cell>
          <cell r="E274">
            <v>1000</v>
          </cell>
          <cell r="F274" t="str">
            <v>ZALM</v>
          </cell>
          <cell r="G274" t="str">
            <v>UN</v>
          </cell>
          <cell r="H274" t="str">
            <v>DOP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 t="e">
            <v>#N/A</v>
          </cell>
        </row>
        <row r="275">
          <cell r="A275">
            <v>1000269</v>
          </cell>
          <cell r="B275" t="str">
            <v>Cinta Tubular REATA de Nylon 100%</v>
          </cell>
          <cell r="D275">
            <v>7201</v>
          </cell>
          <cell r="E275">
            <v>1000</v>
          </cell>
          <cell r="F275" t="str">
            <v>ZALM</v>
          </cell>
          <cell r="G275" t="str">
            <v>UN</v>
          </cell>
          <cell r="H275" t="str">
            <v>DOP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 t="e">
            <v>#N/A</v>
          </cell>
        </row>
        <row r="276">
          <cell r="A276">
            <v>1000270</v>
          </cell>
          <cell r="B276" t="str">
            <v>Cinturón Seg Rydom C/ Salvavidas</v>
          </cell>
          <cell r="D276">
            <v>7201</v>
          </cell>
          <cell r="E276">
            <v>1000</v>
          </cell>
          <cell r="F276" t="str">
            <v>ZALM</v>
          </cell>
          <cell r="G276" t="str">
            <v>UN</v>
          </cell>
          <cell r="H276" t="str">
            <v>DOP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 t="e">
            <v>#N/A</v>
          </cell>
        </row>
        <row r="277">
          <cell r="A277">
            <v>1000271</v>
          </cell>
          <cell r="B277" t="str">
            <v>Cono de Señalización Vial Grande 28"</v>
          </cell>
          <cell r="D277">
            <v>7201</v>
          </cell>
          <cell r="E277">
            <v>1000</v>
          </cell>
          <cell r="F277" t="str">
            <v>ZALM</v>
          </cell>
          <cell r="G277" t="str">
            <v>UN</v>
          </cell>
          <cell r="H277" t="str">
            <v>DOP</v>
          </cell>
          <cell r="I277">
            <v>372</v>
          </cell>
          <cell r="J277">
            <v>243236.26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372</v>
          </cell>
          <cell r="T277">
            <v>243236.26</v>
          </cell>
          <cell r="U277">
            <v>653.86091397849498</v>
          </cell>
        </row>
        <row r="278">
          <cell r="A278">
            <v>1000272</v>
          </cell>
          <cell r="B278" t="str">
            <v>Cono de Señalización Vial Pequeño 18"</v>
          </cell>
          <cell r="D278">
            <v>7201</v>
          </cell>
          <cell r="E278">
            <v>1000</v>
          </cell>
          <cell r="F278" t="str">
            <v>ZALM</v>
          </cell>
          <cell r="G278" t="str">
            <v>UN</v>
          </cell>
          <cell r="H278" t="str">
            <v>DOP</v>
          </cell>
          <cell r="I278">
            <v>14</v>
          </cell>
          <cell r="J278">
            <v>4987.6400000000003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14</v>
          </cell>
          <cell r="T278">
            <v>4987.6400000000003</v>
          </cell>
          <cell r="U278">
            <v>356.26</v>
          </cell>
        </row>
        <row r="279">
          <cell r="A279">
            <v>1000273</v>
          </cell>
          <cell r="B279" t="str">
            <v>Dispositivo Anticaida C/ Amortig y Freno</v>
          </cell>
          <cell r="D279">
            <v>7201</v>
          </cell>
          <cell r="E279">
            <v>1000</v>
          </cell>
          <cell r="F279" t="str">
            <v>ZALM</v>
          </cell>
          <cell r="G279" t="str">
            <v>UN</v>
          </cell>
          <cell r="H279" t="str">
            <v>DOP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 t="e">
            <v>#N/A</v>
          </cell>
        </row>
        <row r="280">
          <cell r="A280">
            <v>1000274</v>
          </cell>
          <cell r="B280" t="str">
            <v>Eslinga Cable Acero P/ Postes y Transf</v>
          </cell>
          <cell r="D280">
            <v>7201</v>
          </cell>
          <cell r="E280">
            <v>1000</v>
          </cell>
          <cell r="F280" t="str">
            <v>ZALM</v>
          </cell>
          <cell r="G280" t="str">
            <v>UN</v>
          </cell>
          <cell r="H280" t="str">
            <v>DOP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 t="e">
            <v>#N/A</v>
          </cell>
        </row>
        <row r="281">
          <cell r="A281">
            <v>1000275</v>
          </cell>
          <cell r="B281" t="str">
            <v>Eslinga Detención de Caídas 13mm Diam</v>
          </cell>
          <cell r="D281">
            <v>7201</v>
          </cell>
          <cell r="E281">
            <v>1000</v>
          </cell>
          <cell r="F281" t="str">
            <v>ZALM</v>
          </cell>
          <cell r="G281" t="str">
            <v>UN</v>
          </cell>
          <cell r="H281" t="str">
            <v>DOP</v>
          </cell>
          <cell r="I281">
            <v>1</v>
          </cell>
          <cell r="J281">
            <v>1893.47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1</v>
          </cell>
          <cell r="T281">
            <v>1893.47</v>
          </cell>
          <cell r="U281">
            <v>1893.47</v>
          </cell>
        </row>
        <row r="282">
          <cell r="A282">
            <v>1000276</v>
          </cell>
          <cell r="B282" t="str">
            <v>Eslinga Nylon 1 3/4" Ancho x 5' Largo</v>
          </cell>
          <cell r="D282">
            <v>7201</v>
          </cell>
          <cell r="E282">
            <v>1000</v>
          </cell>
          <cell r="F282" t="str">
            <v>ZALM</v>
          </cell>
          <cell r="G282" t="str">
            <v>UN</v>
          </cell>
          <cell r="H282" t="str">
            <v>DOP</v>
          </cell>
          <cell r="I282">
            <v>1</v>
          </cell>
          <cell r="J282">
            <v>2624.61</v>
          </cell>
          <cell r="K282">
            <v>0</v>
          </cell>
          <cell r="L282">
            <v>0</v>
          </cell>
          <cell r="M282">
            <v>7</v>
          </cell>
          <cell r="N282">
            <v>18372.3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8</v>
          </cell>
          <cell r="T282">
            <v>20996.91</v>
          </cell>
          <cell r="U282">
            <v>2624.61375</v>
          </cell>
        </row>
        <row r="283">
          <cell r="A283">
            <v>1000277</v>
          </cell>
          <cell r="B283" t="str">
            <v>Eslinga Nylon 2"x6.60Mtr P/ Amarr Transf</v>
          </cell>
          <cell r="D283">
            <v>7201</v>
          </cell>
          <cell r="E283">
            <v>1000</v>
          </cell>
          <cell r="F283" t="str">
            <v>ZALM</v>
          </cell>
          <cell r="G283" t="str">
            <v>UN</v>
          </cell>
          <cell r="H283" t="str">
            <v>DOP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 t="e">
            <v>#N/A</v>
          </cell>
        </row>
        <row r="284">
          <cell r="A284">
            <v>1000278</v>
          </cell>
          <cell r="B284" t="str">
            <v>Eslinga Posicionamiento Recubr Caucho</v>
          </cell>
          <cell r="D284">
            <v>7201</v>
          </cell>
          <cell r="E284">
            <v>1000</v>
          </cell>
          <cell r="F284" t="str">
            <v>ZALM</v>
          </cell>
          <cell r="G284" t="str">
            <v>UN</v>
          </cell>
          <cell r="H284" t="str">
            <v>DOP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 t="e">
            <v>#N/A</v>
          </cell>
        </row>
        <row r="285">
          <cell r="A285">
            <v>1000279</v>
          </cell>
          <cell r="B285" t="str">
            <v>Eslinga Protección Personal</v>
          </cell>
          <cell r="D285">
            <v>7201</v>
          </cell>
          <cell r="E285">
            <v>1000</v>
          </cell>
          <cell r="F285" t="str">
            <v>ZALM</v>
          </cell>
          <cell r="G285" t="str">
            <v>UN</v>
          </cell>
          <cell r="H285" t="str">
            <v>DOP</v>
          </cell>
          <cell r="I285">
            <v>55</v>
          </cell>
          <cell r="J285">
            <v>95381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55</v>
          </cell>
          <cell r="T285">
            <v>95381</v>
          </cell>
          <cell r="U285">
            <v>1734.2</v>
          </cell>
        </row>
        <row r="286">
          <cell r="A286">
            <v>1000280</v>
          </cell>
          <cell r="B286" t="str">
            <v>Espuela Acero P/ Linieros Klein CN1907AR</v>
          </cell>
          <cell r="D286">
            <v>7201</v>
          </cell>
          <cell r="E286">
            <v>1000</v>
          </cell>
          <cell r="F286" t="str">
            <v>ZALM</v>
          </cell>
          <cell r="G286" t="str">
            <v>UN</v>
          </cell>
          <cell r="H286" t="str">
            <v>DOP</v>
          </cell>
          <cell r="I286">
            <v>7</v>
          </cell>
          <cell r="J286">
            <v>24948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7</v>
          </cell>
          <cell r="T286">
            <v>24948</v>
          </cell>
          <cell r="U286">
            <v>3564</v>
          </cell>
        </row>
        <row r="287">
          <cell r="A287">
            <v>1000281</v>
          </cell>
          <cell r="B287" t="str">
            <v>Estinguidor 20 Lbs Mod. 332</v>
          </cell>
          <cell r="D287">
            <v>7201</v>
          </cell>
          <cell r="E287">
            <v>1000</v>
          </cell>
          <cell r="F287" t="str">
            <v>ZALM</v>
          </cell>
          <cell r="G287" t="str">
            <v>UN</v>
          </cell>
          <cell r="H287" t="str">
            <v>DOP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 t="e">
            <v>#N/A</v>
          </cell>
        </row>
        <row r="288">
          <cell r="A288">
            <v>1000282</v>
          </cell>
          <cell r="B288" t="str">
            <v>Estinguidor 20 Lbs Mod. A17T</v>
          </cell>
          <cell r="D288">
            <v>7201</v>
          </cell>
          <cell r="E288">
            <v>1000</v>
          </cell>
          <cell r="F288" t="str">
            <v>ZALM</v>
          </cell>
          <cell r="G288" t="str">
            <v>UN</v>
          </cell>
          <cell r="H288" t="str">
            <v>DOP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 t="e">
            <v>#N/A</v>
          </cell>
        </row>
        <row r="289">
          <cell r="A289">
            <v>1000283</v>
          </cell>
          <cell r="B289" t="str">
            <v>Estinguidor 20 Lbs Mod. A411</v>
          </cell>
          <cell r="D289">
            <v>7201</v>
          </cell>
          <cell r="E289">
            <v>1000</v>
          </cell>
          <cell r="F289" t="str">
            <v>ZALM</v>
          </cell>
          <cell r="G289" t="str">
            <v>UN</v>
          </cell>
          <cell r="H289" t="str">
            <v>DOP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 t="e">
            <v>#N/A</v>
          </cell>
        </row>
        <row r="290">
          <cell r="A290">
            <v>1000284</v>
          </cell>
          <cell r="B290" t="str">
            <v>Extintor ABC 5 Lbs</v>
          </cell>
          <cell r="D290">
            <v>7201</v>
          </cell>
          <cell r="E290">
            <v>1000</v>
          </cell>
          <cell r="F290" t="str">
            <v>ZALM</v>
          </cell>
          <cell r="G290" t="str">
            <v>UN</v>
          </cell>
          <cell r="H290" t="str">
            <v>DOP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 t="e">
            <v>#N/A</v>
          </cell>
        </row>
        <row r="291">
          <cell r="A291">
            <v>1000285</v>
          </cell>
          <cell r="B291" t="str">
            <v>Estribos</v>
          </cell>
          <cell r="D291">
            <v>7201</v>
          </cell>
          <cell r="E291">
            <v>1000</v>
          </cell>
          <cell r="F291" t="str">
            <v>ZALM</v>
          </cell>
          <cell r="G291" t="str">
            <v>UN</v>
          </cell>
          <cell r="H291" t="str">
            <v>DOP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 t="e">
            <v>#N/A</v>
          </cell>
        </row>
        <row r="292">
          <cell r="A292">
            <v>1000286</v>
          </cell>
          <cell r="B292" t="str">
            <v>Extinguidor ABC 2.5 Lib</v>
          </cell>
          <cell r="D292">
            <v>7201</v>
          </cell>
          <cell r="E292">
            <v>1000</v>
          </cell>
          <cell r="F292" t="str">
            <v>ZALM</v>
          </cell>
          <cell r="G292" t="str">
            <v>UN</v>
          </cell>
          <cell r="H292" t="str">
            <v>DOP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 t="e">
            <v>#N/A</v>
          </cell>
        </row>
        <row r="293">
          <cell r="A293">
            <v>1000287</v>
          </cell>
          <cell r="B293" t="str">
            <v>Extintor ABC 0.5 Lib</v>
          </cell>
          <cell r="D293">
            <v>7201</v>
          </cell>
          <cell r="E293">
            <v>1000</v>
          </cell>
          <cell r="F293" t="str">
            <v>ZALM</v>
          </cell>
          <cell r="G293" t="str">
            <v>UN</v>
          </cell>
          <cell r="H293" t="str">
            <v>DOP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 t="e">
            <v>#N/A</v>
          </cell>
        </row>
        <row r="294">
          <cell r="A294">
            <v>1000288</v>
          </cell>
          <cell r="B294" t="str">
            <v>Extintor ABC 10 Lib</v>
          </cell>
          <cell r="D294">
            <v>7201</v>
          </cell>
          <cell r="E294">
            <v>1000</v>
          </cell>
          <cell r="F294" t="str">
            <v>ZALM</v>
          </cell>
          <cell r="G294" t="str">
            <v>UN</v>
          </cell>
          <cell r="H294" t="str">
            <v>DOP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 t="e">
            <v>#N/A</v>
          </cell>
        </row>
        <row r="295">
          <cell r="A295">
            <v>1000289</v>
          </cell>
          <cell r="B295" t="str">
            <v>Extintor ABC 125 Lib</v>
          </cell>
          <cell r="D295">
            <v>7201</v>
          </cell>
          <cell r="E295">
            <v>1000</v>
          </cell>
          <cell r="F295" t="str">
            <v>ZALM</v>
          </cell>
          <cell r="G295" t="str">
            <v>UN</v>
          </cell>
          <cell r="H295" t="str">
            <v>DOP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 t="e">
            <v>#N/A</v>
          </cell>
        </row>
        <row r="296">
          <cell r="A296">
            <v>1000290</v>
          </cell>
          <cell r="B296" t="str">
            <v>Extintor ABC 2.5 Lib</v>
          </cell>
          <cell r="D296">
            <v>7201</v>
          </cell>
          <cell r="E296">
            <v>1000</v>
          </cell>
          <cell r="F296" t="str">
            <v>ZALM</v>
          </cell>
          <cell r="G296" t="str">
            <v>UN</v>
          </cell>
          <cell r="H296" t="str">
            <v>DOP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 t="e">
            <v>#N/A</v>
          </cell>
        </row>
        <row r="297">
          <cell r="A297">
            <v>1000291</v>
          </cell>
          <cell r="B297" t="str">
            <v>Extintor ABC 20 Lib</v>
          </cell>
          <cell r="D297">
            <v>7201</v>
          </cell>
          <cell r="E297">
            <v>1000</v>
          </cell>
          <cell r="F297" t="str">
            <v>ZALM</v>
          </cell>
          <cell r="G297" t="str">
            <v>UN</v>
          </cell>
          <cell r="H297" t="str">
            <v>DOP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 t="e">
            <v>#N/A</v>
          </cell>
        </row>
        <row r="298">
          <cell r="A298">
            <v>1000292</v>
          </cell>
          <cell r="B298" t="str">
            <v>Extintor ABC 50 Lib</v>
          </cell>
          <cell r="D298">
            <v>7201</v>
          </cell>
          <cell r="E298">
            <v>1000</v>
          </cell>
          <cell r="F298" t="str">
            <v>ZALM</v>
          </cell>
          <cell r="G298" t="str">
            <v>UN</v>
          </cell>
          <cell r="H298" t="str">
            <v>DOP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 t="e">
            <v>#N/A</v>
          </cell>
        </row>
        <row r="299">
          <cell r="A299">
            <v>1000293</v>
          </cell>
          <cell r="B299" t="str">
            <v>Extintor CO2 10 Lib</v>
          </cell>
          <cell r="D299">
            <v>7201</v>
          </cell>
          <cell r="E299">
            <v>1000</v>
          </cell>
          <cell r="F299" t="str">
            <v>ZALM</v>
          </cell>
          <cell r="G299" t="str">
            <v>UN</v>
          </cell>
          <cell r="H299" t="str">
            <v>DOP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 t="e">
            <v>#N/A</v>
          </cell>
        </row>
        <row r="300">
          <cell r="A300">
            <v>1000294</v>
          </cell>
          <cell r="B300" t="str">
            <v>Extintor CO2 15 Lib</v>
          </cell>
          <cell r="D300">
            <v>7201</v>
          </cell>
          <cell r="E300">
            <v>1000</v>
          </cell>
          <cell r="F300" t="str">
            <v>ZALM</v>
          </cell>
          <cell r="G300" t="str">
            <v>UN</v>
          </cell>
          <cell r="H300" t="str">
            <v>DOP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 t="e">
            <v>#N/A</v>
          </cell>
        </row>
        <row r="301">
          <cell r="A301">
            <v>1000295</v>
          </cell>
          <cell r="B301" t="str">
            <v>Extintor CO2 20 Lib</v>
          </cell>
          <cell r="D301">
            <v>7201</v>
          </cell>
          <cell r="E301">
            <v>1000</v>
          </cell>
          <cell r="F301" t="str">
            <v>ZALM</v>
          </cell>
          <cell r="G301" t="str">
            <v>UN</v>
          </cell>
          <cell r="H301" t="str">
            <v>DOP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 t="e">
            <v>#N/A</v>
          </cell>
        </row>
        <row r="302">
          <cell r="A302">
            <v>1000296</v>
          </cell>
          <cell r="B302" t="str">
            <v>Extintor CO2 5 Lib</v>
          </cell>
          <cell r="D302">
            <v>7201</v>
          </cell>
          <cell r="E302">
            <v>1000</v>
          </cell>
          <cell r="F302" t="str">
            <v>ZALM</v>
          </cell>
          <cell r="G302" t="str">
            <v>UN</v>
          </cell>
          <cell r="H302" t="str">
            <v>DOP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 t="e">
            <v>#N/A</v>
          </cell>
        </row>
        <row r="303">
          <cell r="A303">
            <v>1000297</v>
          </cell>
          <cell r="B303" t="str">
            <v>Extintor CO2 50 Lib</v>
          </cell>
          <cell r="D303">
            <v>7201</v>
          </cell>
          <cell r="E303">
            <v>1000</v>
          </cell>
          <cell r="F303" t="str">
            <v>ZALM</v>
          </cell>
          <cell r="G303" t="str">
            <v>UN</v>
          </cell>
          <cell r="H303" t="str">
            <v>DOP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 t="e">
            <v>#N/A</v>
          </cell>
        </row>
        <row r="304">
          <cell r="A304">
            <v>1000298</v>
          </cell>
          <cell r="B304" t="str">
            <v>Extintor Halotron 11 Lib</v>
          </cell>
          <cell r="D304">
            <v>7201</v>
          </cell>
          <cell r="E304">
            <v>1000</v>
          </cell>
          <cell r="F304" t="str">
            <v>ZALM</v>
          </cell>
          <cell r="G304" t="str">
            <v>UN</v>
          </cell>
          <cell r="H304" t="str">
            <v>DOP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 t="e">
            <v>#N/A</v>
          </cell>
        </row>
        <row r="305">
          <cell r="A305">
            <v>1000299</v>
          </cell>
          <cell r="B305" t="str">
            <v>Extintor Halotron 5 Lib</v>
          </cell>
          <cell r="D305">
            <v>7201</v>
          </cell>
          <cell r="E305">
            <v>1000</v>
          </cell>
          <cell r="F305" t="str">
            <v>ZALM</v>
          </cell>
          <cell r="G305" t="str">
            <v>UN</v>
          </cell>
          <cell r="H305" t="str">
            <v>DOP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 t="e">
            <v>#N/A</v>
          </cell>
        </row>
        <row r="306">
          <cell r="A306">
            <v>1000300</v>
          </cell>
          <cell r="B306" t="str">
            <v>Faja Contra Esfuerzo de Seguridad</v>
          </cell>
          <cell r="D306">
            <v>7201</v>
          </cell>
          <cell r="E306">
            <v>1000</v>
          </cell>
          <cell r="F306" t="str">
            <v>ZALM</v>
          </cell>
          <cell r="G306" t="str">
            <v>UN</v>
          </cell>
          <cell r="H306" t="str">
            <v>DOP</v>
          </cell>
          <cell r="I306">
            <v>9</v>
          </cell>
          <cell r="J306">
            <v>2268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9</v>
          </cell>
          <cell r="T306">
            <v>2268</v>
          </cell>
          <cell r="U306">
            <v>252</v>
          </cell>
        </row>
        <row r="307">
          <cell r="A307">
            <v>1000301</v>
          </cell>
          <cell r="B307" t="str">
            <v>Fast-Trace II Harness P/ Casco Protector</v>
          </cell>
          <cell r="D307">
            <v>7201</v>
          </cell>
          <cell r="E307">
            <v>1000</v>
          </cell>
          <cell r="F307" t="str">
            <v>ZALM</v>
          </cell>
          <cell r="G307" t="str">
            <v>UN</v>
          </cell>
          <cell r="H307" t="str">
            <v>DOP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 t="e">
            <v>#N/A</v>
          </cell>
        </row>
        <row r="308">
          <cell r="A308">
            <v>1000302</v>
          </cell>
          <cell r="B308" t="str">
            <v>Forro de Guante T/ Verano Cat.4T4987</v>
          </cell>
          <cell r="D308">
            <v>7201</v>
          </cell>
          <cell r="E308">
            <v>1000</v>
          </cell>
          <cell r="F308" t="str">
            <v>ZALM</v>
          </cell>
          <cell r="G308" t="str">
            <v>UN</v>
          </cell>
          <cell r="H308" t="str">
            <v>DOP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 t="e">
            <v>#N/A</v>
          </cell>
        </row>
        <row r="309">
          <cell r="A309">
            <v>1000303</v>
          </cell>
          <cell r="B309" t="str">
            <v>Gafa Protec Personal Antiray Amarillo</v>
          </cell>
          <cell r="D309">
            <v>7201</v>
          </cell>
          <cell r="E309">
            <v>1000</v>
          </cell>
          <cell r="F309" t="str">
            <v>ZALM</v>
          </cell>
          <cell r="G309" t="str">
            <v>UN</v>
          </cell>
          <cell r="H309" t="str">
            <v>DOP</v>
          </cell>
          <cell r="I309">
            <v>260</v>
          </cell>
          <cell r="J309">
            <v>30779.24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260</v>
          </cell>
          <cell r="T309">
            <v>30779.24</v>
          </cell>
          <cell r="U309">
            <v>118.38169230769201</v>
          </cell>
        </row>
        <row r="310">
          <cell r="A310">
            <v>1000304</v>
          </cell>
          <cell r="B310" t="str">
            <v>Gorra P/ Lectores-Distribuidores de Fact</v>
          </cell>
          <cell r="D310">
            <v>7201</v>
          </cell>
          <cell r="E310">
            <v>1000</v>
          </cell>
          <cell r="F310" t="str">
            <v>ZALM</v>
          </cell>
          <cell r="G310" t="str">
            <v>UN</v>
          </cell>
          <cell r="H310" t="str">
            <v>DOP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 t="e">
            <v>#N/A</v>
          </cell>
        </row>
        <row r="311">
          <cell r="A311">
            <v>1000305</v>
          </cell>
          <cell r="B311" t="str">
            <v>Guantes Aislado P/ 15kV</v>
          </cell>
          <cell r="D311">
            <v>7201</v>
          </cell>
          <cell r="E311">
            <v>1000</v>
          </cell>
          <cell r="F311" t="str">
            <v>ZALM</v>
          </cell>
          <cell r="G311" t="str">
            <v>UN</v>
          </cell>
          <cell r="H311" t="str">
            <v>DOP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 t="e">
            <v>#N/A</v>
          </cell>
        </row>
        <row r="312">
          <cell r="A312">
            <v>1000306</v>
          </cell>
          <cell r="B312" t="str">
            <v>Guantes Aislado P/ 15kV C/ Protector</v>
          </cell>
          <cell r="D312">
            <v>7201</v>
          </cell>
          <cell r="E312">
            <v>1000</v>
          </cell>
          <cell r="F312" t="str">
            <v>ZALM</v>
          </cell>
          <cell r="G312" t="str">
            <v>UN</v>
          </cell>
          <cell r="H312" t="str">
            <v>DOP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 t="e">
            <v>#N/A</v>
          </cell>
        </row>
        <row r="313">
          <cell r="A313">
            <v>1000307</v>
          </cell>
          <cell r="B313" t="str">
            <v>Guantes Aislado P/ 27kV</v>
          </cell>
          <cell r="D313">
            <v>7201</v>
          </cell>
          <cell r="E313">
            <v>1000</v>
          </cell>
          <cell r="F313" t="str">
            <v>ZALM</v>
          </cell>
          <cell r="G313" t="str">
            <v>UN</v>
          </cell>
          <cell r="H313" t="str">
            <v>DOP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 t="e">
            <v>#N/A</v>
          </cell>
        </row>
        <row r="314">
          <cell r="A314">
            <v>1000308</v>
          </cell>
          <cell r="B314" t="str">
            <v>Guantes Aislado P/ 27kV C/ Protector</v>
          </cell>
          <cell r="D314">
            <v>7201</v>
          </cell>
          <cell r="E314">
            <v>1000</v>
          </cell>
          <cell r="F314" t="str">
            <v>ZALM</v>
          </cell>
          <cell r="G314" t="str">
            <v>UN</v>
          </cell>
          <cell r="H314" t="str">
            <v>DOP</v>
          </cell>
          <cell r="I314">
            <v>2</v>
          </cell>
          <cell r="J314">
            <v>2907.46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2</v>
          </cell>
          <cell r="T314">
            <v>2907.46</v>
          </cell>
          <cell r="U314">
            <v>1453.73</v>
          </cell>
        </row>
        <row r="315">
          <cell r="A315">
            <v>1000309</v>
          </cell>
          <cell r="B315" t="str">
            <v>Guantes Aislado P/ 500V S/ Protector</v>
          </cell>
          <cell r="D315">
            <v>7201</v>
          </cell>
          <cell r="E315">
            <v>1000</v>
          </cell>
          <cell r="F315" t="str">
            <v>ZALM</v>
          </cell>
          <cell r="G315" t="str">
            <v>UN</v>
          </cell>
          <cell r="H315" t="str">
            <v>DOP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 t="e">
            <v>#N/A</v>
          </cell>
        </row>
        <row r="316">
          <cell r="A316">
            <v>1000310</v>
          </cell>
          <cell r="B316" t="str">
            <v>Guantes Cortos Azul-Amarillo Propiel</v>
          </cell>
          <cell r="D316">
            <v>7201</v>
          </cell>
          <cell r="E316">
            <v>1000</v>
          </cell>
          <cell r="F316" t="str">
            <v>ZALM</v>
          </cell>
          <cell r="G316" t="str">
            <v>UN</v>
          </cell>
          <cell r="H316" t="str">
            <v>DOP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 t="e">
            <v>#N/A</v>
          </cell>
        </row>
        <row r="317">
          <cell r="A317">
            <v>1000311</v>
          </cell>
          <cell r="B317" t="str">
            <v>Guantes Dieléc Cl 0 1000V Kit Size 10</v>
          </cell>
          <cell r="D317">
            <v>7201</v>
          </cell>
          <cell r="E317">
            <v>1000</v>
          </cell>
          <cell r="F317" t="str">
            <v>ZALM</v>
          </cell>
          <cell r="G317" t="str">
            <v>UN</v>
          </cell>
          <cell r="H317" t="str">
            <v>DOP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 t="e">
            <v>#N/A</v>
          </cell>
        </row>
        <row r="318">
          <cell r="A318">
            <v>1000312</v>
          </cell>
          <cell r="B318" t="str">
            <v>Guantes Dieléc Cl 0 1000V Kit Size 10H</v>
          </cell>
          <cell r="D318">
            <v>7201</v>
          </cell>
          <cell r="E318">
            <v>1000</v>
          </cell>
          <cell r="F318" t="str">
            <v>ZALM</v>
          </cell>
          <cell r="G318" t="str">
            <v>UN</v>
          </cell>
          <cell r="H318" t="str">
            <v>DOP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 t="e">
            <v>#N/A</v>
          </cell>
        </row>
        <row r="319">
          <cell r="A319">
            <v>1000313</v>
          </cell>
          <cell r="B319" t="str">
            <v>Guantes Dieléc Cl 0 1000V Kit Size 9</v>
          </cell>
          <cell r="D319">
            <v>7201</v>
          </cell>
          <cell r="E319">
            <v>1000</v>
          </cell>
          <cell r="F319" t="str">
            <v>ZALM</v>
          </cell>
          <cell r="G319" t="str">
            <v>UN</v>
          </cell>
          <cell r="H319" t="str">
            <v>DOP</v>
          </cell>
          <cell r="I319">
            <v>2</v>
          </cell>
          <cell r="J319">
            <v>10828.56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2</v>
          </cell>
          <cell r="T319">
            <v>10828.56</v>
          </cell>
          <cell r="U319">
            <v>5414.28</v>
          </cell>
        </row>
        <row r="320">
          <cell r="A320">
            <v>1000314</v>
          </cell>
          <cell r="B320" t="str">
            <v>Guantes Dieléc Cl 0 1000V Kit Size 9H</v>
          </cell>
          <cell r="D320">
            <v>7201</v>
          </cell>
          <cell r="E320">
            <v>1000</v>
          </cell>
          <cell r="F320" t="str">
            <v>ZALM</v>
          </cell>
          <cell r="G320" t="str">
            <v>UN</v>
          </cell>
          <cell r="H320" t="str">
            <v>DOP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 t="e">
            <v>#N/A</v>
          </cell>
        </row>
        <row r="321">
          <cell r="A321">
            <v>1000315</v>
          </cell>
          <cell r="B321" t="str">
            <v>Guantes Dieléc Cl 2 17000V Size 10</v>
          </cell>
          <cell r="D321">
            <v>7201</v>
          </cell>
          <cell r="E321">
            <v>1000</v>
          </cell>
          <cell r="F321" t="str">
            <v>ZALM</v>
          </cell>
          <cell r="G321" t="str">
            <v>UN</v>
          </cell>
          <cell r="H321" t="str">
            <v>DOP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 t="e">
            <v>#N/A</v>
          </cell>
        </row>
        <row r="322">
          <cell r="A322">
            <v>1000316</v>
          </cell>
          <cell r="B322" t="str">
            <v>Guantes Dieléc Cl 2 17000V Size 10H</v>
          </cell>
          <cell r="D322">
            <v>7201</v>
          </cell>
          <cell r="E322">
            <v>1000</v>
          </cell>
          <cell r="F322" t="str">
            <v>ZALM</v>
          </cell>
          <cell r="G322" t="str">
            <v>UN</v>
          </cell>
          <cell r="H322" t="str">
            <v>DOP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 t="e">
            <v>#N/A</v>
          </cell>
        </row>
        <row r="323">
          <cell r="A323">
            <v>1000317</v>
          </cell>
          <cell r="B323" t="str">
            <v>Guantes Dieléc Cl 2 17000V Size 9</v>
          </cell>
          <cell r="D323">
            <v>7201</v>
          </cell>
          <cell r="E323">
            <v>1000</v>
          </cell>
          <cell r="F323" t="str">
            <v>ZALM</v>
          </cell>
          <cell r="G323" t="str">
            <v>UN</v>
          </cell>
          <cell r="H323" t="str">
            <v>DOP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 t="e">
            <v>#N/A</v>
          </cell>
        </row>
        <row r="324">
          <cell r="A324">
            <v>1000318</v>
          </cell>
          <cell r="B324" t="str">
            <v>Guantes Dieléc Cl 2 17000V Size 9H</v>
          </cell>
          <cell r="D324">
            <v>7201</v>
          </cell>
          <cell r="E324">
            <v>1000</v>
          </cell>
          <cell r="F324" t="str">
            <v>ZALM</v>
          </cell>
          <cell r="G324" t="str">
            <v>UN</v>
          </cell>
          <cell r="H324" t="str">
            <v>DOP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 t="e">
            <v>#N/A</v>
          </cell>
        </row>
        <row r="325">
          <cell r="A325">
            <v>1000319</v>
          </cell>
          <cell r="B325" t="str">
            <v>Guantes Dieléc Goma Cl 0 1000V Size 10</v>
          </cell>
          <cell r="D325">
            <v>7201</v>
          </cell>
          <cell r="E325">
            <v>1000</v>
          </cell>
          <cell r="F325" t="str">
            <v>ZALM</v>
          </cell>
          <cell r="G325" t="str">
            <v>UN</v>
          </cell>
          <cell r="H325" t="str">
            <v>DOP</v>
          </cell>
          <cell r="I325">
            <v>10</v>
          </cell>
          <cell r="J325">
            <v>28035.439999999999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10</v>
          </cell>
          <cell r="T325">
            <v>28035.439999999999</v>
          </cell>
          <cell r="U325">
            <v>2803.5439999999999</v>
          </cell>
        </row>
        <row r="326">
          <cell r="A326">
            <v>1000320</v>
          </cell>
          <cell r="B326" t="str">
            <v>Guantes Dieléc Goma Cl 0 1000V Size 10H</v>
          </cell>
          <cell r="D326">
            <v>7201</v>
          </cell>
          <cell r="E326">
            <v>1000</v>
          </cell>
          <cell r="F326" t="str">
            <v>ZALM</v>
          </cell>
          <cell r="G326" t="str">
            <v>UN</v>
          </cell>
          <cell r="H326" t="str">
            <v>DOP</v>
          </cell>
          <cell r="I326">
            <v>54</v>
          </cell>
          <cell r="J326">
            <v>170975.38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54</v>
          </cell>
          <cell r="T326">
            <v>170975.38</v>
          </cell>
          <cell r="U326">
            <v>3166.2107407407402</v>
          </cell>
        </row>
        <row r="327">
          <cell r="A327">
            <v>1000321</v>
          </cell>
          <cell r="B327" t="str">
            <v>Guantes Dieléc Goma Cl 0 1000V Size 9</v>
          </cell>
          <cell r="D327">
            <v>7201</v>
          </cell>
          <cell r="E327">
            <v>1000</v>
          </cell>
          <cell r="F327" t="str">
            <v>ZALM</v>
          </cell>
          <cell r="G327" t="str">
            <v>UN</v>
          </cell>
          <cell r="H327" t="str">
            <v>DOP</v>
          </cell>
          <cell r="I327">
            <v>98</v>
          </cell>
          <cell r="J327">
            <v>356414.32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98</v>
          </cell>
          <cell r="T327">
            <v>356414.32</v>
          </cell>
          <cell r="U327">
            <v>3636.8808163265298</v>
          </cell>
        </row>
        <row r="328">
          <cell r="A328">
            <v>1000322</v>
          </cell>
          <cell r="B328" t="str">
            <v>Guantes Dieléc Goma Cl 0 1000V Size 9H</v>
          </cell>
          <cell r="D328">
            <v>7201</v>
          </cell>
          <cell r="E328">
            <v>1000</v>
          </cell>
          <cell r="F328" t="str">
            <v>ZALM</v>
          </cell>
          <cell r="G328" t="str">
            <v>UN</v>
          </cell>
          <cell r="H328" t="str">
            <v>DOP</v>
          </cell>
          <cell r="I328">
            <v>79</v>
          </cell>
          <cell r="J328">
            <v>240179.41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79</v>
          </cell>
          <cell r="T328">
            <v>240179.41</v>
          </cell>
          <cell r="U328">
            <v>3040.2456962025299</v>
          </cell>
        </row>
        <row r="329">
          <cell r="A329">
            <v>1000323</v>
          </cell>
          <cell r="B329" t="str">
            <v>Guantes Dieléc Goma Cl 2 17000V Size 10</v>
          </cell>
          <cell r="D329">
            <v>7201</v>
          </cell>
          <cell r="E329">
            <v>1000</v>
          </cell>
          <cell r="F329" t="str">
            <v>ZALM</v>
          </cell>
          <cell r="G329" t="str">
            <v>UN</v>
          </cell>
          <cell r="H329" t="str">
            <v>DOP</v>
          </cell>
          <cell r="I329">
            <v>63</v>
          </cell>
          <cell r="J329">
            <v>427730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63</v>
          </cell>
          <cell r="T329">
            <v>427730</v>
          </cell>
          <cell r="U329">
            <v>6789.3650793650804</v>
          </cell>
        </row>
        <row r="330">
          <cell r="A330">
            <v>1000324</v>
          </cell>
          <cell r="B330" t="str">
            <v>Guantes Dieléc Goma Cl 2 17000V Size 10H</v>
          </cell>
          <cell r="D330">
            <v>7201</v>
          </cell>
          <cell r="E330">
            <v>1000</v>
          </cell>
          <cell r="F330" t="str">
            <v>ZALM</v>
          </cell>
          <cell r="G330" t="str">
            <v>UN</v>
          </cell>
          <cell r="H330" t="str">
            <v>DOP</v>
          </cell>
          <cell r="I330">
            <v>67</v>
          </cell>
          <cell r="J330">
            <v>441194.28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67</v>
          </cell>
          <cell r="T330">
            <v>441194.28</v>
          </cell>
          <cell r="U330">
            <v>6584.9892537313399</v>
          </cell>
        </row>
        <row r="331">
          <cell r="A331">
            <v>1000325</v>
          </cell>
          <cell r="B331" t="str">
            <v>Guantes Dieléc Goma Cl 2 17000V Size 9</v>
          </cell>
          <cell r="D331">
            <v>7201</v>
          </cell>
          <cell r="E331">
            <v>1000</v>
          </cell>
          <cell r="F331" t="str">
            <v>ZALM</v>
          </cell>
          <cell r="G331" t="str">
            <v>UN</v>
          </cell>
          <cell r="H331" t="str">
            <v>DOP</v>
          </cell>
          <cell r="I331">
            <v>68</v>
          </cell>
          <cell r="J331">
            <v>475211.21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68</v>
          </cell>
          <cell r="T331">
            <v>475211.21</v>
          </cell>
          <cell r="U331">
            <v>6988.40014705882</v>
          </cell>
        </row>
        <row r="332">
          <cell r="A332">
            <v>1000326</v>
          </cell>
          <cell r="B332" t="str">
            <v>Guantes Dieléc Goma Cl 2 17000V Size 9H</v>
          </cell>
          <cell r="D332">
            <v>7201</v>
          </cell>
          <cell r="E332">
            <v>1000</v>
          </cell>
          <cell r="F332" t="str">
            <v>ZALM</v>
          </cell>
          <cell r="G332" t="str">
            <v>UN</v>
          </cell>
          <cell r="H332" t="str">
            <v>DOP</v>
          </cell>
          <cell r="I332">
            <v>70</v>
          </cell>
          <cell r="J332">
            <v>474228.9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70</v>
          </cell>
          <cell r="T332">
            <v>474228.9</v>
          </cell>
          <cell r="U332">
            <v>6774.6985714285702</v>
          </cell>
        </row>
        <row r="333">
          <cell r="A333">
            <v>1000327</v>
          </cell>
          <cell r="B333" t="str">
            <v>Guantes KSR 22-515 Vinil Recub Size 9</v>
          </cell>
          <cell r="D333">
            <v>7201</v>
          </cell>
          <cell r="E333">
            <v>1000</v>
          </cell>
          <cell r="F333" t="str">
            <v>ZALM</v>
          </cell>
          <cell r="G333" t="str">
            <v>UN</v>
          </cell>
          <cell r="H333" t="str">
            <v>DOP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 t="e">
            <v>#N/A</v>
          </cell>
        </row>
        <row r="334">
          <cell r="A334">
            <v>1000328</v>
          </cell>
          <cell r="B334" t="str">
            <v>Guantes Neopreno 18"</v>
          </cell>
          <cell r="D334">
            <v>7201</v>
          </cell>
          <cell r="E334">
            <v>1000</v>
          </cell>
          <cell r="F334" t="str">
            <v>ZALM</v>
          </cell>
          <cell r="G334" t="str">
            <v>UN</v>
          </cell>
          <cell r="H334" t="str">
            <v>DOP</v>
          </cell>
          <cell r="I334">
            <v>92</v>
          </cell>
          <cell r="J334">
            <v>58411.06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92</v>
          </cell>
          <cell r="T334">
            <v>58411.06</v>
          </cell>
          <cell r="U334">
            <v>634.90282608695702</v>
          </cell>
        </row>
        <row r="335">
          <cell r="A335">
            <v>1000329</v>
          </cell>
          <cell r="B335" t="str">
            <v>Guantes PVC Corrugados</v>
          </cell>
          <cell r="D335">
            <v>7201</v>
          </cell>
          <cell r="E335">
            <v>1000</v>
          </cell>
          <cell r="F335" t="str">
            <v>ZALM</v>
          </cell>
          <cell r="G335" t="str">
            <v>UN</v>
          </cell>
          <cell r="H335" t="str">
            <v>DOP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 t="e">
            <v>#N/A</v>
          </cell>
        </row>
        <row r="336">
          <cell r="A336">
            <v>1000330</v>
          </cell>
          <cell r="B336" t="str">
            <v>Guantes Rústico Flor Piel Cabra 12"</v>
          </cell>
          <cell r="D336">
            <v>7201</v>
          </cell>
          <cell r="E336">
            <v>1000</v>
          </cell>
          <cell r="F336" t="str">
            <v>ZALM</v>
          </cell>
          <cell r="G336" t="str">
            <v>UN</v>
          </cell>
          <cell r="H336" t="str">
            <v>DOP</v>
          </cell>
          <cell r="I336">
            <v>2472</v>
          </cell>
          <cell r="J336">
            <v>635946.31999999995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2472</v>
          </cell>
          <cell r="T336">
            <v>635946.31999999995</v>
          </cell>
          <cell r="U336">
            <v>257.25983818770197</v>
          </cell>
        </row>
        <row r="337">
          <cell r="A337">
            <v>1000331</v>
          </cell>
          <cell r="B337" t="str">
            <v>Guantes SOL-VEX 13" 37-145 Size 9 Nitr</v>
          </cell>
          <cell r="D337">
            <v>7201</v>
          </cell>
          <cell r="E337">
            <v>1000</v>
          </cell>
          <cell r="F337" t="str">
            <v>ZALM</v>
          </cell>
          <cell r="G337" t="str">
            <v>UN</v>
          </cell>
          <cell r="H337" t="str">
            <v>DOP</v>
          </cell>
          <cell r="I337">
            <v>99</v>
          </cell>
          <cell r="J337">
            <v>18729.259999999998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99</v>
          </cell>
          <cell r="T337">
            <v>18729.259999999998</v>
          </cell>
          <cell r="U337">
            <v>189.18444444444401</v>
          </cell>
        </row>
        <row r="338">
          <cell r="A338">
            <v>1000332</v>
          </cell>
          <cell r="B338" t="str">
            <v>Guantes SOL-VEX 18" 37-185 Size 9 Nitr</v>
          </cell>
          <cell r="D338">
            <v>7201</v>
          </cell>
          <cell r="E338">
            <v>1000</v>
          </cell>
          <cell r="F338" t="str">
            <v>ZALM</v>
          </cell>
          <cell r="G338" t="str">
            <v>UN</v>
          </cell>
          <cell r="H338" t="str">
            <v>DOP</v>
          </cell>
          <cell r="I338">
            <v>100</v>
          </cell>
          <cell r="J338">
            <v>18918.439999999999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100</v>
          </cell>
          <cell r="T338">
            <v>18918.439999999999</v>
          </cell>
          <cell r="U338">
            <v>189.18440000000001</v>
          </cell>
        </row>
        <row r="339">
          <cell r="A339">
            <v>1000333</v>
          </cell>
          <cell r="B339" t="str">
            <v>Guantes Touch Ntuff Nitr Desech Size 9</v>
          </cell>
          <cell r="D339">
            <v>7201</v>
          </cell>
          <cell r="E339">
            <v>1000</v>
          </cell>
          <cell r="F339" t="str">
            <v>ZALM</v>
          </cell>
          <cell r="G339" t="str">
            <v>UN</v>
          </cell>
          <cell r="H339" t="str">
            <v>DOP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 t="e">
            <v>#N/A</v>
          </cell>
        </row>
        <row r="340">
          <cell r="A340">
            <v>1000334</v>
          </cell>
          <cell r="B340" t="str">
            <v>Guantillas de Algodón</v>
          </cell>
          <cell r="D340">
            <v>7201</v>
          </cell>
          <cell r="E340">
            <v>1000</v>
          </cell>
          <cell r="F340" t="str">
            <v>ZALM</v>
          </cell>
          <cell r="G340" t="str">
            <v>UN</v>
          </cell>
          <cell r="H340" t="str">
            <v>DOP</v>
          </cell>
          <cell r="I340">
            <v>243</v>
          </cell>
          <cell r="J340">
            <v>36855.949999999997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243</v>
          </cell>
          <cell r="T340">
            <v>36855.949999999997</v>
          </cell>
          <cell r="U340">
            <v>151.670576131687</v>
          </cell>
        </row>
        <row r="341">
          <cell r="A341">
            <v>1000335</v>
          </cell>
          <cell r="B341" t="str">
            <v>Lámpara P/ Cascos Dieléctricos</v>
          </cell>
          <cell r="D341">
            <v>7201</v>
          </cell>
          <cell r="E341">
            <v>1000</v>
          </cell>
          <cell r="F341" t="str">
            <v>ZALM</v>
          </cell>
          <cell r="G341" t="str">
            <v>UN</v>
          </cell>
          <cell r="H341" t="str">
            <v>DOP</v>
          </cell>
          <cell r="I341">
            <v>30</v>
          </cell>
          <cell r="J341">
            <v>67136.17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30</v>
          </cell>
          <cell r="T341">
            <v>67136.17</v>
          </cell>
          <cell r="U341">
            <v>2237.8723333333301</v>
          </cell>
        </row>
        <row r="342">
          <cell r="A342">
            <v>1000336</v>
          </cell>
          <cell r="B342" t="str">
            <v>Lentes Antirray a Prueba Impacto Oscuro</v>
          </cell>
          <cell r="D342">
            <v>7201</v>
          </cell>
          <cell r="E342">
            <v>1000</v>
          </cell>
          <cell r="F342" t="str">
            <v>ZALM</v>
          </cell>
          <cell r="G342" t="str">
            <v>UN</v>
          </cell>
          <cell r="H342" t="str">
            <v>DOP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 t="e">
            <v>#N/A</v>
          </cell>
        </row>
        <row r="343">
          <cell r="A343">
            <v>1000337</v>
          </cell>
          <cell r="B343" t="str">
            <v>Lentes P/ Usarse Sobre Lentes Recetados</v>
          </cell>
          <cell r="D343">
            <v>7201</v>
          </cell>
          <cell r="E343">
            <v>1000</v>
          </cell>
          <cell r="F343" t="str">
            <v>ZALM</v>
          </cell>
          <cell r="G343" t="str">
            <v>UN</v>
          </cell>
          <cell r="H343" t="str">
            <v>DOP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 t="e">
            <v>#N/A</v>
          </cell>
        </row>
        <row r="344">
          <cell r="A344">
            <v>1000338</v>
          </cell>
          <cell r="B344" t="str">
            <v>Lentes Protector C/ Filtro 9186 Oscuro</v>
          </cell>
          <cell r="D344">
            <v>7201</v>
          </cell>
          <cell r="E344">
            <v>1000</v>
          </cell>
          <cell r="F344" t="str">
            <v>ZALM</v>
          </cell>
          <cell r="G344" t="str">
            <v>UN</v>
          </cell>
          <cell r="H344" t="str">
            <v>DOP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 t="e">
            <v>#N/A</v>
          </cell>
        </row>
        <row r="345">
          <cell r="A345">
            <v>1000339</v>
          </cell>
          <cell r="B345" t="str">
            <v>Lentes Seg Anti-Impac C/ Prot Lat Claro</v>
          </cell>
          <cell r="D345">
            <v>7201</v>
          </cell>
          <cell r="E345">
            <v>1000</v>
          </cell>
          <cell r="F345" t="str">
            <v>ZALM</v>
          </cell>
          <cell r="G345" t="str">
            <v>UN</v>
          </cell>
          <cell r="H345" t="str">
            <v>DOP</v>
          </cell>
          <cell r="I345">
            <v>36</v>
          </cell>
          <cell r="J345">
            <v>7522.59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36</v>
          </cell>
          <cell r="T345">
            <v>7522.59</v>
          </cell>
          <cell r="U345">
            <v>208.960833333333</v>
          </cell>
        </row>
        <row r="346">
          <cell r="A346">
            <v>1000340</v>
          </cell>
          <cell r="B346" t="str">
            <v>Lentes Seg Anti-Impac C/ Prot Lat Gris</v>
          </cell>
          <cell r="D346">
            <v>7201</v>
          </cell>
          <cell r="E346">
            <v>1000</v>
          </cell>
          <cell r="F346" t="str">
            <v>ZALM</v>
          </cell>
          <cell r="G346" t="str">
            <v>UN</v>
          </cell>
          <cell r="H346" t="str">
            <v>DOP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 t="e">
            <v>#N/A</v>
          </cell>
        </row>
        <row r="347">
          <cell r="A347">
            <v>1000341</v>
          </cell>
          <cell r="B347" t="str">
            <v>Letrero Señaliz Salida en ES C/ Bateria</v>
          </cell>
          <cell r="D347">
            <v>7201</v>
          </cell>
          <cell r="E347">
            <v>1000</v>
          </cell>
          <cell r="F347" t="str">
            <v>ZALM</v>
          </cell>
          <cell r="G347" t="str">
            <v>UN</v>
          </cell>
          <cell r="H347" t="str">
            <v>DOP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 t="e">
            <v>#N/A</v>
          </cell>
        </row>
        <row r="348">
          <cell r="A348">
            <v>1000342</v>
          </cell>
          <cell r="B348" t="str">
            <v>Línea de Vida para Arnés</v>
          </cell>
          <cell r="D348">
            <v>7201</v>
          </cell>
          <cell r="E348">
            <v>1000</v>
          </cell>
          <cell r="F348" t="str">
            <v>ZALM</v>
          </cell>
          <cell r="G348" t="str">
            <v>UN</v>
          </cell>
          <cell r="H348" t="str">
            <v>DOP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 t="e">
            <v>#N/A</v>
          </cell>
        </row>
        <row r="349">
          <cell r="A349">
            <v>1000343</v>
          </cell>
          <cell r="B349" t="str">
            <v>Línea Restricción Plana Ajust de 3' a 6'</v>
          </cell>
          <cell r="D349">
            <v>7201</v>
          </cell>
          <cell r="E349">
            <v>1000</v>
          </cell>
          <cell r="F349" t="str">
            <v>ZALM</v>
          </cell>
          <cell r="G349" t="str">
            <v>UN</v>
          </cell>
          <cell r="H349" t="str">
            <v>DOP</v>
          </cell>
          <cell r="I349">
            <v>23</v>
          </cell>
          <cell r="J349">
            <v>30948.799999999999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23</v>
          </cell>
          <cell r="T349">
            <v>30948.799999999999</v>
          </cell>
          <cell r="U349">
            <v>1345.6</v>
          </cell>
        </row>
        <row r="350">
          <cell r="A350">
            <v>1000344</v>
          </cell>
          <cell r="B350" t="str">
            <v>Linga de 25'</v>
          </cell>
          <cell r="D350">
            <v>7201</v>
          </cell>
          <cell r="E350">
            <v>1000</v>
          </cell>
          <cell r="F350" t="str">
            <v>ZALM</v>
          </cell>
          <cell r="G350" t="str">
            <v>UN</v>
          </cell>
          <cell r="H350" t="str">
            <v>DOP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 t="e">
            <v>#N/A</v>
          </cell>
        </row>
        <row r="351">
          <cell r="A351">
            <v>1000345</v>
          </cell>
          <cell r="B351" t="str">
            <v>Mascarilla P/ Particulado N95</v>
          </cell>
          <cell r="D351">
            <v>7201</v>
          </cell>
          <cell r="E351">
            <v>1000</v>
          </cell>
          <cell r="F351" t="str">
            <v>ZALM</v>
          </cell>
          <cell r="G351" t="str">
            <v>UN</v>
          </cell>
          <cell r="H351" t="str">
            <v>DOP</v>
          </cell>
          <cell r="I351">
            <v>1750</v>
          </cell>
          <cell r="J351">
            <v>61579.76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1750</v>
          </cell>
          <cell r="T351">
            <v>61579.76</v>
          </cell>
          <cell r="U351">
            <v>35.188434285714301</v>
          </cell>
        </row>
        <row r="352">
          <cell r="A352">
            <v>1000346</v>
          </cell>
          <cell r="B352" t="str">
            <v>Materiales de Seguridad Personal</v>
          </cell>
          <cell r="D352">
            <v>7201</v>
          </cell>
          <cell r="E352">
            <v>1000</v>
          </cell>
          <cell r="F352" t="str">
            <v>ZALM</v>
          </cell>
          <cell r="G352" t="str">
            <v>UN</v>
          </cell>
          <cell r="H352" t="str">
            <v>DOP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 t="e">
            <v>#N/A</v>
          </cell>
        </row>
        <row r="353">
          <cell r="A353">
            <v>1000347</v>
          </cell>
          <cell r="B353" t="str">
            <v>Mochila P/ Lectores</v>
          </cell>
          <cell r="D353">
            <v>7201</v>
          </cell>
          <cell r="E353">
            <v>1000</v>
          </cell>
          <cell r="F353" t="str">
            <v>ZALM</v>
          </cell>
          <cell r="G353" t="str">
            <v>UN</v>
          </cell>
          <cell r="H353" t="str">
            <v>DOP</v>
          </cell>
          <cell r="I353">
            <v>5</v>
          </cell>
          <cell r="J353">
            <v>850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5</v>
          </cell>
          <cell r="T353">
            <v>850</v>
          </cell>
          <cell r="U353">
            <v>170</v>
          </cell>
        </row>
        <row r="354">
          <cell r="A354">
            <v>1000348</v>
          </cell>
          <cell r="B354" t="str">
            <v>Mochila Shalam 4234</v>
          </cell>
          <cell r="D354">
            <v>7201</v>
          </cell>
          <cell r="E354">
            <v>1000</v>
          </cell>
          <cell r="F354" t="str">
            <v>ZALM</v>
          </cell>
          <cell r="G354" t="str">
            <v>UN</v>
          </cell>
          <cell r="H354" t="str">
            <v>DOP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 t="e">
            <v>#N/A</v>
          </cell>
        </row>
        <row r="355">
          <cell r="A355">
            <v>1000349</v>
          </cell>
          <cell r="B355" t="str">
            <v>Mosquetón Acer C/ Seg Resist Min 22.2 KN</v>
          </cell>
          <cell r="D355">
            <v>7201</v>
          </cell>
          <cell r="E355">
            <v>1000</v>
          </cell>
          <cell r="F355" t="str">
            <v>ZALM</v>
          </cell>
          <cell r="G355" t="str">
            <v>UN</v>
          </cell>
          <cell r="H355" t="str">
            <v>DOP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 t="e">
            <v>#N/A</v>
          </cell>
        </row>
        <row r="356">
          <cell r="A356">
            <v>1000350</v>
          </cell>
          <cell r="B356" t="str">
            <v>Overol en Dril Azul</v>
          </cell>
          <cell r="D356">
            <v>7201</v>
          </cell>
          <cell r="E356">
            <v>1000</v>
          </cell>
          <cell r="F356" t="str">
            <v>ZALM</v>
          </cell>
          <cell r="G356" t="str">
            <v>UN</v>
          </cell>
          <cell r="H356" t="str">
            <v>DOP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 t="e">
            <v>#N/A</v>
          </cell>
        </row>
        <row r="357">
          <cell r="A357">
            <v>1000351</v>
          </cell>
          <cell r="B357" t="str">
            <v>Pantalón Largo Kaki P/ Liniero Size 42</v>
          </cell>
          <cell r="D357">
            <v>7201</v>
          </cell>
          <cell r="E357">
            <v>1000</v>
          </cell>
          <cell r="F357" t="str">
            <v>ZALM</v>
          </cell>
          <cell r="G357" t="str">
            <v>UN</v>
          </cell>
          <cell r="H357" t="str">
            <v>DOP</v>
          </cell>
          <cell r="I357">
            <v>48</v>
          </cell>
          <cell r="J357">
            <v>29928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48</v>
          </cell>
          <cell r="T357">
            <v>29928</v>
          </cell>
          <cell r="U357">
            <v>623.5</v>
          </cell>
        </row>
        <row r="358">
          <cell r="A358">
            <v>1000352</v>
          </cell>
          <cell r="B358" t="str">
            <v>Pantalón Largo Kaki P/ Liniero Size 44</v>
          </cell>
          <cell r="D358">
            <v>7201</v>
          </cell>
          <cell r="E358">
            <v>1000</v>
          </cell>
          <cell r="F358" t="str">
            <v>ZALM</v>
          </cell>
          <cell r="G358" t="str">
            <v>UN</v>
          </cell>
          <cell r="H358" t="str">
            <v>DOP</v>
          </cell>
          <cell r="I358">
            <v>38</v>
          </cell>
          <cell r="J358">
            <v>23803.200000000001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38</v>
          </cell>
          <cell r="T358">
            <v>23803.200000000001</v>
          </cell>
          <cell r="U358">
            <v>626.4</v>
          </cell>
        </row>
        <row r="359">
          <cell r="A359">
            <v>1000353</v>
          </cell>
          <cell r="B359" t="str">
            <v>Pantalón Trabajo 100% Alg Kaki Size 30</v>
          </cell>
          <cell r="D359">
            <v>7201</v>
          </cell>
          <cell r="E359">
            <v>1000</v>
          </cell>
          <cell r="F359" t="str">
            <v>ZALM</v>
          </cell>
          <cell r="G359" t="str">
            <v>UN</v>
          </cell>
          <cell r="H359" t="str">
            <v>DOP</v>
          </cell>
          <cell r="I359">
            <v>225</v>
          </cell>
          <cell r="J359">
            <v>138996.38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225</v>
          </cell>
          <cell r="T359">
            <v>138996.38</v>
          </cell>
          <cell r="U359">
            <v>617.76168888888901</v>
          </cell>
        </row>
        <row r="360">
          <cell r="A360">
            <v>1000354</v>
          </cell>
          <cell r="B360" t="str">
            <v>Pantalón Trabajo 100% Alg Kaki Size 32</v>
          </cell>
          <cell r="D360">
            <v>7201</v>
          </cell>
          <cell r="E360">
            <v>1000</v>
          </cell>
          <cell r="F360" t="str">
            <v>ZALM</v>
          </cell>
          <cell r="G360" t="str">
            <v>UN</v>
          </cell>
          <cell r="H360" t="str">
            <v>DOP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 t="e">
            <v>#N/A</v>
          </cell>
        </row>
        <row r="361">
          <cell r="A361">
            <v>1000355</v>
          </cell>
          <cell r="B361" t="str">
            <v>Pantalón Trabajo 100% Alg Kaki Size 33</v>
          </cell>
          <cell r="D361">
            <v>7201</v>
          </cell>
          <cell r="E361">
            <v>1000</v>
          </cell>
          <cell r="F361" t="str">
            <v>ZALM</v>
          </cell>
          <cell r="G361" t="str">
            <v>UN</v>
          </cell>
          <cell r="H361" t="str">
            <v>DOP</v>
          </cell>
          <cell r="I361">
            <v>302</v>
          </cell>
          <cell r="J361">
            <v>189172.8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302</v>
          </cell>
          <cell r="T361">
            <v>189172.8</v>
          </cell>
          <cell r="U361">
            <v>626.4</v>
          </cell>
        </row>
        <row r="362">
          <cell r="A362">
            <v>1000356</v>
          </cell>
          <cell r="B362" t="str">
            <v>Pantalón Trabajo 100% Alg Kaki Size 34</v>
          </cell>
          <cell r="D362">
            <v>7201</v>
          </cell>
          <cell r="E362">
            <v>1000</v>
          </cell>
          <cell r="F362" t="str">
            <v>ZALM</v>
          </cell>
          <cell r="G362" t="str">
            <v>UN</v>
          </cell>
          <cell r="H362" t="str">
            <v>DOP</v>
          </cell>
          <cell r="I362">
            <v>18</v>
          </cell>
          <cell r="J362">
            <v>8665.2000000000007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18</v>
          </cell>
          <cell r="T362">
            <v>8665.2000000000007</v>
          </cell>
          <cell r="U362">
            <v>481.4</v>
          </cell>
        </row>
        <row r="363">
          <cell r="A363">
            <v>1000357</v>
          </cell>
          <cell r="B363" t="str">
            <v>Pantalón Trabajo 100% Alg Kaki Size 36</v>
          </cell>
          <cell r="D363">
            <v>7201</v>
          </cell>
          <cell r="E363">
            <v>1000</v>
          </cell>
          <cell r="F363" t="str">
            <v>ZALM</v>
          </cell>
          <cell r="G363" t="str">
            <v>UN</v>
          </cell>
          <cell r="H363" t="str">
            <v>DOP</v>
          </cell>
          <cell r="I363">
            <v>2</v>
          </cell>
          <cell r="J363">
            <v>962.8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2</v>
          </cell>
          <cell r="T363">
            <v>962.8</v>
          </cell>
          <cell r="U363">
            <v>481.4</v>
          </cell>
        </row>
        <row r="364">
          <cell r="A364">
            <v>1000358</v>
          </cell>
          <cell r="B364" t="str">
            <v>Pantalón Trabajo 100% Alg Kaki Size 38</v>
          </cell>
          <cell r="D364">
            <v>7201</v>
          </cell>
          <cell r="E364">
            <v>1000</v>
          </cell>
          <cell r="F364" t="str">
            <v>ZALM</v>
          </cell>
          <cell r="G364" t="str">
            <v>UN</v>
          </cell>
          <cell r="H364" t="str">
            <v>DOP</v>
          </cell>
          <cell r="I364">
            <v>4</v>
          </cell>
          <cell r="J364">
            <v>2070.6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4</v>
          </cell>
          <cell r="T364">
            <v>2070.6</v>
          </cell>
          <cell r="U364">
            <v>517.65</v>
          </cell>
        </row>
        <row r="365">
          <cell r="A365">
            <v>1000359</v>
          </cell>
          <cell r="B365" t="str">
            <v>Pantalón Trabajo 100% Alg Kaki Size 40</v>
          </cell>
          <cell r="D365">
            <v>7201</v>
          </cell>
          <cell r="E365">
            <v>1000</v>
          </cell>
          <cell r="F365" t="str">
            <v>ZALM</v>
          </cell>
          <cell r="G365" t="str">
            <v>UN</v>
          </cell>
          <cell r="H365" t="str">
            <v>DOP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 t="e">
            <v>#N/A</v>
          </cell>
        </row>
        <row r="366">
          <cell r="A366">
            <v>1000360</v>
          </cell>
          <cell r="B366" t="str">
            <v>Pantalón Trabajo Azul P/ Lect Size 30</v>
          </cell>
          <cell r="D366">
            <v>7201</v>
          </cell>
          <cell r="E366">
            <v>1000</v>
          </cell>
          <cell r="F366" t="str">
            <v>ZALM</v>
          </cell>
          <cell r="G366" t="str">
            <v>UN</v>
          </cell>
          <cell r="H366" t="str">
            <v>DOP</v>
          </cell>
          <cell r="I366">
            <v>246</v>
          </cell>
          <cell r="J366">
            <v>118424.4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246</v>
          </cell>
          <cell r="T366">
            <v>118424.4</v>
          </cell>
          <cell r="U366">
            <v>481.4</v>
          </cell>
        </row>
        <row r="367">
          <cell r="A367">
            <v>1000361</v>
          </cell>
          <cell r="B367" t="str">
            <v>Pantalón Trabajo Azul P/ Lect Size 32</v>
          </cell>
          <cell r="D367">
            <v>7201</v>
          </cell>
          <cell r="E367">
            <v>1000</v>
          </cell>
          <cell r="F367" t="str">
            <v>ZALM</v>
          </cell>
          <cell r="G367" t="str">
            <v>UN</v>
          </cell>
          <cell r="H367" t="str">
            <v>DOP</v>
          </cell>
          <cell r="I367">
            <v>521</v>
          </cell>
          <cell r="J367">
            <v>250809.4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521</v>
          </cell>
          <cell r="T367">
            <v>250809.4</v>
          </cell>
          <cell r="U367">
            <v>481.4</v>
          </cell>
        </row>
        <row r="368">
          <cell r="A368">
            <v>1000362</v>
          </cell>
          <cell r="B368" t="str">
            <v>Pantalón Trabajo Azul P/ Lect Size 33</v>
          </cell>
          <cell r="D368">
            <v>7201</v>
          </cell>
          <cell r="E368">
            <v>1000</v>
          </cell>
          <cell r="F368" t="str">
            <v>ZALM</v>
          </cell>
          <cell r="G368" t="str">
            <v>UN</v>
          </cell>
          <cell r="H368" t="str">
            <v>DOP</v>
          </cell>
          <cell r="I368">
            <v>435</v>
          </cell>
          <cell r="J368">
            <v>209409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435</v>
          </cell>
          <cell r="T368">
            <v>209409</v>
          </cell>
          <cell r="U368">
            <v>481.4</v>
          </cell>
        </row>
        <row r="369">
          <cell r="A369">
            <v>1000363</v>
          </cell>
          <cell r="B369" t="str">
            <v>Pantalón Trabajo Azul P/ Lect Size 34</v>
          </cell>
          <cell r="D369">
            <v>7201</v>
          </cell>
          <cell r="E369">
            <v>1000</v>
          </cell>
          <cell r="F369" t="str">
            <v>ZALM</v>
          </cell>
          <cell r="G369" t="str">
            <v>UN</v>
          </cell>
          <cell r="H369" t="str">
            <v>DOP</v>
          </cell>
          <cell r="I369">
            <v>527</v>
          </cell>
          <cell r="J369">
            <v>253697.8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527</v>
          </cell>
          <cell r="T369">
            <v>253697.8</v>
          </cell>
          <cell r="U369">
            <v>481.4</v>
          </cell>
        </row>
        <row r="370">
          <cell r="A370">
            <v>1000364</v>
          </cell>
          <cell r="B370" t="str">
            <v>Pantalón Trabajo Azul P/ Lect Size 36</v>
          </cell>
          <cell r="D370">
            <v>7201</v>
          </cell>
          <cell r="E370">
            <v>1000</v>
          </cell>
          <cell r="F370" t="str">
            <v>ZALM</v>
          </cell>
          <cell r="G370" t="str">
            <v>UN</v>
          </cell>
          <cell r="H370" t="str">
            <v>DOP</v>
          </cell>
          <cell r="I370">
            <v>9</v>
          </cell>
          <cell r="J370">
            <v>4332.6000000000004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9</v>
          </cell>
          <cell r="T370">
            <v>4332.6000000000004</v>
          </cell>
          <cell r="U370">
            <v>481.4</v>
          </cell>
        </row>
        <row r="371">
          <cell r="A371">
            <v>1000365</v>
          </cell>
          <cell r="B371" t="str">
            <v>Pantalón Trabajo Azul P/ Lect Size 38</v>
          </cell>
          <cell r="D371">
            <v>7201</v>
          </cell>
          <cell r="E371">
            <v>1000</v>
          </cell>
          <cell r="F371" t="str">
            <v>ZALM</v>
          </cell>
          <cell r="G371" t="str">
            <v>UN</v>
          </cell>
          <cell r="H371" t="str">
            <v>DOP</v>
          </cell>
          <cell r="I371">
            <v>53</v>
          </cell>
          <cell r="J371">
            <v>25514.2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53</v>
          </cell>
          <cell r="T371">
            <v>25514.2</v>
          </cell>
          <cell r="U371">
            <v>481.4</v>
          </cell>
        </row>
        <row r="372">
          <cell r="A372">
            <v>1000366</v>
          </cell>
          <cell r="B372" t="str">
            <v>Pantalón Trabajo Azul P/ Lect Size 40</v>
          </cell>
          <cell r="D372">
            <v>7201</v>
          </cell>
          <cell r="E372">
            <v>1000</v>
          </cell>
          <cell r="F372" t="str">
            <v>ZALM</v>
          </cell>
          <cell r="G372" t="str">
            <v>UN</v>
          </cell>
          <cell r="H372" t="str">
            <v>DOP</v>
          </cell>
          <cell r="I372">
            <v>43</v>
          </cell>
          <cell r="J372">
            <v>20700.2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43</v>
          </cell>
          <cell r="T372">
            <v>20700.2</v>
          </cell>
          <cell r="U372">
            <v>481.4</v>
          </cell>
        </row>
        <row r="373">
          <cell r="A373">
            <v>1000367</v>
          </cell>
          <cell r="B373" t="str">
            <v>Pantalón Trabajo Azul P/ Lect Size 42</v>
          </cell>
          <cell r="D373">
            <v>7201</v>
          </cell>
          <cell r="E373">
            <v>1000</v>
          </cell>
          <cell r="F373" t="str">
            <v>ZALM</v>
          </cell>
          <cell r="G373" t="str">
            <v>UN</v>
          </cell>
          <cell r="H373" t="str">
            <v>DOP</v>
          </cell>
          <cell r="I373">
            <v>48</v>
          </cell>
          <cell r="J373">
            <v>23107.200000000001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48</v>
          </cell>
          <cell r="T373">
            <v>23107.200000000001</v>
          </cell>
          <cell r="U373">
            <v>481.4</v>
          </cell>
        </row>
        <row r="374">
          <cell r="A374">
            <v>1000368</v>
          </cell>
          <cell r="B374" t="str">
            <v>Pantalón Trabajo Azul P/ Lect Size 44</v>
          </cell>
          <cell r="D374">
            <v>7201</v>
          </cell>
          <cell r="E374">
            <v>1000</v>
          </cell>
          <cell r="F374" t="str">
            <v>ZALM</v>
          </cell>
          <cell r="G374" t="str">
            <v>UN</v>
          </cell>
          <cell r="H374" t="str">
            <v>DOP</v>
          </cell>
          <cell r="I374">
            <v>49</v>
          </cell>
          <cell r="J374">
            <v>23588.6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49</v>
          </cell>
          <cell r="T374">
            <v>23588.6</v>
          </cell>
          <cell r="U374">
            <v>481.4</v>
          </cell>
        </row>
        <row r="375">
          <cell r="A375">
            <v>1000369</v>
          </cell>
          <cell r="B375" t="str">
            <v>Pantalón Trabajo Jeans Azul Mar C/ Logo</v>
          </cell>
          <cell r="D375">
            <v>7201</v>
          </cell>
          <cell r="E375">
            <v>1000</v>
          </cell>
          <cell r="F375" t="str">
            <v>ZALM</v>
          </cell>
          <cell r="G375" t="str">
            <v>UN</v>
          </cell>
          <cell r="H375" t="str">
            <v>DOP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 t="e">
            <v>#N/A</v>
          </cell>
        </row>
        <row r="376">
          <cell r="A376">
            <v>1000370</v>
          </cell>
          <cell r="B376" t="str">
            <v>Pantalón Trabajo Retd Flam Kaki Size 30</v>
          </cell>
          <cell r="D376">
            <v>7201</v>
          </cell>
          <cell r="E376">
            <v>1000</v>
          </cell>
          <cell r="F376" t="str">
            <v>ZALM</v>
          </cell>
          <cell r="G376" t="str">
            <v>UN</v>
          </cell>
          <cell r="H376" t="str">
            <v>DOP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 t="e">
            <v>#N/A</v>
          </cell>
        </row>
        <row r="377">
          <cell r="A377">
            <v>1000371</v>
          </cell>
          <cell r="B377" t="str">
            <v>Pantalón Trabajo Retd Flam Kaki Size 32</v>
          </cell>
          <cell r="D377">
            <v>7201</v>
          </cell>
          <cell r="E377">
            <v>1000</v>
          </cell>
          <cell r="F377" t="str">
            <v>ZALM</v>
          </cell>
          <cell r="G377" t="str">
            <v>UN</v>
          </cell>
          <cell r="H377" t="str">
            <v>DOP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 t="e">
            <v>#N/A</v>
          </cell>
        </row>
        <row r="378">
          <cell r="A378">
            <v>1000372</v>
          </cell>
          <cell r="B378" t="str">
            <v>Pantalón Trabajo Retd Flam Kaki Size 33</v>
          </cell>
          <cell r="D378">
            <v>7201</v>
          </cell>
          <cell r="E378">
            <v>1000</v>
          </cell>
          <cell r="F378" t="str">
            <v>ZALM</v>
          </cell>
          <cell r="G378" t="str">
            <v>UN</v>
          </cell>
          <cell r="H378" t="str">
            <v>DOP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 t="e">
            <v>#N/A</v>
          </cell>
        </row>
        <row r="379">
          <cell r="A379">
            <v>1000373</v>
          </cell>
          <cell r="B379" t="str">
            <v>Pantalón Trabajo Retd Flam Kaki Size 34</v>
          </cell>
          <cell r="D379">
            <v>7201</v>
          </cell>
          <cell r="E379">
            <v>1000</v>
          </cell>
          <cell r="F379" t="str">
            <v>ZALM</v>
          </cell>
          <cell r="G379" t="str">
            <v>UN</v>
          </cell>
          <cell r="H379" t="str">
            <v>DOP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 t="e">
            <v>#N/A</v>
          </cell>
        </row>
        <row r="380">
          <cell r="A380">
            <v>1000374</v>
          </cell>
          <cell r="B380" t="str">
            <v>Pantalón Trabajo Retd Flam Kaki Size 36</v>
          </cell>
          <cell r="D380">
            <v>7201</v>
          </cell>
          <cell r="E380">
            <v>1000</v>
          </cell>
          <cell r="F380" t="str">
            <v>ZALM</v>
          </cell>
          <cell r="G380" t="str">
            <v>UN</v>
          </cell>
          <cell r="H380" t="str">
            <v>DOP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 t="e">
            <v>#N/A</v>
          </cell>
        </row>
        <row r="381">
          <cell r="A381">
            <v>1000375</v>
          </cell>
          <cell r="B381" t="str">
            <v>Pantalón Trabajo Retd Flam Kaki Size 38</v>
          </cell>
          <cell r="D381">
            <v>7201</v>
          </cell>
          <cell r="E381">
            <v>1000</v>
          </cell>
          <cell r="F381" t="str">
            <v>ZALM</v>
          </cell>
          <cell r="G381" t="str">
            <v>UN</v>
          </cell>
          <cell r="H381" t="str">
            <v>DOP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 t="e">
            <v>#N/A</v>
          </cell>
        </row>
        <row r="382">
          <cell r="A382">
            <v>1000376</v>
          </cell>
          <cell r="B382" t="str">
            <v>Pantalón Trabajo Retd Flam Kaki Size 40</v>
          </cell>
          <cell r="D382">
            <v>7201</v>
          </cell>
          <cell r="E382">
            <v>1000</v>
          </cell>
          <cell r="F382" t="str">
            <v>ZALM</v>
          </cell>
          <cell r="G382" t="str">
            <v>UN</v>
          </cell>
          <cell r="H382" t="str">
            <v>DOP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 t="e">
            <v>#N/A</v>
          </cell>
        </row>
        <row r="383">
          <cell r="A383">
            <v>1000377</v>
          </cell>
          <cell r="B383" t="str">
            <v>Protección Mec P/ Guant Cl 2 Size 10-10H</v>
          </cell>
          <cell r="D383">
            <v>7201</v>
          </cell>
          <cell r="E383">
            <v>1000</v>
          </cell>
          <cell r="F383" t="str">
            <v>ZALM</v>
          </cell>
          <cell r="G383" t="str">
            <v>UN</v>
          </cell>
          <cell r="H383" t="str">
            <v>DOP</v>
          </cell>
          <cell r="I383">
            <v>59</v>
          </cell>
          <cell r="J383">
            <v>65357.47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59</v>
          </cell>
          <cell r="T383">
            <v>65357.47</v>
          </cell>
          <cell r="U383">
            <v>1107.75372881356</v>
          </cell>
        </row>
        <row r="384">
          <cell r="A384">
            <v>1000378</v>
          </cell>
          <cell r="B384" t="str">
            <v>Protección Mec P/ Guantes Cl 0 Size 10</v>
          </cell>
          <cell r="D384">
            <v>7201</v>
          </cell>
          <cell r="E384">
            <v>1000</v>
          </cell>
          <cell r="F384" t="str">
            <v>ZALM</v>
          </cell>
          <cell r="G384" t="str">
            <v>UN</v>
          </cell>
          <cell r="H384" t="str">
            <v>DOP</v>
          </cell>
          <cell r="I384">
            <v>22</v>
          </cell>
          <cell r="J384">
            <v>12622.19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22</v>
          </cell>
          <cell r="T384">
            <v>12622.19</v>
          </cell>
          <cell r="U384">
            <v>573.73590909090899</v>
          </cell>
        </row>
        <row r="385">
          <cell r="A385">
            <v>1000379</v>
          </cell>
          <cell r="B385" t="str">
            <v>Protección Mec P/ Guantes Cl 0 Size 10H</v>
          </cell>
          <cell r="D385">
            <v>7201</v>
          </cell>
          <cell r="E385">
            <v>1000</v>
          </cell>
          <cell r="F385" t="str">
            <v>ZALM</v>
          </cell>
          <cell r="G385" t="str">
            <v>UN</v>
          </cell>
          <cell r="H385" t="str">
            <v>DOP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 t="e">
            <v>#N/A</v>
          </cell>
        </row>
        <row r="386">
          <cell r="A386">
            <v>1000380</v>
          </cell>
          <cell r="B386" t="str">
            <v>Protección Mec P/ Guantes Cl 0 Size 9</v>
          </cell>
          <cell r="D386">
            <v>7201</v>
          </cell>
          <cell r="E386">
            <v>1000</v>
          </cell>
          <cell r="F386" t="str">
            <v>ZALM</v>
          </cell>
          <cell r="G386" t="str">
            <v>UN</v>
          </cell>
          <cell r="H386" t="str">
            <v>DOP</v>
          </cell>
          <cell r="I386">
            <v>31</v>
          </cell>
          <cell r="J386">
            <v>31416.39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31</v>
          </cell>
          <cell r="T386">
            <v>31416.39</v>
          </cell>
          <cell r="U386">
            <v>1013.43193548387</v>
          </cell>
        </row>
        <row r="387">
          <cell r="A387">
            <v>1000381</v>
          </cell>
          <cell r="B387" t="str">
            <v>Protección Mec P/ Guantes Cl 0 Size 9H</v>
          </cell>
          <cell r="D387">
            <v>7201</v>
          </cell>
          <cell r="E387">
            <v>1000</v>
          </cell>
          <cell r="F387" t="str">
            <v>ZALM</v>
          </cell>
          <cell r="G387" t="str">
            <v>UN</v>
          </cell>
          <cell r="H387" t="str">
            <v>DOP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 t="e">
            <v>#N/A</v>
          </cell>
        </row>
        <row r="388">
          <cell r="A388">
            <v>1000382</v>
          </cell>
          <cell r="B388" t="str">
            <v>Protección Mec P/ Guantes Cl 2 Size 10H</v>
          </cell>
          <cell r="D388">
            <v>7201</v>
          </cell>
          <cell r="E388">
            <v>1000</v>
          </cell>
          <cell r="F388" t="str">
            <v>ZALM</v>
          </cell>
          <cell r="G388" t="str">
            <v>UN</v>
          </cell>
          <cell r="H388" t="str">
            <v>DOP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 t="e">
            <v>#N/A</v>
          </cell>
        </row>
        <row r="389">
          <cell r="A389">
            <v>1000383</v>
          </cell>
          <cell r="B389" t="str">
            <v>Protección Mec P/ Guantes Cl 2 Size 9-9H</v>
          </cell>
          <cell r="D389">
            <v>7201</v>
          </cell>
          <cell r="E389">
            <v>1000</v>
          </cell>
          <cell r="F389" t="str">
            <v>ZALM</v>
          </cell>
          <cell r="G389" t="str">
            <v>UN</v>
          </cell>
          <cell r="H389" t="str">
            <v>DOP</v>
          </cell>
          <cell r="I389">
            <v>61</v>
          </cell>
          <cell r="J389">
            <v>67377.899999999994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61</v>
          </cell>
          <cell r="T389">
            <v>67377.899999999994</v>
          </cell>
          <cell r="U389">
            <v>1104.5557377049199</v>
          </cell>
        </row>
        <row r="390">
          <cell r="A390">
            <v>1000384</v>
          </cell>
          <cell r="B390" t="str">
            <v>Protección Mec P/ Guantes Cl 2 Size 9H</v>
          </cell>
          <cell r="D390">
            <v>7201</v>
          </cell>
          <cell r="E390">
            <v>1000</v>
          </cell>
          <cell r="F390" t="str">
            <v>ZALM</v>
          </cell>
          <cell r="G390" t="str">
            <v>UN</v>
          </cell>
          <cell r="H390" t="str">
            <v>DOP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 t="e">
            <v>#N/A</v>
          </cell>
        </row>
        <row r="391">
          <cell r="A391">
            <v>1000385</v>
          </cell>
          <cell r="B391" t="str">
            <v>Protect Vista Uvex Prosp NR 9185 C/ Fil</v>
          </cell>
          <cell r="D391">
            <v>7201</v>
          </cell>
          <cell r="E391">
            <v>1000</v>
          </cell>
          <cell r="F391" t="str">
            <v>ZALM</v>
          </cell>
          <cell r="G391" t="str">
            <v>UN</v>
          </cell>
          <cell r="H391" t="str">
            <v>DOP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 t="e">
            <v>#N/A</v>
          </cell>
        </row>
        <row r="392">
          <cell r="A392">
            <v>1000386</v>
          </cell>
          <cell r="B392" t="str">
            <v>Protect Vista Uvex Prosp NR 9186 C/ Fil</v>
          </cell>
          <cell r="D392">
            <v>7201</v>
          </cell>
          <cell r="E392">
            <v>1000</v>
          </cell>
          <cell r="F392" t="str">
            <v>ZALM</v>
          </cell>
          <cell r="G392" t="str">
            <v>UN</v>
          </cell>
          <cell r="H392" t="str">
            <v>DOP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 t="e">
            <v>#N/A</v>
          </cell>
        </row>
        <row r="393">
          <cell r="A393">
            <v>1000387</v>
          </cell>
          <cell r="B393" t="str">
            <v>Protector de Guantes Manga Size 9</v>
          </cell>
          <cell r="D393">
            <v>7201</v>
          </cell>
          <cell r="E393">
            <v>1000</v>
          </cell>
          <cell r="F393" t="str">
            <v>ZALM</v>
          </cell>
          <cell r="G393" t="str">
            <v>UN</v>
          </cell>
          <cell r="H393" t="str">
            <v>DOP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 t="e">
            <v>#N/A</v>
          </cell>
        </row>
        <row r="394">
          <cell r="A394">
            <v>1000388</v>
          </cell>
          <cell r="B394" t="str">
            <v>Rollo Cinta Reflect 2"x 150' Red/ Silver</v>
          </cell>
          <cell r="D394">
            <v>7201</v>
          </cell>
          <cell r="E394">
            <v>1000</v>
          </cell>
          <cell r="F394" t="str">
            <v>ZALM</v>
          </cell>
          <cell r="G394" t="str">
            <v>UN</v>
          </cell>
          <cell r="H394" t="str">
            <v>DOP</v>
          </cell>
          <cell r="I394">
            <v>1</v>
          </cell>
          <cell r="J394">
            <v>5384.29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1</v>
          </cell>
          <cell r="T394">
            <v>5384.29</v>
          </cell>
          <cell r="U394">
            <v>5384.29</v>
          </cell>
        </row>
        <row r="395">
          <cell r="A395">
            <v>1000389</v>
          </cell>
          <cell r="B395" t="str">
            <v>Suspensión P/ Cascos MSA Fast Trac II</v>
          </cell>
          <cell r="D395">
            <v>7201</v>
          </cell>
          <cell r="E395">
            <v>1000</v>
          </cell>
          <cell r="F395" t="str">
            <v>ZALM</v>
          </cell>
          <cell r="G395" t="str">
            <v>UN</v>
          </cell>
          <cell r="H395" t="str">
            <v>DOP</v>
          </cell>
          <cell r="I395">
            <v>87</v>
          </cell>
          <cell r="J395">
            <v>51200.83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87</v>
          </cell>
          <cell r="T395">
            <v>51200.83</v>
          </cell>
          <cell r="U395">
            <v>588.51528735632201</v>
          </cell>
        </row>
        <row r="396">
          <cell r="A396">
            <v>1000390</v>
          </cell>
          <cell r="B396" t="str">
            <v>Talco P/ Guantes</v>
          </cell>
          <cell r="D396">
            <v>7201</v>
          </cell>
          <cell r="E396">
            <v>1000</v>
          </cell>
          <cell r="F396" t="str">
            <v>ZALM</v>
          </cell>
          <cell r="G396" t="str">
            <v>UN</v>
          </cell>
          <cell r="H396" t="str">
            <v>DOP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 t="e">
            <v>#N/A</v>
          </cell>
        </row>
        <row r="397">
          <cell r="A397">
            <v>1000391</v>
          </cell>
          <cell r="B397" t="str">
            <v>Tenis P/ Lectores Size 10</v>
          </cell>
          <cell r="D397">
            <v>7201</v>
          </cell>
          <cell r="E397">
            <v>1000</v>
          </cell>
          <cell r="F397" t="str">
            <v>ZALM</v>
          </cell>
          <cell r="G397" t="str">
            <v>UN</v>
          </cell>
          <cell r="H397" t="str">
            <v>DOP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 t="e">
            <v>#N/A</v>
          </cell>
        </row>
        <row r="398">
          <cell r="A398">
            <v>1000392</v>
          </cell>
          <cell r="B398" t="str">
            <v>Tenis P/ Lectores Size 10.5</v>
          </cell>
          <cell r="D398">
            <v>7201</v>
          </cell>
          <cell r="E398">
            <v>1000</v>
          </cell>
          <cell r="F398" t="str">
            <v>ZALM</v>
          </cell>
          <cell r="G398" t="str">
            <v>UN</v>
          </cell>
          <cell r="H398" t="str">
            <v>DOP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 t="e">
            <v>#N/A</v>
          </cell>
        </row>
        <row r="399">
          <cell r="A399">
            <v>1000393</v>
          </cell>
          <cell r="B399" t="str">
            <v>Tenis P/ Lectores Size 11</v>
          </cell>
          <cell r="D399">
            <v>7201</v>
          </cell>
          <cell r="E399">
            <v>1000</v>
          </cell>
          <cell r="F399" t="str">
            <v>ZALM</v>
          </cell>
          <cell r="G399" t="str">
            <v>UN</v>
          </cell>
          <cell r="H399" t="str">
            <v>DOP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 t="e">
            <v>#N/A</v>
          </cell>
        </row>
        <row r="400">
          <cell r="A400">
            <v>1000394</v>
          </cell>
          <cell r="B400" t="str">
            <v>Tenis P/ Lectores Size 11.5</v>
          </cell>
          <cell r="D400">
            <v>7201</v>
          </cell>
          <cell r="E400">
            <v>1000</v>
          </cell>
          <cell r="F400" t="str">
            <v>ZALM</v>
          </cell>
          <cell r="G400" t="str">
            <v>UN</v>
          </cell>
          <cell r="H400" t="str">
            <v>DOP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 t="e">
            <v>#N/A</v>
          </cell>
        </row>
        <row r="401">
          <cell r="A401">
            <v>1000395</v>
          </cell>
          <cell r="B401" t="str">
            <v>Tenis P/ Lectores Size 12</v>
          </cell>
          <cell r="D401">
            <v>7201</v>
          </cell>
          <cell r="E401">
            <v>1000</v>
          </cell>
          <cell r="F401" t="str">
            <v>ZALM</v>
          </cell>
          <cell r="G401" t="str">
            <v>UN</v>
          </cell>
          <cell r="H401" t="str">
            <v>DOP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 t="e">
            <v>#N/A</v>
          </cell>
        </row>
        <row r="402">
          <cell r="A402">
            <v>1000396</v>
          </cell>
          <cell r="B402" t="str">
            <v>Tenis P/ Lectores Size 12.5</v>
          </cell>
          <cell r="D402">
            <v>7201</v>
          </cell>
          <cell r="E402">
            <v>1000</v>
          </cell>
          <cell r="F402" t="str">
            <v>ZALM</v>
          </cell>
          <cell r="G402" t="str">
            <v>UN</v>
          </cell>
          <cell r="H402" t="str">
            <v>DOP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 t="e">
            <v>#N/A</v>
          </cell>
        </row>
        <row r="403">
          <cell r="A403">
            <v>1000397</v>
          </cell>
          <cell r="B403" t="str">
            <v>Tenis P/ Lectores Size 7</v>
          </cell>
          <cell r="D403">
            <v>7201</v>
          </cell>
          <cell r="E403">
            <v>1000</v>
          </cell>
          <cell r="F403" t="str">
            <v>ZALM</v>
          </cell>
          <cell r="G403" t="str">
            <v>UN</v>
          </cell>
          <cell r="H403" t="str">
            <v>DOP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 t="e">
            <v>#N/A</v>
          </cell>
        </row>
        <row r="404">
          <cell r="A404">
            <v>1000398</v>
          </cell>
          <cell r="B404" t="str">
            <v>Tenis P/ Lectores Size 7.5</v>
          </cell>
          <cell r="D404">
            <v>7201</v>
          </cell>
          <cell r="E404">
            <v>1000</v>
          </cell>
          <cell r="F404" t="str">
            <v>ZALM</v>
          </cell>
          <cell r="G404" t="str">
            <v>UN</v>
          </cell>
          <cell r="H404" t="str">
            <v>DOP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 t="e">
            <v>#N/A</v>
          </cell>
        </row>
        <row r="405">
          <cell r="A405">
            <v>1000399</v>
          </cell>
          <cell r="B405" t="str">
            <v>Tenis P/ Lectores Size 8</v>
          </cell>
          <cell r="D405">
            <v>7201</v>
          </cell>
          <cell r="E405">
            <v>1000</v>
          </cell>
          <cell r="F405" t="str">
            <v>ZALM</v>
          </cell>
          <cell r="G405" t="str">
            <v>UN</v>
          </cell>
          <cell r="H405" t="str">
            <v>DOP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 t="e">
            <v>#N/A</v>
          </cell>
        </row>
        <row r="406">
          <cell r="A406">
            <v>1000400</v>
          </cell>
          <cell r="B406" t="str">
            <v>Tenis P/ Lectores Size 8.5</v>
          </cell>
          <cell r="D406">
            <v>7201</v>
          </cell>
          <cell r="E406">
            <v>1000</v>
          </cell>
          <cell r="F406" t="str">
            <v>ZALM</v>
          </cell>
          <cell r="G406" t="str">
            <v>UN</v>
          </cell>
          <cell r="H406" t="str">
            <v>DOP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 t="e">
            <v>#N/A</v>
          </cell>
        </row>
        <row r="407">
          <cell r="A407">
            <v>1000401</v>
          </cell>
          <cell r="B407" t="str">
            <v>Tenis P/ Lectores Size 9</v>
          </cell>
          <cell r="D407">
            <v>7201</v>
          </cell>
          <cell r="E407">
            <v>1000</v>
          </cell>
          <cell r="F407" t="str">
            <v>ZALM</v>
          </cell>
          <cell r="G407" t="str">
            <v>UN</v>
          </cell>
          <cell r="H407" t="str">
            <v>DOP</v>
          </cell>
          <cell r="I407">
            <v>1</v>
          </cell>
          <cell r="J407">
            <v>3476.52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1</v>
          </cell>
          <cell r="T407">
            <v>3476.52</v>
          </cell>
          <cell r="U407">
            <v>3476.52</v>
          </cell>
        </row>
        <row r="408">
          <cell r="A408">
            <v>1000402</v>
          </cell>
          <cell r="B408" t="str">
            <v>Tenis P/ Lectores Size 9.5</v>
          </cell>
          <cell r="D408">
            <v>7201</v>
          </cell>
          <cell r="E408">
            <v>1000</v>
          </cell>
          <cell r="F408" t="str">
            <v>ZALM</v>
          </cell>
          <cell r="G408" t="str">
            <v>UN</v>
          </cell>
          <cell r="H408" t="str">
            <v>DOP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 t="e">
            <v>#N/A</v>
          </cell>
        </row>
        <row r="409">
          <cell r="A409">
            <v>1000403</v>
          </cell>
          <cell r="B409" t="str">
            <v>Traje Desechable</v>
          </cell>
          <cell r="D409">
            <v>7201</v>
          </cell>
          <cell r="E409">
            <v>1000</v>
          </cell>
          <cell r="F409" t="str">
            <v>ZALM</v>
          </cell>
          <cell r="G409" t="str">
            <v>UN</v>
          </cell>
          <cell r="H409" t="str">
            <v>DOP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 t="e">
            <v>#N/A</v>
          </cell>
        </row>
        <row r="410">
          <cell r="A410">
            <v>1000404</v>
          </cell>
          <cell r="B410" t="str">
            <v>Triángulo de Señalización</v>
          </cell>
          <cell r="D410">
            <v>7201</v>
          </cell>
          <cell r="E410">
            <v>1000</v>
          </cell>
          <cell r="F410" t="str">
            <v>ZALM</v>
          </cell>
          <cell r="G410" t="str">
            <v>UN</v>
          </cell>
          <cell r="H410" t="str">
            <v>DOP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 t="e">
            <v>#N/A</v>
          </cell>
        </row>
        <row r="411">
          <cell r="A411">
            <v>1000405</v>
          </cell>
          <cell r="B411" t="str">
            <v>Visor de Policarbonato UV 4"x4"</v>
          </cell>
          <cell r="D411">
            <v>7201</v>
          </cell>
          <cell r="E411">
            <v>1000</v>
          </cell>
          <cell r="F411" t="str">
            <v>ZALM</v>
          </cell>
          <cell r="G411" t="str">
            <v>UN</v>
          </cell>
          <cell r="H411" t="str">
            <v>DOP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1900</v>
          </cell>
          <cell r="R411">
            <v>246114.03</v>
          </cell>
          <cell r="S411">
            <v>1900</v>
          </cell>
          <cell r="T411">
            <v>246114.03</v>
          </cell>
          <cell r="U411">
            <v>129.53370000000001</v>
          </cell>
        </row>
        <row r="412">
          <cell r="A412">
            <v>1000406</v>
          </cell>
          <cell r="B412" t="str">
            <v>Arrancador P/ Lámp Alum OCV QT5432</v>
          </cell>
          <cell r="D412">
            <v>6007</v>
          </cell>
          <cell r="E412">
            <v>1000</v>
          </cell>
          <cell r="F412" t="str">
            <v>ZALM</v>
          </cell>
          <cell r="G412" t="str">
            <v>UN</v>
          </cell>
          <cell r="H412" t="str">
            <v>DOP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 t="e">
            <v>#N/A</v>
          </cell>
        </row>
        <row r="413">
          <cell r="A413">
            <v>1000407</v>
          </cell>
          <cell r="B413" t="str">
            <v>Bombilla Mercurio Alta Pres 175W 55V HPS</v>
          </cell>
          <cell r="D413">
            <v>6007</v>
          </cell>
          <cell r="E413">
            <v>1000</v>
          </cell>
          <cell r="F413" t="str">
            <v>ZALM</v>
          </cell>
          <cell r="G413" t="str">
            <v>UN</v>
          </cell>
          <cell r="H413" t="str">
            <v>DOP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 t="e">
            <v>#N/A</v>
          </cell>
        </row>
        <row r="414">
          <cell r="A414">
            <v>1000408</v>
          </cell>
          <cell r="B414" t="str">
            <v>Bombilla Metal Halide1500W</v>
          </cell>
          <cell r="D414">
            <v>6007</v>
          </cell>
          <cell r="E414">
            <v>1000</v>
          </cell>
          <cell r="F414" t="str">
            <v>ZALM</v>
          </cell>
          <cell r="G414" t="str">
            <v>UN</v>
          </cell>
          <cell r="H414" t="str">
            <v>DOP</v>
          </cell>
          <cell r="I414">
            <v>3</v>
          </cell>
          <cell r="J414">
            <v>4304.8599999999997</v>
          </cell>
          <cell r="K414">
            <v>0</v>
          </cell>
          <cell r="L414">
            <v>0</v>
          </cell>
          <cell r="M414">
            <v>45</v>
          </cell>
          <cell r="N414">
            <v>64572.89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48</v>
          </cell>
          <cell r="T414">
            <v>68877.75</v>
          </cell>
          <cell r="U414">
            <v>1434.953125</v>
          </cell>
        </row>
        <row r="415">
          <cell r="A415">
            <v>1000409</v>
          </cell>
          <cell r="B415" t="str">
            <v>Bombilla Sodio Alta Pres 150W 55V HPS</v>
          </cell>
          <cell r="D415">
            <v>6007</v>
          </cell>
          <cell r="E415">
            <v>1000</v>
          </cell>
          <cell r="F415" t="str">
            <v>ZALM</v>
          </cell>
          <cell r="G415" t="str">
            <v>UN</v>
          </cell>
          <cell r="H415" t="str">
            <v>DOP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 t="e">
            <v>#N/A</v>
          </cell>
        </row>
        <row r="416">
          <cell r="A416">
            <v>1000410</v>
          </cell>
          <cell r="B416" t="str">
            <v>Bombilla Sodio Alta Pres 250W 100V HPS</v>
          </cell>
          <cell r="D416">
            <v>6007</v>
          </cell>
          <cell r="E416">
            <v>1000</v>
          </cell>
          <cell r="F416" t="str">
            <v>ZALM</v>
          </cell>
          <cell r="G416" t="str">
            <v>UN</v>
          </cell>
          <cell r="H416" t="str">
            <v>DOP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U416" t="e">
            <v>#N/A</v>
          </cell>
        </row>
        <row r="417">
          <cell r="A417">
            <v>1000411</v>
          </cell>
          <cell r="B417" t="str">
            <v>Bombilla Sodio Alta Pres 400W 100V HPS</v>
          </cell>
          <cell r="D417">
            <v>6007</v>
          </cell>
          <cell r="E417">
            <v>1000</v>
          </cell>
          <cell r="F417" t="str">
            <v>ZALM</v>
          </cell>
          <cell r="G417" t="str">
            <v>UN</v>
          </cell>
          <cell r="H417" t="str">
            <v>DOP</v>
          </cell>
          <cell r="I417">
            <v>16</v>
          </cell>
          <cell r="J417">
            <v>6588.8</v>
          </cell>
          <cell r="K417">
            <v>0</v>
          </cell>
          <cell r="L417">
            <v>0</v>
          </cell>
          <cell r="M417">
            <v>204</v>
          </cell>
          <cell r="N417">
            <v>84007.2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S417">
            <v>220</v>
          </cell>
          <cell r="T417">
            <v>90596</v>
          </cell>
          <cell r="U417">
            <v>411.8</v>
          </cell>
        </row>
        <row r="418">
          <cell r="A418">
            <v>1000412</v>
          </cell>
          <cell r="B418" t="str">
            <v>Brazo P/ Lámpara Tipo Cobra de 12'</v>
          </cell>
          <cell r="D418">
            <v>6007</v>
          </cell>
          <cell r="E418">
            <v>1000</v>
          </cell>
          <cell r="F418" t="str">
            <v>ZALM</v>
          </cell>
          <cell r="G418" t="str">
            <v>UN</v>
          </cell>
          <cell r="H418" t="str">
            <v>DOP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 t="e">
            <v>#N/A</v>
          </cell>
        </row>
        <row r="419">
          <cell r="A419">
            <v>1000413</v>
          </cell>
          <cell r="B419" t="str">
            <v>Brazo P/ Lámpara Tipo Cobra de 6'</v>
          </cell>
          <cell r="D419">
            <v>6007</v>
          </cell>
          <cell r="E419">
            <v>1000</v>
          </cell>
          <cell r="F419" t="str">
            <v>ZALM</v>
          </cell>
          <cell r="G419" t="str">
            <v>UN</v>
          </cell>
          <cell r="H419" t="str">
            <v>DOP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414</v>
          </cell>
          <cell r="N419">
            <v>732366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414</v>
          </cell>
          <cell r="T419">
            <v>732366</v>
          </cell>
          <cell r="U419">
            <v>1769</v>
          </cell>
        </row>
        <row r="420">
          <cell r="A420">
            <v>1000414</v>
          </cell>
          <cell r="B420" t="str">
            <v>Conj Lumin T/ Cobra 100W 24VDC MicroLED</v>
          </cell>
          <cell r="D420">
            <v>6007</v>
          </cell>
          <cell r="E420">
            <v>1000</v>
          </cell>
          <cell r="F420" t="str">
            <v>ZALM</v>
          </cell>
          <cell r="G420" t="str">
            <v>UN</v>
          </cell>
          <cell r="H420" t="str">
            <v>DOP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 t="e">
            <v>#N/A</v>
          </cell>
        </row>
        <row r="421">
          <cell r="A421">
            <v>1000415</v>
          </cell>
          <cell r="B421" t="str">
            <v>Contactores Magn P/ Control Conj Lumin</v>
          </cell>
          <cell r="D421">
            <v>6007</v>
          </cell>
          <cell r="E421">
            <v>1000</v>
          </cell>
          <cell r="F421" t="str">
            <v>ZALM</v>
          </cell>
          <cell r="G421" t="str">
            <v>UN</v>
          </cell>
          <cell r="H421" t="str">
            <v>DOP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1</v>
          </cell>
          <cell r="N421">
            <v>3712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1</v>
          </cell>
          <cell r="T421">
            <v>3712</v>
          </cell>
          <cell r="U421">
            <v>3712</v>
          </cell>
        </row>
        <row r="422">
          <cell r="A422">
            <v>1000416</v>
          </cell>
          <cell r="B422" t="str">
            <v>Controlador Carga P/ Lumin Sol LED 100W</v>
          </cell>
          <cell r="D422">
            <v>6007</v>
          </cell>
          <cell r="E422">
            <v>1000</v>
          </cell>
          <cell r="F422" t="str">
            <v>ZALM</v>
          </cell>
          <cell r="G422" t="str">
            <v>UN</v>
          </cell>
          <cell r="H422" t="str">
            <v>DOP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 t="e">
            <v>#N/A</v>
          </cell>
        </row>
        <row r="423">
          <cell r="A423">
            <v>1000417</v>
          </cell>
          <cell r="B423" t="str">
            <v>Fotocelda 1000-1800V Socket</v>
          </cell>
          <cell r="D423">
            <v>6007</v>
          </cell>
          <cell r="E423">
            <v>1000</v>
          </cell>
          <cell r="F423" t="str">
            <v>ZALM</v>
          </cell>
          <cell r="G423" t="str">
            <v>UN</v>
          </cell>
          <cell r="H423" t="str">
            <v>DOP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 t="e">
            <v>#N/A</v>
          </cell>
        </row>
        <row r="424">
          <cell r="A424">
            <v>1000418</v>
          </cell>
          <cell r="B424" t="str">
            <v>Fotocelda 100-208V Multir Relay Abiert</v>
          </cell>
          <cell r="D424">
            <v>6007</v>
          </cell>
          <cell r="E424">
            <v>1000</v>
          </cell>
          <cell r="F424" t="str">
            <v>ZALM</v>
          </cell>
          <cell r="G424" t="str">
            <v>UN</v>
          </cell>
          <cell r="H424" t="str">
            <v>DOP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 t="e">
            <v>#N/A</v>
          </cell>
        </row>
        <row r="425">
          <cell r="A425">
            <v>1000419</v>
          </cell>
          <cell r="B425" t="str">
            <v>Fotocelda 105-305V Multir Norm Cl F-On</v>
          </cell>
          <cell r="D425">
            <v>6007</v>
          </cell>
          <cell r="E425">
            <v>1000</v>
          </cell>
          <cell r="F425" t="str">
            <v>ZALM</v>
          </cell>
          <cell r="G425" t="str">
            <v>UN</v>
          </cell>
          <cell r="H425" t="str">
            <v>DOP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 t="e">
            <v>#N/A</v>
          </cell>
        </row>
        <row r="426">
          <cell r="A426">
            <v>1000420</v>
          </cell>
          <cell r="B426" t="str">
            <v>Fotocelda 105-305V Multir Norm Op F-Off</v>
          </cell>
          <cell r="D426">
            <v>6007</v>
          </cell>
          <cell r="E426">
            <v>1000</v>
          </cell>
          <cell r="F426" t="str">
            <v>ZALM</v>
          </cell>
          <cell r="G426" t="str">
            <v>UN</v>
          </cell>
          <cell r="H426" t="str">
            <v>DOP</v>
          </cell>
          <cell r="I426">
            <v>97</v>
          </cell>
          <cell r="J426">
            <v>20816.2</v>
          </cell>
          <cell r="K426">
            <v>0</v>
          </cell>
          <cell r="L426">
            <v>0</v>
          </cell>
          <cell r="M426">
            <v>95</v>
          </cell>
          <cell r="N426">
            <v>20387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192</v>
          </cell>
          <cell r="T426">
            <v>41203.199999999997</v>
          </cell>
          <cell r="U426">
            <v>214.6</v>
          </cell>
        </row>
        <row r="427">
          <cell r="A427">
            <v>1000421</v>
          </cell>
          <cell r="B427" t="str">
            <v>Fotocelda P/ 240V T/ Socket Roja</v>
          </cell>
          <cell r="D427">
            <v>6007</v>
          </cell>
          <cell r="E427">
            <v>1000</v>
          </cell>
          <cell r="F427" t="str">
            <v>ZALM</v>
          </cell>
          <cell r="G427" t="str">
            <v>UN</v>
          </cell>
          <cell r="H427" t="str">
            <v>DOP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 t="e">
            <v>#N/A</v>
          </cell>
        </row>
        <row r="428">
          <cell r="A428">
            <v>1000422</v>
          </cell>
          <cell r="B428" t="str">
            <v>Fotocelda P/ Luminarias 240V 1000W</v>
          </cell>
          <cell r="D428">
            <v>6007</v>
          </cell>
          <cell r="E428">
            <v>1000</v>
          </cell>
          <cell r="F428" t="str">
            <v>ZALM</v>
          </cell>
          <cell r="G428" t="str">
            <v>UN</v>
          </cell>
          <cell r="H428" t="str">
            <v>DOP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 t="e">
            <v>#N/A</v>
          </cell>
        </row>
        <row r="429">
          <cell r="A429">
            <v>1000423</v>
          </cell>
          <cell r="B429" t="str">
            <v>Fotocelda P/ Luminarias 480V 100W</v>
          </cell>
          <cell r="D429">
            <v>6007</v>
          </cell>
          <cell r="E429">
            <v>1000</v>
          </cell>
          <cell r="F429" t="str">
            <v>ZALM</v>
          </cell>
          <cell r="G429" t="str">
            <v>UN</v>
          </cell>
          <cell r="H429" t="str">
            <v>DOP</v>
          </cell>
          <cell r="I429">
            <v>21</v>
          </cell>
          <cell r="J429">
            <v>8189.37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21</v>
          </cell>
          <cell r="T429">
            <v>8189.37</v>
          </cell>
          <cell r="U429">
            <v>389.97</v>
          </cell>
        </row>
        <row r="430">
          <cell r="A430">
            <v>1000424</v>
          </cell>
          <cell r="B430" t="str">
            <v>Fotocontrol Contac Magn P/Conj Lumin 95A</v>
          </cell>
          <cell r="D430">
            <v>6007</v>
          </cell>
          <cell r="E430">
            <v>1000</v>
          </cell>
          <cell r="F430" t="str">
            <v>ZALM</v>
          </cell>
          <cell r="G430" t="str">
            <v>UN</v>
          </cell>
          <cell r="H430" t="str">
            <v>DOP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 t="e">
            <v>#N/A</v>
          </cell>
        </row>
        <row r="431">
          <cell r="A431">
            <v>1000425</v>
          </cell>
          <cell r="B431" t="str">
            <v>Kit Iluminac Ext T/ Cobra 250W 208/240V</v>
          </cell>
          <cell r="D431">
            <v>6007</v>
          </cell>
          <cell r="E431">
            <v>1000</v>
          </cell>
          <cell r="F431" t="str">
            <v>ZALM</v>
          </cell>
          <cell r="G431" t="str">
            <v>UN</v>
          </cell>
          <cell r="H431" t="str">
            <v>DOP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 t="e">
            <v>#N/A</v>
          </cell>
        </row>
        <row r="432">
          <cell r="A432">
            <v>1000426</v>
          </cell>
          <cell r="B432" t="str">
            <v>Kit Partes Inter Lumin 400W 240V</v>
          </cell>
          <cell r="D432">
            <v>6007</v>
          </cell>
          <cell r="E432">
            <v>1000</v>
          </cell>
          <cell r="F432" t="str">
            <v>ZALM</v>
          </cell>
          <cell r="G432" t="str">
            <v>UN</v>
          </cell>
          <cell r="H432" t="str">
            <v>DOP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 t="e">
            <v>#N/A</v>
          </cell>
        </row>
        <row r="433">
          <cell r="A433">
            <v>1000427</v>
          </cell>
          <cell r="B433" t="str">
            <v>Kit Partes Inter Lumin 400W 280V</v>
          </cell>
          <cell r="D433">
            <v>6007</v>
          </cell>
          <cell r="E433">
            <v>1000</v>
          </cell>
          <cell r="F433" t="str">
            <v>ZALM</v>
          </cell>
          <cell r="G433" t="str">
            <v>UN</v>
          </cell>
          <cell r="H433" t="str">
            <v>DOP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 t="e">
            <v>#N/A</v>
          </cell>
        </row>
        <row r="434">
          <cell r="A434">
            <v>1000428</v>
          </cell>
          <cell r="B434" t="str">
            <v>Luminaria Alumbrado Públ Merc 175W HPS</v>
          </cell>
          <cell r="D434">
            <v>6007</v>
          </cell>
          <cell r="E434">
            <v>1000</v>
          </cell>
          <cell r="F434" t="str">
            <v>ZALM</v>
          </cell>
          <cell r="G434" t="str">
            <v>UN</v>
          </cell>
          <cell r="H434" t="str">
            <v>DOP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 t="e">
            <v>#N/A</v>
          </cell>
        </row>
        <row r="435">
          <cell r="A435">
            <v>1000429</v>
          </cell>
          <cell r="B435" t="str">
            <v>Luminaria Power Spot 1500W Metal MV C/BO</v>
          </cell>
          <cell r="D435">
            <v>6007</v>
          </cell>
          <cell r="E435">
            <v>1000</v>
          </cell>
          <cell r="F435" t="str">
            <v>ZALM</v>
          </cell>
          <cell r="G435" t="str">
            <v>UN</v>
          </cell>
          <cell r="H435" t="str">
            <v>DOP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2</v>
          </cell>
          <cell r="N435">
            <v>27614.959999999999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2</v>
          </cell>
          <cell r="T435">
            <v>27614.959999999999</v>
          </cell>
          <cell r="U435">
            <v>13807.48</v>
          </cell>
        </row>
        <row r="436">
          <cell r="A436">
            <v>1000430</v>
          </cell>
          <cell r="B436" t="str">
            <v>Luminaria Reflec 400W Met MV C/B Base P</v>
          </cell>
          <cell r="D436">
            <v>6007</v>
          </cell>
          <cell r="E436">
            <v>1000</v>
          </cell>
          <cell r="F436" t="str">
            <v>ZALM</v>
          </cell>
          <cell r="G436" t="str">
            <v>UN</v>
          </cell>
          <cell r="H436" t="str">
            <v>DOP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 t="e">
            <v>#N/A</v>
          </cell>
        </row>
        <row r="437">
          <cell r="A437">
            <v>1000431</v>
          </cell>
          <cell r="B437" t="str">
            <v>Luminaria T/ Cobra Bomb Incl 100W 24VDC</v>
          </cell>
          <cell r="D437">
            <v>6007</v>
          </cell>
          <cell r="E437">
            <v>1000</v>
          </cell>
          <cell r="F437" t="str">
            <v>ZALM</v>
          </cell>
          <cell r="G437" t="str">
            <v>UN</v>
          </cell>
          <cell r="H437" t="str">
            <v>DOP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 t="e">
            <v>#N/A</v>
          </cell>
        </row>
        <row r="438">
          <cell r="A438">
            <v>1000432</v>
          </cell>
          <cell r="B438" t="str">
            <v>Luminaria T/ Cobra HPS 150W 55V 250V</v>
          </cell>
          <cell r="D438">
            <v>6007</v>
          </cell>
          <cell r="E438">
            <v>1000</v>
          </cell>
          <cell r="F438" t="str">
            <v>ZALM</v>
          </cell>
          <cell r="G438" t="str">
            <v>UN</v>
          </cell>
          <cell r="H438" t="str">
            <v>DOP</v>
          </cell>
          <cell r="I438">
            <v>89</v>
          </cell>
          <cell r="J438">
            <v>342283.02</v>
          </cell>
          <cell r="K438">
            <v>0</v>
          </cell>
          <cell r="L438">
            <v>0</v>
          </cell>
          <cell r="M438">
            <v>1410</v>
          </cell>
          <cell r="N438">
            <v>5422686.1100000003</v>
          </cell>
          <cell r="O438">
            <v>0</v>
          </cell>
          <cell r="P438">
            <v>0</v>
          </cell>
          <cell r="Q438">
            <v>1471</v>
          </cell>
          <cell r="R438">
            <v>5657284.5899999999</v>
          </cell>
          <cell r="S438">
            <v>2970</v>
          </cell>
          <cell r="T438">
            <v>11422253.720000001</v>
          </cell>
          <cell r="U438">
            <v>3845.8766734006699</v>
          </cell>
        </row>
        <row r="439">
          <cell r="A439">
            <v>1000433</v>
          </cell>
          <cell r="B439" t="str">
            <v>LUMINARIA T/ COBRA HPS 250W 100V 250V</v>
          </cell>
          <cell r="D439">
            <v>6007</v>
          </cell>
          <cell r="E439">
            <v>1000</v>
          </cell>
          <cell r="F439" t="str">
            <v>ZALM</v>
          </cell>
          <cell r="G439" t="str">
            <v>UN</v>
          </cell>
          <cell r="H439" t="str">
            <v>DOP</v>
          </cell>
          <cell r="I439">
            <v>575</v>
          </cell>
          <cell r="J439">
            <v>2547927.06</v>
          </cell>
          <cell r="K439">
            <v>0</v>
          </cell>
          <cell r="L439">
            <v>0</v>
          </cell>
          <cell r="M439">
            <v>25</v>
          </cell>
          <cell r="N439">
            <v>110779.44</v>
          </cell>
          <cell r="O439">
            <v>0</v>
          </cell>
          <cell r="P439">
            <v>0</v>
          </cell>
          <cell r="Q439">
            <v>10</v>
          </cell>
          <cell r="R439">
            <v>44311.77</v>
          </cell>
          <cell r="S439">
            <v>610</v>
          </cell>
          <cell r="T439">
            <v>2703018.27</v>
          </cell>
          <cell r="U439">
            <v>4431.1774918032797</v>
          </cell>
        </row>
        <row r="440">
          <cell r="A440">
            <v>1000434</v>
          </cell>
          <cell r="B440" t="str">
            <v>Luminaria T/ Cobra HPS 400W</v>
          </cell>
          <cell r="D440">
            <v>6007</v>
          </cell>
          <cell r="E440">
            <v>1000</v>
          </cell>
          <cell r="F440" t="str">
            <v>ZALM</v>
          </cell>
          <cell r="G440" t="str">
            <v>UN</v>
          </cell>
          <cell r="H440" t="str">
            <v>DOP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 t="e">
            <v>#N/A</v>
          </cell>
        </row>
        <row r="441">
          <cell r="A441">
            <v>1000435</v>
          </cell>
          <cell r="B441" t="str">
            <v>Módulo Fotovoltaico 120W Para 12h Oper</v>
          </cell>
          <cell r="D441">
            <v>6007</v>
          </cell>
          <cell r="E441">
            <v>1000</v>
          </cell>
          <cell r="F441" t="str">
            <v>ZALM</v>
          </cell>
          <cell r="G441" t="str">
            <v>UN</v>
          </cell>
          <cell r="H441" t="str">
            <v>DOP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 t="e">
            <v>#N/A</v>
          </cell>
        </row>
        <row r="442">
          <cell r="A442">
            <v>1000436</v>
          </cell>
          <cell r="B442" t="str">
            <v>Apartarrayo 27kV T/ Est MCOV 22kV Porc</v>
          </cell>
          <cell r="D442">
            <v>7208</v>
          </cell>
          <cell r="E442">
            <v>1000</v>
          </cell>
          <cell r="F442" t="str">
            <v>ZALM</v>
          </cell>
          <cell r="G442" t="str">
            <v>UN</v>
          </cell>
          <cell r="H442" t="str">
            <v>DOP</v>
          </cell>
          <cell r="I442">
            <v>23</v>
          </cell>
          <cell r="J442">
            <v>421734.53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23</v>
          </cell>
          <cell r="T442">
            <v>421734.53</v>
          </cell>
          <cell r="U442">
            <v>18336.283913043499</v>
          </cell>
        </row>
        <row r="443">
          <cell r="A443">
            <v>1000437</v>
          </cell>
          <cell r="B443" t="str">
            <v>Apartarrayo 39kV T/ Est MCOV 22kV Porc</v>
          </cell>
          <cell r="D443">
            <v>7208</v>
          </cell>
          <cell r="E443">
            <v>1000</v>
          </cell>
          <cell r="F443" t="str">
            <v>ZALM</v>
          </cell>
          <cell r="G443" t="str">
            <v>UN</v>
          </cell>
          <cell r="H443" t="str">
            <v>DOP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 t="e">
            <v>#N/A</v>
          </cell>
        </row>
        <row r="444">
          <cell r="A444">
            <v>1000438</v>
          </cell>
          <cell r="B444" t="str">
            <v>Apartarrayo 3kV T/ Est MCOV 2.55kV</v>
          </cell>
          <cell r="D444">
            <v>7208</v>
          </cell>
          <cell r="E444">
            <v>1000</v>
          </cell>
          <cell r="F444" t="str">
            <v>ZALM</v>
          </cell>
          <cell r="G444" t="str">
            <v>UN</v>
          </cell>
          <cell r="H444" t="str">
            <v>DOP</v>
          </cell>
          <cell r="I444">
            <v>10</v>
          </cell>
          <cell r="J444">
            <v>109983.1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10</v>
          </cell>
          <cell r="T444">
            <v>109983.1</v>
          </cell>
          <cell r="U444">
            <v>10998.31</v>
          </cell>
        </row>
        <row r="445">
          <cell r="A445">
            <v>1000439</v>
          </cell>
          <cell r="B445" t="str">
            <v>Apartarrayo 60kV T/ Est MCOV 48kV</v>
          </cell>
          <cell r="D445">
            <v>7208</v>
          </cell>
          <cell r="E445">
            <v>1000</v>
          </cell>
          <cell r="F445" t="str">
            <v>ZALM</v>
          </cell>
          <cell r="G445" t="str">
            <v>UN</v>
          </cell>
          <cell r="H445" t="str">
            <v>DOP</v>
          </cell>
          <cell r="I445">
            <v>1</v>
          </cell>
          <cell r="J445">
            <v>46378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1</v>
          </cell>
          <cell r="T445">
            <v>46378</v>
          </cell>
          <cell r="U445">
            <v>46378</v>
          </cell>
        </row>
        <row r="446">
          <cell r="A446">
            <v>1000440</v>
          </cell>
          <cell r="B446" t="str">
            <v>Apartarrayo 9KV T/ Est MCOV 7.65kV Porc</v>
          </cell>
          <cell r="D446">
            <v>7208</v>
          </cell>
          <cell r="E446">
            <v>1000</v>
          </cell>
          <cell r="F446" t="str">
            <v>ZALM</v>
          </cell>
          <cell r="G446" t="str">
            <v>UN</v>
          </cell>
          <cell r="H446" t="str">
            <v>DOP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 t="e">
            <v>#N/A</v>
          </cell>
        </row>
        <row r="447">
          <cell r="A447">
            <v>1000441</v>
          </cell>
          <cell r="B447" t="str">
            <v>Armario P/ Medición Indirecta</v>
          </cell>
          <cell r="D447">
            <v>7208</v>
          </cell>
          <cell r="E447">
            <v>1000</v>
          </cell>
          <cell r="F447" t="str">
            <v>ZALM</v>
          </cell>
          <cell r="G447" t="str">
            <v>UN</v>
          </cell>
          <cell r="H447" t="str">
            <v>DOP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 t="e">
            <v>#N/A</v>
          </cell>
        </row>
        <row r="448">
          <cell r="A448">
            <v>1000442</v>
          </cell>
          <cell r="B448" t="str">
            <v>Armario PNZ I Derivac Medidores Indirec</v>
          </cell>
          <cell r="D448">
            <v>7208</v>
          </cell>
          <cell r="E448">
            <v>1000</v>
          </cell>
          <cell r="F448" t="str">
            <v>ZALM</v>
          </cell>
          <cell r="G448" t="str">
            <v>UN</v>
          </cell>
          <cell r="H448" t="str">
            <v>DOP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 t="e">
            <v>#N/A</v>
          </cell>
        </row>
        <row r="449">
          <cell r="A449">
            <v>1000443</v>
          </cell>
          <cell r="B449" t="str">
            <v>Armario Polyest P/ Medic Pto Compr Energ</v>
          </cell>
          <cell r="D449">
            <v>7208</v>
          </cell>
          <cell r="E449">
            <v>1000</v>
          </cell>
          <cell r="F449" t="str">
            <v>ZALM</v>
          </cell>
          <cell r="G449" t="str">
            <v>UN</v>
          </cell>
          <cell r="H449" t="str">
            <v>DOP</v>
          </cell>
          <cell r="I449">
            <v>28</v>
          </cell>
          <cell r="J449">
            <v>679591.72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28</v>
          </cell>
          <cell r="T449">
            <v>679591.72</v>
          </cell>
          <cell r="U449">
            <v>24271.1328571429</v>
          </cell>
        </row>
        <row r="450">
          <cell r="A450">
            <v>1000444</v>
          </cell>
          <cell r="B450" t="str">
            <v>Armario Protección de Medidores</v>
          </cell>
          <cell r="D450">
            <v>7208</v>
          </cell>
          <cell r="E450">
            <v>1000</v>
          </cell>
          <cell r="F450" t="str">
            <v>ZALM</v>
          </cell>
          <cell r="G450" t="str">
            <v>UN</v>
          </cell>
          <cell r="H450" t="str">
            <v>DOP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231</v>
          </cell>
          <cell r="R450">
            <v>2629330.08</v>
          </cell>
          <cell r="S450">
            <v>231</v>
          </cell>
          <cell r="T450">
            <v>2629330.08</v>
          </cell>
          <cell r="U450">
            <v>11382.381298701301</v>
          </cell>
        </row>
        <row r="451">
          <cell r="A451">
            <v>1000445</v>
          </cell>
          <cell r="B451" t="str">
            <v>Arnés P/ Manga Dieléctr Cl 0 C/ Botones</v>
          </cell>
          <cell r="D451">
            <v>7208</v>
          </cell>
          <cell r="E451">
            <v>1000</v>
          </cell>
          <cell r="F451" t="str">
            <v>ZALM</v>
          </cell>
          <cell r="G451" t="str">
            <v>UN</v>
          </cell>
          <cell r="H451" t="str">
            <v>DOP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 t="e">
            <v>#N/A</v>
          </cell>
        </row>
        <row r="452">
          <cell r="A452">
            <v>1000446</v>
          </cell>
          <cell r="B452" t="str">
            <v>Arnés P/ Manga Dieléctr Cl 2 C/ Botones</v>
          </cell>
          <cell r="D452">
            <v>7201</v>
          </cell>
          <cell r="E452">
            <v>1000</v>
          </cell>
          <cell r="F452" t="str">
            <v>ZALM</v>
          </cell>
          <cell r="G452" t="str">
            <v>UN</v>
          </cell>
          <cell r="H452" t="str">
            <v>DOP</v>
          </cell>
          <cell r="I452">
            <v>40</v>
          </cell>
          <cell r="J452">
            <v>36718.18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40</v>
          </cell>
          <cell r="T452">
            <v>36718.18</v>
          </cell>
          <cell r="U452">
            <v>917.95450000000005</v>
          </cell>
        </row>
        <row r="453">
          <cell r="A453">
            <v>1000447</v>
          </cell>
          <cell r="B453" t="str">
            <v>Aro Seguridad P/ Caja Socket C/ Cil Ext</v>
          </cell>
          <cell r="D453">
            <v>7208</v>
          </cell>
          <cell r="E453">
            <v>1000</v>
          </cell>
          <cell r="F453" t="str">
            <v>ZALM</v>
          </cell>
          <cell r="G453" t="str">
            <v>UN</v>
          </cell>
          <cell r="H453" t="str">
            <v>DOP</v>
          </cell>
          <cell r="I453">
            <v>41</v>
          </cell>
          <cell r="J453">
            <v>10813.23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26745</v>
          </cell>
          <cell r="R453">
            <v>7053655.7999999998</v>
          </cell>
          <cell r="S453">
            <v>26786</v>
          </cell>
          <cell r="T453">
            <v>7064469.0300000003</v>
          </cell>
          <cell r="U453">
            <v>263.73736392145099</v>
          </cell>
        </row>
        <row r="454">
          <cell r="A454">
            <v>1000448</v>
          </cell>
          <cell r="B454" t="str">
            <v>Aro Sellado Atornillado P/ Caja T Socket</v>
          </cell>
          <cell r="D454">
            <v>7208</v>
          </cell>
          <cell r="E454">
            <v>1000</v>
          </cell>
          <cell r="F454" t="str">
            <v>ZALM</v>
          </cell>
          <cell r="G454" t="str">
            <v>UN</v>
          </cell>
          <cell r="H454" t="str">
            <v>DOP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 t="e">
            <v>#N/A</v>
          </cell>
        </row>
        <row r="455">
          <cell r="A455">
            <v>1000449</v>
          </cell>
          <cell r="B455" t="str">
            <v>Bandala de Seguridad 23 Mtr</v>
          </cell>
          <cell r="D455">
            <v>7208</v>
          </cell>
          <cell r="E455">
            <v>1000</v>
          </cell>
          <cell r="F455" t="str">
            <v>ZALM</v>
          </cell>
          <cell r="G455" t="str">
            <v>UN</v>
          </cell>
          <cell r="H455" t="str">
            <v>DOP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 t="e">
            <v>#N/A</v>
          </cell>
        </row>
        <row r="456">
          <cell r="A456">
            <v>1000450</v>
          </cell>
          <cell r="B456" t="str">
            <v>Base Adhesiva P/ Amarre Plastica</v>
          </cell>
          <cell r="D456">
            <v>7208</v>
          </cell>
          <cell r="E456">
            <v>1000</v>
          </cell>
          <cell r="F456" t="str">
            <v>ZALM</v>
          </cell>
          <cell r="G456" t="str">
            <v>UN</v>
          </cell>
          <cell r="H456" t="str">
            <v>DOP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 t="e">
            <v>#N/A</v>
          </cell>
        </row>
        <row r="457">
          <cell r="A457">
            <v>1000451</v>
          </cell>
          <cell r="B457" t="str">
            <v>Base de Goma PTT</v>
          </cell>
          <cell r="D457">
            <v>7208</v>
          </cell>
          <cell r="E457">
            <v>1000</v>
          </cell>
          <cell r="F457" t="str">
            <v>ZALM</v>
          </cell>
          <cell r="G457" t="str">
            <v>UN</v>
          </cell>
          <cell r="H457" t="str">
            <v>DOP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 t="e">
            <v>#N/A</v>
          </cell>
        </row>
        <row r="458">
          <cell r="A458">
            <v>1000452</v>
          </cell>
          <cell r="B458" t="str">
            <v>Base de Madera P/ Medidor</v>
          </cell>
          <cell r="D458">
            <v>7208</v>
          </cell>
          <cell r="E458">
            <v>1000</v>
          </cell>
          <cell r="F458" t="str">
            <v>ZALM</v>
          </cell>
          <cell r="G458" t="str">
            <v>UN</v>
          </cell>
          <cell r="H458" t="str">
            <v>DOP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 t="e">
            <v>#N/A</v>
          </cell>
        </row>
        <row r="459">
          <cell r="A459">
            <v>1000453</v>
          </cell>
          <cell r="B459" t="str">
            <v>Base Galv P/ Seccionador Monopolar</v>
          </cell>
          <cell r="D459">
            <v>7208</v>
          </cell>
          <cell r="E459">
            <v>1000</v>
          </cell>
          <cell r="F459" t="str">
            <v>ZALM</v>
          </cell>
          <cell r="G459" t="str">
            <v>UN</v>
          </cell>
          <cell r="H459" t="str">
            <v>DOP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 t="e">
            <v>#N/A</v>
          </cell>
        </row>
        <row r="460">
          <cell r="A460">
            <v>1000454</v>
          </cell>
          <cell r="B460" t="str">
            <v>Base Hexag P/ Antena Marconi 1/4 Onda</v>
          </cell>
          <cell r="D460">
            <v>7208</v>
          </cell>
          <cell r="E460">
            <v>1000</v>
          </cell>
          <cell r="F460" t="str">
            <v>ZALM</v>
          </cell>
          <cell r="G460" t="str">
            <v>UN</v>
          </cell>
          <cell r="H460" t="str">
            <v>DOP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 t="e">
            <v>#N/A</v>
          </cell>
        </row>
        <row r="461">
          <cell r="A461">
            <v>1000455</v>
          </cell>
          <cell r="B461" t="str">
            <v>Base Hexag P/ Antena Tipo NMO</v>
          </cell>
          <cell r="D461">
            <v>7208</v>
          </cell>
          <cell r="E461">
            <v>1000</v>
          </cell>
          <cell r="F461" t="str">
            <v>ZALM</v>
          </cell>
          <cell r="G461" t="str">
            <v>UN</v>
          </cell>
          <cell r="H461" t="str">
            <v>DOP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 t="e">
            <v>#N/A</v>
          </cell>
        </row>
        <row r="462">
          <cell r="A462">
            <v>1000456</v>
          </cell>
          <cell r="B462" t="str">
            <v>Base Instal P/ Medidor Bif Sal 1 1/4"</v>
          </cell>
          <cell r="D462">
            <v>7208</v>
          </cell>
          <cell r="E462">
            <v>1000</v>
          </cell>
          <cell r="F462" t="str">
            <v>ZALM</v>
          </cell>
          <cell r="G462" t="str">
            <v>UN</v>
          </cell>
          <cell r="H462" t="str">
            <v>DOP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 t="e">
            <v>#N/A</v>
          </cell>
        </row>
        <row r="463">
          <cell r="A463">
            <v>1000457</v>
          </cell>
          <cell r="B463" t="str">
            <v>Base Instal P/ Medidor Monof 4 Term 125A</v>
          </cell>
          <cell r="D463">
            <v>7208</v>
          </cell>
          <cell r="E463">
            <v>1000</v>
          </cell>
          <cell r="F463" t="str">
            <v>ZALM</v>
          </cell>
          <cell r="G463" t="str">
            <v>UN</v>
          </cell>
          <cell r="H463" t="str">
            <v>DOP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 t="e">
            <v>#N/A</v>
          </cell>
        </row>
        <row r="464">
          <cell r="A464">
            <v>1000458</v>
          </cell>
          <cell r="B464" t="str">
            <v>Base Instal P/ Medidor Polif Sal 1 1/4"</v>
          </cell>
          <cell r="D464">
            <v>7208</v>
          </cell>
          <cell r="E464">
            <v>1000</v>
          </cell>
          <cell r="F464" t="str">
            <v>ZALM</v>
          </cell>
          <cell r="G464" t="str">
            <v>UN</v>
          </cell>
          <cell r="H464" t="str">
            <v>DOP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 t="e">
            <v>#N/A</v>
          </cell>
        </row>
        <row r="465">
          <cell r="A465">
            <v>1000459</v>
          </cell>
          <cell r="B465" t="str">
            <v>Base Instal P/Med Monof Circ Sal 1 1/4</v>
          </cell>
          <cell r="D465">
            <v>7208</v>
          </cell>
          <cell r="E465">
            <v>1000</v>
          </cell>
          <cell r="F465" t="str">
            <v>ZALM</v>
          </cell>
          <cell r="G465" t="str">
            <v>UN</v>
          </cell>
          <cell r="H465" t="str">
            <v>DOP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 t="e">
            <v>#N/A</v>
          </cell>
        </row>
        <row r="466">
          <cell r="A466">
            <v>1000460</v>
          </cell>
          <cell r="B466" t="str">
            <v>Base Instal P/Med Monof Res Sal 1 1/4 T4</v>
          </cell>
          <cell r="D466">
            <v>7208</v>
          </cell>
          <cell r="E466">
            <v>1000</v>
          </cell>
          <cell r="F466" t="str">
            <v>ZALM</v>
          </cell>
          <cell r="G466" t="str">
            <v>UN</v>
          </cell>
          <cell r="H466" t="str">
            <v>DOP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 t="e">
            <v>#N/A</v>
          </cell>
        </row>
        <row r="467">
          <cell r="A467">
            <v>1000461</v>
          </cell>
          <cell r="B467" t="str">
            <v>Base MCU-15 P/ Eq Comp Medic CT PT TAIT</v>
          </cell>
          <cell r="D467">
            <v>7208</v>
          </cell>
          <cell r="E467">
            <v>1000</v>
          </cell>
          <cell r="F467" t="str">
            <v>ZALM</v>
          </cell>
          <cell r="G467" t="str">
            <v>UN</v>
          </cell>
          <cell r="H467" t="str">
            <v>DOP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 t="e">
            <v>#N/A</v>
          </cell>
        </row>
        <row r="468">
          <cell r="A468">
            <v>1000462</v>
          </cell>
          <cell r="B468" t="str">
            <v>Base P/ Medidor 5 Clips Monof 240V</v>
          </cell>
          <cell r="D468">
            <v>7208</v>
          </cell>
          <cell r="E468">
            <v>1000</v>
          </cell>
          <cell r="F468" t="str">
            <v>ZALM</v>
          </cell>
          <cell r="G468" t="str">
            <v>UN</v>
          </cell>
          <cell r="H468" t="str">
            <v>DOP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 t="e">
            <v>#N/A</v>
          </cell>
        </row>
        <row r="469">
          <cell r="A469">
            <v>1000463</v>
          </cell>
          <cell r="B469" t="str">
            <v>Base P/ Medidor 7 Clips Trif 240V</v>
          </cell>
          <cell r="D469">
            <v>7208</v>
          </cell>
          <cell r="E469">
            <v>1000</v>
          </cell>
          <cell r="F469" t="str">
            <v>ZALM</v>
          </cell>
          <cell r="G469" t="str">
            <v>UN</v>
          </cell>
          <cell r="H469" t="str">
            <v>DOP</v>
          </cell>
          <cell r="I469">
            <v>2</v>
          </cell>
          <cell r="J469">
            <v>6960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2</v>
          </cell>
          <cell r="T469">
            <v>6960</v>
          </cell>
          <cell r="U469">
            <v>3480</v>
          </cell>
        </row>
        <row r="470">
          <cell r="A470">
            <v>1000464</v>
          </cell>
          <cell r="B470" t="str">
            <v>Base P/ Medidor Digital 13 Clip 240V</v>
          </cell>
          <cell r="D470">
            <v>7208</v>
          </cell>
          <cell r="E470">
            <v>1000</v>
          </cell>
          <cell r="F470" t="str">
            <v>ZALM</v>
          </cell>
          <cell r="G470" t="str">
            <v>UN</v>
          </cell>
          <cell r="H470" t="str">
            <v>DOP</v>
          </cell>
          <cell r="I470">
            <v>197</v>
          </cell>
          <cell r="J470">
            <v>693917.26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804</v>
          </cell>
          <cell r="R470">
            <v>2832027.79</v>
          </cell>
          <cell r="S470">
            <v>1001</v>
          </cell>
          <cell r="T470">
            <v>3525945.05</v>
          </cell>
          <cell r="U470">
            <v>3522.4226273726299</v>
          </cell>
        </row>
        <row r="471">
          <cell r="A471">
            <v>1000465</v>
          </cell>
          <cell r="B471" t="str">
            <v>Base P/ Medidor Electrónico 8 ClipsV</v>
          </cell>
          <cell r="D471">
            <v>7208</v>
          </cell>
          <cell r="E471">
            <v>1000</v>
          </cell>
          <cell r="F471" t="str">
            <v>ZALM</v>
          </cell>
          <cell r="G471" t="str">
            <v>UN</v>
          </cell>
          <cell r="H471" t="str">
            <v>DOP</v>
          </cell>
          <cell r="I471">
            <v>14</v>
          </cell>
          <cell r="J471">
            <v>39799.449999999997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176</v>
          </cell>
          <cell r="R471">
            <v>500335.94</v>
          </cell>
          <cell r="S471">
            <v>190</v>
          </cell>
          <cell r="T471">
            <v>540135.39</v>
          </cell>
          <cell r="U471">
            <v>2842.8178421052598</v>
          </cell>
        </row>
        <row r="472">
          <cell r="A472">
            <v>1000466</v>
          </cell>
          <cell r="B472" t="str">
            <v>Base P/ Medidor Galv 3/32 C 1/18 1/4</v>
          </cell>
          <cell r="D472">
            <v>7208</v>
          </cell>
          <cell r="E472">
            <v>1000</v>
          </cell>
          <cell r="F472" t="str">
            <v>ZALM</v>
          </cell>
          <cell r="G472" t="str">
            <v>UN</v>
          </cell>
          <cell r="H472" t="str">
            <v>DOP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 t="e">
            <v>#N/A</v>
          </cell>
        </row>
        <row r="473">
          <cell r="A473">
            <v>1000467</v>
          </cell>
          <cell r="B473" t="str">
            <v>Base P/ Relay Auxiliar de 8 PIN</v>
          </cell>
          <cell r="D473">
            <v>7208</v>
          </cell>
          <cell r="E473">
            <v>1000</v>
          </cell>
          <cell r="F473" t="str">
            <v>ZALM</v>
          </cell>
          <cell r="G473" t="str">
            <v>UN</v>
          </cell>
          <cell r="H473" t="str">
            <v>DOP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 t="e">
            <v>#N/A</v>
          </cell>
        </row>
        <row r="474">
          <cell r="A474">
            <v>1000468</v>
          </cell>
          <cell r="B474" t="str">
            <v>Base P/ Relay de 11 PIN</v>
          </cell>
          <cell r="D474">
            <v>7208</v>
          </cell>
          <cell r="E474">
            <v>1000</v>
          </cell>
          <cell r="F474" t="str">
            <v>ZALM</v>
          </cell>
          <cell r="G474" t="str">
            <v>UN</v>
          </cell>
          <cell r="H474" t="str">
            <v>DOP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 t="e">
            <v>#N/A</v>
          </cell>
        </row>
        <row r="475">
          <cell r="A475">
            <v>1000469</v>
          </cell>
          <cell r="B475" t="str">
            <v>Base Plást P/ Acom Medidor Botton Cl100</v>
          </cell>
          <cell r="D475">
            <v>7208</v>
          </cell>
          <cell r="E475">
            <v>1000</v>
          </cell>
          <cell r="F475" t="str">
            <v>ZALM</v>
          </cell>
          <cell r="G475" t="str">
            <v>UN</v>
          </cell>
          <cell r="H475" t="str">
            <v>DOP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 t="e">
            <v>#N/A</v>
          </cell>
        </row>
        <row r="476">
          <cell r="A476">
            <v>1000470</v>
          </cell>
          <cell r="B476" t="str">
            <v>Base Rect P/ Medidor Trif Cl 200 7 Clips</v>
          </cell>
          <cell r="D476">
            <v>7208</v>
          </cell>
          <cell r="E476">
            <v>1000</v>
          </cell>
          <cell r="F476" t="str">
            <v>ZALM</v>
          </cell>
          <cell r="G476" t="str">
            <v>UN</v>
          </cell>
          <cell r="H476" t="str">
            <v>DOP</v>
          </cell>
          <cell r="I476">
            <v>47</v>
          </cell>
          <cell r="J476">
            <v>72821.34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1497</v>
          </cell>
          <cell r="R476">
            <v>2319437.19</v>
          </cell>
          <cell r="S476">
            <v>1544</v>
          </cell>
          <cell r="T476">
            <v>2392258.5299999998</v>
          </cell>
          <cell r="U476">
            <v>1549.3902396373101</v>
          </cell>
        </row>
        <row r="477">
          <cell r="A477">
            <v>1000471</v>
          </cell>
          <cell r="B477" t="str">
            <v>Base Redundant MDS 4790</v>
          </cell>
          <cell r="D477">
            <v>7208</v>
          </cell>
          <cell r="E477">
            <v>1000</v>
          </cell>
          <cell r="F477" t="str">
            <v>ZALM</v>
          </cell>
          <cell r="G477" t="str">
            <v>UN</v>
          </cell>
          <cell r="H477" t="str">
            <v>DOP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 t="e">
            <v>#N/A</v>
          </cell>
        </row>
        <row r="478">
          <cell r="A478">
            <v>1000472</v>
          </cell>
          <cell r="B478" t="str">
            <v>Base Relay Finder 60 12 10A 250V 110VDC</v>
          </cell>
          <cell r="D478">
            <v>7208</v>
          </cell>
          <cell r="E478">
            <v>1000</v>
          </cell>
          <cell r="F478" t="str">
            <v>ZALM</v>
          </cell>
          <cell r="G478" t="str">
            <v>UN</v>
          </cell>
          <cell r="H478" t="str">
            <v>DOP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 t="e">
            <v>#N/A</v>
          </cell>
        </row>
        <row r="479">
          <cell r="A479">
            <v>1000473</v>
          </cell>
          <cell r="B479" t="str">
            <v>Base Socket 200A Trif P/ Med Dig 5 Clips</v>
          </cell>
          <cell r="D479">
            <v>7208</v>
          </cell>
          <cell r="E479">
            <v>1000</v>
          </cell>
          <cell r="F479" t="str">
            <v>ZALM</v>
          </cell>
          <cell r="G479" t="str">
            <v>UN</v>
          </cell>
          <cell r="H479" t="str">
            <v>DOP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 t="e">
            <v>#N/A</v>
          </cell>
        </row>
        <row r="480">
          <cell r="A480">
            <v>1000474</v>
          </cell>
          <cell r="B480" t="str">
            <v>Bloque Contactos Auxiliares 125 VDC</v>
          </cell>
          <cell r="D480">
            <v>7208</v>
          </cell>
          <cell r="E480">
            <v>1000</v>
          </cell>
          <cell r="F480" t="str">
            <v>ZALM</v>
          </cell>
          <cell r="G480" t="str">
            <v>UN</v>
          </cell>
          <cell r="H480" t="str">
            <v>DOP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 t="e">
            <v>#N/A</v>
          </cell>
        </row>
        <row r="481">
          <cell r="A481">
            <v>1000475</v>
          </cell>
          <cell r="B481" t="str">
            <v>Bloque de Control de prueba</v>
          </cell>
          <cell r="D481">
            <v>7208</v>
          </cell>
          <cell r="E481">
            <v>1000</v>
          </cell>
          <cell r="F481" t="str">
            <v>ZALM</v>
          </cell>
          <cell r="G481" t="str">
            <v>UN</v>
          </cell>
          <cell r="H481" t="str">
            <v>DOP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 t="e">
            <v>#N/A</v>
          </cell>
        </row>
        <row r="482">
          <cell r="A482">
            <v>1000476</v>
          </cell>
          <cell r="B482" t="str">
            <v>Bloques de Contactos (12NA+12NC)</v>
          </cell>
          <cell r="D482">
            <v>7208</v>
          </cell>
          <cell r="E482">
            <v>1000</v>
          </cell>
          <cell r="F482" t="str">
            <v>ZALM</v>
          </cell>
          <cell r="G482" t="str">
            <v>UN</v>
          </cell>
          <cell r="H482" t="str">
            <v>DOP</v>
          </cell>
          <cell r="I482">
            <v>3</v>
          </cell>
          <cell r="J482">
            <v>24287.82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3</v>
          </cell>
          <cell r="T482">
            <v>24287.82</v>
          </cell>
          <cell r="U482">
            <v>8095.94</v>
          </cell>
        </row>
        <row r="483">
          <cell r="A483">
            <v>1000477</v>
          </cell>
          <cell r="B483" t="str">
            <v>Bobina 0.101 P/ Cargador Radio PRO-5150</v>
          </cell>
          <cell r="D483">
            <v>7208</v>
          </cell>
          <cell r="E483">
            <v>1000</v>
          </cell>
          <cell r="F483" t="str">
            <v>ZALM</v>
          </cell>
          <cell r="G483" t="str">
            <v>UN</v>
          </cell>
          <cell r="H483" t="str">
            <v>DOP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 t="e">
            <v>#N/A</v>
          </cell>
        </row>
        <row r="484">
          <cell r="A484">
            <v>1000478</v>
          </cell>
          <cell r="B484" t="str">
            <v>Bobina de Cierre</v>
          </cell>
          <cell r="D484">
            <v>7208</v>
          </cell>
          <cell r="E484">
            <v>1000</v>
          </cell>
          <cell r="F484" t="str">
            <v>ZALM</v>
          </cell>
          <cell r="G484" t="str">
            <v>UN</v>
          </cell>
          <cell r="H484" t="str">
            <v>DOP</v>
          </cell>
          <cell r="I484">
            <v>2</v>
          </cell>
          <cell r="J484">
            <v>15144.57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2</v>
          </cell>
          <cell r="T484">
            <v>15144.57</v>
          </cell>
          <cell r="U484">
            <v>7572.2849999999999</v>
          </cell>
        </row>
        <row r="485">
          <cell r="A485">
            <v>1000479</v>
          </cell>
          <cell r="B485" t="str">
            <v>Bobina de Conexion y Desconexion 125 VDC</v>
          </cell>
          <cell r="D485">
            <v>7208</v>
          </cell>
          <cell r="E485">
            <v>1000</v>
          </cell>
          <cell r="F485" t="str">
            <v>ZALM</v>
          </cell>
          <cell r="G485" t="str">
            <v>UN</v>
          </cell>
          <cell r="H485" t="str">
            <v>DOP</v>
          </cell>
          <cell r="I485">
            <v>14</v>
          </cell>
          <cell r="J485">
            <v>123573.94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14</v>
          </cell>
          <cell r="T485">
            <v>123573.94</v>
          </cell>
          <cell r="U485">
            <v>8826.7099999999991</v>
          </cell>
        </row>
        <row r="486">
          <cell r="A486">
            <v>1000480</v>
          </cell>
          <cell r="B486" t="str">
            <v>Bobina de Disparo</v>
          </cell>
          <cell r="D486">
            <v>7208</v>
          </cell>
          <cell r="E486">
            <v>1000</v>
          </cell>
          <cell r="F486" t="str">
            <v>ZALM</v>
          </cell>
          <cell r="G486" t="str">
            <v>UN</v>
          </cell>
          <cell r="H486" t="str">
            <v>DOP</v>
          </cell>
          <cell r="I486">
            <v>2</v>
          </cell>
          <cell r="J486">
            <v>15144.57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2</v>
          </cell>
          <cell r="T486">
            <v>15144.57</v>
          </cell>
          <cell r="U486">
            <v>7572.2849999999999</v>
          </cell>
        </row>
        <row r="487">
          <cell r="A487">
            <v>1000481</v>
          </cell>
          <cell r="B487" t="str">
            <v>Bobina Disparo 125VCD P/ Interrup 72.5kV</v>
          </cell>
          <cell r="D487">
            <v>7208</v>
          </cell>
          <cell r="E487">
            <v>1000</v>
          </cell>
          <cell r="F487" t="str">
            <v>ZALM</v>
          </cell>
          <cell r="G487" t="str">
            <v>UN</v>
          </cell>
          <cell r="H487" t="str">
            <v>DOP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 t="e">
            <v>#N/A</v>
          </cell>
        </row>
        <row r="488">
          <cell r="A488">
            <v>1000482</v>
          </cell>
          <cell r="B488" t="str">
            <v>Bocina Conex-Desconex 125 VDC 15kV</v>
          </cell>
          <cell r="D488">
            <v>7208</v>
          </cell>
          <cell r="E488">
            <v>1000</v>
          </cell>
          <cell r="F488" t="str">
            <v>ZALM</v>
          </cell>
          <cell r="G488" t="str">
            <v>UN</v>
          </cell>
          <cell r="H488" t="str">
            <v>DOP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 t="e">
            <v>#N/A</v>
          </cell>
        </row>
        <row r="489">
          <cell r="A489">
            <v>1000483</v>
          </cell>
          <cell r="B489" t="str">
            <v>Bocina Conex-Desconex 125 VDC 72.5kV</v>
          </cell>
          <cell r="D489">
            <v>7208</v>
          </cell>
          <cell r="E489">
            <v>1000</v>
          </cell>
          <cell r="F489" t="str">
            <v>ZALM</v>
          </cell>
          <cell r="G489" t="str">
            <v>UN</v>
          </cell>
          <cell r="H489" t="str">
            <v>DOP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 t="e">
            <v>#N/A</v>
          </cell>
        </row>
        <row r="490">
          <cell r="A490">
            <v>1000484</v>
          </cell>
          <cell r="B490" t="str">
            <v>Bornera de corriente</v>
          </cell>
          <cell r="D490">
            <v>7208</v>
          </cell>
          <cell r="E490">
            <v>1000</v>
          </cell>
          <cell r="F490" t="str">
            <v>ZALM</v>
          </cell>
          <cell r="G490" t="str">
            <v>UN</v>
          </cell>
          <cell r="H490" t="str">
            <v>DOP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 t="e">
            <v>#N/A</v>
          </cell>
        </row>
        <row r="491">
          <cell r="A491">
            <v>1000485</v>
          </cell>
          <cell r="B491" t="str">
            <v>Brakers de 25/2 Amp</v>
          </cell>
          <cell r="D491">
            <v>7208</v>
          </cell>
          <cell r="E491">
            <v>1000</v>
          </cell>
          <cell r="F491" t="str">
            <v>ZALM</v>
          </cell>
          <cell r="G491" t="str">
            <v>UN</v>
          </cell>
          <cell r="H491" t="str">
            <v>DOP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 t="e">
            <v>#N/A</v>
          </cell>
        </row>
        <row r="492">
          <cell r="A492">
            <v>1000486</v>
          </cell>
          <cell r="B492" t="str">
            <v>Brakers GE.Doble 50 Amp</v>
          </cell>
          <cell r="D492">
            <v>7208</v>
          </cell>
          <cell r="E492">
            <v>1000</v>
          </cell>
          <cell r="F492" t="str">
            <v>ZALM</v>
          </cell>
          <cell r="G492" t="str">
            <v>UN</v>
          </cell>
          <cell r="H492" t="str">
            <v>DOP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 t="e">
            <v>#N/A</v>
          </cell>
        </row>
        <row r="493">
          <cell r="A493">
            <v>1000487</v>
          </cell>
          <cell r="B493" t="str">
            <v>Brazo Mecánico, Tubo, Abrazadera y Grapa</v>
          </cell>
          <cell r="D493">
            <v>7201</v>
          </cell>
          <cell r="E493">
            <v>1000</v>
          </cell>
          <cell r="F493" t="str">
            <v>ZALM</v>
          </cell>
          <cell r="G493" t="str">
            <v>UN</v>
          </cell>
          <cell r="H493" t="str">
            <v>DOP</v>
          </cell>
          <cell r="I493">
            <v>19</v>
          </cell>
          <cell r="J493">
            <v>448896.83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19</v>
          </cell>
          <cell r="T493">
            <v>448896.83</v>
          </cell>
          <cell r="U493">
            <v>23626.148947368401</v>
          </cell>
        </row>
        <row r="494">
          <cell r="A494">
            <v>1000488</v>
          </cell>
          <cell r="B494" t="str">
            <v>Breaker 32 Amp P/ Caja Botton</v>
          </cell>
          <cell r="D494">
            <v>7208</v>
          </cell>
          <cell r="E494">
            <v>1000</v>
          </cell>
          <cell r="F494" t="str">
            <v>ZALM</v>
          </cell>
          <cell r="G494" t="str">
            <v>UN</v>
          </cell>
          <cell r="H494" t="str">
            <v>DOP</v>
          </cell>
          <cell r="I494">
            <v>1470</v>
          </cell>
          <cell r="J494">
            <v>69325.2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1470</v>
          </cell>
          <cell r="T494">
            <v>69325.2</v>
          </cell>
          <cell r="U494">
            <v>47.16</v>
          </cell>
        </row>
        <row r="495">
          <cell r="A495">
            <v>1000489</v>
          </cell>
          <cell r="B495" t="str">
            <v>Breaker 40 Amp P/ Caja Botton</v>
          </cell>
          <cell r="D495">
            <v>7208</v>
          </cell>
          <cell r="E495">
            <v>1000</v>
          </cell>
          <cell r="F495" t="str">
            <v>ZALM</v>
          </cell>
          <cell r="G495" t="str">
            <v>UN</v>
          </cell>
          <cell r="H495" t="str">
            <v>DOP</v>
          </cell>
          <cell r="I495">
            <v>334</v>
          </cell>
          <cell r="J495">
            <v>16700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334</v>
          </cell>
          <cell r="T495">
            <v>16700</v>
          </cell>
          <cell r="U495">
            <v>50</v>
          </cell>
        </row>
        <row r="496">
          <cell r="A496">
            <v>1000490</v>
          </cell>
          <cell r="B496" t="str">
            <v>Breaker 50 Amp P/ Caja Bottom</v>
          </cell>
          <cell r="D496">
            <v>7208</v>
          </cell>
          <cell r="E496">
            <v>1000</v>
          </cell>
          <cell r="F496" t="str">
            <v>ZALM</v>
          </cell>
          <cell r="G496" t="str">
            <v>UN</v>
          </cell>
          <cell r="H496" t="str">
            <v>DOP</v>
          </cell>
          <cell r="I496">
            <v>12104</v>
          </cell>
          <cell r="J496">
            <v>1258750.51</v>
          </cell>
          <cell r="K496">
            <v>12455</v>
          </cell>
          <cell r="L496">
            <v>1295252.6100000001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67415</v>
          </cell>
          <cell r="R496">
            <v>7010795.2300000004</v>
          </cell>
          <cell r="S496">
            <v>91974</v>
          </cell>
          <cell r="T496">
            <v>9564798.3499999996</v>
          </cell>
          <cell r="U496">
            <v>103.994589231739</v>
          </cell>
        </row>
        <row r="497">
          <cell r="A497">
            <v>1000491</v>
          </cell>
          <cell r="B497" t="str">
            <v>Breaker 63 Amp P/ Caja Bottom</v>
          </cell>
          <cell r="D497">
            <v>7208</v>
          </cell>
          <cell r="E497">
            <v>1000</v>
          </cell>
          <cell r="F497" t="str">
            <v>ZALM</v>
          </cell>
          <cell r="G497" t="str">
            <v>UN</v>
          </cell>
          <cell r="H497" t="str">
            <v>DOP</v>
          </cell>
          <cell r="I497">
            <v>3605</v>
          </cell>
          <cell r="J497">
            <v>260971.42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9638</v>
          </cell>
          <cell r="R497">
            <v>697709.43</v>
          </cell>
          <cell r="S497">
            <v>13243</v>
          </cell>
          <cell r="T497">
            <v>958680.85</v>
          </cell>
          <cell r="U497">
            <v>72.391516272747893</v>
          </cell>
        </row>
        <row r="498">
          <cell r="A498">
            <v>1000492</v>
          </cell>
          <cell r="B498" t="str">
            <v>Breaker Bifásico 10 Amp T/ Riel</v>
          </cell>
          <cell r="D498">
            <v>7208</v>
          </cell>
          <cell r="E498">
            <v>1000</v>
          </cell>
          <cell r="F498" t="str">
            <v>ZALM</v>
          </cell>
          <cell r="G498" t="str">
            <v>UN</v>
          </cell>
          <cell r="H498" t="str">
            <v>DOP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 t="e">
            <v>#N/A</v>
          </cell>
        </row>
        <row r="499">
          <cell r="A499">
            <v>1000493</v>
          </cell>
          <cell r="B499" t="str">
            <v>Breaker Bifásico 2 Amp</v>
          </cell>
          <cell r="D499">
            <v>7208</v>
          </cell>
          <cell r="E499">
            <v>1000</v>
          </cell>
          <cell r="F499" t="str">
            <v>ZALM</v>
          </cell>
          <cell r="G499" t="str">
            <v>UN</v>
          </cell>
          <cell r="H499" t="str">
            <v>DOP</v>
          </cell>
          <cell r="I499">
            <v>146</v>
          </cell>
          <cell r="J499">
            <v>82411.27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146</v>
          </cell>
          <cell r="T499">
            <v>82411.27</v>
          </cell>
          <cell r="U499">
            <v>564.46075342465804</v>
          </cell>
        </row>
        <row r="500">
          <cell r="A500">
            <v>1000494</v>
          </cell>
          <cell r="B500" t="str">
            <v>Breaker Bifásico 5 Amp 2 Polos</v>
          </cell>
          <cell r="D500">
            <v>7208</v>
          </cell>
          <cell r="E500">
            <v>1000</v>
          </cell>
          <cell r="F500" t="str">
            <v>ZALM</v>
          </cell>
          <cell r="G500" t="str">
            <v>UN</v>
          </cell>
          <cell r="H500" t="str">
            <v>DOP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 t="e">
            <v>#N/A</v>
          </cell>
        </row>
        <row r="501">
          <cell r="A501">
            <v>1000495</v>
          </cell>
          <cell r="B501" t="str">
            <v>Breaker GE Doble 100 Amp</v>
          </cell>
          <cell r="D501">
            <v>7208</v>
          </cell>
          <cell r="E501">
            <v>1000</v>
          </cell>
          <cell r="F501" t="str">
            <v>ZALM</v>
          </cell>
          <cell r="G501" t="str">
            <v>UN</v>
          </cell>
          <cell r="H501" t="str">
            <v>DOP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 t="e">
            <v>#N/A</v>
          </cell>
        </row>
        <row r="502">
          <cell r="A502">
            <v>1000496</v>
          </cell>
          <cell r="B502" t="str">
            <v>Breaker GE Doble 150 Amp</v>
          </cell>
          <cell r="D502">
            <v>7208</v>
          </cell>
          <cell r="E502">
            <v>1000</v>
          </cell>
          <cell r="F502" t="str">
            <v>ZALM</v>
          </cell>
          <cell r="G502" t="str">
            <v>UN</v>
          </cell>
          <cell r="H502" t="str">
            <v>DOP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 t="e">
            <v>#N/A</v>
          </cell>
        </row>
        <row r="503">
          <cell r="A503">
            <v>1000497</v>
          </cell>
          <cell r="B503" t="str">
            <v>Breaker GE Doble 200 Amp</v>
          </cell>
          <cell r="D503">
            <v>7208</v>
          </cell>
          <cell r="E503">
            <v>1000</v>
          </cell>
          <cell r="F503" t="str">
            <v>ZALM</v>
          </cell>
          <cell r="G503" t="str">
            <v>UN</v>
          </cell>
          <cell r="H503" t="str">
            <v>DOP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 t="e">
            <v>#N/A</v>
          </cell>
        </row>
        <row r="504">
          <cell r="A504">
            <v>1000498</v>
          </cell>
          <cell r="B504" t="str">
            <v>Breaker GE Doble 40 Amp</v>
          </cell>
          <cell r="D504">
            <v>7208</v>
          </cell>
          <cell r="E504">
            <v>1000</v>
          </cell>
          <cell r="F504" t="str">
            <v>ZALM</v>
          </cell>
          <cell r="G504" t="str">
            <v>UN</v>
          </cell>
          <cell r="H504" t="str">
            <v>DOP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 t="e">
            <v>#N/A</v>
          </cell>
        </row>
        <row r="505">
          <cell r="A505">
            <v>1000499</v>
          </cell>
          <cell r="B505" t="str">
            <v>Breaker GE Doble 60 Amp</v>
          </cell>
          <cell r="D505">
            <v>7208</v>
          </cell>
          <cell r="E505">
            <v>1000</v>
          </cell>
          <cell r="F505" t="str">
            <v>ZALM</v>
          </cell>
          <cell r="G505" t="str">
            <v>UN</v>
          </cell>
          <cell r="H505" t="str">
            <v>DOP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  <cell r="T505">
            <v>0</v>
          </cell>
          <cell r="U505" t="e">
            <v>#N/A</v>
          </cell>
        </row>
        <row r="506">
          <cell r="A506">
            <v>1000500</v>
          </cell>
          <cell r="B506" t="str">
            <v>Breaker Monopolar 1 Amp</v>
          </cell>
          <cell r="D506">
            <v>7208</v>
          </cell>
          <cell r="E506">
            <v>1000</v>
          </cell>
          <cell r="F506" t="str">
            <v>ZALM</v>
          </cell>
          <cell r="G506" t="str">
            <v>UN</v>
          </cell>
          <cell r="H506" t="str">
            <v>DOP</v>
          </cell>
          <cell r="I506">
            <v>68</v>
          </cell>
          <cell r="J506">
            <v>16345.1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68</v>
          </cell>
          <cell r="T506">
            <v>16345.1</v>
          </cell>
          <cell r="U506">
            <v>240.369117647059</v>
          </cell>
        </row>
        <row r="507">
          <cell r="A507">
            <v>1000501</v>
          </cell>
          <cell r="B507" t="str">
            <v>Breaker Monopolar 2 Amp</v>
          </cell>
          <cell r="D507">
            <v>7208</v>
          </cell>
          <cell r="E507">
            <v>1000</v>
          </cell>
          <cell r="F507" t="str">
            <v>ZALM</v>
          </cell>
          <cell r="G507" t="str">
            <v>UN</v>
          </cell>
          <cell r="H507" t="str">
            <v>DOP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 t="e">
            <v>#N/A</v>
          </cell>
        </row>
        <row r="508">
          <cell r="A508">
            <v>1000502</v>
          </cell>
          <cell r="B508" t="str">
            <v>Breaker Protección Tripolar 1 Amp</v>
          </cell>
          <cell r="D508">
            <v>7208</v>
          </cell>
          <cell r="E508">
            <v>1000</v>
          </cell>
          <cell r="F508" t="str">
            <v>ZALM</v>
          </cell>
          <cell r="G508" t="str">
            <v>UN</v>
          </cell>
          <cell r="H508" t="str">
            <v>DOP</v>
          </cell>
          <cell r="I508">
            <v>348</v>
          </cell>
          <cell r="J508">
            <v>483074.07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>
            <v>0</v>
          </cell>
          <cell r="S508">
            <v>348</v>
          </cell>
          <cell r="T508">
            <v>483074.07</v>
          </cell>
          <cell r="U508">
            <v>1388.14387931035</v>
          </cell>
        </row>
        <row r="509">
          <cell r="A509">
            <v>1000503</v>
          </cell>
          <cell r="B509" t="str">
            <v>Breaker Trifásico 0.5 Amp</v>
          </cell>
          <cell r="D509">
            <v>7208</v>
          </cell>
          <cell r="E509">
            <v>1000</v>
          </cell>
          <cell r="F509" t="str">
            <v>ZALM</v>
          </cell>
          <cell r="G509" t="str">
            <v>UN</v>
          </cell>
          <cell r="H509" t="str">
            <v>DOP</v>
          </cell>
          <cell r="I509">
            <v>208</v>
          </cell>
          <cell r="J509">
            <v>129859.05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  <cell r="S509">
            <v>208</v>
          </cell>
          <cell r="T509">
            <v>129859.05</v>
          </cell>
          <cell r="U509">
            <v>624.32235576923097</v>
          </cell>
        </row>
        <row r="510">
          <cell r="A510">
            <v>1000504</v>
          </cell>
          <cell r="B510" t="str">
            <v>Breaker Trifasico 3 Amp  P/ Riel MEDEX</v>
          </cell>
          <cell r="D510">
            <v>7208</v>
          </cell>
          <cell r="E510">
            <v>1000</v>
          </cell>
          <cell r="F510" t="str">
            <v>ZALM</v>
          </cell>
          <cell r="G510" t="str">
            <v>UN</v>
          </cell>
          <cell r="H510" t="str">
            <v>DOP</v>
          </cell>
          <cell r="I510">
            <v>284</v>
          </cell>
          <cell r="J510">
            <v>82010.679999999993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284</v>
          </cell>
          <cell r="T510">
            <v>82010.679999999993</v>
          </cell>
          <cell r="U510">
            <v>288.77</v>
          </cell>
        </row>
        <row r="511">
          <cell r="A511">
            <v>1000505</v>
          </cell>
          <cell r="B511" t="str">
            <v>Breaker Tripolar 3 Amp</v>
          </cell>
          <cell r="D511">
            <v>7208</v>
          </cell>
          <cell r="E511">
            <v>1000</v>
          </cell>
          <cell r="F511" t="str">
            <v>ZALM</v>
          </cell>
          <cell r="G511" t="str">
            <v>UN</v>
          </cell>
          <cell r="H511" t="str">
            <v>DOP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 t="e">
            <v>#N/A</v>
          </cell>
        </row>
        <row r="512">
          <cell r="A512">
            <v>1000506</v>
          </cell>
          <cell r="B512" t="str">
            <v>Breaker Tripolar 4 Amp 3 Polos</v>
          </cell>
          <cell r="D512">
            <v>7208</v>
          </cell>
          <cell r="E512">
            <v>1000</v>
          </cell>
          <cell r="F512" t="str">
            <v>ZALM</v>
          </cell>
          <cell r="G512" t="str">
            <v>UN</v>
          </cell>
          <cell r="H512" t="str">
            <v>DOP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 t="e">
            <v>#N/A</v>
          </cell>
        </row>
        <row r="513">
          <cell r="A513">
            <v>1000507</v>
          </cell>
          <cell r="B513" t="str">
            <v>Breaker VS20006 T SDV 15 25 14.4KV 1200A</v>
          </cell>
          <cell r="D513">
            <v>7208</v>
          </cell>
          <cell r="E513">
            <v>1000</v>
          </cell>
          <cell r="F513" t="str">
            <v>ZALM</v>
          </cell>
          <cell r="G513" t="str">
            <v>UN</v>
          </cell>
          <cell r="H513" t="str">
            <v>DOP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 t="e">
            <v>#N/A</v>
          </cell>
        </row>
        <row r="514">
          <cell r="A514">
            <v>1000508</v>
          </cell>
          <cell r="B514" t="str">
            <v>Breakers de 100/2 Amp</v>
          </cell>
          <cell r="D514">
            <v>7208</v>
          </cell>
          <cell r="E514">
            <v>1000</v>
          </cell>
          <cell r="F514" t="str">
            <v>ZALM</v>
          </cell>
          <cell r="G514" t="str">
            <v>UN</v>
          </cell>
          <cell r="H514" t="str">
            <v>DOP</v>
          </cell>
          <cell r="I514">
            <v>3391</v>
          </cell>
          <cell r="J514">
            <v>1979281.95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9413</v>
          </cell>
          <cell r="R514">
            <v>5494243.8700000001</v>
          </cell>
          <cell r="S514">
            <v>12804</v>
          </cell>
          <cell r="T514">
            <v>7473525.8200000003</v>
          </cell>
          <cell r="U514">
            <v>583.68680256170001</v>
          </cell>
        </row>
        <row r="515">
          <cell r="A515">
            <v>1000509</v>
          </cell>
          <cell r="B515" t="str">
            <v>Breakers de 150 Amp 2 Polos</v>
          </cell>
          <cell r="D515">
            <v>7208</v>
          </cell>
          <cell r="E515">
            <v>1000</v>
          </cell>
          <cell r="F515" t="str">
            <v>ZALM</v>
          </cell>
          <cell r="G515" t="str">
            <v>UN</v>
          </cell>
          <cell r="H515" t="str">
            <v>DOP</v>
          </cell>
          <cell r="I515">
            <v>140</v>
          </cell>
          <cell r="J515">
            <v>91000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>
            <v>0</v>
          </cell>
          <cell r="S515">
            <v>140</v>
          </cell>
          <cell r="T515">
            <v>91000</v>
          </cell>
          <cell r="U515">
            <v>650</v>
          </cell>
        </row>
        <row r="516">
          <cell r="A516">
            <v>1000510</v>
          </cell>
          <cell r="B516" t="str">
            <v>Breakers de 16/2 Amp</v>
          </cell>
          <cell r="D516">
            <v>7208</v>
          </cell>
          <cell r="E516">
            <v>1000</v>
          </cell>
          <cell r="F516" t="str">
            <v>ZALM</v>
          </cell>
          <cell r="G516" t="str">
            <v>UN</v>
          </cell>
          <cell r="H516" t="str">
            <v>DOP</v>
          </cell>
          <cell r="I516">
            <v>125</v>
          </cell>
          <cell r="J516">
            <v>45960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>
            <v>0</v>
          </cell>
          <cell r="S516">
            <v>125</v>
          </cell>
          <cell r="T516">
            <v>45960</v>
          </cell>
          <cell r="U516">
            <v>367.68</v>
          </cell>
        </row>
        <row r="517">
          <cell r="A517">
            <v>1000511</v>
          </cell>
          <cell r="B517" t="str">
            <v>Breakers de 175 Amp 2 Polos</v>
          </cell>
          <cell r="D517">
            <v>7208</v>
          </cell>
          <cell r="E517">
            <v>1000</v>
          </cell>
          <cell r="F517" t="str">
            <v>ZALM</v>
          </cell>
          <cell r="G517" t="str">
            <v>UN</v>
          </cell>
          <cell r="H517" t="str">
            <v>DOP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U517" t="e">
            <v>#N/A</v>
          </cell>
        </row>
        <row r="518">
          <cell r="A518">
            <v>1000512</v>
          </cell>
          <cell r="B518" t="str">
            <v>Breakers de 20/2 Amp</v>
          </cell>
          <cell r="D518">
            <v>7208</v>
          </cell>
          <cell r="E518">
            <v>1000</v>
          </cell>
          <cell r="F518" t="str">
            <v>ZALM</v>
          </cell>
          <cell r="G518" t="str">
            <v>UN</v>
          </cell>
          <cell r="H518" t="str">
            <v>DOP</v>
          </cell>
          <cell r="I518">
            <v>534</v>
          </cell>
          <cell r="J518">
            <v>122820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534</v>
          </cell>
          <cell r="T518">
            <v>122820</v>
          </cell>
          <cell r="U518">
            <v>230</v>
          </cell>
        </row>
        <row r="519">
          <cell r="A519">
            <v>1000513</v>
          </cell>
          <cell r="B519" t="str">
            <v>Breakers de 200/2 Amp</v>
          </cell>
          <cell r="D519">
            <v>7208</v>
          </cell>
          <cell r="E519">
            <v>1000</v>
          </cell>
          <cell r="F519" t="str">
            <v>ZALM</v>
          </cell>
          <cell r="G519" t="str">
            <v>UN</v>
          </cell>
          <cell r="H519" t="str">
            <v>DOP</v>
          </cell>
          <cell r="I519">
            <v>129</v>
          </cell>
          <cell r="J519">
            <v>243810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129</v>
          </cell>
          <cell r="T519">
            <v>243810</v>
          </cell>
          <cell r="U519">
            <v>1890</v>
          </cell>
        </row>
        <row r="520">
          <cell r="A520">
            <v>1000514</v>
          </cell>
          <cell r="B520" t="str">
            <v>Breakers de 200/3 Amp</v>
          </cell>
          <cell r="D520">
            <v>7208</v>
          </cell>
          <cell r="E520">
            <v>1000</v>
          </cell>
          <cell r="F520" t="str">
            <v>ZALM</v>
          </cell>
          <cell r="G520" t="str">
            <v>UN</v>
          </cell>
          <cell r="H520" t="str">
            <v>DOP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 t="e">
            <v>#N/A</v>
          </cell>
        </row>
        <row r="521">
          <cell r="A521">
            <v>1000515</v>
          </cell>
          <cell r="B521" t="str">
            <v>Breakers de 250/2 Amp</v>
          </cell>
          <cell r="D521">
            <v>7208</v>
          </cell>
          <cell r="E521">
            <v>1000</v>
          </cell>
          <cell r="F521" t="str">
            <v>ZALM</v>
          </cell>
          <cell r="G521" t="str">
            <v>UN</v>
          </cell>
          <cell r="H521" t="str">
            <v>DOP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 t="e">
            <v>#N/A</v>
          </cell>
        </row>
        <row r="522">
          <cell r="A522">
            <v>1000516</v>
          </cell>
          <cell r="B522" t="str">
            <v>Breakers de 30/2 Amp</v>
          </cell>
          <cell r="D522">
            <v>7208</v>
          </cell>
          <cell r="E522">
            <v>1000</v>
          </cell>
          <cell r="F522" t="str">
            <v>ZALM</v>
          </cell>
          <cell r="G522" t="str">
            <v>UN</v>
          </cell>
          <cell r="H522" t="str">
            <v>DOP</v>
          </cell>
          <cell r="I522">
            <v>1380</v>
          </cell>
          <cell r="J522">
            <v>317400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1380</v>
          </cell>
          <cell r="T522">
            <v>317400</v>
          </cell>
          <cell r="U522">
            <v>230</v>
          </cell>
        </row>
        <row r="523">
          <cell r="A523">
            <v>1000517</v>
          </cell>
          <cell r="B523" t="str">
            <v>Breakers de 40/2 Amp</v>
          </cell>
          <cell r="D523">
            <v>7208</v>
          </cell>
          <cell r="E523">
            <v>1000</v>
          </cell>
          <cell r="F523" t="str">
            <v>ZALM</v>
          </cell>
          <cell r="G523" t="str">
            <v>UN</v>
          </cell>
          <cell r="H523" t="str">
            <v>DOP</v>
          </cell>
          <cell r="I523">
            <v>169</v>
          </cell>
          <cell r="J523">
            <v>38870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169</v>
          </cell>
          <cell r="T523">
            <v>38870</v>
          </cell>
          <cell r="U523">
            <v>230</v>
          </cell>
        </row>
        <row r="524">
          <cell r="A524">
            <v>1000518</v>
          </cell>
          <cell r="B524" t="str">
            <v>Breakers de 50/2 Amp</v>
          </cell>
          <cell r="D524">
            <v>7208</v>
          </cell>
          <cell r="E524">
            <v>1000</v>
          </cell>
          <cell r="F524" t="str">
            <v>ZALM</v>
          </cell>
          <cell r="G524" t="str">
            <v>UN</v>
          </cell>
          <cell r="H524" t="str">
            <v>DOP</v>
          </cell>
          <cell r="I524">
            <v>71</v>
          </cell>
          <cell r="J524">
            <v>15904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71</v>
          </cell>
          <cell r="T524">
            <v>15904</v>
          </cell>
          <cell r="U524">
            <v>224</v>
          </cell>
        </row>
        <row r="525">
          <cell r="A525">
            <v>1000519</v>
          </cell>
          <cell r="B525" t="str">
            <v>Breakers de 6/2 Amp</v>
          </cell>
          <cell r="D525">
            <v>7208</v>
          </cell>
          <cell r="E525">
            <v>1000</v>
          </cell>
          <cell r="F525" t="str">
            <v>ZALM</v>
          </cell>
          <cell r="G525" t="str">
            <v>UN</v>
          </cell>
          <cell r="H525" t="str">
            <v>DOP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 t="e">
            <v>#N/A</v>
          </cell>
        </row>
        <row r="526">
          <cell r="A526">
            <v>1000520</v>
          </cell>
          <cell r="B526" t="str">
            <v>Breakers de 60/2 Amp</v>
          </cell>
          <cell r="D526">
            <v>7208</v>
          </cell>
          <cell r="E526">
            <v>1000</v>
          </cell>
          <cell r="F526" t="str">
            <v>ZALM</v>
          </cell>
          <cell r="G526" t="str">
            <v>UN</v>
          </cell>
          <cell r="H526" t="str">
            <v>DOP</v>
          </cell>
          <cell r="I526">
            <v>2114</v>
          </cell>
          <cell r="J526">
            <v>310504.32000000001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2114</v>
          </cell>
          <cell r="T526">
            <v>310504.32000000001</v>
          </cell>
          <cell r="U526">
            <v>146.88</v>
          </cell>
        </row>
        <row r="527">
          <cell r="A527">
            <v>1000521</v>
          </cell>
          <cell r="B527" t="str">
            <v>Breakers GE Doble 15 Amp</v>
          </cell>
          <cell r="D527">
            <v>7208</v>
          </cell>
          <cell r="E527">
            <v>1000</v>
          </cell>
          <cell r="F527" t="str">
            <v>ZALM</v>
          </cell>
          <cell r="G527" t="str">
            <v>UN</v>
          </cell>
          <cell r="H527" t="str">
            <v>DOP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 t="e">
            <v>#N/A</v>
          </cell>
        </row>
        <row r="528">
          <cell r="A528">
            <v>1000522</v>
          </cell>
          <cell r="B528" t="str">
            <v>Breakers GE Doble 20 Amp</v>
          </cell>
          <cell r="D528">
            <v>7208</v>
          </cell>
          <cell r="E528">
            <v>1000</v>
          </cell>
          <cell r="F528" t="str">
            <v>ZALM</v>
          </cell>
          <cell r="G528" t="str">
            <v>UN</v>
          </cell>
          <cell r="H528" t="str">
            <v>DOP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 t="e">
            <v>#N/A</v>
          </cell>
        </row>
        <row r="529">
          <cell r="A529">
            <v>1000523</v>
          </cell>
          <cell r="B529" t="str">
            <v>Breakers GE Doble 30 Amp</v>
          </cell>
          <cell r="D529">
            <v>7208</v>
          </cell>
          <cell r="E529">
            <v>1000</v>
          </cell>
          <cell r="F529" t="str">
            <v>ZALM</v>
          </cell>
          <cell r="G529" t="str">
            <v>UN</v>
          </cell>
          <cell r="H529" t="str">
            <v>DOP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 t="e">
            <v>#N/A</v>
          </cell>
        </row>
        <row r="530">
          <cell r="A530">
            <v>1000524</v>
          </cell>
          <cell r="B530" t="str">
            <v>Breakout Cable</v>
          </cell>
          <cell r="D530">
            <v>7208</v>
          </cell>
          <cell r="E530">
            <v>1000</v>
          </cell>
          <cell r="F530" t="str">
            <v>ZALM</v>
          </cell>
          <cell r="G530" t="str">
            <v>UN</v>
          </cell>
          <cell r="H530" t="str">
            <v>DOP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U530" t="e">
            <v>#N/A</v>
          </cell>
        </row>
        <row r="531">
          <cell r="A531">
            <v>1000525</v>
          </cell>
          <cell r="B531" t="str">
            <v>Caja Control CL-6 P/ Regul Monof 32 Posc</v>
          </cell>
          <cell r="D531">
            <v>7208</v>
          </cell>
          <cell r="E531">
            <v>1000</v>
          </cell>
          <cell r="F531" t="str">
            <v>ZALM</v>
          </cell>
          <cell r="G531" t="str">
            <v>UN</v>
          </cell>
          <cell r="H531" t="str">
            <v>DOP</v>
          </cell>
          <cell r="I531">
            <v>3</v>
          </cell>
          <cell r="J531">
            <v>364712.52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3</v>
          </cell>
          <cell r="T531">
            <v>364712.52</v>
          </cell>
          <cell r="U531">
            <v>121570.84</v>
          </cell>
        </row>
        <row r="532">
          <cell r="A532">
            <v>1000526</v>
          </cell>
          <cell r="B532" t="str">
            <v>Caja de Breaker Dos Circuitos</v>
          </cell>
          <cell r="D532">
            <v>7208</v>
          </cell>
          <cell r="E532">
            <v>1000</v>
          </cell>
          <cell r="F532" t="str">
            <v>ZALM</v>
          </cell>
          <cell r="G532" t="str">
            <v>UN</v>
          </cell>
          <cell r="H532" t="str">
            <v>DOP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U532" t="e">
            <v>#N/A</v>
          </cell>
        </row>
        <row r="533">
          <cell r="A533">
            <v>1000527</v>
          </cell>
          <cell r="B533" t="str">
            <v>Caja de Breaker Dos Circuitos Luminex</v>
          </cell>
          <cell r="D533">
            <v>7208</v>
          </cell>
          <cell r="E533">
            <v>1000</v>
          </cell>
          <cell r="F533" t="str">
            <v>ZALM</v>
          </cell>
          <cell r="G533" t="str">
            <v>UN</v>
          </cell>
          <cell r="H533" t="str">
            <v>DOP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 t="e">
            <v>#N/A</v>
          </cell>
        </row>
        <row r="534">
          <cell r="A534">
            <v>1000528</v>
          </cell>
          <cell r="B534" t="str">
            <v>Caja de Breaker Un Circuitos Luminex</v>
          </cell>
          <cell r="D534">
            <v>7208</v>
          </cell>
          <cell r="E534">
            <v>1000</v>
          </cell>
          <cell r="F534" t="str">
            <v>ZALM</v>
          </cell>
          <cell r="G534" t="str">
            <v>UN</v>
          </cell>
          <cell r="H534" t="str">
            <v>DOP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 t="e">
            <v>#N/A</v>
          </cell>
        </row>
        <row r="535">
          <cell r="A535">
            <v>1000529</v>
          </cell>
          <cell r="B535" t="str">
            <v>Caja de Control de Reconectador NULEC</v>
          </cell>
          <cell r="D535">
            <v>7208</v>
          </cell>
          <cell r="E535">
            <v>1000</v>
          </cell>
          <cell r="F535" t="str">
            <v>ZALM</v>
          </cell>
          <cell r="G535" t="str">
            <v>UN</v>
          </cell>
          <cell r="H535" t="str">
            <v>DOP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0</v>
          </cell>
          <cell r="U535" t="e">
            <v>#N/A</v>
          </cell>
        </row>
        <row r="536">
          <cell r="A536">
            <v>1000530</v>
          </cell>
          <cell r="B536" t="str">
            <v>Caja de Rejistro 10"x10" 4</v>
          </cell>
          <cell r="D536">
            <v>7208</v>
          </cell>
          <cell r="E536">
            <v>1000</v>
          </cell>
          <cell r="F536" t="str">
            <v>ZALM</v>
          </cell>
          <cell r="G536" t="str">
            <v>UN</v>
          </cell>
          <cell r="H536" t="str">
            <v>DOP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 t="e">
            <v>#N/A</v>
          </cell>
        </row>
        <row r="537">
          <cell r="A537">
            <v>1000531</v>
          </cell>
          <cell r="B537" t="str">
            <v>Caja Distribución Grde 3 Born 30 Tomas</v>
          </cell>
          <cell r="D537">
            <v>7208</v>
          </cell>
          <cell r="E537">
            <v>1000</v>
          </cell>
          <cell r="F537" t="str">
            <v>ZALM</v>
          </cell>
          <cell r="G537" t="str">
            <v>UN</v>
          </cell>
          <cell r="H537" t="str">
            <v>DOP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2959</v>
          </cell>
          <cell r="R537">
            <v>13043272</v>
          </cell>
          <cell r="S537">
            <v>2959</v>
          </cell>
          <cell r="T537">
            <v>13043272</v>
          </cell>
          <cell r="U537">
            <v>4408</v>
          </cell>
        </row>
        <row r="538">
          <cell r="A538">
            <v>1000532</v>
          </cell>
          <cell r="B538" t="str">
            <v>Caja Distribución Peq 2 Born 10 Tomas</v>
          </cell>
          <cell r="D538">
            <v>7208</v>
          </cell>
          <cell r="E538">
            <v>1000</v>
          </cell>
          <cell r="F538" t="str">
            <v>ZALM</v>
          </cell>
          <cell r="G538" t="str">
            <v>UN</v>
          </cell>
          <cell r="H538" t="str">
            <v>DOP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 t="e">
            <v>#N/A</v>
          </cell>
        </row>
        <row r="539">
          <cell r="A539">
            <v>1000533</v>
          </cell>
          <cell r="B539" t="str">
            <v>Caja Distribución Peq 3 Born 15 Tomas</v>
          </cell>
          <cell r="D539">
            <v>7208</v>
          </cell>
          <cell r="E539">
            <v>1000</v>
          </cell>
          <cell r="F539" t="str">
            <v>ZALM</v>
          </cell>
          <cell r="G539" t="str">
            <v>UN</v>
          </cell>
          <cell r="H539" t="str">
            <v>DOP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10</v>
          </cell>
          <cell r="N539">
            <v>17611.59</v>
          </cell>
          <cell r="O539">
            <v>0</v>
          </cell>
          <cell r="P539">
            <v>0</v>
          </cell>
          <cell r="Q539">
            <v>3316</v>
          </cell>
          <cell r="R539">
            <v>5840001.9199999999</v>
          </cell>
          <cell r="S539">
            <v>3326</v>
          </cell>
          <cell r="T539">
            <v>5857613.5099999998</v>
          </cell>
          <cell r="U539">
            <v>1761.15860192423</v>
          </cell>
        </row>
        <row r="540">
          <cell r="A540">
            <v>1000534</v>
          </cell>
          <cell r="B540" t="str">
            <v>Caja Distribución PVC 3 Born 18 Tomas</v>
          </cell>
          <cell r="D540">
            <v>7208</v>
          </cell>
          <cell r="E540">
            <v>1000</v>
          </cell>
          <cell r="F540" t="str">
            <v>ZALM</v>
          </cell>
          <cell r="G540" t="str">
            <v>UN</v>
          </cell>
          <cell r="H540" t="str">
            <v>DOP</v>
          </cell>
          <cell r="I540">
            <v>552</v>
          </cell>
          <cell r="J540">
            <v>2663349.2200000002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143</v>
          </cell>
          <cell r="R540">
            <v>689961.84</v>
          </cell>
          <cell r="S540">
            <v>695</v>
          </cell>
          <cell r="T540">
            <v>3353311.06</v>
          </cell>
          <cell r="U540">
            <v>4824.9080000000004</v>
          </cell>
        </row>
        <row r="541">
          <cell r="A541">
            <v>1000535</v>
          </cell>
          <cell r="B541" t="str">
            <v>Caja Metálica P/ Acometid Múltip 24x20x8</v>
          </cell>
          <cell r="D541">
            <v>7208</v>
          </cell>
          <cell r="E541">
            <v>1000</v>
          </cell>
          <cell r="F541" t="str">
            <v>ZALM</v>
          </cell>
          <cell r="G541" t="str">
            <v>UN</v>
          </cell>
          <cell r="H541" t="str">
            <v>DOP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U541" t="e">
            <v>#N/A</v>
          </cell>
        </row>
        <row r="542">
          <cell r="A542">
            <v>1000536</v>
          </cell>
          <cell r="B542" t="str">
            <v>Caja P/ Acometidas Múltip Polyest Prens</v>
          </cell>
          <cell r="D542">
            <v>7208</v>
          </cell>
          <cell r="E542">
            <v>1000</v>
          </cell>
          <cell r="F542" t="str">
            <v>ZALM</v>
          </cell>
          <cell r="G542" t="str">
            <v>UN</v>
          </cell>
          <cell r="H542" t="str">
            <v>DOP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U542" t="e">
            <v>#N/A</v>
          </cell>
        </row>
        <row r="543">
          <cell r="A543">
            <v>1000537</v>
          </cell>
          <cell r="B543" t="str">
            <v>Caja P/ CTS Grde 800/5A 3/32 Cuerp 1/8</v>
          </cell>
          <cell r="D543">
            <v>7208</v>
          </cell>
          <cell r="E543">
            <v>1000</v>
          </cell>
          <cell r="F543" t="str">
            <v>ZALM</v>
          </cell>
          <cell r="G543" t="str">
            <v>UN</v>
          </cell>
          <cell r="H543" t="str">
            <v>DOP</v>
          </cell>
          <cell r="I543">
            <v>161</v>
          </cell>
          <cell r="J543">
            <v>469053.55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161</v>
          </cell>
          <cell r="T543">
            <v>469053.55</v>
          </cell>
          <cell r="U543">
            <v>2913.3760869565199</v>
          </cell>
        </row>
        <row r="544">
          <cell r="A544">
            <v>1000538</v>
          </cell>
          <cell r="B544" t="str">
            <v>Caja P/ CTS Med 300/5</v>
          </cell>
          <cell r="D544">
            <v>7208</v>
          </cell>
          <cell r="E544">
            <v>1000</v>
          </cell>
          <cell r="F544" t="str">
            <v>ZALM</v>
          </cell>
          <cell r="G544" t="str">
            <v>UN</v>
          </cell>
          <cell r="H544" t="str">
            <v>DOP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 t="e">
            <v>#N/A</v>
          </cell>
        </row>
        <row r="545">
          <cell r="A545">
            <v>1000539</v>
          </cell>
          <cell r="B545" t="str">
            <v>Caja P/ CTS Med 400/5A 3/32 Cuerp 1/18</v>
          </cell>
          <cell r="D545">
            <v>7208</v>
          </cell>
          <cell r="E545">
            <v>1000</v>
          </cell>
          <cell r="F545" t="str">
            <v>ZALM</v>
          </cell>
          <cell r="G545" t="str">
            <v>UN</v>
          </cell>
          <cell r="H545" t="str">
            <v>DOP</v>
          </cell>
          <cell r="I545">
            <v>164</v>
          </cell>
          <cell r="J545">
            <v>526851.64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164</v>
          </cell>
          <cell r="T545">
            <v>526851.64</v>
          </cell>
          <cell r="U545">
            <v>3212.51</v>
          </cell>
        </row>
        <row r="546">
          <cell r="A546">
            <v>1000540</v>
          </cell>
          <cell r="B546" t="str">
            <v>Caja P/ CTS Med 600/5</v>
          </cell>
          <cell r="D546">
            <v>7208</v>
          </cell>
          <cell r="E546">
            <v>1000</v>
          </cell>
          <cell r="F546" t="str">
            <v>ZALM</v>
          </cell>
          <cell r="G546" t="str">
            <v>UN</v>
          </cell>
          <cell r="H546" t="str">
            <v>DOP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 t="e">
            <v>#N/A</v>
          </cell>
        </row>
        <row r="547">
          <cell r="A547">
            <v>1000541</v>
          </cell>
          <cell r="B547" t="str">
            <v>Caja P/ CTS Peq 200/5A 3/32 Cuerp 1/8</v>
          </cell>
          <cell r="D547">
            <v>7208</v>
          </cell>
          <cell r="E547">
            <v>1000</v>
          </cell>
          <cell r="F547" t="str">
            <v>ZALM</v>
          </cell>
          <cell r="G547" t="str">
            <v>UN</v>
          </cell>
          <cell r="H547" t="str">
            <v>DOP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 t="e">
            <v>#N/A</v>
          </cell>
        </row>
        <row r="548">
          <cell r="A548">
            <v>1000542</v>
          </cell>
          <cell r="B548" t="str">
            <v>Caja Policarb P/ Med 1ø T/ Dual SOCKET</v>
          </cell>
          <cell r="D548">
            <v>7208</v>
          </cell>
          <cell r="E548">
            <v>1000</v>
          </cell>
          <cell r="F548" t="str">
            <v>ZALM</v>
          </cell>
          <cell r="G548" t="str">
            <v>UN</v>
          </cell>
          <cell r="H548" t="str">
            <v>DOP</v>
          </cell>
          <cell r="I548">
            <v>0</v>
          </cell>
          <cell r="J548">
            <v>0</v>
          </cell>
          <cell r="K548">
            <v>3200</v>
          </cell>
          <cell r="L548">
            <v>4967732.4800000004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682</v>
          </cell>
          <cell r="R548">
            <v>1058747.98</v>
          </cell>
          <cell r="S548">
            <v>3882</v>
          </cell>
          <cell r="T548">
            <v>6026480.46</v>
          </cell>
          <cell r="U548">
            <v>1552.41639876352</v>
          </cell>
        </row>
        <row r="549">
          <cell r="A549">
            <v>1000543</v>
          </cell>
          <cell r="B549" t="str">
            <v>Caja Policarb P/ Med 2ø T/ Dual</v>
          </cell>
          <cell r="D549">
            <v>7208</v>
          </cell>
          <cell r="E549">
            <v>1000</v>
          </cell>
          <cell r="F549" t="str">
            <v>ZALM</v>
          </cell>
          <cell r="G549" t="str">
            <v>UN</v>
          </cell>
          <cell r="H549" t="str">
            <v>DOP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  <cell r="U549" t="e">
            <v>#N/A</v>
          </cell>
        </row>
        <row r="550">
          <cell r="A550">
            <v>1000544</v>
          </cell>
          <cell r="B550" t="str">
            <v>Caja Policarb P/ Med Electron A200 3h</v>
          </cell>
          <cell r="D550">
            <v>7208</v>
          </cell>
          <cell r="E550">
            <v>1000</v>
          </cell>
          <cell r="F550" t="str">
            <v>ZALM</v>
          </cell>
          <cell r="G550" t="str">
            <v>UN</v>
          </cell>
          <cell r="H550" t="str">
            <v>DOP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U550" t="e">
            <v>#N/A</v>
          </cell>
        </row>
        <row r="551">
          <cell r="A551">
            <v>1000545</v>
          </cell>
          <cell r="B551" t="str">
            <v>CAJA POLICAB P/MED RES ELECTRO BOTTON</v>
          </cell>
          <cell r="D551">
            <v>7208</v>
          </cell>
          <cell r="E551">
            <v>1000</v>
          </cell>
          <cell r="F551" t="str">
            <v>ZALM</v>
          </cell>
          <cell r="G551" t="str">
            <v>UN</v>
          </cell>
          <cell r="H551" t="str">
            <v>DOP</v>
          </cell>
          <cell r="I551">
            <v>0</v>
          </cell>
          <cell r="J551">
            <v>0</v>
          </cell>
          <cell r="K551">
            <v>2943</v>
          </cell>
          <cell r="L551">
            <v>1458901.45</v>
          </cell>
          <cell r="M551">
            <v>0</v>
          </cell>
          <cell r="N551">
            <v>0</v>
          </cell>
          <cell r="O551">
            <v>0</v>
          </cell>
          <cell r="P551">
            <v>0</v>
          </cell>
          <cell r="Q551">
            <v>27295</v>
          </cell>
          <cell r="R551">
            <v>13530654.09</v>
          </cell>
          <cell r="S551">
            <v>30238</v>
          </cell>
          <cell r="T551">
            <v>14989555.539999999</v>
          </cell>
          <cell r="U551">
            <v>495.71914610754698</v>
          </cell>
        </row>
        <row r="552">
          <cell r="A552">
            <v>1000546</v>
          </cell>
          <cell r="B552" t="str">
            <v>Caja Policarb P/ Med Term 110 Sin</v>
          </cell>
          <cell r="D552">
            <v>7208</v>
          </cell>
          <cell r="E552">
            <v>1000</v>
          </cell>
          <cell r="F552" t="str">
            <v>ZALM</v>
          </cell>
          <cell r="G552" t="str">
            <v>UN</v>
          </cell>
          <cell r="H552" t="str">
            <v>DOP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 t="e">
            <v>#N/A</v>
          </cell>
        </row>
        <row r="553">
          <cell r="A553">
            <v>1000547</v>
          </cell>
          <cell r="B553" t="str">
            <v>Caja Protec Medidor Trif Acero C-14</v>
          </cell>
          <cell r="D553">
            <v>7208</v>
          </cell>
          <cell r="E553">
            <v>1000</v>
          </cell>
          <cell r="F553" t="str">
            <v>ZALM</v>
          </cell>
          <cell r="G553" t="str">
            <v>UN</v>
          </cell>
          <cell r="H553" t="str">
            <v>DOP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T553">
            <v>0</v>
          </cell>
          <cell r="U553" t="e">
            <v>#N/A</v>
          </cell>
        </row>
        <row r="554">
          <cell r="A554">
            <v>1000548</v>
          </cell>
          <cell r="B554" t="str">
            <v>Caja Rectangular 2x4 P/ Tomacorrientes</v>
          </cell>
          <cell r="D554">
            <v>7208</v>
          </cell>
          <cell r="E554">
            <v>1000</v>
          </cell>
          <cell r="F554" t="str">
            <v>ZALM</v>
          </cell>
          <cell r="G554" t="str">
            <v>UN</v>
          </cell>
          <cell r="H554" t="str">
            <v>DOP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 t="e">
            <v>#N/A</v>
          </cell>
        </row>
        <row r="555">
          <cell r="A555">
            <v>1000549</v>
          </cell>
          <cell r="B555" t="str">
            <v>Caja Registro P/ Exteriores 12x10x4</v>
          </cell>
          <cell r="D555">
            <v>7208</v>
          </cell>
          <cell r="E555">
            <v>1000</v>
          </cell>
          <cell r="F555" t="str">
            <v>ZALM</v>
          </cell>
          <cell r="G555" t="str">
            <v>UN</v>
          </cell>
          <cell r="H555" t="str">
            <v>DOP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U555" t="e">
            <v>#N/A</v>
          </cell>
        </row>
        <row r="556">
          <cell r="A556">
            <v>1000550</v>
          </cell>
          <cell r="B556" t="str">
            <v>Capacitor 2,200 µF a 25V</v>
          </cell>
          <cell r="D556">
            <v>7208</v>
          </cell>
          <cell r="E556">
            <v>1000</v>
          </cell>
          <cell r="F556" t="str">
            <v>ZALM</v>
          </cell>
          <cell r="G556" t="str">
            <v>UN</v>
          </cell>
          <cell r="H556" t="str">
            <v>DOP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 t="e">
            <v>#N/A</v>
          </cell>
        </row>
        <row r="557">
          <cell r="A557">
            <v>1000551</v>
          </cell>
          <cell r="B557" t="str">
            <v>Capacitor 2,200 µF a 35V</v>
          </cell>
          <cell r="D557">
            <v>7208</v>
          </cell>
          <cell r="E557">
            <v>1000</v>
          </cell>
          <cell r="F557" t="str">
            <v>ZALM</v>
          </cell>
          <cell r="G557" t="str">
            <v>UN</v>
          </cell>
          <cell r="H557" t="str">
            <v>DOP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U557" t="e">
            <v>#N/A</v>
          </cell>
        </row>
        <row r="558">
          <cell r="A558">
            <v>1000552</v>
          </cell>
          <cell r="B558" t="str">
            <v>Capacitor 683 µF a 100V Ref C2469</v>
          </cell>
          <cell r="D558">
            <v>7208</v>
          </cell>
          <cell r="E558">
            <v>1000</v>
          </cell>
          <cell r="F558" t="str">
            <v>ZALM</v>
          </cell>
          <cell r="G558" t="str">
            <v>UN</v>
          </cell>
          <cell r="H558" t="str">
            <v>DOP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T558">
            <v>0</v>
          </cell>
          <cell r="U558" t="e">
            <v>#N/A</v>
          </cell>
        </row>
        <row r="559">
          <cell r="A559">
            <v>1000553</v>
          </cell>
          <cell r="B559" t="str">
            <v>Capacitor Monof T-P 100kVAR 19.92/34.5kV</v>
          </cell>
          <cell r="D559">
            <v>7208</v>
          </cell>
          <cell r="E559">
            <v>1000</v>
          </cell>
          <cell r="F559" t="str">
            <v>ZALM</v>
          </cell>
          <cell r="G559" t="str">
            <v>UN</v>
          </cell>
          <cell r="H559" t="str">
            <v>DOP</v>
          </cell>
          <cell r="I559">
            <v>6</v>
          </cell>
          <cell r="J559">
            <v>301847.7</v>
          </cell>
          <cell r="K559">
            <v>0</v>
          </cell>
          <cell r="L559">
            <v>0</v>
          </cell>
          <cell r="M559">
            <v>23</v>
          </cell>
          <cell r="N559">
            <v>1157082.83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29</v>
          </cell>
          <cell r="T559">
            <v>1458930.53</v>
          </cell>
          <cell r="U559">
            <v>50307.949310344797</v>
          </cell>
        </row>
        <row r="560">
          <cell r="A560">
            <v>1000554</v>
          </cell>
          <cell r="B560" t="str">
            <v>Capacitor Monof T-P 100KVAR 2.4/4.16kV</v>
          </cell>
          <cell r="D560">
            <v>7208</v>
          </cell>
          <cell r="E560">
            <v>1000</v>
          </cell>
          <cell r="F560" t="str">
            <v>ZALM</v>
          </cell>
          <cell r="G560" t="str">
            <v>UN</v>
          </cell>
          <cell r="H560" t="str">
            <v>DOP</v>
          </cell>
          <cell r="I560">
            <v>3</v>
          </cell>
          <cell r="J560">
            <v>171924.11</v>
          </cell>
          <cell r="K560">
            <v>0</v>
          </cell>
          <cell r="L560">
            <v>0</v>
          </cell>
          <cell r="M560">
            <v>57</v>
          </cell>
          <cell r="N560">
            <v>3266558.03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60</v>
          </cell>
          <cell r="T560">
            <v>3438482.14</v>
          </cell>
          <cell r="U560">
            <v>57308.035666666699</v>
          </cell>
        </row>
        <row r="561">
          <cell r="A561">
            <v>1000555</v>
          </cell>
          <cell r="B561" t="str">
            <v>Capacitor Monof T-P 100kVAR 7.2/12.5kV</v>
          </cell>
          <cell r="D561">
            <v>7208</v>
          </cell>
          <cell r="E561">
            <v>1000</v>
          </cell>
          <cell r="F561" t="str">
            <v>ZALM</v>
          </cell>
          <cell r="G561" t="str">
            <v>UN</v>
          </cell>
          <cell r="H561" t="str">
            <v>DOP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114</v>
          </cell>
          <cell r="N561">
            <v>6533216.5999999996</v>
          </cell>
          <cell r="O561">
            <v>0</v>
          </cell>
          <cell r="P561">
            <v>0</v>
          </cell>
          <cell r="Q561">
            <v>0</v>
          </cell>
          <cell r="R561">
            <v>0</v>
          </cell>
          <cell r="S561">
            <v>114</v>
          </cell>
          <cell r="T561">
            <v>6533216.5999999996</v>
          </cell>
          <cell r="U561">
            <v>57308.917543859599</v>
          </cell>
        </row>
        <row r="562">
          <cell r="A562">
            <v>1000556</v>
          </cell>
          <cell r="B562" t="str">
            <v>Capacitor Monof T-P 25kVAR 7.2/12.5kV</v>
          </cell>
          <cell r="D562">
            <v>7208</v>
          </cell>
          <cell r="E562">
            <v>1000</v>
          </cell>
          <cell r="F562" t="str">
            <v>ZALM</v>
          </cell>
          <cell r="G562" t="str">
            <v>UN</v>
          </cell>
          <cell r="H562" t="str">
            <v>DOP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  <cell r="U562" t="e">
            <v>#N/A</v>
          </cell>
        </row>
        <row r="563">
          <cell r="A563">
            <v>1000557</v>
          </cell>
          <cell r="B563" t="str">
            <v>Capacitor Monof T-P 50kVAR 7.2/12.5kV</v>
          </cell>
          <cell r="D563">
            <v>7208</v>
          </cell>
          <cell r="E563">
            <v>1000</v>
          </cell>
          <cell r="F563" t="str">
            <v>ZALM</v>
          </cell>
          <cell r="G563" t="str">
            <v>UN</v>
          </cell>
          <cell r="H563" t="str">
            <v>DOP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  <cell r="U563" t="e">
            <v>#N/A</v>
          </cell>
        </row>
        <row r="564">
          <cell r="A564">
            <v>1000558</v>
          </cell>
          <cell r="B564" t="str">
            <v>Capacitor Trif T-P 100kVAR 7.2/12.5kV</v>
          </cell>
          <cell r="D564">
            <v>7208</v>
          </cell>
          <cell r="E564">
            <v>1000</v>
          </cell>
          <cell r="F564" t="str">
            <v>ZALM</v>
          </cell>
          <cell r="G564" t="str">
            <v>UN</v>
          </cell>
          <cell r="H564" t="str">
            <v>DOP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U564" t="e">
            <v>#N/A</v>
          </cell>
        </row>
        <row r="565">
          <cell r="A565">
            <v>1000559</v>
          </cell>
          <cell r="B565" t="str">
            <v>Capacitor Trif T-P 25kVAR 7.2/12.5kV</v>
          </cell>
          <cell r="D565">
            <v>7208</v>
          </cell>
          <cell r="E565">
            <v>1000</v>
          </cell>
          <cell r="F565" t="str">
            <v>ZALM</v>
          </cell>
          <cell r="G565" t="str">
            <v>UN</v>
          </cell>
          <cell r="H565" t="str">
            <v>DOP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 t="e">
            <v>#N/A</v>
          </cell>
        </row>
        <row r="566">
          <cell r="A566">
            <v>1000560</v>
          </cell>
          <cell r="B566" t="str">
            <v>Capacitor Trif T-P 40kVAR 7.2/12.5kV</v>
          </cell>
          <cell r="D566">
            <v>7208</v>
          </cell>
          <cell r="E566">
            <v>1000</v>
          </cell>
          <cell r="F566" t="str">
            <v>ZALM</v>
          </cell>
          <cell r="G566" t="str">
            <v>UN</v>
          </cell>
          <cell r="H566" t="str">
            <v>DOP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 t="e">
            <v>#N/A</v>
          </cell>
        </row>
        <row r="567">
          <cell r="A567">
            <v>1000561</v>
          </cell>
          <cell r="B567" t="str">
            <v>Capacitor Trif T-P 50kVAR 7.2/12.5kV</v>
          </cell>
          <cell r="D567">
            <v>7208</v>
          </cell>
          <cell r="E567">
            <v>1000</v>
          </cell>
          <cell r="F567" t="str">
            <v>ZALM</v>
          </cell>
          <cell r="G567" t="str">
            <v>UN</v>
          </cell>
          <cell r="H567" t="str">
            <v>DOP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>
            <v>0</v>
          </cell>
          <cell r="S567">
            <v>0</v>
          </cell>
          <cell r="T567">
            <v>0</v>
          </cell>
          <cell r="U567" t="e">
            <v>#N/A</v>
          </cell>
        </row>
        <row r="568">
          <cell r="A568">
            <v>1000562</v>
          </cell>
          <cell r="B568" t="str">
            <v>Cápsulas en Vacío 15kV P/ Interruptores</v>
          </cell>
          <cell r="D568">
            <v>7208</v>
          </cell>
          <cell r="E568">
            <v>1000</v>
          </cell>
          <cell r="F568" t="str">
            <v>ZALM</v>
          </cell>
          <cell r="G568" t="str">
            <v>UN</v>
          </cell>
          <cell r="H568" t="str">
            <v>DOP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U568" t="e">
            <v>#N/A</v>
          </cell>
        </row>
        <row r="569">
          <cell r="A569">
            <v>1000563</v>
          </cell>
          <cell r="B569" t="str">
            <v>Cast Aluminum Junction Box With Cover</v>
          </cell>
          <cell r="D569">
            <v>7208</v>
          </cell>
          <cell r="E569">
            <v>1000</v>
          </cell>
          <cell r="F569" t="str">
            <v>ZALM</v>
          </cell>
          <cell r="G569" t="str">
            <v>UN</v>
          </cell>
          <cell r="H569" t="str">
            <v>DOP</v>
          </cell>
          <cell r="I569">
            <v>30</v>
          </cell>
          <cell r="J569">
            <v>9371.16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  <cell r="S569">
            <v>30</v>
          </cell>
          <cell r="T569">
            <v>9371.16</v>
          </cell>
          <cell r="U569">
            <v>312.37200000000001</v>
          </cell>
        </row>
        <row r="570">
          <cell r="A570">
            <v>1000564</v>
          </cell>
          <cell r="B570" t="str">
            <v>Celda P/ Eliminación Servicios Propios</v>
          </cell>
          <cell r="D570">
            <v>7208</v>
          </cell>
          <cell r="E570">
            <v>1000</v>
          </cell>
          <cell r="F570" t="str">
            <v>ZALM</v>
          </cell>
          <cell r="G570" t="str">
            <v>UN</v>
          </cell>
          <cell r="H570" t="str">
            <v>DOP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 t="e">
            <v>#N/A</v>
          </cell>
        </row>
        <row r="571">
          <cell r="A571">
            <v>1000565</v>
          </cell>
          <cell r="B571" t="str">
            <v>Circuito Breaker Miniatura Bipol 15A Aux</v>
          </cell>
          <cell r="D571">
            <v>7208</v>
          </cell>
          <cell r="E571">
            <v>1000</v>
          </cell>
          <cell r="F571" t="str">
            <v>ZALM</v>
          </cell>
          <cell r="G571" t="str">
            <v>UN</v>
          </cell>
          <cell r="H571" t="str">
            <v>DOP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U571" t="e">
            <v>#N/A</v>
          </cell>
        </row>
        <row r="572">
          <cell r="A572">
            <v>1000566</v>
          </cell>
          <cell r="B572" t="str">
            <v>Circuito Breaker Miniatura Bipol 25A Aux</v>
          </cell>
          <cell r="D572">
            <v>7208</v>
          </cell>
          <cell r="E572">
            <v>1000</v>
          </cell>
          <cell r="F572" t="str">
            <v>ZALM</v>
          </cell>
          <cell r="G572" t="str">
            <v>UN</v>
          </cell>
          <cell r="H572" t="str">
            <v>DOP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 t="e">
            <v>#N/A</v>
          </cell>
        </row>
        <row r="573">
          <cell r="A573">
            <v>1000567</v>
          </cell>
          <cell r="B573" t="str">
            <v>Circuito Breaker Miniatura Bipol 6A Aux</v>
          </cell>
          <cell r="D573">
            <v>7208</v>
          </cell>
          <cell r="E573">
            <v>1000</v>
          </cell>
          <cell r="F573" t="str">
            <v>ZALM</v>
          </cell>
          <cell r="G573" t="str">
            <v>UN</v>
          </cell>
          <cell r="H573" t="str">
            <v>DOP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 t="e">
            <v>#N/A</v>
          </cell>
        </row>
        <row r="574">
          <cell r="A574">
            <v>1000568</v>
          </cell>
          <cell r="B574" t="str">
            <v>Cobertor de Líneas MT 12.5kV MVLC 4/0</v>
          </cell>
          <cell r="D574">
            <v>7201</v>
          </cell>
          <cell r="E574">
            <v>1000</v>
          </cell>
          <cell r="F574" t="str">
            <v>ZALM</v>
          </cell>
          <cell r="G574" t="str">
            <v>M</v>
          </cell>
          <cell r="H574" t="str">
            <v>DOP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>
            <v>0</v>
          </cell>
          <cell r="S574">
            <v>0</v>
          </cell>
          <cell r="T574">
            <v>0</v>
          </cell>
          <cell r="U574" t="e">
            <v>#N/A</v>
          </cell>
        </row>
        <row r="575">
          <cell r="A575">
            <v>1000569</v>
          </cell>
          <cell r="B575" t="str">
            <v>Cobertor de Líneas MT 12.5kV MVLC 477</v>
          </cell>
          <cell r="D575">
            <v>7208</v>
          </cell>
          <cell r="E575">
            <v>1000</v>
          </cell>
          <cell r="F575" t="str">
            <v>ZALM</v>
          </cell>
          <cell r="G575" t="str">
            <v>M</v>
          </cell>
          <cell r="H575" t="str">
            <v>DOP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 t="e">
            <v>#N/A</v>
          </cell>
        </row>
        <row r="576">
          <cell r="A576">
            <v>1000570</v>
          </cell>
          <cell r="B576" t="str">
            <v>Cobertor P/ Conector RS-232 DB25</v>
          </cell>
          <cell r="D576">
            <v>7208</v>
          </cell>
          <cell r="E576">
            <v>1000</v>
          </cell>
          <cell r="F576" t="str">
            <v>ZALM</v>
          </cell>
          <cell r="G576" t="str">
            <v>UN</v>
          </cell>
          <cell r="H576" t="str">
            <v>DOP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 t="e">
            <v>#N/A</v>
          </cell>
        </row>
        <row r="577">
          <cell r="A577">
            <v>1000571</v>
          </cell>
          <cell r="B577" t="str">
            <v>Cobertor P/ Conector RS-232 DB9</v>
          </cell>
          <cell r="D577">
            <v>7208</v>
          </cell>
          <cell r="E577">
            <v>1000</v>
          </cell>
          <cell r="F577" t="str">
            <v>ZALM</v>
          </cell>
          <cell r="G577" t="str">
            <v>UN</v>
          </cell>
          <cell r="H577" t="str">
            <v>DOP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 t="e">
            <v>#N/A</v>
          </cell>
        </row>
        <row r="578">
          <cell r="A578">
            <v>1000572</v>
          </cell>
          <cell r="B578" t="str">
            <v>Cobertura  P/ Cruceta</v>
          </cell>
          <cell r="D578">
            <v>7201</v>
          </cell>
          <cell r="E578">
            <v>1000</v>
          </cell>
          <cell r="F578" t="str">
            <v>ZALM</v>
          </cell>
          <cell r="G578" t="str">
            <v>UN</v>
          </cell>
          <cell r="H578" t="str">
            <v>DOP</v>
          </cell>
          <cell r="I578">
            <v>60</v>
          </cell>
          <cell r="J578">
            <v>926043.88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60</v>
          </cell>
          <cell r="T578">
            <v>926043.88</v>
          </cell>
          <cell r="U578">
            <v>15434.0646666667</v>
          </cell>
        </row>
        <row r="579">
          <cell r="A579">
            <v>1000573</v>
          </cell>
          <cell r="B579" t="str">
            <v>Cobertura Conductor</v>
          </cell>
          <cell r="D579">
            <v>7201</v>
          </cell>
          <cell r="E579">
            <v>1000</v>
          </cell>
          <cell r="F579" t="str">
            <v>ZALM</v>
          </cell>
          <cell r="G579" t="str">
            <v>UN</v>
          </cell>
          <cell r="H579" t="str">
            <v>DOP</v>
          </cell>
          <cell r="I579">
            <v>60</v>
          </cell>
          <cell r="J579">
            <v>507279.17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60</v>
          </cell>
          <cell r="T579">
            <v>507279.17</v>
          </cell>
          <cell r="U579">
            <v>8454.6528333333299</v>
          </cell>
        </row>
        <row r="580">
          <cell r="A580">
            <v>1000574</v>
          </cell>
          <cell r="B580" t="str">
            <v>Cobertura P/ Aislador</v>
          </cell>
          <cell r="D580">
            <v>7201</v>
          </cell>
          <cell r="E580">
            <v>1000</v>
          </cell>
          <cell r="F580" t="str">
            <v>ZALM</v>
          </cell>
          <cell r="G580" t="str">
            <v>UN</v>
          </cell>
          <cell r="H580" t="str">
            <v>DOP</v>
          </cell>
          <cell r="I580">
            <v>58</v>
          </cell>
          <cell r="J580">
            <v>573313.06000000006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>
            <v>0</v>
          </cell>
          <cell r="S580">
            <v>58</v>
          </cell>
          <cell r="T580">
            <v>573313.06000000006</v>
          </cell>
          <cell r="U580">
            <v>9884.7079310344798</v>
          </cell>
        </row>
        <row r="581">
          <cell r="A581">
            <v>1000575</v>
          </cell>
          <cell r="B581" t="str">
            <v>Cobertura P/ Retenciones 25kV</v>
          </cell>
          <cell r="D581">
            <v>7208</v>
          </cell>
          <cell r="E581">
            <v>1000</v>
          </cell>
          <cell r="F581" t="str">
            <v>ZALM</v>
          </cell>
          <cell r="G581" t="str">
            <v>UN</v>
          </cell>
          <cell r="H581" t="str">
            <v>DOP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 t="e">
            <v>#N/A</v>
          </cell>
        </row>
        <row r="582">
          <cell r="A582">
            <v>1000576</v>
          </cell>
          <cell r="B582" t="str">
            <v>Cobertura P/ Trabajo con Tensión</v>
          </cell>
          <cell r="D582">
            <v>7208</v>
          </cell>
          <cell r="E582">
            <v>1000</v>
          </cell>
          <cell r="F582" t="str">
            <v>ZALM</v>
          </cell>
          <cell r="G582" t="str">
            <v>UN</v>
          </cell>
          <cell r="H582" t="str">
            <v>DOP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 t="e">
            <v>#N/A</v>
          </cell>
        </row>
        <row r="583">
          <cell r="A583">
            <v>1000577</v>
          </cell>
          <cell r="B583" t="str">
            <v>Colgador Aislado</v>
          </cell>
          <cell r="D583">
            <v>7208</v>
          </cell>
          <cell r="E583">
            <v>1000</v>
          </cell>
          <cell r="F583" t="str">
            <v>ZALM</v>
          </cell>
          <cell r="G583" t="str">
            <v>UN</v>
          </cell>
          <cell r="H583" t="str">
            <v>DOP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U583" t="e">
            <v>#N/A</v>
          </cell>
        </row>
        <row r="584">
          <cell r="A584">
            <v>1000578</v>
          </cell>
          <cell r="B584" t="str">
            <v>Collar Amarre P/ 1Haz Acom 25mm C/ Tarug</v>
          </cell>
          <cell r="D584">
            <v>7208</v>
          </cell>
          <cell r="E584">
            <v>1000</v>
          </cell>
          <cell r="F584" t="str">
            <v>ZALM</v>
          </cell>
          <cell r="G584" t="str">
            <v>UN</v>
          </cell>
          <cell r="H584" t="str">
            <v>DOP</v>
          </cell>
          <cell r="I584">
            <v>750</v>
          </cell>
          <cell r="J584">
            <v>2700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750</v>
          </cell>
          <cell r="T584">
            <v>2700</v>
          </cell>
          <cell r="U584">
            <v>3.6</v>
          </cell>
        </row>
        <row r="585">
          <cell r="A585">
            <v>1000579</v>
          </cell>
          <cell r="B585" t="str">
            <v>Collar Amarre P/ 2haz Acom 25mm C/ Tarug</v>
          </cell>
          <cell r="D585">
            <v>7208</v>
          </cell>
          <cell r="E585">
            <v>1000</v>
          </cell>
          <cell r="F585" t="str">
            <v>ZALM</v>
          </cell>
          <cell r="G585" t="str">
            <v>UN</v>
          </cell>
          <cell r="H585" t="str">
            <v>DOP</v>
          </cell>
          <cell r="I585">
            <v>1550</v>
          </cell>
          <cell r="J585">
            <v>7176.5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1550</v>
          </cell>
          <cell r="T585">
            <v>7176.5</v>
          </cell>
          <cell r="U585">
            <v>4.63</v>
          </cell>
        </row>
        <row r="586">
          <cell r="A586">
            <v>1000580</v>
          </cell>
          <cell r="B586" t="str">
            <v>COM Tipo 3-Módulo Comunic (RTS/CTS Com</v>
          </cell>
          <cell r="D586">
            <v>7208</v>
          </cell>
          <cell r="E586">
            <v>1000</v>
          </cell>
          <cell r="F586" t="str">
            <v>ZALM</v>
          </cell>
          <cell r="G586" t="str">
            <v>UN</v>
          </cell>
          <cell r="H586" t="str">
            <v>DOP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>
            <v>0</v>
          </cell>
          <cell r="S586">
            <v>0</v>
          </cell>
          <cell r="T586">
            <v>0</v>
          </cell>
          <cell r="U586" t="e">
            <v>#N/A</v>
          </cell>
        </row>
        <row r="587">
          <cell r="A587">
            <v>1000581</v>
          </cell>
          <cell r="B587" t="str">
            <v>Complete Fuse Asembly 34.5kV 100A 20kA</v>
          </cell>
          <cell r="D587">
            <v>7208</v>
          </cell>
          <cell r="E587">
            <v>1000</v>
          </cell>
          <cell r="F587" t="str">
            <v>ZALM</v>
          </cell>
          <cell r="G587" t="str">
            <v>UN</v>
          </cell>
          <cell r="H587" t="str">
            <v>DOP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 t="e">
            <v>#N/A</v>
          </cell>
        </row>
        <row r="588">
          <cell r="A588">
            <v>1000582</v>
          </cell>
          <cell r="B588" t="str">
            <v>Complete Fuse Asembly 34.5kV 200A 20kA</v>
          </cell>
          <cell r="D588">
            <v>7208</v>
          </cell>
          <cell r="E588">
            <v>1000</v>
          </cell>
          <cell r="F588" t="str">
            <v>ZALM</v>
          </cell>
          <cell r="G588" t="str">
            <v>UN</v>
          </cell>
          <cell r="H588" t="str">
            <v>DOP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 t="e">
            <v>#N/A</v>
          </cell>
        </row>
        <row r="589">
          <cell r="A589">
            <v>1000583</v>
          </cell>
          <cell r="B589" t="str">
            <v>Compuesto P/ Contac Eléctr NO Deriv Petr</v>
          </cell>
          <cell r="D589">
            <v>7208</v>
          </cell>
          <cell r="E589">
            <v>1000</v>
          </cell>
          <cell r="F589" t="str">
            <v>ZALM</v>
          </cell>
          <cell r="G589" t="str">
            <v>UN</v>
          </cell>
          <cell r="H589" t="str">
            <v>DOP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 t="e">
            <v>#N/A</v>
          </cell>
        </row>
        <row r="590">
          <cell r="A590">
            <v>1000584</v>
          </cell>
          <cell r="B590" t="str">
            <v>Concentrador de Poste Telesupervision</v>
          </cell>
          <cell r="D590">
            <v>7208</v>
          </cell>
          <cell r="E590">
            <v>1000</v>
          </cell>
          <cell r="F590" t="str">
            <v>ZALM</v>
          </cell>
          <cell r="G590" t="str">
            <v>UN</v>
          </cell>
          <cell r="H590" t="str">
            <v>DOP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 t="e">
            <v>#N/A</v>
          </cell>
        </row>
        <row r="591">
          <cell r="A591">
            <v>1000585</v>
          </cell>
          <cell r="B591" t="str">
            <v>Condulet Galv de 1/2"</v>
          </cell>
          <cell r="D591">
            <v>7208</v>
          </cell>
          <cell r="E591">
            <v>1000</v>
          </cell>
          <cell r="F591" t="str">
            <v>ZALM</v>
          </cell>
          <cell r="G591" t="str">
            <v>UN</v>
          </cell>
          <cell r="H591" t="str">
            <v>DOP</v>
          </cell>
          <cell r="I591">
            <v>722</v>
          </cell>
          <cell r="J591">
            <v>117483.84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722</v>
          </cell>
          <cell r="T591">
            <v>117483.84</v>
          </cell>
          <cell r="U591">
            <v>162.72</v>
          </cell>
        </row>
        <row r="592">
          <cell r="A592">
            <v>1000586</v>
          </cell>
          <cell r="B592" t="str">
            <v>Condulet Galv de 2"</v>
          </cell>
          <cell r="D592">
            <v>7208</v>
          </cell>
          <cell r="E592">
            <v>1000</v>
          </cell>
          <cell r="F592" t="str">
            <v>ZALM</v>
          </cell>
          <cell r="G592" t="str">
            <v>UN</v>
          </cell>
          <cell r="H592" t="str">
            <v>DOP</v>
          </cell>
          <cell r="I592">
            <v>1726</v>
          </cell>
          <cell r="J592">
            <v>405437.4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>
            <v>0</v>
          </cell>
          <cell r="S592">
            <v>1726</v>
          </cell>
          <cell r="T592">
            <v>405437.4</v>
          </cell>
          <cell r="U592">
            <v>234.9</v>
          </cell>
        </row>
        <row r="593">
          <cell r="A593">
            <v>1000587</v>
          </cell>
          <cell r="B593" t="str">
            <v>Condulet Galv de 1"</v>
          </cell>
          <cell r="D593">
            <v>7208</v>
          </cell>
          <cell r="E593">
            <v>1000</v>
          </cell>
          <cell r="F593" t="str">
            <v>ZALM</v>
          </cell>
          <cell r="G593" t="str">
            <v>UN</v>
          </cell>
          <cell r="H593" t="str">
            <v>DOP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 t="e">
            <v>#N/A</v>
          </cell>
        </row>
        <row r="594">
          <cell r="A594">
            <v>1000588</v>
          </cell>
          <cell r="B594" t="str">
            <v>Condulet Galv de 3"</v>
          </cell>
          <cell r="D594">
            <v>7208</v>
          </cell>
          <cell r="E594">
            <v>1000</v>
          </cell>
          <cell r="F594" t="str">
            <v>ZALM</v>
          </cell>
          <cell r="G594" t="str">
            <v>UN</v>
          </cell>
          <cell r="H594" t="str">
            <v>DOP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 t="e">
            <v>#N/A</v>
          </cell>
        </row>
        <row r="595">
          <cell r="A595">
            <v>1000589</v>
          </cell>
          <cell r="B595" t="str">
            <v>Conjunto Combinado 3 CT y PT 100-20/5A</v>
          </cell>
          <cell r="D595">
            <v>7208</v>
          </cell>
          <cell r="E595">
            <v>1000</v>
          </cell>
          <cell r="F595" t="str">
            <v>ZALM</v>
          </cell>
          <cell r="G595" t="str">
            <v>UN</v>
          </cell>
          <cell r="H595" t="str">
            <v>DOP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 t="e">
            <v>#N/A</v>
          </cell>
        </row>
        <row r="596">
          <cell r="A596">
            <v>1000590</v>
          </cell>
          <cell r="B596" t="str">
            <v>Conjunto Combinado 3 CT y PT 50-100/5A</v>
          </cell>
          <cell r="D596">
            <v>7208</v>
          </cell>
          <cell r="E596">
            <v>1000</v>
          </cell>
          <cell r="F596" t="str">
            <v>ZALM</v>
          </cell>
          <cell r="G596" t="str">
            <v>UN</v>
          </cell>
          <cell r="H596" t="str">
            <v>DOP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U596" t="e">
            <v>#N/A</v>
          </cell>
        </row>
        <row r="597">
          <cell r="A597">
            <v>1000591</v>
          </cell>
          <cell r="B597" t="str">
            <v>Conjunto Combinado PT y CT 20-40/5A</v>
          </cell>
          <cell r="D597">
            <v>7208</v>
          </cell>
          <cell r="E597">
            <v>1000</v>
          </cell>
          <cell r="F597" t="str">
            <v>ZALM</v>
          </cell>
          <cell r="G597" t="str">
            <v>UN</v>
          </cell>
          <cell r="H597" t="str">
            <v>DOP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U597" t="e">
            <v>#N/A</v>
          </cell>
        </row>
        <row r="598">
          <cell r="A598">
            <v>1000592</v>
          </cell>
          <cell r="B598" t="str">
            <v>Contacto Auxiliar de Braker</v>
          </cell>
          <cell r="D598">
            <v>7208</v>
          </cell>
          <cell r="E598">
            <v>1000</v>
          </cell>
          <cell r="F598" t="str">
            <v>ZALM</v>
          </cell>
          <cell r="G598" t="str">
            <v>UN</v>
          </cell>
          <cell r="H598" t="str">
            <v>DOP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 t="e">
            <v>#N/A</v>
          </cell>
        </row>
        <row r="599">
          <cell r="A599">
            <v>1000593</v>
          </cell>
          <cell r="B599" t="str">
            <v>Contactor 250A Trifasico G.E.</v>
          </cell>
          <cell r="D599">
            <v>7208</v>
          </cell>
          <cell r="E599">
            <v>1000</v>
          </cell>
          <cell r="F599" t="str">
            <v>ZALM</v>
          </cell>
          <cell r="G599" t="str">
            <v>UN</v>
          </cell>
          <cell r="H599" t="str">
            <v>DOP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 t="e">
            <v>#N/A</v>
          </cell>
        </row>
        <row r="600">
          <cell r="A600">
            <v>1000594</v>
          </cell>
          <cell r="B600" t="str">
            <v>Contactor 30A Contactos 110VAC</v>
          </cell>
          <cell r="D600">
            <v>7208</v>
          </cell>
          <cell r="E600">
            <v>1000</v>
          </cell>
          <cell r="F600" t="str">
            <v>ZALM</v>
          </cell>
          <cell r="G600" t="str">
            <v>UN</v>
          </cell>
          <cell r="H600" t="str">
            <v>DOP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 t="e">
            <v>#N/A</v>
          </cell>
        </row>
        <row r="601">
          <cell r="A601">
            <v>1000595</v>
          </cell>
          <cell r="B601" t="str">
            <v>Contactor 50A 3 Polos 240V</v>
          </cell>
          <cell r="D601">
            <v>7208</v>
          </cell>
          <cell r="E601">
            <v>1000</v>
          </cell>
          <cell r="F601" t="str">
            <v>ZALM</v>
          </cell>
          <cell r="G601" t="str">
            <v>UN</v>
          </cell>
          <cell r="H601" t="str">
            <v>DOP</v>
          </cell>
          <cell r="I601">
            <v>113</v>
          </cell>
          <cell r="J601">
            <v>482374.40000000002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>
            <v>0</v>
          </cell>
          <cell r="S601">
            <v>113</v>
          </cell>
          <cell r="T601">
            <v>482374.40000000002</v>
          </cell>
          <cell r="U601">
            <v>4268.8</v>
          </cell>
        </row>
        <row r="602">
          <cell r="A602">
            <v>1000596</v>
          </cell>
          <cell r="B602" t="str">
            <v>Contactor 50A 3 Polos 480V 60Hz</v>
          </cell>
          <cell r="D602">
            <v>7208</v>
          </cell>
          <cell r="E602">
            <v>1000</v>
          </cell>
          <cell r="F602" t="str">
            <v>ZALM</v>
          </cell>
          <cell r="G602" t="str">
            <v>UN</v>
          </cell>
          <cell r="H602" t="str">
            <v>DOP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>
            <v>0</v>
          </cell>
          <cell r="S602">
            <v>0</v>
          </cell>
          <cell r="T602">
            <v>0</v>
          </cell>
          <cell r="U602" t="e">
            <v>#N/A</v>
          </cell>
        </row>
        <row r="603">
          <cell r="A603">
            <v>1000597</v>
          </cell>
          <cell r="B603" t="str">
            <v>Contactor 60A 3 Polos 240V 60 HZ</v>
          </cell>
          <cell r="D603">
            <v>7208</v>
          </cell>
          <cell r="E603">
            <v>1000</v>
          </cell>
          <cell r="F603" t="str">
            <v>ZALM</v>
          </cell>
          <cell r="G603" t="str">
            <v>UN</v>
          </cell>
          <cell r="H603" t="str">
            <v>DOP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T603">
            <v>0</v>
          </cell>
          <cell r="U603" t="e">
            <v>#N/A</v>
          </cell>
        </row>
        <row r="604">
          <cell r="A604">
            <v>1000598</v>
          </cell>
          <cell r="B604" t="str">
            <v>Contactor 90-130A 3 Polos 240V 60Hz</v>
          </cell>
          <cell r="D604">
            <v>7208</v>
          </cell>
          <cell r="E604">
            <v>1000</v>
          </cell>
          <cell r="F604" t="str">
            <v>ZALM</v>
          </cell>
          <cell r="G604" t="str">
            <v>UN</v>
          </cell>
          <cell r="H604" t="str">
            <v>DOP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T604">
            <v>0</v>
          </cell>
          <cell r="U604" t="e">
            <v>#N/A</v>
          </cell>
        </row>
        <row r="605">
          <cell r="A605">
            <v>1000599</v>
          </cell>
          <cell r="B605" t="str">
            <v>CONTACTOR MAG P/CONJ LUMIN.300 A 480V</v>
          </cell>
          <cell r="D605">
            <v>7208</v>
          </cell>
          <cell r="E605">
            <v>1000</v>
          </cell>
          <cell r="F605" t="str">
            <v>ZALM</v>
          </cell>
          <cell r="G605" t="str">
            <v>UN</v>
          </cell>
          <cell r="H605" t="str">
            <v>DOP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T605">
            <v>0</v>
          </cell>
          <cell r="U605" t="e">
            <v>#N/A</v>
          </cell>
        </row>
        <row r="606">
          <cell r="A606">
            <v>1000600</v>
          </cell>
          <cell r="B606" t="str">
            <v>Contactor Mag P/ Conj Lumin125A 220V</v>
          </cell>
          <cell r="D606">
            <v>7208</v>
          </cell>
          <cell r="E606">
            <v>1000</v>
          </cell>
          <cell r="F606" t="str">
            <v>ZALM</v>
          </cell>
          <cell r="G606" t="str">
            <v>UN</v>
          </cell>
          <cell r="H606" t="str">
            <v>DOP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  <cell r="S606">
            <v>0</v>
          </cell>
          <cell r="T606">
            <v>0</v>
          </cell>
          <cell r="U606" t="e">
            <v>#N/A</v>
          </cell>
        </row>
        <row r="607">
          <cell r="A607">
            <v>1000601</v>
          </cell>
          <cell r="B607" t="str">
            <v>Contactores Auxiliares 2 Cerrad 2 Abiert</v>
          </cell>
          <cell r="D607">
            <v>7208</v>
          </cell>
          <cell r="E607">
            <v>1000</v>
          </cell>
          <cell r="F607" t="str">
            <v>ZALM</v>
          </cell>
          <cell r="G607" t="str">
            <v>UN</v>
          </cell>
          <cell r="H607" t="str">
            <v>DOP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>
            <v>0</v>
          </cell>
          <cell r="S607">
            <v>0</v>
          </cell>
          <cell r="T607">
            <v>0</v>
          </cell>
          <cell r="U607" t="e">
            <v>#N/A</v>
          </cell>
        </row>
        <row r="608">
          <cell r="A608">
            <v>1000602</v>
          </cell>
          <cell r="B608" t="str">
            <v>Control Swich Type SB-1 MOD.</v>
          </cell>
          <cell r="D608">
            <v>7208</v>
          </cell>
          <cell r="E608">
            <v>1000</v>
          </cell>
          <cell r="F608" t="str">
            <v>ZALM</v>
          </cell>
          <cell r="G608" t="str">
            <v>UN</v>
          </cell>
          <cell r="H608" t="str">
            <v>DOP</v>
          </cell>
          <cell r="I608">
            <v>159</v>
          </cell>
          <cell r="J608">
            <v>694874.52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>
            <v>0</v>
          </cell>
          <cell r="S608">
            <v>159</v>
          </cell>
          <cell r="T608">
            <v>694874.52</v>
          </cell>
          <cell r="U608">
            <v>4370.28</v>
          </cell>
        </row>
        <row r="609">
          <cell r="A609">
            <v>1000603</v>
          </cell>
          <cell r="B609" t="str">
            <v>Cover 110 V</v>
          </cell>
          <cell r="D609">
            <v>7208</v>
          </cell>
          <cell r="E609">
            <v>1000</v>
          </cell>
          <cell r="F609" t="str">
            <v>ZALM</v>
          </cell>
          <cell r="G609" t="str">
            <v>UN</v>
          </cell>
          <cell r="H609" t="str">
            <v>DOP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  <cell r="S609">
            <v>0</v>
          </cell>
          <cell r="T609">
            <v>0</v>
          </cell>
          <cell r="U609" t="e">
            <v>#N/A</v>
          </cell>
        </row>
        <row r="610">
          <cell r="A610">
            <v>1000604</v>
          </cell>
          <cell r="B610" t="str">
            <v>Cover 220 V</v>
          </cell>
          <cell r="D610">
            <v>7208</v>
          </cell>
          <cell r="E610">
            <v>1000</v>
          </cell>
          <cell r="F610" t="str">
            <v>ZALM</v>
          </cell>
          <cell r="G610" t="str">
            <v>UN</v>
          </cell>
          <cell r="H610" t="str">
            <v>DOP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>
            <v>0</v>
          </cell>
          <cell r="S610">
            <v>0</v>
          </cell>
          <cell r="T610">
            <v>0</v>
          </cell>
          <cell r="U610" t="e">
            <v>#N/A</v>
          </cell>
        </row>
        <row r="611">
          <cell r="A611">
            <v>1000605</v>
          </cell>
          <cell r="B611" t="str">
            <v>Cubierta Conductores 5" AB Change</v>
          </cell>
          <cell r="D611">
            <v>7208</v>
          </cell>
          <cell r="E611">
            <v>1000</v>
          </cell>
          <cell r="F611" t="str">
            <v>ZALM</v>
          </cell>
          <cell r="G611" t="str">
            <v>UN</v>
          </cell>
          <cell r="H611" t="str">
            <v>DOP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0</v>
          </cell>
          <cell r="T611">
            <v>0</v>
          </cell>
          <cell r="U611" t="e">
            <v>#N/A</v>
          </cell>
        </row>
        <row r="612">
          <cell r="A612">
            <v>1000606</v>
          </cell>
          <cell r="B612" t="str">
            <v>Cubierta Cortacircuito AB Chance</v>
          </cell>
          <cell r="D612">
            <v>7208</v>
          </cell>
          <cell r="E612">
            <v>1000</v>
          </cell>
          <cell r="F612" t="str">
            <v>ZALM</v>
          </cell>
          <cell r="G612" t="str">
            <v>UN</v>
          </cell>
          <cell r="H612" t="str">
            <v>DOP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0</v>
          </cell>
          <cell r="U612" t="e">
            <v>#N/A</v>
          </cell>
        </row>
        <row r="613">
          <cell r="A613">
            <v>1000607</v>
          </cell>
          <cell r="B613" t="str">
            <v>Cubierta P/ Base de Medidor Socket Plast</v>
          </cell>
          <cell r="D613">
            <v>7208</v>
          </cell>
          <cell r="E613">
            <v>1000</v>
          </cell>
          <cell r="F613" t="str">
            <v>ZALM</v>
          </cell>
          <cell r="G613" t="str">
            <v>UN</v>
          </cell>
          <cell r="H613" t="str">
            <v>DOP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>
            <v>0</v>
          </cell>
          <cell r="S613">
            <v>0</v>
          </cell>
          <cell r="T613">
            <v>0</v>
          </cell>
          <cell r="U613" t="e">
            <v>#N/A</v>
          </cell>
        </row>
        <row r="614">
          <cell r="A614">
            <v>1000608</v>
          </cell>
          <cell r="B614" t="str">
            <v>Cubierta Terminales AB Change</v>
          </cell>
          <cell r="D614">
            <v>7208</v>
          </cell>
          <cell r="E614">
            <v>1000</v>
          </cell>
          <cell r="F614" t="str">
            <v>ZALM</v>
          </cell>
          <cell r="G614" t="str">
            <v>UN</v>
          </cell>
          <cell r="H614" t="str">
            <v>DOP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 t="e">
            <v>#N/A</v>
          </cell>
        </row>
        <row r="615">
          <cell r="A615">
            <v>1000609</v>
          </cell>
          <cell r="B615" t="str">
            <v>Cut-Out 100A 7.8/15kV 95kV BIL Polimeric</v>
          </cell>
          <cell r="D615">
            <v>7208</v>
          </cell>
          <cell r="E615">
            <v>1000</v>
          </cell>
          <cell r="F615" t="str">
            <v>ZALM</v>
          </cell>
          <cell r="G615" t="str">
            <v>UN</v>
          </cell>
          <cell r="H615" t="str">
            <v>DOP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>
            <v>0</v>
          </cell>
          <cell r="S615">
            <v>0</v>
          </cell>
          <cell r="T615">
            <v>0</v>
          </cell>
          <cell r="U615" t="e">
            <v>#N/A</v>
          </cell>
        </row>
        <row r="616">
          <cell r="A616">
            <v>1000610</v>
          </cell>
          <cell r="B616" t="str">
            <v>Cut-Out 100A 7.8/15kV 95kV BIL Porcelana</v>
          </cell>
          <cell r="D616">
            <v>7208</v>
          </cell>
          <cell r="E616">
            <v>1000</v>
          </cell>
          <cell r="F616" t="str">
            <v>ZALM</v>
          </cell>
          <cell r="G616" t="str">
            <v>UN</v>
          </cell>
          <cell r="H616" t="str">
            <v>DOP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>
            <v>0</v>
          </cell>
          <cell r="S616">
            <v>0</v>
          </cell>
          <cell r="T616">
            <v>0</v>
          </cell>
          <cell r="U616" t="e">
            <v>#N/A</v>
          </cell>
        </row>
        <row r="617">
          <cell r="A617">
            <v>1000611</v>
          </cell>
          <cell r="B617" t="str">
            <v>Cut-Out 200A 7.8/15kV 95kV BIL Polimeric</v>
          </cell>
          <cell r="D617">
            <v>7208</v>
          </cell>
          <cell r="E617">
            <v>1000</v>
          </cell>
          <cell r="F617" t="str">
            <v>ZALM</v>
          </cell>
          <cell r="G617" t="str">
            <v>UN</v>
          </cell>
          <cell r="H617" t="str">
            <v>DOP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>
            <v>0</v>
          </cell>
          <cell r="S617">
            <v>0</v>
          </cell>
          <cell r="T617">
            <v>0</v>
          </cell>
          <cell r="U617" t="e">
            <v>#N/A</v>
          </cell>
        </row>
        <row r="618">
          <cell r="A618">
            <v>1000612</v>
          </cell>
          <cell r="B618" t="str">
            <v>Cut-Out 200A 7.8/15kV 95KV BIL Porc Susp</v>
          </cell>
          <cell r="D618">
            <v>7208</v>
          </cell>
          <cell r="E618">
            <v>1000</v>
          </cell>
          <cell r="F618" t="str">
            <v>ZALM</v>
          </cell>
          <cell r="G618" t="str">
            <v>UN</v>
          </cell>
          <cell r="H618" t="str">
            <v>DOP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>
            <v>0</v>
          </cell>
          <cell r="S618">
            <v>0</v>
          </cell>
          <cell r="T618">
            <v>0</v>
          </cell>
          <cell r="U618" t="e">
            <v>#N/A</v>
          </cell>
        </row>
        <row r="619">
          <cell r="A619">
            <v>1000613</v>
          </cell>
          <cell r="B619" t="str">
            <v>Cut-Out 200A 7.8/15kV 95kV BIL Porcelana</v>
          </cell>
          <cell r="D619">
            <v>7208</v>
          </cell>
          <cell r="E619">
            <v>1000</v>
          </cell>
          <cell r="F619" t="str">
            <v>ZALM</v>
          </cell>
          <cell r="G619" t="str">
            <v>UN</v>
          </cell>
          <cell r="H619" t="str">
            <v>DOP</v>
          </cell>
          <cell r="I619">
            <v>5</v>
          </cell>
          <cell r="J619">
            <v>19006.2</v>
          </cell>
          <cell r="K619">
            <v>0</v>
          </cell>
          <cell r="L619">
            <v>0</v>
          </cell>
          <cell r="M619">
            <v>38</v>
          </cell>
          <cell r="N619">
            <v>144447.07999999999</v>
          </cell>
          <cell r="O619">
            <v>0</v>
          </cell>
          <cell r="P619">
            <v>0</v>
          </cell>
          <cell r="Q619">
            <v>30</v>
          </cell>
          <cell r="R619">
            <v>114037.17</v>
          </cell>
          <cell r="S619">
            <v>73</v>
          </cell>
          <cell r="T619">
            <v>277490.45</v>
          </cell>
          <cell r="U619">
            <v>3801.2390410958901</v>
          </cell>
        </row>
        <row r="620">
          <cell r="A620">
            <v>1000614</v>
          </cell>
          <cell r="B620" t="str">
            <v>Cut-Out 34.5kV 100A 170kV Pocelana</v>
          </cell>
          <cell r="D620">
            <v>7208</v>
          </cell>
          <cell r="E620">
            <v>1000</v>
          </cell>
          <cell r="F620" t="str">
            <v>ZALM</v>
          </cell>
          <cell r="G620" t="str">
            <v>UN</v>
          </cell>
          <cell r="H620" t="str">
            <v>DOP</v>
          </cell>
          <cell r="I620">
            <v>77</v>
          </cell>
          <cell r="J620">
            <v>71449.84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>
            <v>0</v>
          </cell>
          <cell r="S620">
            <v>77</v>
          </cell>
          <cell r="T620">
            <v>71449.84</v>
          </cell>
          <cell r="U620">
            <v>927.92</v>
          </cell>
        </row>
        <row r="621">
          <cell r="A621">
            <v>1000615</v>
          </cell>
          <cell r="B621" t="str">
            <v>Cut-Out 34.5kV 100A 170kV Polimeric</v>
          </cell>
          <cell r="D621">
            <v>7208</v>
          </cell>
          <cell r="E621">
            <v>1000</v>
          </cell>
          <cell r="F621" t="str">
            <v>ZALM</v>
          </cell>
          <cell r="G621" t="str">
            <v>UN</v>
          </cell>
          <cell r="H621" t="str">
            <v>DOP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>
            <v>0</v>
          </cell>
          <cell r="S621">
            <v>0</v>
          </cell>
          <cell r="T621">
            <v>0</v>
          </cell>
          <cell r="U621" t="e">
            <v>#N/A</v>
          </cell>
        </row>
        <row r="622">
          <cell r="A622">
            <v>1000616</v>
          </cell>
          <cell r="B622" t="str">
            <v>Cut-Out 7.8kV 50A</v>
          </cell>
          <cell r="D622">
            <v>7208</v>
          </cell>
          <cell r="E622">
            <v>1000</v>
          </cell>
          <cell r="F622" t="str">
            <v>ZALM</v>
          </cell>
          <cell r="G622" t="str">
            <v>UN</v>
          </cell>
          <cell r="H622" t="str">
            <v>DOP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>
            <v>0</v>
          </cell>
          <cell r="S622">
            <v>0</v>
          </cell>
          <cell r="T622">
            <v>0</v>
          </cell>
          <cell r="U622" t="e">
            <v>#N/A</v>
          </cell>
        </row>
        <row r="623">
          <cell r="A623">
            <v>1000617</v>
          </cell>
          <cell r="B623" t="str">
            <v>Cut-Out Tipo L 100A 15/110kV</v>
          </cell>
          <cell r="D623">
            <v>7208</v>
          </cell>
          <cell r="E623">
            <v>1000</v>
          </cell>
          <cell r="F623" t="str">
            <v>ZALM</v>
          </cell>
          <cell r="G623" t="str">
            <v>UN</v>
          </cell>
          <cell r="H623" t="str">
            <v>DOP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>
            <v>0</v>
          </cell>
          <cell r="S623">
            <v>0</v>
          </cell>
          <cell r="T623">
            <v>0</v>
          </cell>
          <cell r="U623" t="e">
            <v>#N/A</v>
          </cell>
        </row>
        <row r="624">
          <cell r="A624">
            <v>1000618</v>
          </cell>
          <cell r="B624" t="str">
            <v>Cut-Out Tipo L 200A 34.5 KV</v>
          </cell>
          <cell r="D624">
            <v>7208</v>
          </cell>
          <cell r="E624">
            <v>1000</v>
          </cell>
          <cell r="F624" t="str">
            <v>ZALM</v>
          </cell>
          <cell r="G624" t="str">
            <v>UN</v>
          </cell>
          <cell r="H624" t="str">
            <v>DOP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8</v>
          </cell>
          <cell r="R624">
            <v>57490.32</v>
          </cell>
          <cell r="S624">
            <v>8</v>
          </cell>
          <cell r="T624">
            <v>57490.32</v>
          </cell>
          <cell r="U624">
            <v>7186.29</v>
          </cell>
        </row>
        <row r="625">
          <cell r="A625">
            <v>1000619</v>
          </cell>
          <cell r="B625" t="str">
            <v>DI/O Tipo 2-Módulo Actuador Reconectado</v>
          </cell>
          <cell r="D625">
            <v>7208</v>
          </cell>
          <cell r="E625">
            <v>1000</v>
          </cell>
          <cell r="F625" t="str">
            <v>ZALM</v>
          </cell>
          <cell r="G625" t="str">
            <v>UN</v>
          </cell>
          <cell r="H625" t="str">
            <v>DOP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>
            <v>0</v>
          </cell>
          <cell r="S625">
            <v>0</v>
          </cell>
          <cell r="T625">
            <v>0</v>
          </cell>
          <cell r="U625" t="e">
            <v>#N/A</v>
          </cell>
        </row>
        <row r="626">
          <cell r="A626">
            <v>1000620</v>
          </cell>
          <cell r="B626" t="str">
            <v>DI/O Tipo1-Módulo I/O Digital Reconectad</v>
          </cell>
          <cell r="D626">
            <v>7208</v>
          </cell>
          <cell r="E626">
            <v>1000</v>
          </cell>
          <cell r="F626" t="str">
            <v>ZALM</v>
          </cell>
          <cell r="G626" t="str">
            <v>UN</v>
          </cell>
          <cell r="H626" t="str">
            <v>DOP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>
            <v>0</v>
          </cell>
          <cell r="S626">
            <v>0</v>
          </cell>
          <cell r="T626">
            <v>0</v>
          </cell>
          <cell r="U626" t="e">
            <v>#N/A</v>
          </cell>
        </row>
        <row r="627">
          <cell r="A627">
            <v>1000621</v>
          </cell>
          <cell r="B627" t="str">
            <v>Empaque de Transformadores</v>
          </cell>
          <cell r="D627">
            <v>7208</v>
          </cell>
          <cell r="E627">
            <v>1000</v>
          </cell>
          <cell r="F627" t="str">
            <v>ZALM</v>
          </cell>
          <cell r="G627" t="str">
            <v>UN</v>
          </cell>
          <cell r="H627" t="str">
            <v>DOP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>
            <v>0</v>
          </cell>
          <cell r="S627">
            <v>0</v>
          </cell>
          <cell r="T627">
            <v>0</v>
          </cell>
          <cell r="U627" t="e">
            <v>#N/A</v>
          </cell>
        </row>
        <row r="628">
          <cell r="A628">
            <v>1000622</v>
          </cell>
          <cell r="B628" t="str">
            <v>Equipo Transferencia Aut P/ MT 12.47kV</v>
          </cell>
          <cell r="D628">
            <v>7208</v>
          </cell>
          <cell r="E628">
            <v>1000</v>
          </cell>
          <cell r="F628" t="str">
            <v>ZALM</v>
          </cell>
          <cell r="G628" t="str">
            <v>UN</v>
          </cell>
          <cell r="H628" t="str">
            <v>DOP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  <cell r="S628">
            <v>0</v>
          </cell>
          <cell r="T628">
            <v>0</v>
          </cell>
          <cell r="U628" t="e">
            <v>#N/A</v>
          </cell>
        </row>
        <row r="629">
          <cell r="A629">
            <v>1000623</v>
          </cell>
          <cell r="B629" t="str">
            <v>Estabilizador de Voltaje AC 500W</v>
          </cell>
          <cell r="D629">
            <v>7208</v>
          </cell>
          <cell r="E629">
            <v>1000</v>
          </cell>
          <cell r="F629" t="str">
            <v>ZALM</v>
          </cell>
          <cell r="G629" t="str">
            <v>UN</v>
          </cell>
          <cell r="H629" t="str">
            <v>DOP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  <cell r="T629">
            <v>0</v>
          </cell>
          <cell r="U629" t="e">
            <v>#N/A</v>
          </cell>
        </row>
        <row r="630">
          <cell r="A630">
            <v>1000624</v>
          </cell>
          <cell r="B630" t="str">
            <v>Fan Guard GDS-D9329</v>
          </cell>
          <cell r="D630">
            <v>7208</v>
          </cell>
          <cell r="E630">
            <v>1000</v>
          </cell>
          <cell r="F630" t="str">
            <v>ZALM</v>
          </cell>
          <cell r="G630" t="str">
            <v>UN</v>
          </cell>
          <cell r="H630" t="str">
            <v>DOP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 t="e">
            <v>#N/A</v>
          </cell>
        </row>
        <row r="631">
          <cell r="A631">
            <v>1000625</v>
          </cell>
          <cell r="B631" t="str">
            <v>Fan Guard GDS-D9330</v>
          </cell>
          <cell r="D631">
            <v>7208</v>
          </cell>
          <cell r="E631">
            <v>1000</v>
          </cell>
          <cell r="F631" t="str">
            <v>ZALM</v>
          </cell>
          <cell r="G631" t="str">
            <v>UN</v>
          </cell>
          <cell r="H631" t="str">
            <v>DOP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>
            <v>0</v>
          </cell>
          <cell r="S631">
            <v>0</v>
          </cell>
          <cell r="T631">
            <v>0</v>
          </cell>
          <cell r="U631" t="e">
            <v>#N/A</v>
          </cell>
        </row>
        <row r="632">
          <cell r="A632">
            <v>1000626</v>
          </cell>
          <cell r="B632" t="str">
            <v>Filtro de Deshidratadores</v>
          </cell>
          <cell r="D632">
            <v>7208</v>
          </cell>
          <cell r="E632">
            <v>1000</v>
          </cell>
          <cell r="F632" t="str">
            <v>ZALM</v>
          </cell>
          <cell r="G632" t="str">
            <v>UN</v>
          </cell>
          <cell r="H632" t="str">
            <v>DOP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>
            <v>0</v>
          </cell>
          <cell r="S632">
            <v>0</v>
          </cell>
          <cell r="T632">
            <v>0</v>
          </cell>
          <cell r="U632" t="e">
            <v>#N/A</v>
          </cell>
        </row>
        <row r="633">
          <cell r="A633">
            <v>1000627</v>
          </cell>
          <cell r="B633" t="str">
            <v>Fusible 100A (10/24kV) 442mm</v>
          </cell>
          <cell r="D633">
            <v>7208</v>
          </cell>
          <cell r="E633">
            <v>1000</v>
          </cell>
          <cell r="F633" t="str">
            <v>ZALM</v>
          </cell>
          <cell r="G633" t="str">
            <v>UN</v>
          </cell>
          <cell r="H633" t="str">
            <v>DOP</v>
          </cell>
          <cell r="I633">
            <v>17</v>
          </cell>
          <cell r="J633">
            <v>109692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>
            <v>0</v>
          </cell>
          <cell r="S633">
            <v>17</v>
          </cell>
          <cell r="T633">
            <v>109692</v>
          </cell>
          <cell r="U633">
            <v>6452.4705882352901</v>
          </cell>
        </row>
        <row r="634">
          <cell r="A634">
            <v>1000628</v>
          </cell>
          <cell r="B634" t="str">
            <v>Fusible 10A (10/24kV) 442mm</v>
          </cell>
          <cell r="D634">
            <v>7208</v>
          </cell>
          <cell r="E634">
            <v>1000</v>
          </cell>
          <cell r="F634" t="str">
            <v>ZALM</v>
          </cell>
          <cell r="G634" t="str">
            <v>UN</v>
          </cell>
          <cell r="H634" t="str">
            <v>DOP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T634">
            <v>0</v>
          </cell>
          <cell r="U634" t="e">
            <v>#N/A</v>
          </cell>
        </row>
        <row r="635">
          <cell r="A635">
            <v>1000629</v>
          </cell>
          <cell r="B635" t="str">
            <v>Fusible 125A (10/24kV) 442mm</v>
          </cell>
          <cell r="D635">
            <v>7208</v>
          </cell>
          <cell r="E635">
            <v>1000</v>
          </cell>
          <cell r="F635" t="str">
            <v>ZALM</v>
          </cell>
          <cell r="G635" t="str">
            <v>UN</v>
          </cell>
          <cell r="H635" t="str">
            <v>DOP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>
            <v>0</v>
          </cell>
          <cell r="S635">
            <v>0</v>
          </cell>
          <cell r="T635">
            <v>0</v>
          </cell>
          <cell r="U635" t="e">
            <v>#N/A</v>
          </cell>
        </row>
        <row r="636">
          <cell r="A636">
            <v>1000630</v>
          </cell>
          <cell r="B636" t="str">
            <v>Fusible 15A</v>
          </cell>
          <cell r="D636">
            <v>7208</v>
          </cell>
          <cell r="E636">
            <v>1000</v>
          </cell>
          <cell r="F636" t="str">
            <v>ZALM</v>
          </cell>
          <cell r="G636" t="str">
            <v>UN</v>
          </cell>
          <cell r="H636" t="str">
            <v>DOP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>
            <v>0</v>
          </cell>
          <cell r="S636">
            <v>0</v>
          </cell>
          <cell r="T636">
            <v>0</v>
          </cell>
          <cell r="U636" t="e">
            <v>#N/A</v>
          </cell>
        </row>
        <row r="637">
          <cell r="A637">
            <v>1000631</v>
          </cell>
          <cell r="B637" t="str">
            <v>Fusible 15A (69kV) Tipo PM</v>
          </cell>
          <cell r="D637">
            <v>7208</v>
          </cell>
          <cell r="E637">
            <v>1000</v>
          </cell>
          <cell r="F637" t="str">
            <v>ZALM</v>
          </cell>
          <cell r="G637" t="str">
            <v>UN</v>
          </cell>
          <cell r="H637" t="str">
            <v>DOP</v>
          </cell>
          <cell r="I637">
            <v>5</v>
          </cell>
          <cell r="J637">
            <v>49483.69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>
            <v>0</v>
          </cell>
          <cell r="S637">
            <v>5</v>
          </cell>
          <cell r="T637">
            <v>49483.69</v>
          </cell>
          <cell r="U637">
            <v>9896.7379999999994</v>
          </cell>
        </row>
        <row r="638">
          <cell r="A638">
            <v>1000632</v>
          </cell>
          <cell r="B638" t="str">
            <v>Fusible 160A (10/24kV) 442mm</v>
          </cell>
          <cell r="D638">
            <v>7208</v>
          </cell>
          <cell r="E638">
            <v>1000</v>
          </cell>
          <cell r="F638" t="str">
            <v>ZALM</v>
          </cell>
          <cell r="G638" t="str">
            <v>UN</v>
          </cell>
          <cell r="H638" t="str">
            <v>DOP</v>
          </cell>
          <cell r="I638">
            <v>20</v>
          </cell>
          <cell r="J638">
            <v>169139.42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>
            <v>0</v>
          </cell>
          <cell r="S638">
            <v>20</v>
          </cell>
          <cell r="T638">
            <v>169139.42</v>
          </cell>
          <cell r="U638">
            <v>8456.9709999999995</v>
          </cell>
        </row>
        <row r="639">
          <cell r="A639">
            <v>1000633</v>
          </cell>
          <cell r="B639" t="str">
            <v>Fusible 16A (10/24kV) 442mm</v>
          </cell>
          <cell r="D639">
            <v>7208</v>
          </cell>
          <cell r="E639">
            <v>1000</v>
          </cell>
          <cell r="F639" t="str">
            <v>ZALM</v>
          </cell>
          <cell r="G639" t="str">
            <v>UN</v>
          </cell>
          <cell r="H639" t="str">
            <v>DOP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>
            <v>0</v>
          </cell>
          <cell r="S639">
            <v>0</v>
          </cell>
          <cell r="T639">
            <v>0</v>
          </cell>
          <cell r="U639" t="e">
            <v>#N/A</v>
          </cell>
        </row>
        <row r="640">
          <cell r="A640">
            <v>1000634</v>
          </cell>
          <cell r="B640" t="str">
            <v>Fusible 200A (10/24kV) 442mm</v>
          </cell>
          <cell r="D640">
            <v>7208</v>
          </cell>
          <cell r="E640">
            <v>1000</v>
          </cell>
          <cell r="F640" t="str">
            <v>ZALM</v>
          </cell>
          <cell r="G640" t="str">
            <v>UN</v>
          </cell>
          <cell r="H640" t="str">
            <v>DOP</v>
          </cell>
          <cell r="I640">
            <v>20</v>
          </cell>
          <cell r="J640">
            <v>186731.95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>
            <v>0</v>
          </cell>
          <cell r="S640">
            <v>20</v>
          </cell>
          <cell r="T640">
            <v>186731.95</v>
          </cell>
          <cell r="U640">
            <v>9336.5974999999999</v>
          </cell>
        </row>
        <row r="641">
          <cell r="A641">
            <v>1000635</v>
          </cell>
          <cell r="B641" t="str">
            <v>Fusible 20A (10/24kV) 442mm</v>
          </cell>
          <cell r="D641">
            <v>7208</v>
          </cell>
          <cell r="E641">
            <v>1000</v>
          </cell>
          <cell r="F641" t="str">
            <v>ZALM</v>
          </cell>
          <cell r="G641" t="str">
            <v>UN</v>
          </cell>
          <cell r="H641" t="str">
            <v>DOP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>
            <v>0</v>
          </cell>
          <cell r="S641">
            <v>0</v>
          </cell>
          <cell r="T641">
            <v>0</v>
          </cell>
          <cell r="U641" t="e">
            <v>#N/A</v>
          </cell>
        </row>
        <row r="642">
          <cell r="A642">
            <v>1000636</v>
          </cell>
          <cell r="B642" t="str">
            <v>Fusible 25A (10/24kV) 442mm</v>
          </cell>
          <cell r="D642">
            <v>7208</v>
          </cell>
          <cell r="E642">
            <v>1000</v>
          </cell>
          <cell r="F642" t="str">
            <v>ZALM</v>
          </cell>
          <cell r="G642" t="str">
            <v>UN</v>
          </cell>
          <cell r="H642" t="str">
            <v>DOP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>
            <v>0</v>
          </cell>
          <cell r="S642">
            <v>0</v>
          </cell>
          <cell r="T642">
            <v>0</v>
          </cell>
          <cell r="U642" t="e">
            <v>#N/A</v>
          </cell>
        </row>
        <row r="643">
          <cell r="A643">
            <v>1000637</v>
          </cell>
          <cell r="B643" t="str">
            <v>Fusible 31.5A (10/24kV) 442mm</v>
          </cell>
          <cell r="D643">
            <v>7208</v>
          </cell>
          <cell r="E643">
            <v>1000</v>
          </cell>
          <cell r="F643" t="str">
            <v>ZALM</v>
          </cell>
          <cell r="G643" t="str">
            <v>UN</v>
          </cell>
          <cell r="H643" t="str">
            <v>DOP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>
            <v>0</v>
          </cell>
          <cell r="S643">
            <v>0</v>
          </cell>
          <cell r="T643">
            <v>0</v>
          </cell>
          <cell r="U643" t="e">
            <v>#N/A</v>
          </cell>
        </row>
        <row r="644">
          <cell r="A644">
            <v>1000638</v>
          </cell>
          <cell r="B644" t="str">
            <v>Fusible 3A P/ Luminarias</v>
          </cell>
          <cell r="D644">
            <v>7208</v>
          </cell>
          <cell r="E644">
            <v>1000</v>
          </cell>
          <cell r="F644" t="str">
            <v>ZALM</v>
          </cell>
          <cell r="G644" t="str">
            <v>UN</v>
          </cell>
          <cell r="H644" t="str">
            <v>DOP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>
            <v>0</v>
          </cell>
          <cell r="S644">
            <v>0</v>
          </cell>
          <cell r="T644">
            <v>0</v>
          </cell>
          <cell r="U644" t="e">
            <v>#N/A</v>
          </cell>
        </row>
        <row r="645">
          <cell r="A645">
            <v>1000639</v>
          </cell>
          <cell r="B645" t="str">
            <v>Fusible 40A (10/24kV) 442mm</v>
          </cell>
          <cell r="D645">
            <v>7208</v>
          </cell>
          <cell r="E645">
            <v>1000</v>
          </cell>
          <cell r="F645" t="str">
            <v>ZALM</v>
          </cell>
          <cell r="G645" t="str">
            <v>UN</v>
          </cell>
          <cell r="H645" t="str">
            <v>DOP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>
            <v>0</v>
          </cell>
          <cell r="S645">
            <v>0</v>
          </cell>
          <cell r="T645">
            <v>0</v>
          </cell>
          <cell r="U645" t="e">
            <v>#N/A</v>
          </cell>
        </row>
        <row r="646">
          <cell r="A646">
            <v>1000640</v>
          </cell>
          <cell r="B646" t="str">
            <v>Fusible 4A</v>
          </cell>
          <cell r="D646">
            <v>7208</v>
          </cell>
          <cell r="E646">
            <v>1000</v>
          </cell>
          <cell r="F646" t="str">
            <v>ZALM</v>
          </cell>
          <cell r="G646" t="str">
            <v>UN</v>
          </cell>
          <cell r="H646" t="str">
            <v>DOP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U646" t="e">
            <v>#N/A</v>
          </cell>
        </row>
        <row r="647">
          <cell r="A647">
            <v>1000641</v>
          </cell>
          <cell r="B647" t="str">
            <v>Fusible 50A (10/24kV) 442mm</v>
          </cell>
          <cell r="D647">
            <v>7208</v>
          </cell>
          <cell r="E647">
            <v>1000</v>
          </cell>
          <cell r="F647" t="str">
            <v>ZALM</v>
          </cell>
          <cell r="G647" t="str">
            <v>UN</v>
          </cell>
          <cell r="H647" t="str">
            <v>DOP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>
            <v>0</v>
          </cell>
          <cell r="S647">
            <v>0</v>
          </cell>
          <cell r="T647">
            <v>0</v>
          </cell>
          <cell r="U647" t="e">
            <v>#N/A</v>
          </cell>
        </row>
        <row r="648">
          <cell r="A648">
            <v>1000642</v>
          </cell>
          <cell r="B648" t="str">
            <v>Fusible 5A P/ Porta Fusible de Lumin</v>
          </cell>
          <cell r="D648">
            <v>7208</v>
          </cell>
          <cell r="E648">
            <v>1000</v>
          </cell>
          <cell r="F648" t="str">
            <v>ZALM</v>
          </cell>
          <cell r="G648" t="str">
            <v>UN</v>
          </cell>
          <cell r="H648" t="str">
            <v>DOP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>
            <v>0</v>
          </cell>
          <cell r="S648">
            <v>0</v>
          </cell>
          <cell r="T648">
            <v>0</v>
          </cell>
          <cell r="U648" t="e">
            <v>#N/A</v>
          </cell>
        </row>
        <row r="649">
          <cell r="A649">
            <v>1000643</v>
          </cell>
          <cell r="B649" t="str">
            <v>Fusible 6.3A (10/24kV) 442mm</v>
          </cell>
          <cell r="D649">
            <v>7208</v>
          </cell>
          <cell r="E649">
            <v>1000</v>
          </cell>
          <cell r="F649" t="str">
            <v>ZALM</v>
          </cell>
          <cell r="G649" t="str">
            <v>UN</v>
          </cell>
          <cell r="H649" t="str">
            <v>DOP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>
            <v>0</v>
          </cell>
          <cell r="S649">
            <v>0</v>
          </cell>
          <cell r="T649">
            <v>0</v>
          </cell>
          <cell r="U649" t="e">
            <v>#N/A</v>
          </cell>
        </row>
        <row r="650">
          <cell r="A650">
            <v>1000644</v>
          </cell>
          <cell r="B650" t="str">
            <v>Fusible 63A (10/17.5kV) 442mm</v>
          </cell>
          <cell r="D650">
            <v>7208</v>
          </cell>
          <cell r="E650">
            <v>1000</v>
          </cell>
          <cell r="F650" t="str">
            <v>ZALM</v>
          </cell>
          <cell r="G650" t="str">
            <v>UN</v>
          </cell>
          <cell r="H650" t="str">
            <v>DOP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>
            <v>0</v>
          </cell>
          <cell r="S650">
            <v>0</v>
          </cell>
          <cell r="T650">
            <v>0</v>
          </cell>
          <cell r="U650" t="e">
            <v>#N/A</v>
          </cell>
        </row>
        <row r="651">
          <cell r="A651">
            <v>1000645</v>
          </cell>
          <cell r="B651" t="str">
            <v>Fusible 80A (10/17.5kV) 442mm</v>
          </cell>
          <cell r="D651">
            <v>7208</v>
          </cell>
          <cell r="E651">
            <v>1000</v>
          </cell>
          <cell r="F651" t="str">
            <v>ZALM</v>
          </cell>
          <cell r="G651" t="str">
            <v>UN</v>
          </cell>
          <cell r="H651" t="str">
            <v>DOP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>
            <v>0</v>
          </cell>
          <cell r="S651">
            <v>0</v>
          </cell>
          <cell r="T651">
            <v>0</v>
          </cell>
          <cell r="U651" t="e">
            <v>#N/A</v>
          </cell>
        </row>
        <row r="652">
          <cell r="A652">
            <v>1000646</v>
          </cell>
          <cell r="B652" t="str">
            <v>Fusible 8A P/ Porta Fusible de Lumin</v>
          </cell>
          <cell r="D652">
            <v>7208</v>
          </cell>
          <cell r="E652">
            <v>1000</v>
          </cell>
          <cell r="F652" t="str">
            <v>ZALM</v>
          </cell>
          <cell r="G652" t="str">
            <v>UN</v>
          </cell>
          <cell r="H652" t="str">
            <v>DOP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>
            <v>0</v>
          </cell>
          <cell r="S652">
            <v>0</v>
          </cell>
          <cell r="T652">
            <v>0</v>
          </cell>
          <cell r="U652" t="e">
            <v>#N/A</v>
          </cell>
        </row>
        <row r="653">
          <cell r="A653">
            <v>1000647</v>
          </cell>
          <cell r="B653" t="str">
            <v>Fusible de Cristal 10A</v>
          </cell>
          <cell r="D653">
            <v>7208</v>
          </cell>
          <cell r="E653">
            <v>1000</v>
          </cell>
          <cell r="F653" t="str">
            <v>ZALM</v>
          </cell>
          <cell r="G653" t="str">
            <v>UN</v>
          </cell>
          <cell r="H653" t="str">
            <v>DOP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  <cell r="S653">
            <v>0</v>
          </cell>
          <cell r="T653">
            <v>0</v>
          </cell>
          <cell r="U653" t="e">
            <v>#N/A</v>
          </cell>
        </row>
        <row r="654">
          <cell r="A654">
            <v>1000648</v>
          </cell>
          <cell r="B654" t="str">
            <v>Fusible de Expulsión Tipo D de 10A</v>
          </cell>
          <cell r="D654">
            <v>7208</v>
          </cell>
          <cell r="E654">
            <v>1000</v>
          </cell>
          <cell r="F654" t="str">
            <v>ZALM</v>
          </cell>
          <cell r="G654" t="str">
            <v>UN</v>
          </cell>
          <cell r="H654" t="str">
            <v>DOP</v>
          </cell>
          <cell r="I654">
            <v>0</v>
          </cell>
          <cell r="J654">
            <v>0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>
            <v>0</v>
          </cell>
          <cell r="S654">
            <v>0</v>
          </cell>
          <cell r="T654">
            <v>0</v>
          </cell>
          <cell r="U654" t="e">
            <v>#N/A</v>
          </cell>
        </row>
        <row r="655">
          <cell r="A655">
            <v>1000649</v>
          </cell>
          <cell r="B655" t="str">
            <v>Fusible de Expulsión Tipo D de 5A</v>
          </cell>
          <cell r="D655">
            <v>7208</v>
          </cell>
          <cell r="E655">
            <v>1000</v>
          </cell>
          <cell r="F655" t="str">
            <v>ZALM</v>
          </cell>
          <cell r="G655" t="str">
            <v>UN</v>
          </cell>
          <cell r="H655" t="str">
            <v>DOP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>
            <v>0</v>
          </cell>
          <cell r="S655">
            <v>0</v>
          </cell>
          <cell r="T655">
            <v>0</v>
          </cell>
          <cell r="U655" t="e">
            <v>#N/A</v>
          </cell>
        </row>
        <row r="656">
          <cell r="A656">
            <v>1000650</v>
          </cell>
          <cell r="B656" t="str">
            <v>Fusible de Expulsión Tipo D de 7A</v>
          </cell>
          <cell r="D656">
            <v>7208</v>
          </cell>
          <cell r="E656">
            <v>1000</v>
          </cell>
          <cell r="F656" t="str">
            <v>ZALM</v>
          </cell>
          <cell r="G656" t="str">
            <v>UN</v>
          </cell>
          <cell r="H656" t="str">
            <v>DOP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>
            <v>0</v>
          </cell>
          <cell r="S656">
            <v>0</v>
          </cell>
          <cell r="T656">
            <v>0</v>
          </cell>
          <cell r="U656" t="e">
            <v>#N/A</v>
          </cell>
        </row>
        <row r="657">
          <cell r="A657">
            <v>1000651</v>
          </cell>
          <cell r="B657" t="str">
            <v>Fusible Kits P/ 34.5kV 10A</v>
          </cell>
          <cell r="D657">
            <v>7208</v>
          </cell>
          <cell r="E657">
            <v>1000</v>
          </cell>
          <cell r="F657" t="str">
            <v>ZALM</v>
          </cell>
          <cell r="G657" t="str">
            <v>UN</v>
          </cell>
          <cell r="H657" t="str">
            <v>DOP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>
            <v>0</v>
          </cell>
          <cell r="S657">
            <v>0</v>
          </cell>
          <cell r="T657">
            <v>0</v>
          </cell>
          <cell r="U657" t="e">
            <v>#N/A</v>
          </cell>
        </row>
        <row r="658">
          <cell r="A658">
            <v>1000652</v>
          </cell>
          <cell r="B658" t="str">
            <v>Fusible Kits P/ 34.5kV 125A Tipo PM</v>
          </cell>
          <cell r="D658">
            <v>7208</v>
          </cell>
          <cell r="E658">
            <v>1000</v>
          </cell>
          <cell r="F658" t="str">
            <v>ZALM</v>
          </cell>
          <cell r="G658" t="str">
            <v>UN</v>
          </cell>
          <cell r="H658" t="str">
            <v>DOP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>
            <v>0</v>
          </cell>
          <cell r="S658">
            <v>0</v>
          </cell>
          <cell r="T658">
            <v>0</v>
          </cell>
          <cell r="U658" t="e">
            <v>#N/A</v>
          </cell>
        </row>
        <row r="659">
          <cell r="A659">
            <v>1000653</v>
          </cell>
          <cell r="B659" t="str">
            <v>Fusible Kits P/ 34.5kV 20A Tipo PM</v>
          </cell>
          <cell r="D659">
            <v>7208</v>
          </cell>
          <cell r="E659">
            <v>1000</v>
          </cell>
          <cell r="F659" t="str">
            <v>ZALM</v>
          </cell>
          <cell r="G659" t="str">
            <v>UN</v>
          </cell>
          <cell r="H659" t="str">
            <v>DOP</v>
          </cell>
          <cell r="I659">
            <v>1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>
            <v>0</v>
          </cell>
          <cell r="S659">
            <v>1</v>
          </cell>
          <cell r="T659">
            <v>0</v>
          </cell>
          <cell r="U659">
            <v>0</v>
          </cell>
        </row>
        <row r="660">
          <cell r="A660">
            <v>1000654</v>
          </cell>
          <cell r="B660" t="str">
            <v>Fusible Kits P/ 34.5kV 30A</v>
          </cell>
          <cell r="D660">
            <v>7208</v>
          </cell>
          <cell r="E660">
            <v>1000</v>
          </cell>
          <cell r="F660" t="str">
            <v>ZALM</v>
          </cell>
          <cell r="G660" t="str">
            <v>UN</v>
          </cell>
          <cell r="H660" t="str">
            <v>DOP</v>
          </cell>
          <cell r="I660">
            <v>25</v>
          </cell>
          <cell r="J660">
            <v>101341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>
            <v>0</v>
          </cell>
          <cell r="S660">
            <v>25</v>
          </cell>
          <cell r="T660">
            <v>101341</v>
          </cell>
          <cell r="U660">
            <v>4053.64</v>
          </cell>
        </row>
        <row r="661">
          <cell r="A661">
            <v>1000655</v>
          </cell>
          <cell r="B661" t="str">
            <v>Fusible Kits P/ 34.5kV 50A Tipo PM</v>
          </cell>
          <cell r="D661">
            <v>7208</v>
          </cell>
          <cell r="E661">
            <v>1000</v>
          </cell>
          <cell r="F661" t="str">
            <v>ZALM</v>
          </cell>
          <cell r="G661" t="str">
            <v>UN</v>
          </cell>
          <cell r="H661" t="str">
            <v>DOP</v>
          </cell>
          <cell r="I661">
            <v>44</v>
          </cell>
          <cell r="J661">
            <v>254238.64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>
            <v>0</v>
          </cell>
          <cell r="S661">
            <v>44</v>
          </cell>
          <cell r="T661">
            <v>254238.64</v>
          </cell>
          <cell r="U661">
            <v>5778.1509090909103</v>
          </cell>
        </row>
        <row r="662">
          <cell r="A662">
            <v>1000656</v>
          </cell>
          <cell r="B662" t="str">
            <v>Fusible Kits P/ 34.5kV 75A Tipo PM</v>
          </cell>
          <cell r="D662">
            <v>7208</v>
          </cell>
          <cell r="E662">
            <v>1000</v>
          </cell>
          <cell r="F662" t="str">
            <v>ZALM</v>
          </cell>
          <cell r="G662" t="str">
            <v>UN</v>
          </cell>
          <cell r="H662" t="str">
            <v>DOP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 t="e">
            <v>#N/A</v>
          </cell>
        </row>
        <row r="663">
          <cell r="A663">
            <v>1000657</v>
          </cell>
          <cell r="B663" t="str">
            <v>Fusible Kits P/ 34.5kV 80A Tipo PM</v>
          </cell>
          <cell r="D663">
            <v>7208</v>
          </cell>
          <cell r="E663">
            <v>1000</v>
          </cell>
          <cell r="F663" t="str">
            <v>ZALM</v>
          </cell>
          <cell r="G663" t="str">
            <v>UN</v>
          </cell>
          <cell r="H663" t="str">
            <v>DOP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>
            <v>0</v>
          </cell>
          <cell r="S663">
            <v>0</v>
          </cell>
          <cell r="T663">
            <v>0</v>
          </cell>
          <cell r="U663" t="e">
            <v>#N/A</v>
          </cell>
        </row>
        <row r="664">
          <cell r="A664">
            <v>1000658</v>
          </cell>
          <cell r="B664" t="str">
            <v>Fusible Kits P/ 69kV 10A</v>
          </cell>
          <cell r="D664">
            <v>7208</v>
          </cell>
          <cell r="E664">
            <v>1000</v>
          </cell>
          <cell r="F664" t="str">
            <v>ZALM</v>
          </cell>
          <cell r="G664" t="str">
            <v>UN</v>
          </cell>
          <cell r="H664" t="str">
            <v>DOP</v>
          </cell>
          <cell r="I664">
            <v>14</v>
          </cell>
          <cell r="J664">
            <v>50821.82</v>
          </cell>
          <cell r="K664">
            <v>0</v>
          </cell>
          <cell r="L664">
            <v>0</v>
          </cell>
          <cell r="M664">
            <v>0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>
            <v>0</v>
          </cell>
          <cell r="S664">
            <v>14</v>
          </cell>
          <cell r="T664">
            <v>50821.82</v>
          </cell>
          <cell r="U664">
            <v>3630.13</v>
          </cell>
        </row>
        <row r="665">
          <cell r="A665">
            <v>1000659</v>
          </cell>
          <cell r="B665" t="str">
            <v>Fusible Kits P/ 69kV 125A Tipo PM</v>
          </cell>
          <cell r="D665">
            <v>7208</v>
          </cell>
          <cell r="E665">
            <v>1000</v>
          </cell>
          <cell r="F665" t="str">
            <v>ZALM</v>
          </cell>
          <cell r="G665" t="str">
            <v>UN</v>
          </cell>
          <cell r="H665" t="str">
            <v>DOP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>
            <v>0</v>
          </cell>
          <cell r="S665">
            <v>0</v>
          </cell>
          <cell r="T665">
            <v>0</v>
          </cell>
          <cell r="U665" t="e">
            <v>#N/A</v>
          </cell>
        </row>
        <row r="666">
          <cell r="A666">
            <v>1000660</v>
          </cell>
          <cell r="B666" t="str">
            <v>Fusible Kits P/ 69kV 20A</v>
          </cell>
          <cell r="D666">
            <v>7208</v>
          </cell>
          <cell r="E666">
            <v>1000</v>
          </cell>
          <cell r="F666" t="str">
            <v>ZALM</v>
          </cell>
          <cell r="G666" t="str">
            <v>UN</v>
          </cell>
          <cell r="H666" t="str">
            <v>DOP</v>
          </cell>
          <cell r="I666">
            <v>7</v>
          </cell>
          <cell r="J666">
            <v>44626.18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>
            <v>0</v>
          </cell>
          <cell r="S666">
            <v>7</v>
          </cell>
          <cell r="T666">
            <v>44626.18</v>
          </cell>
          <cell r="U666">
            <v>6375.1685714285704</v>
          </cell>
        </row>
        <row r="667">
          <cell r="A667">
            <v>1000661</v>
          </cell>
          <cell r="B667" t="str">
            <v>Fusible kits P/ 69kV 30A</v>
          </cell>
          <cell r="D667">
            <v>7208</v>
          </cell>
          <cell r="E667">
            <v>1000</v>
          </cell>
          <cell r="F667" t="str">
            <v>ZALM</v>
          </cell>
          <cell r="G667" t="str">
            <v>UN</v>
          </cell>
          <cell r="H667" t="str">
            <v>DOP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>
            <v>0</v>
          </cell>
          <cell r="S667">
            <v>0</v>
          </cell>
          <cell r="T667">
            <v>0</v>
          </cell>
          <cell r="U667" t="e">
            <v>#N/A</v>
          </cell>
        </row>
        <row r="668">
          <cell r="A668">
            <v>1000662</v>
          </cell>
          <cell r="B668" t="str">
            <v>Fusible Kits P/ 69kV 60A</v>
          </cell>
          <cell r="D668">
            <v>7208</v>
          </cell>
          <cell r="E668">
            <v>1000</v>
          </cell>
          <cell r="F668" t="str">
            <v>ZALM</v>
          </cell>
          <cell r="G668" t="str">
            <v>UN</v>
          </cell>
          <cell r="H668" t="str">
            <v>DOP</v>
          </cell>
          <cell r="I668">
            <v>1</v>
          </cell>
          <cell r="J668">
            <v>4370.8100000000004</v>
          </cell>
          <cell r="K668">
            <v>0</v>
          </cell>
          <cell r="L668">
            <v>0</v>
          </cell>
          <cell r="M668">
            <v>0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>
            <v>0</v>
          </cell>
          <cell r="S668">
            <v>1</v>
          </cell>
          <cell r="T668">
            <v>4370.8100000000004</v>
          </cell>
          <cell r="U668">
            <v>4370.8100000000004</v>
          </cell>
        </row>
        <row r="669">
          <cell r="A669">
            <v>1000663</v>
          </cell>
          <cell r="B669" t="str">
            <v>Fusible Neozep Capacidad 10A</v>
          </cell>
          <cell r="D669">
            <v>7208</v>
          </cell>
          <cell r="E669">
            <v>1000</v>
          </cell>
          <cell r="F669" t="str">
            <v>ZALM</v>
          </cell>
          <cell r="G669" t="str">
            <v>UN</v>
          </cell>
          <cell r="H669" t="str">
            <v>DOP</v>
          </cell>
          <cell r="I669">
            <v>2800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>
            <v>0</v>
          </cell>
          <cell r="S669">
            <v>2800</v>
          </cell>
          <cell r="T669">
            <v>0</v>
          </cell>
          <cell r="U669">
            <v>0</v>
          </cell>
        </row>
        <row r="670">
          <cell r="A670">
            <v>1000664</v>
          </cell>
          <cell r="B670" t="str">
            <v>Fusible Neozep Capacidad 63A</v>
          </cell>
          <cell r="D670">
            <v>7208</v>
          </cell>
          <cell r="E670">
            <v>1000</v>
          </cell>
          <cell r="F670" t="str">
            <v>ZALM</v>
          </cell>
          <cell r="G670" t="str">
            <v>UN</v>
          </cell>
          <cell r="H670" t="str">
            <v>DOP</v>
          </cell>
          <cell r="I670">
            <v>79960</v>
          </cell>
          <cell r="J670">
            <v>355822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>
            <v>0</v>
          </cell>
          <cell r="S670">
            <v>79960</v>
          </cell>
          <cell r="T670">
            <v>355822</v>
          </cell>
          <cell r="U670">
            <v>4.45</v>
          </cell>
        </row>
        <row r="671">
          <cell r="A671">
            <v>1000665</v>
          </cell>
          <cell r="B671" t="str">
            <v>Fusible Placebo P/ Corte</v>
          </cell>
          <cell r="D671">
            <v>7208</v>
          </cell>
          <cell r="E671">
            <v>1000</v>
          </cell>
          <cell r="F671" t="str">
            <v>ZALM</v>
          </cell>
          <cell r="G671" t="str">
            <v>UN</v>
          </cell>
          <cell r="H671" t="str">
            <v>DOP</v>
          </cell>
          <cell r="I671">
            <v>0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>
            <v>0</v>
          </cell>
          <cell r="S671">
            <v>0</v>
          </cell>
          <cell r="T671">
            <v>0</v>
          </cell>
          <cell r="U671" t="e">
            <v>#N/A</v>
          </cell>
        </row>
        <row r="672">
          <cell r="A672">
            <v>1000666</v>
          </cell>
          <cell r="B672" t="str">
            <v>Fusible Tipo HHC-In 100A</v>
          </cell>
          <cell r="D672">
            <v>7208</v>
          </cell>
          <cell r="E672">
            <v>1000</v>
          </cell>
          <cell r="F672" t="str">
            <v>ZALM</v>
          </cell>
          <cell r="G672" t="str">
            <v>UN</v>
          </cell>
          <cell r="H672" t="str">
            <v>DOP</v>
          </cell>
          <cell r="I672">
            <v>0</v>
          </cell>
          <cell r="J672">
            <v>0</v>
          </cell>
          <cell r="K672">
            <v>0</v>
          </cell>
          <cell r="L672">
            <v>0</v>
          </cell>
          <cell r="M672">
            <v>0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>
            <v>0</v>
          </cell>
          <cell r="S672">
            <v>0</v>
          </cell>
          <cell r="T672">
            <v>0</v>
          </cell>
          <cell r="U672" t="e">
            <v>#N/A</v>
          </cell>
        </row>
        <row r="673">
          <cell r="A673">
            <v>1000667</v>
          </cell>
          <cell r="B673" t="str">
            <v>Fusible Tipo HHC-In 63A</v>
          </cell>
          <cell r="D673">
            <v>7208</v>
          </cell>
          <cell r="E673">
            <v>1000</v>
          </cell>
          <cell r="F673" t="str">
            <v>ZALM</v>
          </cell>
          <cell r="G673" t="str">
            <v>UN</v>
          </cell>
          <cell r="H673" t="str">
            <v>DOP</v>
          </cell>
          <cell r="I673">
            <v>200</v>
          </cell>
          <cell r="J673">
            <v>394662</v>
          </cell>
          <cell r="K673">
            <v>0</v>
          </cell>
          <cell r="L673">
            <v>0</v>
          </cell>
          <cell r="M673">
            <v>0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>
            <v>0</v>
          </cell>
          <cell r="S673">
            <v>200</v>
          </cell>
          <cell r="T673">
            <v>394662</v>
          </cell>
          <cell r="U673">
            <v>1973.31</v>
          </cell>
        </row>
        <row r="674">
          <cell r="A674">
            <v>1000668</v>
          </cell>
          <cell r="B674" t="str">
            <v>Fusible Tipo K 12A Cabeza Removible</v>
          </cell>
          <cell r="D674">
            <v>7208</v>
          </cell>
          <cell r="E674">
            <v>1000</v>
          </cell>
          <cell r="F674" t="str">
            <v>ZALM</v>
          </cell>
          <cell r="G674" t="str">
            <v>UN</v>
          </cell>
          <cell r="H674" t="str">
            <v>DOP</v>
          </cell>
          <cell r="I674">
            <v>0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>
            <v>0</v>
          </cell>
          <cell r="S674">
            <v>0</v>
          </cell>
          <cell r="T674">
            <v>0</v>
          </cell>
          <cell r="U674" t="e">
            <v>#N/A</v>
          </cell>
        </row>
        <row r="675">
          <cell r="A675">
            <v>1000669</v>
          </cell>
          <cell r="B675" t="str">
            <v>Fusible Tipo K 7A Cabeza Removible</v>
          </cell>
          <cell r="D675">
            <v>7208</v>
          </cell>
          <cell r="E675">
            <v>1000</v>
          </cell>
          <cell r="F675" t="str">
            <v>ZALM</v>
          </cell>
          <cell r="G675" t="str">
            <v>UN</v>
          </cell>
          <cell r="H675" t="str">
            <v>DOP</v>
          </cell>
          <cell r="I675">
            <v>0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>
            <v>0</v>
          </cell>
          <cell r="S675">
            <v>0</v>
          </cell>
          <cell r="T675">
            <v>0</v>
          </cell>
          <cell r="U675" t="e">
            <v>#N/A</v>
          </cell>
        </row>
        <row r="676">
          <cell r="A676">
            <v>1000670</v>
          </cell>
          <cell r="B676" t="str">
            <v>Fusible Tipo K Fijado en Cartucho 100A</v>
          </cell>
          <cell r="D676">
            <v>7208</v>
          </cell>
          <cell r="E676">
            <v>1000</v>
          </cell>
          <cell r="F676" t="str">
            <v>ZALM</v>
          </cell>
          <cell r="G676" t="str">
            <v>UN</v>
          </cell>
          <cell r="H676" t="str">
            <v>DOP</v>
          </cell>
          <cell r="I676">
            <v>3</v>
          </cell>
          <cell r="J676">
            <v>556.79999999999995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>
            <v>0</v>
          </cell>
          <cell r="S676">
            <v>3</v>
          </cell>
          <cell r="T676">
            <v>556.79999999999995</v>
          </cell>
          <cell r="U676">
            <v>185.6</v>
          </cell>
        </row>
        <row r="677">
          <cell r="A677">
            <v>1000671</v>
          </cell>
          <cell r="B677" t="str">
            <v>Fusible Tipo K Fijado en Cartucho 10A</v>
          </cell>
          <cell r="D677">
            <v>7208</v>
          </cell>
          <cell r="E677">
            <v>1000</v>
          </cell>
          <cell r="F677" t="str">
            <v>ZALM</v>
          </cell>
          <cell r="G677" t="str">
            <v>UN</v>
          </cell>
          <cell r="H677" t="str">
            <v>DOP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12</v>
          </cell>
          <cell r="R677">
            <v>718.09</v>
          </cell>
          <cell r="S677">
            <v>12</v>
          </cell>
          <cell r="T677">
            <v>718.09</v>
          </cell>
          <cell r="U677">
            <v>59.8408333333333</v>
          </cell>
        </row>
        <row r="678">
          <cell r="A678">
            <v>1000672</v>
          </cell>
          <cell r="B678" t="str">
            <v>Fusible Tipo K Fijado en Cartucho 12A</v>
          </cell>
          <cell r="D678">
            <v>7208</v>
          </cell>
          <cell r="E678">
            <v>1000</v>
          </cell>
          <cell r="F678" t="str">
            <v>ZALM</v>
          </cell>
          <cell r="G678" t="str">
            <v>UN</v>
          </cell>
          <cell r="H678" t="str">
            <v>DOP</v>
          </cell>
          <cell r="I678">
            <v>34</v>
          </cell>
          <cell r="J678">
            <v>1972</v>
          </cell>
          <cell r="K678">
            <v>0</v>
          </cell>
          <cell r="L678">
            <v>0</v>
          </cell>
          <cell r="M678">
            <v>137</v>
          </cell>
          <cell r="N678">
            <v>7946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171</v>
          </cell>
          <cell r="T678">
            <v>9918</v>
          </cell>
          <cell r="U678">
            <v>58</v>
          </cell>
        </row>
        <row r="679">
          <cell r="A679">
            <v>1000673</v>
          </cell>
          <cell r="B679" t="str">
            <v>Fusible Tipo K Fijado en Cartucho 140A</v>
          </cell>
          <cell r="D679">
            <v>7208</v>
          </cell>
          <cell r="E679">
            <v>1000</v>
          </cell>
          <cell r="F679" t="str">
            <v>ZALM</v>
          </cell>
          <cell r="G679" t="str">
            <v>UN</v>
          </cell>
          <cell r="H679" t="str">
            <v>DOP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388</v>
          </cell>
          <cell r="N679">
            <v>213400.91</v>
          </cell>
          <cell r="O679">
            <v>0</v>
          </cell>
          <cell r="P679">
            <v>0</v>
          </cell>
          <cell r="Q679">
            <v>6</v>
          </cell>
          <cell r="R679">
            <v>3300.01</v>
          </cell>
          <cell r="S679">
            <v>394</v>
          </cell>
          <cell r="T679">
            <v>216700.92</v>
          </cell>
          <cell r="U679">
            <v>550.00233502538094</v>
          </cell>
        </row>
        <row r="680">
          <cell r="A680">
            <v>1000674</v>
          </cell>
          <cell r="B680" t="str">
            <v>Fusible Tipo K Fijado en Cartucho 15A</v>
          </cell>
          <cell r="D680">
            <v>7208</v>
          </cell>
          <cell r="E680">
            <v>1000</v>
          </cell>
          <cell r="F680" t="str">
            <v>ZALM</v>
          </cell>
          <cell r="G680" t="str">
            <v>UN</v>
          </cell>
          <cell r="H680" t="str">
            <v>DOP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1</v>
          </cell>
          <cell r="N680">
            <v>78.88</v>
          </cell>
          <cell r="O680">
            <v>0</v>
          </cell>
          <cell r="P680">
            <v>0</v>
          </cell>
          <cell r="Q680">
            <v>0</v>
          </cell>
          <cell r="R680">
            <v>0</v>
          </cell>
          <cell r="S680">
            <v>1</v>
          </cell>
          <cell r="T680">
            <v>78.88</v>
          </cell>
          <cell r="U680">
            <v>78.88</v>
          </cell>
        </row>
        <row r="681">
          <cell r="A681">
            <v>1000675</v>
          </cell>
          <cell r="B681" t="str">
            <v>Fusible Tipo K Fijado en Cartucho 1A</v>
          </cell>
          <cell r="D681">
            <v>7208</v>
          </cell>
          <cell r="E681">
            <v>1000</v>
          </cell>
          <cell r="F681" t="str">
            <v>ZALM</v>
          </cell>
          <cell r="G681" t="str">
            <v>UN</v>
          </cell>
          <cell r="H681" t="str">
            <v>DOP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11</v>
          </cell>
          <cell r="N681">
            <v>638</v>
          </cell>
          <cell r="O681">
            <v>0</v>
          </cell>
          <cell r="P681">
            <v>0</v>
          </cell>
          <cell r="Q681">
            <v>0</v>
          </cell>
          <cell r="R681">
            <v>0</v>
          </cell>
          <cell r="S681">
            <v>11</v>
          </cell>
          <cell r="T681">
            <v>638</v>
          </cell>
          <cell r="U681">
            <v>58</v>
          </cell>
        </row>
        <row r="682">
          <cell r="A682">
            <v>1000676</v>
          </cell>
          <cell r="B682" t="str">
            <v>Fusible Tipo K Fijado en Cartucho 200A</v>
          </cell>
          <cell r="D682">
            <v>7208</v>
          </cell>
          <cell r="E682">
            <v>1000</v>
          </cell>
          <cell r="F682" t="str">
            <v>ZALM</v>
          </cell>
          <cell r="G682" t="str">
            <v>UN</v>
          </cell>
          <cell r="H682" t="str">
            <v>DOP</v>
          </cell>
          <cell r="I682">
            <v>0</v>
          </cell>
          <cell r="J682">
            <v>0</v>
          </cell>
          <cell r="K682">
            <v>0</v>
          </cell>
          <cell r="L682">
            <v>0</v>
          </cell>
          <cell r="M682">
            <v>49</v>
          </cell>
          <cell r="N682">
            <v>26998.52</v>
          </cell>
          <cell r="O682">
            <v>0</v>
          </cell>
          <cell r="P682">
            <v>0</v>
          </cell>
          <cell r="Q682">
            <v>1</v>
          </cell>
          <cell r="R682">
            <v>550.99</v>
          </cell>
          <cell r="S682">
            <v>50</v>
          </cell>
          <cell r="T682">
            <v>27549.51</v>
          </cell>
          <cell r="U682">
            <v>550.99019999999996</v>
          </cell>
        </row>
        <row r="683">
          <cell r="A683">
            <v>1000677</v>
          </cell>
          <cell r="B683" t="str">
            <v>Fusible Tipo K Fijado en Cartucho 20A</v>
          </cell>
          <cell r="D683">
            <v>7208</v>
          </cell>
          <cell r="E683">
            <v>1000</v>
          </cell>
          <cell r="F683" t="str">
            <v>ZALM</v>
          </cell>
          <cell r="G683" t="str">
            <v>UN</v>
          </cell>
          <cell r="H683" t="str">
            <v>DOP</v>
          </cell>
          <cell r="I683">
            <v>0</v>
          </cell>
          <cell r="J683">
            <v>0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>
            <v>0</v>
          </cell>
          <cell r="S683">
            <v>0</v>
          </cell>
          <cell r="T683">
            <v>0</v>
          </cell>
          <cell r="U683" t="e">
            <v>#N/A</v>
          </cell>
        </row>
        <row r="684">
          <cell r="A684">
            <v>1000678</v>
          </cell>
          <cell r="B684" t="str">
            <v>Fusible Tipo K Fijado en Cartucho 25A</v>
          </cell>
          <cell r="D684">
            <v>7208</v>
          </cell>
          <cell r="E684">
            <v>1000</v>
          </cell>
          <cell r="F684" t="str">
            <v>ZALM</v>
          </cell>
          <cell r="G684" t="str">
            <v>UN</v>
          </cell>
          <cell r="H684" t="str">
            <v>DOP</v>
          </cell>
          <cell r="I684">
            <v>3</v>
          </cell>
          <cell r="J684">
            <v>210.01</v>
          </cell>
          <cell r="K684">
            <v>0</v>
          </cell>
          <cell r="L684">
            <v>0</v>
          </cell>
          <cell r="M684">
            <v>1</v>
          </cell>
          <cell r="N684">
            <v>70</v>
          </cell>
          <cell r="O684">
            <v>0</v>
          </cell>
          <cell r="P684">
            <v>0</v>
          </cell>
          <cell r="Q684">
            <v>0</v>
          </cell>
          <cell r="R684">
            <v>0</v>
          </cell>
          <cell r="S684">
            <v>4</v>
          </cell>
          <cell r="T684">
            <v>280.01</v>
          </cell>
          <cell r="U684">
            <v>70.002499999999998</v>
          </cell>
        </row>
        <row r="685">
          <cell r="A685">
            <v>1000679</v>
          </cell>
          <cell r="B685" t="str">
            <v>Fusible Tipo K Fijado en Cartucho 2A</v>
          </cell>
          <cell r="D685">
            <v>7208</v>
          </cell>
          <cell r="E685">
            <v>1000</v>
          </cell>
          <cell r="F685" t="str">
            <v>ZALM</v>
          </cell>
          <cell r="G685" t="str">
            <v>UN</v>
          </cell>
          <cell r="H685" t="str">
            <v>DOP</v>
          </cell>
          <cell r="I685">
            <v>365</v>
          </cell>
          <cell r="J685">
            <v>14748.28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20</v>
          </cell>
          <cell r="R685">
            <v>808.12</v>
          </cell>
          <cell r="S685">
            <v>385</v>
          </cell>
          <cell r="T685">
            <v>15556.4</v>
          </cell>
          <cell r="U685">
            <v>40.406233766233797</v>
          </cell>
        </row>
        <row r="686">
          <cell r="A686">
            <v>1000680</v>
          </cell>
          <cell r="B686" t="str">
            <v>Fusible Tipo K Fijado en Cartucho 30A</v>
          </cell>
          <cell r="D686">
            <v>7208</v>
          </cell>
          <cell r="E686">
            <v>1000</v>
          </cell>
          <cell r="F686" t="str">
            <v>ZALM</v>
          </cell>
          <cell r="G686" t="str">
            <v>UN</v>
          </cell>
          <cell r="H686" t="str">
            <v>DOP</v>
          </cell>
          <cell r="I686">
            <v>18</v>
          </cell>
          <cell r="J686">
            <v>1258.99</v>
          </cell>
          <cell r="K686">
            <v>0</v>
          </cell>
          <cell r="L686">
            <v>0</v>
          </cell>
          <cell r="M686">
            <v>19</v>
          </cell>
          <cell r="N686">
            <v>1328.93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37</v>
          </cell>
          <cell r="T686">
            <v>2587.92</v>
          </cell>
          <cell r="U686">
            <v>69.9437837837838</v>
          </cell>
        </row>
        <row r="687">
          <cell r="A687">
            <v>1000681</v>
          </cell>
          <cell r="B687" t="str">
            <v>Fusible Tipo K Fijado en Cartucho 3A</v>
          </cell>
          <cell r="D687">
            <v>7208</v>
          </cell>
          <cell r="E687">
            <v>1000</v>
          </cell>
          <cell r="F687" t="str">
            <v>ZALM</v>
          </cell>
          <cell r="G687" t="str">
            <v>UN</v>
          </cell>
          <cell r="H687" t="str">
            <v>DOP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 t="e">
            <v>#N/A</v>
          </cell>
        </row>
        <row r="688">
          <cell r="A688">
            <v>1000682</v>
          </cell>
          <cell r="B688" t="str">
            <v>Fusible Tipo K Fijado en Cartucho 40A</v>
          </cell>
          <cell r="D688">
            <v>7208</v>
          </cell>
          <cell r="E688">
            <v>1000</v>
          </cell>
          <cell r="F688" t="str">
            <v>ZALM</v>
          </cell>
          <cell r="G688" t="str">
            <v>UN</v>
          </cell>
          <cell r="H688" t="str">
            <v>DOP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462</v>
          </cell>
          <cell r="N688">
            <v>40194</v>
          </cell>
          <cell r="O688">
            <v>0</v>
          </cell>
          <cell r="P688">
            <v>0</v>
          </cell>
          <cell r="Q688">
            <v>90</v>
          </cell>
          <cell r="R688">
            <v>7830</v>
          </cell>
          <cell r="S688">
            <v>552</v>
          </cell>
          <cell r="T688">
            <v>48024</v>
          </cell>
          <cell r="U688">
            <v>87</v>
          </cell>
        </row>
        <row r="689">
          <cell r="A689">
            <v>1000683</v>
          </cell>
          <cell r="B689" t="str">
            <v>Fusible Tipo K Fijado en Cartucho 50A</v>
          </cell>
          <cell r="D689">
            <v>7208</v>
          </cell>
          <cell r="E689">
            <v>1000</v>
          </cell>
          <cell r="F689" t="str">
            <v>ZALM</v>
          </cell>
          <cell r="G689" t="str">
            <v>UN</v>
          </cell>
          <cell r="H689" t="str">
            <v>DOP</v>
          </cell>
          <cell r="I689">
            <v>255</v>
          </cell>
          <cell r="J689">
            <v>22185</v>
          </cell>
          <cell r="K689">
            <v>0</v>
          </cell>
          <cell r="L689">
            <v>0</v>
          </cell>
          <cell r="M689">
            <v>220</v>
          </cell>
          <cell r="N689">
            <v>19140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475</v>
          </cell>
          <cell r="T689">
            <v>41325</v>
          </cell>
          <cell r="U689">
            <v>87</v>
          </cell>
        </row>
        <row r="690">
          <cell r="A690">
            <v>1000684</v>
          </cell>
          <cell r="B690" t="str">
            <v>Fusible Tipo K Fijado en Cartucho 5A</v>
          </cell>
          <cell r="D690">
            <v>7208</v>
          </cell>
          <cell r="E690">
            <v>1000</v>
          </cell>
          <cell r="F690" t="str">
            <v>ZALM</v>
          </cell>
          <cell r="G690" t="str">
            <v>UN</v>
          </cell>
          <cell r="H690" t="str">
            <v>DOP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2</v>
          </cell>
          <cell r="N690">
            <v>157.76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2</v>
          </cell>
          <cell r="T690">
            <v>157.76</v>
          </cell>
          <cell r="U690">
            <v>78.88</v>
          </cell>
        </row>
        <row r="691">
          <cell r="A691">
            <v>1000685</v>
          </cell>
          <cell r="B691" t="str">
            <v>Fusible Tipo K Fijado en Cartucho 60A</v>
          </cell>
          <cell r="D691">
            <v>7208</v>
          </cell>
          <cell r="E691">
            <v>1000</v>
          </cell>
          <cell r="F691" t="str">
            <v>ZALM</v>
          </cell>
          <cell r="G691" t="str">
            <v>UN</v>
          </cell>
          <cell r="H691" t="str">
            <v>DOP</v>
          </cell>
          <cell r="I691">
            <v>15</v>
          </cell>
          <cell r="J691">
            <v>2099.79</v>
          </cell>
          <cell r="K691">
            <v>0</v>
          </cell>
          <cell r="L691">
            <v>0</v>
          </cell>
          <cell r="M691">
            <v>1</v>
          </cell>
          <cell r="N691">
            <v>139.99</v>
          </cell>
          <cell r="O691">
            <v>0</v>
          </cell>
          <cell r="P691">
            <v>0</v>
          </cell>
          <cell r="Q691">
            <v>10</v>
          </cell>
          <cell r="R691">
            <v>1399.86</v>
          </cell>
          <cell r="S691">
            <v>26</v>
          </cell>
          <cell r="T691">
            <v>3639.64</v>
          </cell>
          <cell r="U691">
            <v>139.986153846154</v>
          </cell>
        </row>
        <row r="692">
          <cell r="A692">
            <v>1000686</v>
          </cell>
          <cell r="B692" t="str">
            <v>Fusible Tipo K Fijado en Cartucho 65A</v>
          </cell>
          <cell r="D692">
            <v>7208</v>
          </cell>
          <cell r="E692">
            <v>1000</v>
          </cell>
          <cell r="F692" t="str">
            <v>ZALM</v>
          </cell>
          <cell r="G692" t="str">
            <v>UN</v>
          </cell>
          <cell r="H692" t="str">
            <v>DOP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1</v>
          </cell>
          <cell r="N692">
            <v>155.91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1</v>
          </cell>
          <cell r="T692">
            <v>155.91</v>
          </cell>
          <cell r="U692">
            <v>155.91</v>
          </cell>
        </row>
        <row r="693">
          <cell r="A693">
            <v>1000687</v>
          </cell>
          <cell r="B693" t="str">
            <v>Fusible Tipo K Fijado en Cartucho 6A</v>
          </cell>
          <cell r="D693">
            <v>7208</v>
          </cell>
          <cell r="E693">
            <v>1000</v>
          </cell>
          <cell r="F693" t="str">
            <v>ZALM</v>
          </cell>
          <cell r="G693" t="str">
            <v>UN</v>
          </cell>
          <cell r="H693" t="str">
            <v>DOP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1</v>
          </cell>
          <cell r="R693">
            <v>58</v>
          </cell>
          <cell r="S693">
            <v>1</v>
          </cell>
          <cell r="T693">
            <v>58</v>
          </cell>
          <cell r="U693">
            <v>58</v>
          </cell>
        </row>
        <row r="694">
          <cell r="A694">
            <v>1000688</v>
          </cell>
          <cell r="B694" t="str">
            <v>Fusible Tipo K Fijado en Cartucho 7A</v>
          </cell>
          <cell r="D694">
            <v>7208</v>
          </cell>
          <cell r="E694">
            <v>1000</v>
          </cell>
          <cell r="F694" t="str">
            <v>ZALM</v>
          </cell>
          <cell r="G694" t="str">
            <v>UN</v>
          </cell>
          <cell r="H694" t="str">
            <v>DOP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 t="e">
            <v>#N/A</v>
          </cell>
        </row>
        <row r="695">
          <cell r="A695">
            <v>1000689</v>
          </cell>
          <cell r="B695" t="str">
            <v>Fusible Tipo K Fijado en Cartucho 80A</v>
          </cell>
          <cell r="D695">
            <v>7208</v>
          </cell>
          <cell r="E695">
            <v>1000</v>
          </cell>
          <cell r="F695" t="str">
            <v>ZALM</v>
          </cell>
          <cell r="G695" t="str">
            <v>UN</v>
          </cell>
          <cell r="H695" t="str">
            <v>DOP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321</v>
          </cell>
          <cell r="N695">
            <v>44940.12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321</v>
          </cell>
          <cell r="T695">
            <v>44940.12</v>
          </cell>
          <cell r="U695">
            <v>140.00037383177599</v>
          </cell>
        </row>
        <row r="696">
          <cell r="A696">
            <v>1000690</v>
          </cell>
          <cell r="B696" t="str">
            <v>Fusible Tipo K Fijado en Cartucho 8A</v>
          </cell>
          <cell r="D696">
            <v>7208</v>
          </cell>
          <cell r="E696">
            <v>1000</v>
          </cell>
          <cell r="F696" t="str">
            <v>ZALM</v>
          </cell>
          <cell r="G696" t="str">
            <v>UN</v>
          </cell>
          <cell r="H696" t="str">
            <v>DOP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 t="e">
            <v>#N/A</v>
          </cell>
        </row>
        <row r="697">
          <cell r="A697">
            <v>1000691</v>
          </cell>
          <cell r="B697" t="str">
            <v>Fusible Tipo NH 125A</v>
          </cell>
          <cell r="D697">
            <v>7208</v>
          </cell>
          <cell r="E697">
            <v>1000</v>
          </cell>
          <cell r="F697" t="str">
            <v>ZALM</v>
          </cell>
          <cell r="G697" t="str">
            <v>UN</v>
          </cell>
          <cell r="H697" t="str">
            <v>DOP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 t="e">
            <v>#N/A</v>
          </cell>
        </row>
        <row r="698">
          <cell r="A698">
            <v>1000692</v>
          </cell>
          <cell r="B698" t="str">
            <v>Fusible Tipo NH 200A</v>
          </cell>
          <cell r="D698">
            <v>7208</v>
          </cell>
          <cell r="E698">
            <v>1000</v>
          </cell>
          <cell r="F698" t="str">
            <v>ZALM</v>
          </cell>
          <cell r="G698" t="str">
            <v>UN</v>
          </cell>
          <cell r="H698" t="str">
            <v>DOP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 t="e">
            <v>#N/A</v>
          </cell>
        </row>
        <row r="699">
          <cell r="A699">
            <v>1000693</v>
          </cell>
          <cell r="B699" t="str">
            <v>Fusible Tipo NH 300A</v>
          </cell>
          <cell r="D699">
            <v>7208</v>
          </cell>
          <cell r="E699">
            <v>1000</v>
          </cell>
          <cell r="F699" t="str">
            <v>ZALM</v>
          </cell>
          <cell r="G699" t="str">
            <v>UN</v>
          </cell>
          <cell r="H699" t="str">
            <v>DOP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>
            <v>0</v>
          </cell>
          <cell r="S699">
            <v>0</v>
          </cell>
          <cell r="T699">
            <v>0</v>
          </cell>
          <cell r="U699" t="e">
            <v>#N/A</v>
          </cell>
        </row>
        <row r="700">
          <cell r="A700">
            <v>1000694</v>
          </cell>
          <cell r="B700" t="str">
            <v>Fusible Tipo NH 425A</v>
          </cell>
          <cell r="D700">
            <v>7208</v>
          </cell>
          <cell r="E700">
            <v>1000</v>
          </cell>
          <cell r="F700" t="str">
            <v>ZALM</v>
          </cell>
          <cell r="G700" t="str">
            <v>UN</v>
          </cell>
          <cell r="H700" t="str">
            <v>DOP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>
            <v>0</v>
          </cell>
          <cell r="S700">
            <v>0</v>
          </cell>
          <cell r="T700">
            <v>0</v>
          </cell>
          <cell r="U700" t="e">
            <v>#N/A</v>
          </cell>
        </row>
        <row r="701">
          <cell r="A701">
            <v>1000695</v>
          </cell>
          <cell r="B701" t="str">
            <v>Fusible Tipo NH 500A</v>
          </cell>
          <cell r="D701">
            <v>7208</v>
          </cell>
          <cell r="E701">
            <v>1000</v>
          </cell>
          <cell r="F701" t="str">
            <v>ZALM</v>
          </cell>
          <cell r="G701" t="str">
            <v>UN</v>
          </cell>
          <cell r="H701" t="str">
            <v>DOP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  <cell r="T701">
            <v>0</v>
          </cell>
          <cell r="U701" t="e">
            <v>#N/A</v>
          </cell>
        </row>
        <row r="702">
          <cell r="A702">
            <v>1000696</v>
          </cell>
          <cell r="B702" t="str">
            <v>Fusible Tipo NH 80A</v>
          </cell>
          <cell r="D702">
            <v>7208</v>
          </cell>
          <cell r="E702">
            <v>1000</v>
          </cell>
          <cell r="F702" t="str">
            <v>ZALM</v>
          </cell>
          <cell r="G702" t="str">
            <v>UN</v>
          </cell>
          <cell r="H702" t="str">
            <v>DOP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 t="e">
            <v>#N/A</v>
          </cell>
        </row>
        <row r="703">
          <cell r="A703">
            <v>1000697</v>
          </cell>
          <cell r="B703" t="str">
            <v>Fusible Tipo NH 900A</v>
          </cell>
          <cell r="D703">
            <v>7208</v>
          </cell>
          <cell r="E703">
            <v>1000</v>
          </cell>
          <cell r="F703" t="str">
            <v>ZALM</v>
          </cell>
          <cell r="G703" t="str">
            <v>UN</v>
          </cell>
          <cell r="H703" t="str">
            <v>DOP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 t="e">
            <v>#N/A</v>
          </cell>
        </row>
        <row r="704">
          <cell r="A704">
            <v>1000698</v>
          </cell>
          <cell r="B704" t="str">
            <v>Fusible Tipo T 100A</v>
          </cell>
          <cell r="D704">
            <v>7208</v>
          </cell>
          <cell r="E704">
            <v>1000</v>
          </cell>
          <cell r="F704" t="str">
            <v>ZALM</v>
          </cell>
          <cell r="G704" t="str">
            <v>UN</v>
          </cell>
          <cell r="H704" t="str">
            <v>DOP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0</v>
          </cell>
          <cell r="U704" t="e">
            <v>#N/A</v>
          </cell>
        </row>
        <row r="705">
          <cell r="A705">
            <v>1000699</v>
          </cell>
          <cell r="B705" t="str">
            <v>Fusible Tipo T 10A</v>
          </cell>
          <cell r="D705">
            <v>7208</v>
          </cell>
          <cell r="E705">
            <v>1000</v>
          </cell>
          <cell r="F705" t="str">
            <v>ZALM</v>
          </cell>
          <cell r="G705" t="str">
            <v>UN</v>
          </cell>
          <cell r="H705" t="str">
            <v>DOP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>
            <v>0</v>
          </cell>
          <cell r="S705">
            <v>0</v>
          </cell>
          <cell r="T705">
            <v>0</v>
          </cell>
          <cell r="U705" t="e">
            <v>#N/A</v>
          </cell>
        </row>
        <row r="706">
          <cell r="A706">
            <v>1000700</v>
          </cell>
          <cell r="B706" t="str">
            <v>Fusible Tipo T 12A</v>
          </cell>
          <cell r="D706">
            <v>7208</v>
          </cell>
          <cell r="E706">
            <v>1000</v>
          </cell>
          <cell r="F706" t="str">
            <v>ZALM</v>
          </cell>
          <cell r="G706" t="str">
            <v>UN</v>
          </cell>
          <cell r="H706" t="str">
            <v>DOP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 t="e">
            <v>#N/A</v>
          </cell>
        </row>
        <row r="707">
          <cell r="A707">
            <v>1000701</v>
          </cell>
          <cell r="B707" t="str">
            <v>Fusible Tipo T 15A</v>
          </cell>
          <cell r="D707">
            <v>7208</v>
          </cell>
          <cell r="E707">
            <v>1000</v>
          </cell>
          <cell r="F707" t="str">
            <v>ZALM</v>
          </cell>
          <cell r="G707" t="str">
            <v>UN</v>
          </cell>
          <cell r="H707" t="str">
            <v>DOP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 t="e">
            <v>#N/A</v>
          </cell>
        </row>
        <row r="708">
          <cell r="A708">
            <v>1000702</v>
          </cell>
          <cell r="B708" t="str">
            <v>Fusible Tipo T 20A</v>
          </cell>
          <cell r="D708">
            <v>7208</v>
          </cell>
          <cell r="E708">
            <v>1000</v>
          </cell>
          <cell r="F708" t="str">
            <v>ZALM</v>
          </cell>
          <cell r="G708" t="str">
            <v>UN</v>
          </cell>
          <cell r="H708" t="str">
            <v>DOP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>
            <v>0</v>
          </cell>
          <cell r="S708">
            <v>0</v>
          </cell>
          <cell r="T708">
            <v>0</v>
          </cell>
          <cell r="U708" t="e">
            <v>#N/A</v>
          </cell>
        </row>
        <row r="709">
          <cell r="A709">
            <v>1000703</v>
          </cell>
          <cell r="B709" t="str">
            <v>Fusible Tipo T 40A</v>
          </cell>
          <cell r="D709">
            <v>7208</v>
          </cell>
          <cell r="E709">
            <v>1000</v>
          </cell>
          <cell r="F709" t="str">
            <v>ZALM</v>
          </cell>
          <cell r="G709" t="str">
            <v>UN</v>
          </cell>
          <cell r="H709" t="str">
            <v>DOP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>
            <v>0</v>
          </cell>
          <cell r="S709">
            <v>0</v>
          </cell>
          <cell r="T709">
            <v>0</v>
          </cell>
          <cell r="U709" t="e">
            <v>#N/A</v>
          </cell>
        </row>
        <row r="710">
          <cell r="A710">
            <v>1000704</v>
          </cell>
          <cell r="B710" t="str">
            <v>Fusible Tipo T 5A</v>
          </cell>
          <cell r="D710">
            <v>7208</v>
          </cell>
          <cell r="E710">
            <v>1000</v>
          </cell>
          <cell r="F710" t="str">
            <v>ZALM</v>
          </cell>
          <cell r="G710" t="str">
            <v>UN</v>
          </cell>
          <cell r="H710" t="str">
            <v>DOP</v>
          </cell>
          <cell r="I710">
            <v>314</v>
          </cell>
          <cell r="J710">
            <v>23505.62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314</v>
          </cell>
          <cell r="T710">
            <v>23505.62</v>
          </cell>
          <cell r="U710">
            <v>74.858662420382203</v>
          </cell>
        </row>
        <row r="711">
          <cell r="A711">
            <v>1000705</v>
          </cell>
          <cell r="B711" t="str">
            <v>Fusible Tipo T 5A 34.5kV</v>
          </cell>
          <cell r="D711">
            <v>7208</v>
          </cell>
          <cell r="E711">
            <v>1000</v>
          </cell>
          <cell r="F711" t="str">
            <v>ZALM</v>
          </cell>
          <cell r="G711" t="str">
            <v>UN</v>
          </cell>
          <cell r="H711" t="str">
            <v>DOP</v>
          </cell>
          <cell r="I711">
            <v>29</v>
          </cell>
          <cell r="J711">
            <v>3656.03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>
            <v>0</v>
          </cell>
          <cell r="S711">
            <v>29</v>
          </cell>
          <cell r="T711">
            <v>3656.03</v>
          </cell>
          <cell r="U711">
            <v>126.07</v>
          </cell>
        </row>
        <row r="712">
          <cell r="A712">
            <v>1000706</v>
          </cell>
          <cell r="B712" t="str">
            <v>Fusible Tipo T 60A</v>
          </cell>
          <cell r="D712">
            <v>7208</v>
          </cell>
          <cell r="E712">
            <v>1000</v>
          </cell>
          <cell r="F712" t="str">
            <v>ZALM</v>
          </cell>
          <cell r="G712" t="str">
            <v>UN</v>
          </cell>
          <cell r="H712" t="str">
            <v>DOP</v>
          </cell>
          <cell r="I712">
            <v>180</v>
          </cell>
          <cell r="J712">
            <v>39672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180</v>
          </cell>
          <cell r="T712">
            <v>39672</v>
          </cell>
          <cell r="U712">
            <v>220.4</v>
          </cell>
        </row>
        <row r="713">
          <cell r="A713">
            <v>1000707</v>
          </cell>
          <cell r="B713" t="str">
            <v>Fusible Tipo T 6A</v>
          </cell>
          <cell r="D713">
            <v>7208</v>
          </cell>
          <cell r="E713">
            <v>1000</v>
          </cell>
          <cell r="F713" t="str">
            <v>ZALM</v>
          </cell>
          <cell r="G713" t="str">
            <v>UN</v>
          </cell>
          <cell r="H713" t="str">
            <v>DOP</v>
          </cell>
          <cell r="I713">
            <v>0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>
            <v>0</v>
          </cell>
          <cell r="S713">
            <v>0</v>
          </cell>
          <cell r="T713">
            <v>0</v>
          </cell>
          <cell r="U713" t="e">
            <v>#N/A</v>
          </cell>
        </row>
        <row r="714">
          <cell r="A714">
            <v>1000708</v>
          </cell>
          <cell r="B714" t="str">
            <v>Fusible Tipo T 7A</v>
          </cell>
          <cell r="D714">
            <v>7208</v>
          </cell>
          <cell r="E714">
            <v>1000</v>
          </cell>
          <cell r="F714" t="str">
            <v>ZALM</v>
          </cell>
          <cell r="G714" t="str">
            <v>UN</v>
          </cell>
          <cell r="H714" t="str">
            <v>DOP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>
            <v>0</v>
          </cell>
          <cell r="S714">
            <v>0</v>
          </cell>
          <cell r="T714">
            <v>0</v>
          </cell>
          <cell r="U714" t="e">
            <v>#N/A</v>
          </cell>
        </row>
        <row r="715">
          <cell r="A715">
            <v>1000709</v>
          </cell>
          <cell r="B715" t="str">
            <v>Fusible Tipo T 8A</v>
          </cell>
          <cell r="D715">
            <v>7208</v>
          </cell>
          <cell r="E715">
            <v>1000</v>
          </cell>
          <cell r="F715" t="str">
            <v>ZALM</v>
          </cell>
          <cell r="G715" t="str">
            <v>UN</v>
          </cell>
          <cell r="H715" t="str">
            <v>DOP</v>
          </cell>
          <cell r="I715">
            <v>3</v>
          </cell>
          <cell r="J715">
            <v>442.95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>
            <v>0</v>
          </cell>
          <cell r="S715">
            <v>3</v>
          </cell>
          <cell r="T715">
            <v>442.95</v>
          </cell>
          <cell r="U715">
            <v>147.65</v>
          </cell>
        </row>
        <row r="716">
          <cell r="A716">
            <v>1000710</v>
          </cell>
          <cell r="B716" t="str">
            <v>Fusible Tipo T Fijado en Cartucho 15A</v>
          </cell>
          <cell r="D716">
            <v>7208</v>
          </cell>
          <cell r="E716">
            <v>1000</v>
          </cell>
          <cell r="F716" t="str">
            <v>ZALM</v>
          </cell>
          <cell r="G716" t="str">
            <v>UN</v>
          </cell>
          <cell r="H716" t="str">
            <v>DOP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 t="e">
            <v>#N/A</v>
          </cell>
        </row>
        <row r="717">
          <cell r="A717">
            <v>1000711</v>
          </cell>
          <cell r="B717" t="str">
            <v>Fusible Tipo U 15A</v>
          </cell>
          <cell r="D717">
            <v>7208</v>
          </cell>
          <cell r="E717">
            <v>1000</v>
          </cell>
          <cell r="F717" t="str">
            <v>ZALM</v>
          </cell>
          <cell r="G717" t="str">
            <v>UN</v>
          </cell>
          <cell r="H717" t="str">
            <v>DOP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>
            <v>0</v>
          </cell>
          <cell r="S717">
            <v>0</v>
          </cell>
          <cell r="T717">
            <v>0</v>
          </cell>
          <cell r="U717" t="e">
            <v>#N/A</v>
          </cell>
        </row>
        <row r="718">
          <cell r="A718">
            <v>1000712</v>
          </cell>
          <cell r="B718" t="str">
            <v>Fusible Tipo U 20A</v>
          </cell>
          <cell r="D718">
            <v>7208</v>
          </cell>
          <cell r="E718">
            <v>1000</v>
          </cell>
          <cell r="F718" t="str">
            <v>ZALM</v>
          </cell>
          <cell r="G718" t="str">
            <v>UN</v>
          </cell>
          <cell r="H718" t="str">
            <v>DOP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>
            <v>0</v>
          </cell>
          <cell r="S718">
            <v>0</v>
          </cell>
          <cell r="T718">
            <v>0</v>
          </cell>
          <cell r="U718" t="e">
            <v>#N/A</v>
          </cell>
        </row>
        <row r="719">
          <cell r="A719">
            <v>1000713</v>
          </cell>
          <cell r="B719" t="str">
            <v>Gabinete Contr Kit Armario 208/80 Comp</v>
          </cell>
          <cell r="D719">
            <v>7208</v>
          </cell>
          <cell r="E719">
            <v>1000</v>
          </cell>
          <cell r="F719" t="str">
            <v>ZALM</v>
          </cell>
          <cell r="G719" t="str">
            <v>UN</v>
          </cell>
          <cell r="H719" t="str">
            <v>DOP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>
            <v>0</v>
          </cell>
          <cell r="S719">
            <v>0</v>
          </cell>
          <cell r="T719">
            <v>0</v>
          </cell>
          <cell r="U719" t="e">
            <v>#N/A</v>
          </cell>
        </row>
        <row r="720">
          <cell r="A720">
            <v>1000714</v>
          </cell>
          <cell r="B720" t="str">
            <v>Gabinete Interfase ACS 1 x 1.2 Mtr</v>
          </cell>
          <cell r="D720">
            <v>7208</v>
          </cell>
          <cell r="E720">
            <v>1000</v>
          </cell>
          <cell r="F720" t="str">
            <v>ZALM</v>
          </cell>
          <cell r="G720" t="str">
            <v>UN</v>
          </cell>
          <cell r="H720" t="str">
            <v>DOP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>
            <v>0</v>
          </cell>
          <cell r="S720">
            <v>0</v>
          </cell>
          <cell r="T720">
            <v>0</v>
          </cell>
          <cell r="U720" t="e">
            <v>#N/A</v>
          </cell>
        </row>
        <row r="721">
          <cell r="A721">
            <v>1000715</v>
          </cell>
          <cell r="B721" t="str">
            <v>Gabinete Medición P/ 2 Med S/ Breaker</v>
          </cell>
          <cell r="D721">
            <v>7208</v>
          </cell>
          <cell r="E721">
            <v>1000</v>
          </cell>
          <cell r="F721" t="str">
            <v>ZALM</v>
          </cell>
          <cell r="G721" t="str">
            <v>UN</v>
          </cell>
          <cell r="H721" t="str">
            <v>DOP</v>
          </cell>
          <cell r="I721">
            <v>125</v>
          </cell>
          <cell r="J721">
            <v>225783.75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519</v>
          </cell>
          <cell r="R721">
            <v>937454.13</v>
          </cell>
          <cell r="S721">
            <v>644</v>
          </cell>
          <cell r="T721">
            <v>1163237.8799999999</v>
          </cell>
          <cell r="U721">
            <v>1806.27</v>
          </cell>
        </row>
        <row r="722">
          <cell r="A722">
            <v>1000716</v>
          </cell>
          <cell r="B722" t="str">
            <v>Gabinete P/ 2 Medidores Prep LANDIS+Gyr</v>
          </cell>
          <cell r="D722">
            <v>7208</v>
          </cell>
          <cell r="E722">
            <v>1000</v>
          </cell>
          <cell r="F722" t="str">
            <v>ZALM</v>
          </cell>
          <cell r="G722" t="str">
            <v>UN</v>
          </cell>
          <cell r="H722" t="str">
            <v>DOP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>
            <v>0</v>
          </cell>
          <cell r="S722">
            <v>0</v>
          </cell>
          <cell r="T722">
            <v>0</v>
          </cell>
          <cell r="U722" t="e">
            <v>#N/A</v>
          </cell>
        </row>
        <row r="723">
          <cell r="A723">
            <v>1000717</v>
          </cell>
          <cell r="B723" t="str">
            <v>Gabinete P/ 4 Medidores Prep LANDIS+Gyr</v>
          </cell>
          <cell r="D723">
            <v>7208</v>
          </cell>
          <cell r="E723">
            <v>1000</v>
          </cell>
          <cell r="F723" t="str">
            <v>ZALM</v>
          </cell>
          <cell r="G723" t="str">
            <v>UN</v>
          </cell>
          <cell r="H723" t="str">
            <v>DOP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>
            <v>0</v>
          </cell>
          <cell r="S723">
            <v>0</v>
          </cell>
          <cell r="T723">
            <v>0</v>
          </cell>
          <cell r="U723" t="e">
            <v>#N/A</v>
          </cell>
        </row>
        <row r="724">
          <cell r="A724">
            <v>1000718</v>
          </cell>
          <cell r="B724" t="str">
            <v>Gabinete P/ Contador 16 Zócalos</v>
          </cell>
          <cell r="D724">
            <v>7208</v>
          </cell>
          <cell r="E724">
            <v>1000</v>
          </cell>
          <cell r="F724" t="str">
            <v>ZALM</v>
          </cell>
          <cell r="G724" t="str">
            <v>UN</v>
          </cell>
          <cell r="H724" t="str">
            <v>DOP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>
            <v>0</v>
          </cell>
          <cell r="S724">
            <v>0</v>
          </cell>
          <cell r="T724">
            <v>0</v>
          </cell>
          <cell r="U724" t="e">
            <v>#N/A</v>
          </cell>
        </row>
        <row r="725">
          <cell r="A725">
            <v>1000719</v>
          </cell>
          <cell r="B725" t="str">
            <v>Gabinete P/ Contador 3 x 6 x 1.5</v>
          </cell>
          <cell r="D725">
            <v>7208</v>
          </cell>
          <cell r="E725">
            <v>1000</v>
          </cell>
          <cell r="F725" t="str">
            <v>ZALM</v>
          </cell>
          <cell r="G725" t="str">
            <v>UN</v>
          </cell>
          <cell r="H725" t="str">
            <v>DOP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>
            <v>0</v>
          </cell>
          <cell r="S725">
            <v>0</v>
          </cell>
          <cell r="T725">
            <v>0</v>
          </cell>
          <cell r="U725" t="e">
            <v>#N/A</v>
          </cell>
        </row>
        <row r="726">
          <cell r="A726">
            <v>1000720</v>
          </cell>
          <cell r="B726" t="str">
            <v>Gabinete P/ Contador 42 Zocalos</v>
          </cell>
          <cell r="D726">
            <v>7208</v>
          </cell>
          <cell r="E726">
            <v>1000</v>
          </cell>
          <cell r="F726" t="str">
            <v>ZALM</v>
          </cell>
          <cell r="G726" t="str">
            <v>UN</v>
          </cell>
          <cell r="H726" t="str">
            <v>DOP</v>
          </cell>
          <cell r="I726">
            <v>2</v>
          </cell>
          <cell r="J726">
            <v>2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2</v>
          </cell>
          <cell r="T726">
            <v>2</v>
          </cell>
          <cell r="U726">
            <v>1</v>
          </cell>
        </row>
        <row r="727">
          <cell r="A727">
            <v>1000721</v>
          </cell>
          <cell r="B727" t="str">
            <v>Gabinete P/ Doce (12) Medidores</v>
          </cell>
          <cell r="D727">
            <v>7208</v>
          </cell>
          <cell r="E727">
            <v>1000</v>
          </cell>
          <cell r="F727" t="str">
            <v>ZALM</v>
          </cell>
          <cell r="G727" t="str">
            <v>UN</v>
          </cell>
          <cell r="H727" t="str">
            <v>DOP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2</v>
          </cell>
          <cell r="R727">
            <v>38653.58</v>
          </cell>
          <cell r="S727">
            <v>2</v>
          </cell>
          <cell r="T727">
            <v>38653.58</v>
          </cell>
          <cell r="U727">
            <v>19326.79</v>
          </cell>
        </row>
        <row r="728">
          <cell r="A728">
            <v>1000722</v>
          </cell>
          <cell r="B728" t="str">
            <v>Gabinete P/ Dos (2) Medidores</v>
          </cell>
          <cell r="D728">
            <v>7208</v>
          </cell>
          <cell r="E728">
            <v>1000</v>
          </cell>
          <cell r="F728" t="str">
            <v>ZALM</v>
          </cell>
          <cell r="G728" t="str">
            <v>UN</v>
          </cell>
          <cell r="H728" t="str">
            <v>DOP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 t="e">
            <v>#N/A</v>
          </cell>
        </row>
        <row r="729">
          <cell r="A729">
            <v>1000723</v>
          </cell>
          <cell r="B729" t="str">
            <v>Gabinete P/ Ocho (8) Medidores</v>
          </cell>
          <cell r="D729">
            <v>7208</v>
          </cell>
          <cell r="E729">
            <v>1000</v>
          </cell>
          <cell r="F729" t="str">
            <v>ZALM</v>
          </cell>
          <cell r="G729" t="str">
            <v>UN</v>
          </cell>
          <cell r="H729" t="str">
            <v>DOP</v>
          </cell>
          <cell r="I729">
            <v>0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2</v>
          </cell>
          <cell r="R729">
            <v>26976.959999999999</v>
          </cell>
          <cell r="S729">
            <v>2</v>
          </cell>
          <cell r="T729">
            <v>26976.959999999999</v>
          </cell>
          <cell r="U729">
            <v>13488.48</v>
          </cell>
        </row>
        <row r="730">
          <cell r="A730">
            <v>1000724</v>
          </cell>
          <cell r="B730" t="str">
            <v>Gabinete P/ Seis (6) Medidores</v>
          </cell>
          <cell r="D730">
            <v>7208</v>
          </cell>
          <cell r="E730">
            <v>1000</v>
          </cell>
          <cell r="F730" t="str">
            <v>ZALM</v>
          </cell>
          <cell r="G730" t="str">
            <v>UN</v>
          </cell>
          <cell r="H730" t="str">
            <v>DOP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3</v>
          </cell>
          <cell r="R730">
            <v>31043.64</v>
          </cell>
          <cell r="S730">
            <v>3</v>
          </cell>
          <cell r="T730">
            <v>31043.64</v>
          </cell>
          <cell r="U730">
            <v>10347.879999999999</v>
          </cell>
        </row>
        <row r="731">
          <cell r="A731">
            <v>1000725</v>
          </cell>
          <cell r="B731" t="str">
            <v>Gabinete Policarb P/ 12 Medidores BOTTON</v>
          </cell>
          <cell r="D731">
            <v>7208</v>
          </cell>
          <cell r="E731">
            <v>1000</v>
          </cell>
          <cell r="F731" t="str">
            <v>ZALM</v>
          </cell>
          <cell r="G731" t="str">
            <v>UN</v>
          </cell>
          <cell r="H731" t="str">
            <v>DOP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 t="e">
            <v>#N/A</v>
          </cell>
        </row>
        <row r="732">
          <cell r="A732">
            <v>1000726</v>
          </cell>
          <cell r="B732" t="str">
            <v>Gabinete Policarb P/ 8 Medidores BOTTON</v>
          </cell>
          <cell r="D732">
            <v>7208</v>
          </cell>
          <cell r="E732">
            <v>1000</v>
          </cell>
          <cell r="F732" t="str">
            <v>ZALM</v>
          </cell>
          <cell r="G732" t="str">
            <v>UN</v>
          </cell>
          <cell r="H732" t="str">
            <v>DOP</v>
          </cell>
          <cell r="I732">
            <v>8</v>
          </cell>
          <cell r="J732">
            <v>25693.88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>
            <v>0</v>
          </cell>
          <cell r="S732">
            <v>8</v>
          </cell>
          <cell r="T732">
            <v>25693.88</v>
          </cell>
          <cell r="U732">
            <v>3211.7350000000001</v>
          </cell>
        </row>
        <row r="733">
          <cell r="A733">
            <v>1000727</v>
          </cell>
          <cell r="B733" t="str">
            <v>Gateway Extension 075027 Rev. 1</v>
          </cell>
          <cell r="D733">
            <v>7208</v>
          </cell>
          <cell r="E733">
            <v>1000</v>
          </cell>
          <cell r="F733" t="str">
            <v>ZALM</v>
          </cell>
          <cell r="G733" t="str">
            <v>UN</v>
          </cell>
          <cell r="H733" t="str">
            <v>DOP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>
            <v>0</v>
          </cell>
          <cell r="S733">
            <v>0</v>
          </cell>
          <cell r="T733">
            <v>0</v>
          </cell>
          <cell r="U733" t="e">
            <v>#N/A</v>
          </cell>
        </row>
        <row r="734">
          <cell r="A734">
            <v>1000728</v>
          </cell>
          <cell r="B734" t="str">
            <v>Grapa (Pinza) de Retención 4/0-2/0 Al</v>
          </cell>
          <cell r="D734">
            <v>7208</v>
          </cell>
          <cell r="E734">
            <v>1000</v>
          </cell>
          <cell r="F734" t="str">
            <v>ZALM</v>
          </cell>
          <cell r="G734" t="str">
            <v>UN</v>
          </cell>
          <cell r="H734" t="str">
            <v>DOP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>
            <v>0</v>
          </cell>
          <cell r="S734">
            <v>0</v>
          </cell>
          <cell r="T734">
            <v>0</v>
          </cell>
          <cell r="U734" t="e">
            <v>#N/A</v>
          </cell>
        </row>
        <row r="735">
          <cell r="A735">
            <v>1000729</v>
          </cell>
          <cell r="B735" t="str">
            <v>Grapa (Pinza) de Retención 5/8"-1 1/8"</v>
          </cell>
          <cell r="D735">
            <v>7208</v>
          </cell>
          <cell r="E735">
            <v>1000</v>
          </cell>
          <cell r="F735" t="str">
            <v>ZALM</v>
          </cell>
          <cell r="G735" t="str">
            <v>UN</v>
          </cell>
          <cell r="H735" t="str">
            <v>DOP</v>
          </cell>
          <cell r="I735">
            <v>83</v>
          </cell>
          <cell r="J735">
            <v>17764.740000000002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2792</v>
          </cell>
          <cell r="R735">
            <v>597580.17000000004</v>
          </cell>
          <cell r="S735">
            <v>2875</v>
          </cell>
          <cell r="T735">
            <v>615344.91</v>
          </cell>
          <cell r="U735">
            <v>214.03301217391299</v>
          </cell>
        </row>
        <row r="736">
          <cell r="A736">
            <v>1000730</v>
          </cell>
          <cell r="B736" t="str">
            <v>Grapa (Pinza) de Retención 5/8"-3/8"</v>
          </cell>
          <cell r="D736">
            <v>7208</v>
          </cell>
          <cell r="E736">
            <v>1000</v>
          </cell>
          <cell r="F736" t="str">
            <v>ZALM</v>
          </cell>
          <cell r="G736" t="str">
            <v>UN</v>
          </cell>
          <cell r="H736" t="str">
            <v>DOP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>
            <v>0</v>
          </cell>
          <cell r="S736">
            <v>0</v>
          </cell>
          <cell r="T736">
            <v>0</v>
          </cell>
          <cell r="U736" t="e">
            <v>#N/A</v>
          </cell>
        </row>
        <row r="737">
          <cell r="A737">
            <v>1000731</v>
          </cell>
          <cell r="B737" t="str">
            <v>Grapa Angular 6 AWG a 266 MCM</v>
          </cell>
          <cell r="D737">
            <v>7208</v>
          </cell>
          <cell r="E737">
            <v>1000</v>
          </cell>
          <cell r="F737" t="str">
            <v>ZALM</v>
          </cell>
          <cell r="G737" t="str">
            <v>UN</v>
          </cell>
          <cell r="H737" t="str">
            <v>DOP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  <cell r="U737" t="e">
            <v>#N/A</v>
          </cell>
        </row>
        <row r="738">
          <cell r="A738">
            <v>1000732</v>
          </cell>
          <cell r="B738" t="str">
            <v>Grapa Calibre 0.125'' Long 1'' Sep 3/8"</v>
          </cell>
          <cell r="D738">
            <v>7208</v>
          </cell>
          <cell r="E738">
            <v>1000</v>
          </cell>
          <cell r="F738" t="str">
            <v>ZALM</v>
          </cell>
          <cell r="G738" t="str">
            <v>UN</v>
          </cell>
          <cell r="H738" t="str">
            <v>DOP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 t="e">
            <v>#N/A</v>
          </cell>
        </row>
        <row r="739">
          <cell r="A739">
            <v>1000733</v>
          </cell>
          <cell r="B739" t="str">
            <v>Grapa de Aterrizaje Pico de Pato</v>
          </cell>
          <cell r="D739">
            <v>7208</v>
          </cell>
          <cell r="E739">
            <v>1000</v>
          </cell>
          <cell r="F739" t="str">
            <v>ZALM</v>
          </cell>
          <cell r="G739" t="str">
            <v>UN</v>
          </cell>
          <cell r="H739" t="str">
            <v>DOP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  <cell r="U739" t="e">
            <v>#N/A</v>
          </cell>
        </row>
        <row r="740">
          <cell r="A740">
            <v>1000734</v>
          </cell>
          <cell r="B740" t="str">
            <v>Grapa de Deriv 6 a 400MCM-6 a 2/0AWG</v>
          </cell>
          <cell r="D740">
            <v>7208</v>
          </cell>
          <cell r="E740">
            <v>1000</v>
          </cell>
          <cell r="F740" t="str">
            <v>ZALM</v>
          </cell>
          <cell r="G740" t="str">
            <v>UN</v>
          </cell>
          <cell r="H740" t="str">
            <v>DOP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>
            <v>0</v>
          </cell>
          <cell r="S740">
            <v>0</v>
          </cell>
          <cell r="T740">
            <v>0</v>
          </cell>
          <cell r="U740" t="e">
            <v>#N/A</v>
          </cell>
        </row>
        <row r="741">
          <cell r="A741">
            <v>1000735</v>
          </cell>
          <cell r="B741" t="str">
            <v>Grapa de Deriv 6 a 400MCM-6 a 4/0AWG</v>
          </cell>
          <cell r="D741">
            <v>7208</v>
          </cell>
          <cell r="E741">
            <v>1000</v>
          </cell>
          <cell r="F741" t="str">
            <v>ZALM</v>
          </cell>
          <cell r="G741" t="str">
            <v>UN</v>
          </cell>
          <cell r="H741" t="str">
            <v>DOP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0</v>
          </cell>
          <cell r="S741">
            <v>0</v>
          </cell>
          <cell r="T741">
            <v>0</v>
          </cell>
          <cell r="U741" t="e">
            <v>#N/A</v>
          </cell>
        </row>
        <row r="742">
          <cell r="A742">
            <v>1000736</v>
          </cell>
          <cell r="B742" t="str">
            <v>Grapa de Derivación AMDLV 800 * 300 MCM</v>
          </cell>
          <cell r="D742">
            <v>7208</v>
          </cell>
          <cell r="E742">
            <v>1000</v>
          </cell>
          <cell r="F742" t="str">
            <v>ZALM</v>
          </cell>
          <cell r="G742" t="str">
            <v>UN</v>
          </cell>
          <cell r="H742" t="str">
            <v>DOP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 t="e">
            <v>#N/A</v>
          </cell>
        </row>
        <row r="743">
          <cell r="A743">
            <v>1000737</v>
          </cell>
          <cell r="B743" t="str">
            <v>Grapa de Fijación Condutor Long 2" 5/8"</v>
          </cell>
          <cell r="D743">
            <v>7208</v>
          </cell>
          <cell r="E743">
            <v>1000</v>
          </cell>
          <cell r="F743" t="str">
            <v>ZALM</v>
          </cell>
          <cell r="G743" t="str">
            <v>UN</v>
          </cell>
          <cell r="H743" t="str">
            <v>DOP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0</v>
          </cell>
          <cell r="S743">
            <v>0</v>
          </cell>
          <cell r="T743">
            <v>0</v>
          </cell>
          <cell r="U743" t="e">
            <v>#N/A</v>
          </cell>
        </row>
        <row r="744">
          <cell r="A744">
            <v>1000738</v>
          </cell>
          <cell r="B744" t="str">
            <v>Grapa de Retenc Acero Galv Cond 4/0 Al</v>
          </cell>
          <cell r="D744">
            <v>7208</v>
          </cell>
          <cell r="E744">
            <v>1000</v>
          </cell>
          <cell r="F744" t="str">
            <v>ZALM</v>
          </cell>
          <cell r="G744" t="str">
            <v>UN</v>
          </cell>
          <cell r="H744" t="str">
            <v>DOP</v>
          </cell>
          <cell r="I744">
            <v>6</v>
          </cell>
          <cell r="J744">
            <v>3150.32</v>
          </cell>
          <cell r="K744">
            <v>0</v>
          </cell>
          <cell r="L744">
            <v>0</v>
          </cell>
          <cell r="M744">
            <v>81</v>
          </cell>
          <cell r="N744">
            <v>42529.39</v>
          </cell>
          <cell r="O744">
            <v>0</v>
          </cell>
          <cell r="P744">
            <v>0</v>
          </cell>
          <cell r="Q744">
            <v>932</v>
          </cell>
          <cell r="R744">
            <v>489350.48</v>
          </cell>
          <cell r="S744">
            <v>1019</v>
          </cell>
          <cell r="T744">
            <v>535030.18999999994</v>
          </cell>
          <cell r="U744">
            <v>525.0541609421</v>
          </cell>
        </row>
        <row r="745">
          <cell r="A745">
            <v>1000739</v>
          </cell>
          <cell r="B745" t="str">
            <v>Grapa de Retención P/ Cable de Viento</v>
          </cell>
          <cell r="D745">
            <v>7208</v>
          </cell>
          <cell r="E745">
            <v>1000</v>
          </cell>
          <cell r="F745" t="str">
            <v>ZALM</v>
          </cell>
          <cell r="G745" t="str">
            <v>UN</v>
          </cell>
          <cell r="H745" t="str">
            <v>DOP</v>
          </cell>
          <cell r="I745">
            <v>2</v>
          </cell>
          <cell r="J745">
            <v>598.44000000000005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  <cell r="S745">
            <v>2</v>
          </cell>
          <cell r="T745">
            <v>598.44000000000005</v>
          </cell>
          <cell r="U745">
            <v>299.22000000000003</v>
          </cell>
        </row>
        <row r="746">
          <cell r="A746">
            <v>1000740</v>
          </cell>
          <cell r="B746" t="str">
            <v>Grapa de Retención Term 2/0-4 Al-ACSR</v>
          </cell>
          <cell r="D746">
            <v>7208</v>
          </cell>
          <cell r="E746">
            <v>1000</v>
          </cell>
          <cell r="F746" t="str">
            <v>ZALM</v>
          </cell>
          <cell r="G746" t="str">
            <v>UN</v>
          </cell>
          <cell r="H746" t="str">
            <v>DOP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37</v>
          </cell>
          <cell r="N746">
            <v>16465</v>
          </cell>
          <cell r="O746">
            <v>0</v>
          </cell>
          <cell r="P746">
            <v>0</v>
          </cell>
          <cell r="Q746">
            <v>0</v>
          </cell>
          <cell r="R746">
            <v>0</v>
          </cell>
          <cell r="S746">
            <v>37</v>
          </cell>
          <cell r="T746">
            <v>16465</v>
          </cell>
          <cell r="U746">
            <v>445</v>
          </cell>
        </row>
        <row r="747">
          <cell r="A747">
            <v>1000741</v>
          </cell>
          <cell r="B747" t="str">
            <v>Grapa de Retención Term 2-1/0 Al-ACSR</v>
          </cell>
          <cell r="D747">
            <v>7208</v>
          </cell>
          <cell r="E747">
            <v>1000</v>
          </cell>
          <cell r="F747" t="str">
            <v>ZALM</v>
          </cell>
          <cell r="G747" t="str">
            <v>UN</v>
          </cell>
          <cell r="H747" t="str">
            <v>DOP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 t="e">
            <v>#N/A</v>
          </cell>
        </row>
        <row r="748">
          <cell r="A748">
            <v>1000742</v>
          </cell>
          <cell r="B748" t="str">
            <v>Grapa de Retención Term 4/0-1/0 Al-ACSR</v>
          </cell>
          <cell r="D748">
            <v>7208</v>
          </cell>
          <cell r="E748">
            <v>1000</v>
          </cell>
          <cell r="F748" t="str">
            <v>ZALM</v>
          </cell>
          <cell r="G748" t="str">
            <v>UN</v>
          </cell>
          <cell r="H748" t="str">
            <v>DOP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>
            <v>0</v>
          </cell>
          <cell r="S748">
            <v>0</v>
          </cell>
          <cell r="T748">
            <v>0</v>
          </cell>
          <cell r="U748" t="e">
            <v>#N/A</v>
          </cell>
        </row>
        <row r="749">
          <cell r="A749">
            <v>1000743</v>
          </cell>
          <cell r="B749" t="str">
            <v>Grapa de Suspensión T/ Zapatico 500MCM</v>
          </cell>
          <cell r="D749">
            <v>7208</v>
          </cell>
          <cell r="E749">
            <v>1000</v>
          </cell>
          <cell r="F749" t="str">
            <v>ZALM</v>
          </cell>
          <cell r="G749" t="str">
            <v>UN</v>
          </cell>
          <cell r="H749" t="str">
            <v>DOP</v>
          </cell>
          <cell r="I749">
            <v>839</v>
          </cell>
          <cell r="J749">
            <v>173018.58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0</v>
          </cell>
          <cell r="S749">
            <v>839</v>
          </cell>
          <cell r="T749">
            <v>173018.58</v>
          </cell>
          <cell r="U749">
            <v>206.22</v>
          </cell>
        </row>
        <row r="750">
          <cell r="A750">
            <v>1000744</v>
          </cell>
          <cell r="B750" t="str">
            <v>Grapa de Suspensión Tipo (Zapatico) 2/0</v>
          </cell>
          <cell r="D750">
            <v>7208</v>
          </cell>
          <cell r="E750">
            <v>1000</v>
          </cell>
          <cell r="F750" t="str">
            <v>ZALM</v>
          </cell>
          <cell r="G750" t="str">
            <v>UN</v>
          </cell>
          <cell r="H750" t="str">
            <v>DOP</v>
          </cell>
          <cell r="I750">
            <v>2408</v>
          </cell>
          <cell r="J750">
            <v>372785.89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>
            <v>0</v>
          </cell>
          <cell r="S750">
            <v>2408</v>
          </cell>
          <cell r="T750">
            <v>372785.89</v>
          </cell>
          <cell r="U750">
            <v>154.811416112957</v>
          </cell>
        </row>
        <row r="751">
          <cell r="A751">
            <v>1000745</v>
          </cell>
          <cell r="B751" t="str">
            <v>Grapa Fijac Cond Tierra 2/0 Perf 1/4"</v>
          </cell>
          <cell r="D751">
            <v>7208</v>
          </cell>
          <cell r="E751">
            <v>1000</v>
          </cell>
          <cell r="F751" t="str">
            <v>ZALM</v>
          </cell>
          <cell r="G751" t="str">
            <v>UN</v>
          </cell>
          <cell r="H751" t="str">
            <v>DOP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>
            <v>0</v>
          </cell>
          <cell r="S751">
            <v>0</v>
          </cell>
          <cell r="T751">
            <v>0</v>
          </cell>
          <cell r="U751" t="e">
            <v>#N/A</v>
          </cell>
        </row>
        <row r="752">
          <cell r="A752">
            <v>1000746</v>
          </cell>
          <cell r="B752" t="str">
            <v>Grapa Fijac Cond Tierra 2/0-8 Perf 3/8"</v>
          </cell>
          <cell r="D752">
            <v>7208</v>
          </cell>
          <cell r="E752">
            <v>1000</v>
          </cell>
          <cell r="F752" t="str">
            <v>ZALM</v>
          </cell>
          <cell r="G752" t="str">
            <v>UN</v>
          </cell>
          <cell r="H752" t="str">
            <v>DOP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0</v>
          </cell>
          <cell r="T752">
            <v>0</v>
          </cell>
          <cell r="U752" t="e">
            <v>#N/A</v>
          </cell>
        </row>
        <row r="753">
          <cell r="A753">
            <v>1000747</v>
          </cell>
          <cell r="B753" t="str">
            <v>Grapa P/ Puesta Tierra de Secc P/ Secc</v>
          </cell>
          <cell r="D753">
            <v>7208</v>
          </cell>
          <cell r="E753">
            <v>1000</v>
          </cell>
          <cell r="F753" t="str">
            <v>ZALM</v>
          </cell>
          <cell r="G753" t="str">
            <v>UN</v>
          </cell>
          <cell r="H753" t="str">
            <v>DOP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  <cell r="U753" t="e">
            <v>#N/A</v>
          </cell>
        </row>
        <row r="754">
          <cell r="A754">
            <v>1000748</v>
          </cell>
          <cell r="B754" t="str">
            <v>Grapa P/ Puesta Tierra de Secc Perno L</v>
          </cell>
          <cell r="D754">
            <v>7208</v>
          </cell>
          <cell r="E754">
            <v>1000</v>
          </cell>
          <cell r="F754" t="str">
            <v>ZALM</v>
          </cell>
          <cell r="G754" t="str">
            <v>UN</v>
          </cell>
          <cell r="H754" t="str">
            <v>DOP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  <cell r="T754">
            <v>0</v>
          </cell>
          <cell r="U754" t="e">
            <v>#N/A</v>
          </cell>
        </row>
        <row r="755">
          <cell r="A755">
            <v>1000749</v>
          </cell>
          <cell r="B755" t="str">
            <v>Grapa P/ Puesta Tierra de Secc Perno T</v>
          </cell>
          <cell r="D755">
            <v>7208</v>
          </cell>
          <cell r="E755">
            <v>1000</v>
          </cell>
          <cell r="F755" t="str">
            <v>ZALM</v>
          </cell>
          <cell r="G755" t="str">
            <v>UN</v>
          </cell>
          <cell r="H755" t="str">
            <v>DOP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>
            <v>0</v>
          </cell>
          <cell r="S755">
            <v>0</v>
          </cell>
          <cell r="T755">
            <v>0</v>
          </cell>
          <cell r="U755" t="e">
            <v>#N/A</v>
          </cell>
        </row>
        <row r="756">
          <cell r="A756">
            <v>1000750</v>
          </cell>
          <cell r="B756" t="str">
            <v>Grapa P/ Tierra Cobre</v>
          </cell>
          <cell r="D756">
            <v>7208</v>
          </cell>
          <cell r="E756">
            <v>1000</v>
          </cell>
          <cell r="F756" t="str">
            <v>ZALM</v>
          </cell>
          <cell r="G756" t="str">
            <v>UN</v>
          </cell>
          <cell r="H756" t="str">
            <v>DOP</v>
          </cell>
          <cell r="I756">
            <v>297</v>
          </cell>
          <cell r="J756">
            <v>653.4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>
            <v>0</v>
          </cell>
          <cell r="S756">
            <v>297</v>
          </cell>
          <cell r="T756">
            <v>653.4</v>
          </cell>
          <cell r="U756">
            <v>2.2000000000000002</v>
          </cell>
        </row>
        <row r="757">
          <cell r="A757">
            <v>1000751</v>
          </cell>
          <cell r="B757" t="str">
            <v>Grapa Suspensión Tipo (Zapatico) 4/0</v>
          </cell>
          <cell r="D757">
            <v>7208</v>
          </cell>
          <cell r="E757">
            <v>1000</v>
          </cell>
          <cell r="F757" t="str">
            <v>ZALM</v>
          </cell>
          <cell r="G757" t="str">
            <v>UN</v>
          </cell>
          <cell r="H757" t="str">
            <v>DOP</v>
          </cell>
          <cell r="I757">
            <v>750</v>
          </cell>
          <cell r="J757">
            <v>191039.4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>
            <v>0</v>
          </cell>
          <cell r="S757">
            <v>750</v>
          </cell>
          <cell r="T757">
            <v>191039.4</v>
          </cell>
          <cell r="U757">
            <v>254.7192</v>
          </cell>
        </row>
        <row r="758">
          <cell r="A758">
            <v>1000752</v>
          </cell>
          <cell r="B758" t="str">
            <v>Grapa Terminal para 465-500 MCM</v>
          </cell>
          <cell r="D758">
            <v>7208</v>
          </cell>
          <cell r="E758">
            <v>1000</v>
          </cell>
          <cell r="F758" t="str">
            <v>ZALM</v>
          </cell>
          <cell r="G758" t="str">
            <v>UN</v>
          </cell>
          <cell r="H758" t="str">
            <v>DOP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 t="e">
            <v>#N/A</v>
          </cell>
        </row>
        <row r="759">
          <cell r="A759">
            <v>1000753</v>
          </cell>
          <cell r="B759" t="str">
            <v>Grapas a Resorte</v>
          </cell>
          <cell r="D759">
            <v>7208</v>
          </cell>
          <cell r="E759">
            <v>1000</v>
          </cell>
          <cell r="F759" t="str">
            <v>ZALM</v>
          </cell>
          <cell r="G759" t="str">
            <v>UN</v>
          </cell>
          <cell r="H759" t="str">
            <v>DOP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>
            <v>0</v>
          </cell>
          <cell r="S759">
            <v>0</v>
          </cell>
          <cell r="T759">
            <v>0</v>
          </cell>
          <cell r="U759" t="e">
            <v>#N/A</v>
          </cell>
        </row>
        <row r="760">
          <cell r="A760">
            <v>1000754</v>
          </cell>
          <cell r="B760" t="str">
            <v>Guarda Cable Acero Galv 7'x3/16"</v>
          </cell>
          <cell r="D760">
            <v>7208</v>
          </cell>
          <cell r="E760">
            <v>1000</v>
          </cell>
          <cell r="F760" t="str">
            <v>ZALM</v>
          </cell>
          <cell r="G760" t="str">
            <v>UN</v>
          </cell>
          <cell r="H760" t="str">
            <v>DOP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>
            <v>0</v>
          </cell>
          <cell r="S760">
            <v>0</v>
          </cell>
          <cell r="T760">
            <v>0</v>
          </cell>
          <cell r="U760" t="e">
            <v>#N/A</v>
          </cell>
        </row>
        <row r="761">
          <cell r="A761">
            <v>1000755</v>
          </cell>
          <cell r="B761" t="str">
            <v>Indicador Corr Cortocirc T/ Electrostat</v>
          </cell>
          <cell r="D761">
            <v>7208</v>
          </cell>
          <cell r="E761">
            <v>1000</v>
          </cell>
          <cell r="F761" t="str">
            <v>ZALM</v>
          </cell>
          <cell r="G761" t="str">
            <v>UN</v>
          </cell>
          <cell r="H761" t="str">
            <v>DOP</v>
          </cell>
          <cell r="I761">
            <v>277</v>
          </cell>
          <cell r="J761">
            <v>938521.59999999998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>
            <v>0</v>
          </cell>
          <cell r="S761">
            <v>277</v>
          </cell>
          <cell r="T761">
            <v>938521.59999999998</v>
          </cell>
          <cell r="U761">
            <v>3388.1646209386299</v>
          </cell>
        </row>
        <row r="762">
          <cell r="A762">
            <v>1000756</v>
          </cell>
          <cell r="B762" t="str">
            <v>Indicadores C/ Módulo Comunicación</v>
          </cell>
          <cell r="D762">
            <v>7208</v>
          </cell>
          <cell r="E762">
            <v>1000</v>
          </cell>
          <cell r="F762" t="str">
            <v>ZALM</v>
          </cell>
          <cell r="G762" t="str">
            <v>UN</v>
          </cell>
          <cell r="H762" t="str">
            <v>DOP</v>
          </cell>
          <cell r="I762">
            <v>12</v>
          </cell>
          <cell r="J762">
            <v>94370.1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>
            <v>0</v>
          </cell>
          <cell r="S762">
            <v>12</v>
          </cell>
          <cell r="T762">
            <v>94370.1</v>
          </cell>
          <cell r="U762">
            <v>7864.1750000000002</v>
          </cell>
        </row>
        <row r="763">
          <cell r="A763">
            <v>1000757</v>
          </cell>
          <cell r="B763" t="str">
            <v>Juego Contactos del Regulador Bajo Carga</v>
          </cell>
          <cell r="D763">
            <v>7208</v>
          </cell>
          <cell r="E763">
            <v>1000</v>
          </cell>
          <cell r="F763" t="str">
            <v>ZALM</v>
          </cell>
          <cell r="G763" t="str">
            <v>UN</v>
          </cell>
          <cell r="H763" t="str">
            <v>DOP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>
            <v>0</v>
          </cell>
          <cell r="S763">
            <v>0</v>
          </cell>
          <cell r="T763">
            <v>0</v>
          </cell>
          <cell r="U763" t="e">
            <v>#N/A</v>
          </cell>
        </row>
        <row r="764">
          <cell r="A764">
            <v>1000758</v>
          </cell>
          <cell r="B764" t="str">
            <v>Jumper Quebrador de Carga</v>
          </cell>
          <cell r="D764">
            <v>7208</v>
          </cell>
          <cell r="E764">
            <v>1000</v>
          </cell>
          <cell r="F764" t="str">
            <v>ZALM</v>
          </cell>
          <cell r="G764" t="str">
            <v>UN</v>
          </cell>
          <cell r="H764" t="str">
            <v>DOP</v>
          </cell>
          <cell r="I764">
            <v>3</v>
          </cell>
          <cell r="J764">
            <v>42488.85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>
            <v>0</v>
          </cell>
          <cell r="S764">
            <v>3</v>
          </cell>
          <cell r="T764">
            <v>42488.85</v>
          </cell>
          <cell r="U764">
            <v>14162.95</v>
          </cell>
        </row>
        <row r="765">
          <cell r="A765">
            <v>1000759</v>
          </cell>
          <cell r="B765" t="str">
            <v>Kit Acometida de Poste a Fachada KA-4</v>
          </cell>
          <cell r="D765">
            <v>7208</v>
          </cell>
          <cell r="E765">
            <v>1000</v>
          </cell>
          <cell r="F765" t="str">
            <v>ZALM</v>
          </cell>
          <cell r="G765" t="str">
            <v>UN</v>
          </cell>
          <cell r="H765" t="str">
            <v>DOP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>
            <v>0</v>
          </cell>
          <cell r="S765">
            <v>0</v>
          </cell>
          <cell r="T765">
            <v>0</v>
          </cell>
          <cell r="U765" t="e">
            <v>#N/A</v>
          </cell>
        </row>
        <row r="766">
          <cell r="A766">
            <v>1000760</v>
          </cell>
          <cell r="B766" t="str">
            <v>Kit de Conexión P/ Acometida 120V</v>
          </cell>
          <cell r="D766">
            <v>7208</v>
          </cell>
          <cell r="E766">
            <v>1000</v>
          </cell>
          <cell r="F766" t="str">
            <v>ZALM</v>
          </cell>
          <cell r="G766" t="str">
            <v>UN</v>
          </cell>
          <cell r="H766" t="str">
            <v>DOP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>
            <v>0</v>
          </cell>
          <cell r="S766">
            <v>0</v>
          </cell>
          <cell r="T766">
            <v>0</v>
          </cell>
          <cell r="U766" t="e">
            <v>#N/A</v>
          </cell>
        </row>
        <row r="767">
          <cell r="A767">
            <v>1000761</v>
          </cell>
          <cell r="B767" t="str">
            <v>Kit de Conexión P/ Acometida 240V</v>
          </cell>
          <cell r="D767">
            <v>7208</v>
          </cell>
          <cell r="E767">
            <v>1000</v>
          </cell>
          <cell r="F767" t="str">
            <v>ZALM</v>
          </cell>
          <cell r="G767" t="str">
            <v>UN</v>
          </cell>
          <cell r="H767" t="str">
            <v>DOP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>
            <v>0</v>
          </cell>
          <cell r="S767">
            <v>0</v>
          </cell>
          <cell r="T767">
            <v>0</v>
          </cell>
          <cell r="U767" t="e">
            <v>#N/A</v>
          </cell>
        </row>
        <row r="768">
          <cell r="A768">
            <v>1000762</v>
          </cell>
          <cell r="B768" t="str">
            <v>Kit P/ Prueba de Aceite Transformadores</v>
          </cell>
          <cell r="D768">
            <v>7208</v>
          </cell>
          <cell r="E768">
            <v>1000</v>
          </cell>
          <cell r="F768" t="str">
            <v>ZALM</v>
          </cell>
          <cell r="G768" t="str">
            <v>UN</v>
          </cell>
          <cell r="H768" t="str">
            <v>DOP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>
            <v>0</v>
          </cell>
          <cell r="S768">
            <v>0</v>
          </cell>
          <cell r="T768">
            <v>0</v>
          </cell>
          <cell r="U768" t="e">
            <v>#N/A</v>
          </cell>
        </row>
        <row r="769">
          <cell r="A769">
            <v>1000763</v>
          </cell>
          <cell r="B769" t="str">
            <v>Kit Portafus P/Transf de Pot 34.5KV 100A</v>
          </cell>
          <cell r="D769">
            <v>7208</v>
          </cell>
          <cell r="E769">
            <v>1000</v>
          </cell>
          <cell r="F769" t="str">
            <v>ZALM</v>
          </cell>
          <cell r="G769" t="str">
            <v>UN</v>
          </cell>
          <cell r="H769" t="str">
            <v>DOP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>
            <v>0</v>
          </cell>
          <cell r="S769">
            <v>0</v>
          </cell>
          <cell r="T769">
            <v>0</v>
          </cell>
          <cell r="U769" t="e">
            <v>#N/A</v>
          </cell>
        </row>
        <row r="770">
          <cell r="A770">
            <v>1000764</v>
          </cell>
          <cell r="B770" t="str">
            <v>Kit Portafus P/Transf de Pot 34.5KV 200A</v>
          </cell>
          <cell r="D770">
            <v>7208</v>
          </cell>
          <cell r="E770">
            <v>1000</v>
          </cell>
          <cell r="F770" t="str">
            <v>ZALM</v>
          </cell>
          <cell r="G770" t="str">
            <v>UN</v>
          </cell>
          <cell r="H770" t="str">
            <v>DOP</v>
          </cell>
          <cell r="I770">
            <v>7</v>
          </cell>
          <cell r="J770">
            <v>74225.64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>
            <v>0</v>
          </cell>
          <cell r="S770">
            <v>7</v>
          </cell>
          <cell r="T770">
            <v>74225.64</v>
          </cell>
          <cell r="U770">
            <v>10603.662857142899</v>
          </cell>
        </row>
        <row r="771">
          <cell r="A771">
            <v>1000765</v>
          </cell>
          <cell r="B771" t="str">
            <v>Kit Retenc Doble a Poste P/ LAP BT KR04</v>
          </cell>
          <cell r="D771">
            <v>7208</v>
          </cell>
          <cell r="E771">
            <v>1000</v>
          </cell>
          <cell r="F771" t="str">
            <v>ZALM</v>
          </cell>
          <cell r="G771" t="str">
            <v>UN</v>
          </cell>
          <cell r="H771" t="str">
            <v>DOP</v>
          </cell>
          <cell r="I771">
            <v>7297</v>
          </cell>
          <cell r="J771">
            <v>1236285.8799999999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>
            <v>0</v>
          </cell>
          <cell r="S771">
            <v>7297</v>
          </cell>
          <cell r="T771">
            <v>1236285.8799999999</v>
          </cell>
          <cell r="U771">
            <v>169.42385637933401</v>
          </cell>
        </row>
        <row r="772">
          <cell r="A772">
            <v>1000766</v>
          </cell>
          <cell r="B772" t="str">
            <v>Limit Switch P/ Lámpara de Techo</v>
          </cell>
          <cell r="D772">
            <v>7208</v>
          </cell>
          <cell r="E772">
            <v>1000</v>
          </cell>
          <cell r="F772" t="str">
            <v>ZALM</v>
          </cell>
          <cell r="G772" t="str">
            <v>UN</v>
          </cell>
          <cell r="H772" t="str">
            <v>DOP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>
            <v>0</v>
          </cell>
          <cell r="S772">
            <v>0</v>
          </cell>
          <cell r="T772">
            <v>0</v>
          </cell>
          <cell r="U772" t="e">
            <v>#N/A</v>
          </cell>
        </row>
        <row r="773">
          <cell r="A773">
            <v>1000767</v>
          </cell>
          <cell r="B773" t="str">
            <v>Limpiador Cable de Tierra</v>
          </cell>
          <cell r="D773">
            <v>7208</v>
          </cell>
          <cell r="E773">
            <v>1000</v>
          </cell>
          <cell r="F773" t="str">
            <v>ZALM</v>
          </cell>
          <cell r="G773" t="str">
            <v>UN</v>
          </cell>
          <cell r="H773" t="str">
            <v>DOP</v>
          </cell>
          <cell r="I773">
            <v>20</v>
          </cell>
          <cell r="J773">
            <v>928.8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>
            <v>0</v>
          </cell>
          <cell r="S773">
            <v>20</v>
          </cell>
          <cell r="T773">
            <v>928.8</v>
          </cell>
          <cell r="U773">
            <v>46.44</v>
          </cell>
        </row>
        <row r="774">
          <cell r="A774">
            <v>1000768</v>
          </cell>
          <cell r="B774" t="str">
            <v>Limpiador de Molde Cat No. 91368</v>
          </cell>
          <cell r="D774">
            <v>7208</v>
          </cell>
          <cell r="E774">
            <v>1000</v>
          </cell>
          <cell r="F774" t="str">
            <v>ZALM</v>
          </cell>
          <cell r="G774" t="str">
            <v>UN</v>
          </cell>
          <cell r="H774" t="str">
            <v>DOP</v>
          </cell>
          <cell r="I774">
            <v>38</v>
          </cell>
          <cell r="J774">
            <v>1764.72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  <cell r="S774">
            <v>38</v>
          </cell>
          <cell r="T774">
            <v>1764.72</v>
          </cell>
          <cell r="U774">
            <v>46.44</v>
          </cell>
        </row>
        <row r="775">
          <cell r="A775">
            <v>1000769</v>
          </cell>
          <cell r="B775" t="str">
            <v>Local I/O Module 075011 Rev.2 Nuevos</v>
          </cell>
          <cell r="D775">
            <v>7208</v>
          </cell>
          <cell r="E775">
            <v>1000</v>
          </cell>
          <cell r="F775" t="str">
            <v>ZALM</v>
          </cell>
          <cell r="G775" t="str">
            <v>UN</v>
          </cell>
          <cell r="H775" t="str">
            <v>DOP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>
            <v>0</v>
          </cell>
          <cell r="S775">
            <v>0</v>
          </cell>
          <cell r="T775">
            <v>0</v>
          </cell>
          <cell r="U775" t="e">
            <v>#N/A</v>
          </cell>
        </row>
        <row r="776">
          <cell r="A776">
            <v>1000770</v>
          </cell>
          <cell r="B776" t="str">
            <v>Local I/O Module 075011 Rev.2 Reparación</v>
          </cell>
          <cell r="D776">
            <v>7208</v>
          </cell>
          <cell r="E776">
            <v>1000</v>
          </cell>
          <cell r="F776" t="str">
            <v>ZALM</v>
          </cell>
          <cell r="G776" t="str">
            <v>UN</v>
          </cell>
          <cell r="H776" t="str">
            <v>DOP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>
            <v>0</v>
          </cell>
          <cell r="S776">
            <v>0</v>
          </cell>
          <cell r="T776">
            <v>0</v>
          </cell>
          <cell r="U776" t="e">
            <v>#N/A</v>
          </cell>
        </row>
        <row r="777">
          <cell r="A777">
            <v>1000771</v>
          </cell>
          <cell r="B777" t="str">
            <v>Manga Dieléctrica Cl 0 Size L</v>
          </cell>
          <cell r="D777">
            <v>7208</v>
          </cell>
          <cell r="E777">
            <v>1000</v>
          </cell>
          <cell r="F777" t="str">
            <v>ZALM</v>
          </cell>
          <cell r="G777" t="str">
            <v>UN</v>
          </cell>
          <cell r="H777" t="str">
            <v>DOP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>
            <v>0</v>
          </cell>
          <cell r="S777">
            <v>0</v>
          </cell>
          <cell r="T777">
            <v>0</v>
          </cell>
          <cell r="U777" t="e">
            <v>#N/A</v>
          </cell>
        </row>
        <row r="778">
          <cell r="A778">
            <v>1000772</v>
          </cell>
          <cell r="B778" t="str">
            <v>Manga Dieléctrica Cl 0 Size R</v>
          </cell>
          <cell r="D778">
            <v>7208</v>
          </cell>
          <cell r="E778">
            <v>1000</v>
          </cell>
          <cell r="F778" t="str">
            <v>ZALM</v>
          </cell>
          <cell r="G778" t="str">
            <v>UN</v>
          </cell>
          <cell r="H778" t="str">
            <v>DOP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>
            <v>0</v>
          </cell>
          <cell r="S778">
            <v>0</v>
          </cell>
          <cell r="T778">
            <v>0</v>
          </cell>
          <cell r="U778" t="e">
            <v>#N/A</v>
          </cell>
        </row>
        <row r="779">
          <cell r="A779">
            <v>1000773</v>
          </cell>
          <cell r="B779" t="str">
            <v>Manga Dieléctrica Cl 0 Size XL</v>
          </cell>
          <cell r="D779">
            <v>7208</v>
          </cell>
          <cell r="E779">
            <v>1000</v>
          </cell>
          <cell r="F779" t="str">
            <v>ZALM</v>
          </cell>
          <cell r="G779" t="str">
            <v>UN</v>
          </cell>
          <cell r="H779" t="str">
            <v>DOP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>
            <v>0</v>
          </cell>
          <cell r="S779">
            <v>0</v>
          </cell>
          <cell r="T779">
            <v>0</v>
          </cell>
          <cell r="U779" t="e">
            <v>#N/A</v>
          </cell>
        </row>
        <row r="780">
          <cell r="A780">
            <v>1000774</v>
          </cell>
          <cell r="B780" t="str">
            <v>Manga Dieléctrica Cl 2 Size L</v>
          </cell>
          <cell r="D780">
            <v>7201</v>
          </cell>
          <cell r="E780">
            <v>1000</v>
          </cell>
          <cell r="F780" t="str">
            <v>ZALM</v>
          </cell>
          <cell r="G780" t="str">
            <v>UN</v>
          </cell>
          <cell r="H780" t="str">
            <v>DOP</v>
          </cell>
          <cell r="I780">
            <v>10</v>
          </cell>
          <cell r="J780">
            <v>202532.36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>
            <v>0</v>
          </cell>
          <cell r="S780">
            <v>10</v>
          </cell>
          <cell r="T780">
            <v>202532.36</v>
          </cell>
          <cell r="U780">
            <v>20253.236000000001</v>
          </cell>
        </row>
        <row r="781">
          <cell r="A781">
            <v>1000775</v>
          </cell>
          <cell r="B781" t="str">
            <v>Manga Dieléctrica Cl 2 Size R</v>
          </cell>
          <cell r="D781">
            <v>7201</v>
          </cell>
          <cell r="E781">
            <v>1000</v>
          </cell>
          <cell r="F781" t="str">
            <v>ZALM</v>
          </cell>
          <cell r="G781" t="str">
            <v>UN</v>
          </cell>
          <cell r="H781" t="str">
            <v>DOP</v>
          </cell>
          <cell r="I781">
            <v>13</v>
          </cell>
          <cell r="J781">
            <v>210399.47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>
            <v>0</v>
          </cell>
          <cell r="S781">
            <v>13</v>
          </cell>
          <cell r="T781">
            <v>210399.47</v>
          </cell>
          <cell r="U781">
            <v>16184.574615384599</v>
          </cell>
        </row>
        <row r="782">
          <cell r="A782">
            <v>1000776</v>
          </cell>
          <cell r="B782" t="str">
            <v>Manga Dieléctrica Cl 2 Size XL</v>
          </cell>
          <cell r="D782">
            <v>7208</v>
          </cell>
          <cell r="E782">
            <v>1000</v>
          </cell>
          <cell r="F782" t="str">
            <v>ZALM</v>
          </cell>
          <cell r="G782" t="str">
            <v>UN</v>
          </cell>
          <cell r="H782" t="str">
            <v>DOP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>
            <v>0</v>
          </cell>
          <cell r="S782">
            <v>0</v>
          </cell>
          <cell r="T782">
            <v>0</v>
          </cell>
          <cell r="U782" t="e">
            <v>#N/A</v>
          </cell>
        </row>
        <row r="783">
          <cell r="A783">
            <v>1000777</v>
          </cell>
          <cell r="B783" t="str">
            <v>Manta Aisl Caucho Vulcanizado Abierta</v>
          </cell>
          <cell r="D783">
            <v>7208</v>
          </cell>
          <cell r="E783">
            <v>1000</v>
          </cell>
          <cell r="F783" t="str">
            <v>ZALM</v>
          </cell>
          <cell r="G783" t="str">
            <v>UN</v>
          </cell>
          <cell r="H783" t="str">
            <v>DOP</v>
          </cell>
          <cell r="I783">
            <v>34</v>
          </cell>
          <cell r="J783">
            <v>337080.72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>
            <v>0</v>
          </cell>
          <cell r="S783">
            <v>34</v>
          </cell>
          <cell r="T783">
            <v>337080.72</v>
          </cell>
          <cell r="U783">
            <v>9914.1388235294107</v>
          </cell>
        </row>
        <row r="784">
          <cell r="A784">
            <v>1000778</v>
          </cell>
          <cell r="B784" t="str">
            <v>Manta Aisl Caucho Vulcanizado Cerrada</v>
          </cell>
          <cell r="D784">
            <v>7208</v>
          </cell>
          <cell r="E784">
            <v>1000</v>
          </cell>
          <cell r="F784" t="str">
            <v>ZALM</v>
          </cell>
          <cell r="G784" t="str">
            <v>UN</v>
          </cell>
          <cell r="H784" t="str">
            <v>DOP</v>
          </cell>
          <cell r="I784">
            <v>38</v>
          </cell>
          <cell r="J784">
            <v>417644.17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>
            <v>0</v>
          </cell>
          <cell r="S784">
            <v>38</v>
          </cell>
          <cell r="T784">
            <v>417644.17</v>
          </cell>
          <cell r="U784">
            <v>10990.6360526316</v>
          </cell>
        </row>
        <row r="785">
          <cell r="A785">
            <v>1000779</v>
          </cell>
          <cell r="B785" t="str">
            <v>Manta Con Velero Orange 18"x3"</v>
          </cell>
          <cell r="D785">
            <v>7208</v>
          </cell>
          <cell r="E785">
            <v>1000</v>
          </cell>
          <cell r="F785" t="str">
            <v>ZALM</v>
          </cell>
          <cell r="G785" t="str">
            <v>UN</v>
          </cell>
          <cell r="H785" t="str">
            <v>DOP</v>
          </cell>
          <cell r="I785">
            <v>8</v>
          </cell>
          <cell r="J785">
            <v>14396.34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>
            <v>0</v>
          </cell>
          <cell r="S785">
            <v>8</v>
          </cell>
          <cell r="T785">
            <v>14396.34</v>
          </cell>
          <cell r="U785">
            <v>1799.5425</v>
          </cell>
        </row>
        <row r="786">
          <cell r="A786">
            <v>1000780</v>
          </cell>
          <cell r="B786" t="str">
            <v>Manto Termocontráctil Protec de Bushing</v>
          </cell>
          <cell r="D786">
            <v>7201</v>
          </cell>
          <cell r="E786">
            <v>1000</v>
          </cell>
          <cell r="F786" t="str">
            <v>ZALM</v>
          </cell>
          <cell r="G786" t="str">
            <v>UN</v>
          </cell>
          <cell r="H786" t="str">
            <v>DOP</v>
          </cell>
          <cell r="I786">
            <v>461</v>
          </cell>
          <cell r="J786">
            <v>1096258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14</v>
          </cell>
          <cell r="R786">
            <v>33292</v>
          </cell>
          <cell r="S786">
            <v>475</v>
          </cell>
          <cell r="T786">
            <v>1129550</v>
          </cell>
          <cell r="U786">
            <v>2378</v>
          </cell>
        </row>
        <row r="787">
          <cell r="A787">
            <v>1000781</v>
          </cell>
          <cell r="B787" t="str">
            <v>Ménsula Ojal de Acomet C/ Torn-Taco Fij</v>
          </cell>
          <cell r="D787">
            <v>7208</v>
          </cell>
          <cell r="E787">
            <v>1000</v>
          </cell>
          <cell r="F787" t="str">
            <v>ZALM</v>
          </cell>
          <cell r="G787" t="str">
            <v>UN</v>
          </cell>
          <cell r="H787" t="str">
            <v>DOP</v>
          </cell>
          <cell r="I787">
            <v>13922</v>
          </cell>
          <cell r="J787">
            <v>218573.29</v>
          </cell>
          <cell r="K787">
            <v>117404</v>
          </cell>
          <cell r="L787">
            <v>1843225.01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74401</v>
          </cell>
          <cell r="R787">
            <v>1168084.42</v>
          </cell>
          <cell r="S787">
            <v>205727</v>
          </cell>
          <cell r="T787">
            <v>3229882.72</v>
          </cell>
          <cell r="U787">
            <v>15.6998484399228</v>
          </cell>
        </row>
        <row r="788">
          <cell r="A788">
            <v>1000782</v>
          </cell>
          <cell r="B788" t="str">
            <v>Modulo 25 Socalos 300A 1f 3h 120/240</v>
          </cell>
          <cell r="D788">
            <v>7208</v>
          </cell>
          <cell r="E788">
            <v>1000</v>
          </cell>
          <cell r="F788" t="str">
            <v>ZALM</v>
          </cell>
          <cell r="G788" t="str">
            <v>UN</v>
          </cell>
          <cell r="H788" t="str">
            <v>DOP</v>
          </cell>
          <cell r="I788">
            <v>9</v>
          </cell>
          <cell r="J788">
            <v>161752.68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>
            <v>0</v>
          </cell>
          <cell r="S788">
            <v>9</v>
          </cell>
          <cell r="T788">
            <v>161752.68</v>
          </cell>
          <cell r="U788">
            <v>17972.52</v>
          </cell>
        </row>
        <row r="789">
          <cell r="A789">
            <v>1000783</v>
          </cell>
          <cell r="B789" t="str">
            <v>Modulo Comunicación (Cuarto M)</v>
          </cell>
          <cell r="D789">
            <v>7208</v>
          </cell>
          <cell r="E789">
            <v>1000</v>
          </cell>
          <cell r="F789" t="str">
            <v>ZALM</v>
          </cell>
          <cell r="G789" t="str">
            <v>UN</v>
          </cell>
          <cell r="H789" t="str">
            <v>DOP</v>
          </cell>
          <cell r="I789">
            <v>7</v>
          </cell>
          <cell r="J789">
            <v>7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>
            <v>0</v>
          </cell>
          <cell r="S789">
            <v>7</v>
          </cell>
          <cell r="T789">
            <v>7</v>
          </cell>
          <cell r="U789">
            <v>1</v>
          </cell>
        </row>
        <row r="790">
          <cell r="A790">
            <v>1000784</v>
          </cell>
          <cell r="B790" t="str">
            <v>Modulo Med 10 Zoc 500A 3Trif 120/208V</v>
          </cell>
          <cell r="D790">
            <v>7208</v>
          </cell>
          <cell r="E790">
            <v>1000</v>
          </cell>
          <cell r="F790" t="str">
            <v>ZALM</v>
          </cell>
          <cell r="G790" t="str">
            <v>UN</v>
          </cell>
          <cell r="H790" t="str">
            <v>DOP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>
            <v>0</v>
          </cell>
          <cell r="S790">
            <v>0</v>
          </cell>
          <cell r="T790">
            <v>0</v>
          </cell>
          <cell r="U790" t="e">
            <v>#N/A</v>
          </cell>
        </row>
        <row r="791">
          <cell r="A791">
            <v>1000785</v>
          </cell>
          <cell r="B791" t="str">
            <v>Módulo Med 12 Zoc 400A 3Trif 120/208V</v>
          </cell>
          <cell r="D791">
            <v>7208</v>
          </cell>
          <cell r="E791">
            <v>1000</v>
          </cell>
          <cell r="F791" t="str">
            <v>ZALM</v>
          </cell>
          <cell r="G791" t="str">
            <v>UN</v>
          </cell>
          <cell r="H791" t="str">
            <v>DOP</v>
          </cell>
          <cell r="I791">
            <v>1</v>
          </cell>
          <cell r="J791">
            <v>19929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>
            <v>0</v>
          </cell>
          <cell r="S791">
            <v>1</v>
          </cell>
          <cell r="T791">
            <v>19929</v>
          </cell>
          <cell r="U791">
            <v>19929</v>
          </cell>
        </row>
        <row r="792">
          <cell r="A792">
            <v>1000786</v>
          </cell>
          <cell r="B792" t="str">
            <v>Modulo Med 13 Zoc 300A 1Mon 120/240V</v>
          </cell>
          <cell r="D792">
            <v>7208</v>
          </cell>
          <cell r="E792">
            <v>1000</v>
          </cell>
          <cell r="F792" t="str">
            <v>ZALM</v>
          </cell>
          <cell r="G792" t="str">
            <v>UN</v>
          </cell>
          <cell r="H792" t="str">
            <v>DOP</v>
          </cell>
          <cell r="I792">
            <v>6</v>
          </cell>
          <cell r="J792">
            <v>96000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>
            <v>0</v>
          </cell>
          <cell r="S792">
            <v>6</v>
          </cell>
          <cell r="T792">
            <v>96000</v>
          </cell>
          <cell r="U792">
            <v>16000</v>
          </cell>
        </row>
        <row r="793">
          <cell r="A793">
            <v>1000787</v>
          </cell>
          <cell r="B793" t="str">
            <v>Modulo Med 20 Zoc  M.Breaker 400/2A</v>
          </cell>
          <cell r="D793">
            <v>7208</v>
          </cell>
          <cell r="E793">
            <v>1000</v>
          </cell>
          <cell r="F793" t="str">
            <v>ZALM</v>
          </cell>
          <cell r="G793" t="str">
            <v>UN</v>
          </cell>
          <cell r="H793" t="str">
            <v>DOP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>
            <v>0</v>
          </cell>
          <cell r="S793">
            <v>0</v>
          </cell>
          <cell r="T793">
            <v>0</v>
          </cell>
          <cell r="U793" t="e">
            <v>#N/A</v>
          </cell>
        </row>
        <row r="794">
          <cell r="A794">
            <v>1000788</v>
          </cell>
          <cell r="B794" t="str">
            <v>Modulo Med 30 Zoc Main Breaker 400/2A</v>
          </cell>
          <cell r="D794">
            <v>7208</v>
          </cell>
          <cell r="E794">
            <v>1000</v>
          </cell>
          <cell r="F794" t="str">
            <v>ZALM</v>
          </cell>
          <cell r="G794" t="str">
            <v>UN</v>
          </cell>
          <cell r="H794" t="str">
            <v>DOP</v>
          </cell>
          <cell r="I794">
            <v>1</v>
          </cell>
          <cell r="J794">
            <v>24463.200000000001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>
            <v>0</v>
          </cell>
          <cell r="S794">
            <v>1</v>
          </cell>
          <cell r="T794">
            <v>24463.200000000001</v>
          </cell>
          <cell r="U794">
            <v>24463.200000000001</v>
          </cell>
        </row>
        <row r="795">
          <cell r="A795">
            <v>1000789</v>
          </cell>
          <cell r="B795" t="str">
            <v>Modulo Med 6 Zoc 150A 1Mon 120/240V</v>
          </cell>
          <cell r="D795">
            <v>7208</v>
          </cell>
          <cell r="E795">
            <v>1000</v>
          </cell>
          <cell r="F795" t="str">
            <v>ZALM</v>
          </cell>
          <cell r="G795" t="str">
            <v>UN</v>
          </cell>
          <cell r="H795" t="str">
            <v>DOP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>
            <v>0</v>
          </cell>
          <cell r="S795">
            <v>0</v>
          </cell>
          <cell r="T795">
            <v>0</v>
          </cell>
          <cell r="U795" t="e">
            <v>#N/A</v>
          </cell>
        </row>
        <row r="796">
          <cell r="A796">
            <v>1000790</v>
          </cell>
          <cell r="B796" t="str">
            <v>Modulo Med 7 Zoc 150A 1Mon 120/240V</v>
          </cell>
          <cell r="D796">
            <v>7208</v>
          </cell>
          <cell r="E796">
            <v>1000</v>
          </cell>
          <cell r="F796" t="str">
            <v>ZALM</v>
          </cell>
          <cell r="G796" t="str">
            <v>UN</v>
          </cell>
          <cell r="H796" t="str">
            <v>DOP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>
            <v>0</v>
          </cell>
          <cell r="S796">
            <v>0</v>
          </cell>
          <cell r="T796">
            <v>0</v>
          </cell>
          <cell r="U796" t="e">
            <v>#N/A</v>
          </cell>
        </row>
        <row r="797">
          <cell r="A797">
            <v>1000791</v>
          </cell>
          <cell r="B797" t="str">
            <v>Modulo Med 7 Zoc 150A 1Mon 120/240V Mall</v>
          </cell>
          <cell r="D797">
            <v>7208</v>
          </cell>
          <cell r="E797">
            <v>1000</v>
          </cell>
          <cell r="F797" t="str">
            <v>ZALM</v>
          </cell>
          <cell r="G797" t="str">
            <v>UN</v>
          </cell>
          <cell r="H797" t="str">
            <v>DOP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>
            <v>0</v>
          </cell>
          <cell r="S797">
            <v>0</v>
          </cell>
          <cell r="T797">
            <v>0</v>
          </cell>
          <cell r="U797" t="e">
            <v>#N/A</v>
          </cell>
        </row>
        <row r="798">
          <cell r="A798">
            <v>1000792</v>
          </cell>
          <cell r="B798" t="str">
            <v>Modulo Med 9 Zoc 200A 1Mon 120/240V</v>
          </cell>
          <cell r="D798">
            <v>7208</v>
          </cell>
          <cell r="E798">
            <v>1000</v>
          </cell>
          <cell r="F798" t="str">
            <v>ZALM</v>
          </cell>
          <cell r="G798" t="str">
            <v>UN</v>
          </cell>
          <cell r="H798" t="str">
            <v>DOP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>
            <v>0</v>
          </cell>
          <cell r="S798">
            <v>0</v>
          </cell>
          <cell r="T798">
            <v>0</v>
          </cell>
          <cell r="U798" t="e">
            <v>#N/A</v>
          </cell>
        </row>
        <row r="799">
          <cell r="A799">
            <v>1000793</v>
          </cell>
          <cell r="B799" t="str">
            <v>Módulo Med 9 Zoc 200A 1Mon 120/240V</v>
          </cell>
          <cell r="D799">
            <v>7208</v>
          </cell>
          <cell r="E799">
            <v>1000</v>
          </cell>
          <cell r="F799" t="str">
            <v>ZALM</v>
          </cell>
          <cell r="G799" t="str">
            <v>UN</v>
          </cell>
          <cell r="H799" t="str">
            <v>DOP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>
            <v>0</v>
          </cell>
          <cell r="S799">
            <v>0</v>
          </cell>
          <cell r="T799">
            <v>0</v>
          </cell>
          <cell r="U799" t="e">
            <v>#N/A</v>
          </cell>
        </row>
        <row r="800">
          <cell r="A800">
            <v>1000794</v>
          </cell>
          <cell r="B800" t="str">
            <v>Modulo Rectificador P/ Bobinas y Motor</v>
          </cell>
          <cell r="D800">
            <v>7208</v>
          </cell>
          <cell r="E800">
            <v>1000</v>
          </cell>
          <cell r="F800" t="str">
            <v>ZALM</v>
          </cell>
          <cell r="G800" t="str">
            <v>UN</v>
          </cell>
          <cell r="H800" t="str">
            <v>DOP</v>
          </cell>
          <cell r="I800">
            <v>3</v>
          </cell>
          <cell r="J800">
            <v>9546.06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>
            <v>0</v>
          </cell>
          <cell r="S800">
            <v>3</v>
          </cell>
          <cell r="T800">
            <v>9546.06</v>
          </cell>
          <cell r="U800">
            <v>3182.02</v>
          </cell>
        </row>
        <row r="801">
          <cell r="A801">
            <v>1000795</v>
          </cell>
          <cell r="B801" t="str">
            <v>Moldura de Plástico 1/2"x8"</v>
          </cell>
          <cell r="D801">
            <v>7208</v>
          </cell>
          <cell r="E801">
            <v>1000</v>
          </cell>
          <cell r="F801" t="str">
            <v>ZALM</v>
          </cell>
          <cell r="G801" t="str">
            <v>UN</v>
          </cell>
          <cell r="H801" t="str">
            <v>DOP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>
            <v>0</v>
          </cell>
          <cell r="S801">
            <v>0</v>
          </cell>
          <cell r="T801">
            <v>0</v>
          </cell>
          <cell r="U801" t="e">
            <v>#N/A</v>
          </cell>
        </row>
        <row r="802">
          <cell r="A802">
            <v>1000796</v>
          </cell>
          <cell r="B802" t="str">
            <v>Moldura de Plástico, 1/2"x96"</v>
          </cell>
          <cell r="D802">
            <v>7208</v>
          </cell>
          <cell r="E802">
            <v>1000</v>
          </cell>
          <cell r="F802" t="str">
            <v>ZALM</v>
          </cell>
          <cell r="G802" t="str">
            <v>UN</v>
          </cell>
          <cell r="H802" t="str">
            <v>DOP</v>
          </cell>
          <cell r="I802">
            <v>43939</v>
          </cell>
          <cell r="J802">
            <v>962699.8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>
            <v>0</v>
          </cell>
          <cell r="S802">
            <v>43939</v>
          </cell>
          <cell r="T802">
            <v>962699.8</v>
          </cell>
          <cell r="U802">
            <v>21.909916019936698</v>
          </cell>
        </row>
        <row r="803">
          <cell r="A803">
            <v>1000797</v>
          </cell>
          <cell r="B803" t="str">
            <v>Panel Trifasico de 12 Circuitos</v>
          </cell>
          <cell r="D803">
            <v>7208</v>
          </cell>
          <cell r="E803">
            <v>1000</v>
          </cell>
          <cell r="F803" t="str">
            <v>ZALM</v>
          </cell>
          <cell r="G803" t="str">
            <v>UN</v>
          </cell>
          <cell r="H803" t="str">
            <v>DOP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>
            <v>0</v>
          </cell>
          <cell r="S803">
            <v>0</v>
          </cell>
          <cell r="T803">
            <v>0</v>
          </cell>
          <cell r="U803" t="e">
            <v>#N/A</v>
          </cell>
        </row>
        <row r="804">
          <cell r="A804">
            <v>1000798</v>
          </cell>
          <cell r="B804" t="str">
            <v>Pararrayo 10 KV. Para 12.5 ABB</v>
          </cell>
          <cell r="D804">
            <v>7208</v>
          </cell>
          <cell r="E804">
            <v>1000</v>
          </cell>
          <cell r="F804" t="str">
            <v>ZALM</v>
          </cell>
          <cell r="G804" t="str">
            <v>UN</v>
          </cell>
          <cell r="H804" t="str">
            <v>DOP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>
            <v>0</v>
          </cell>
          <cell r="S804">
            <v>0</v>
          </cell>
          <cell r="T804">
            <v>0</v>
          </cell>
          <cell r="U804" t="e">
            <v>#N/A</v>
          </cell>
        </row>
        <row r="805">
          <cell r="A805">
            <v>1000799</v>
          </cell>
          <cell r="B805" t="str">
            <v>Pararrayo 138 KV. ABB Transmición</v>
          </cell>
          <cell r="D805">
            <v>7208</v>
          </cell>
          <cell r="E805">
            <v>1000</v>
          </cell>
          <cell r="F805" t="str">
            <v>ZALM</v>
          </cell>
          <cell r="G805" t="str">
            <v>UN</v>
          </cell>
          <cell r="H805" t="str">
            <v>DOP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>
            <v>0</v>
          </cell>
          <cell r="S805">
            <v>0</v>
          </cell>
          <cell r="T805">
            <v>0</v>
          </cell>
          <cell r="U805" t="e">
            <v>#N/A</v>
          </cell>
        </row>
        <row r="806">
          <cell r="A806">
            <v>1000800</v>
          </cell>
          <cell r="B806" t="str">
            <v>Pararrayo 34.5 KV.  ABB Transmición</v>
          </cell>
          <cell r="D806">
            <v>7208</v>
          </cell>
          <cell r="E806">
            <v>1000</v>
          </cell>
          <cell r="F806" t="str">
            <v>ZALM</v>
          </cell>
          <cell r="G806" t="str">
            <v>UN</v>
          </cell>
          <cell r="H806" t="str">
            <v>DOP</v>
          </cell>
          <cell r="I806">
            <v>2</v>
          </cell>
          <cell r="J806">
            <v>2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>
            <v>0</v>
          </cell>
          <cell r="S806">
            <v>2</v>
          </cell>
          <cell r="T806">
            <v>2</v>
          </cell>
          <cell r="U806">
            <v>1</v>
          </cell>
        </row>
        <row r="807">
          <cell r="A807">
            <v>1000801</v>
          </cell>
          <cell r="B807" t="str">
            <v>Pararrayo 3kV C/ Desconector de Tierra</v>
          </cell>
          <cell r="D807">
            <v>7208</v>
          </cell>
          <cell r="E807">
            <v>1000</v>
          </cell>
          <cell r="F807" t="str">
            <v>ZALM</v>
          </cell>
          <cell r="G807" t="str">
            <v>UN</v>
          </cell>
          <cell r="H807" t="str">
            <v>DOP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>
            <v>0</v>
          </cell>
          <cell r="S807">
            <v>0</v>
          </cell>
          <cell r="T807">
            <v>0</v>
          </cell>
          <cell r="U807" t="e">
            <v>#N/A</v>
          </cell>
        </row>
        <row r="808">
          <cell r="A808">
            <v>1000802</v>
          </cell>
          <cell r="B808" t="str">
            <v>Pararrayo 3kV Mov T/ Intermed CL2 IEC</v>
          </cell>
          <cell r="D808">
            <v>7208</v>
          </cell>
          <cell r="E808">
            <v>1000</v>
          </cell>
          <cell r="F808" t="str">
            <v>ZALM</v>
          </cell>
          <cell r="G808" t="str">
            <v>UN</v>
          </cell>
          <cell r="H808" t="str">
            <v>DOP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>
            <v>0</v>
          </cell>
          <cell r="S808">
            <v>0</v>
          </cell>
          <cell r="T808">
            <v>0</v>
          </cell>
          <cell r="U808" t="e">
            <v>#N/A</v>
          </cell>
        </row>
        <row r="809">
          <cell r="A809">
            <v>1000803</v>
          </cell>
          <cell r="B809" t="str">
            <v>Pararrayo 69 KV. ABB Transmición</v>
          </cell>
          <cell r="D809">
            <v>7208</v>
          </cell>
          <cell r="E809">
            <v>1000</v>
          </cell>
          <cell r="F809" t="str">
            <v>ZALM</v>
          </cell>
          <cell r="G809" t="str">
            <v>UN</v>
          </cell>
          <cell r="H809" t="str">
            <v>DOP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>
            <v>0</v>
          </cell>
          <cell r="S809">
            <v>0</v>
          </cell>
          <cell r="T809">
            <v>0</v>
          </cell>
          <cell r="U809" t="e">
            <v>#N/A</v>
          </cell>
        </row>
        <row r="810">
          <cell r="A810">
            <v>1000804</v>
          </cell>
          <cell r="B810" t="str">
            <v>Pararrayo 9kV C/ Desconector de Tierra</v>
          </cell>
          <cell r="D810">
            <v>7208</v>
          </cell>
          <cell r="E810">
            <v>1000</v>
          </cell>
          <cell r="F810" t="str">
            <v>ZALM</v>
          </cell>
          <cell r="G810" t="str">
            <v>UN</v>
          </cell>
          <cell r="H810" t="str">
            <v>DOP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>
            <v>0</v>
          </cell>
          <cell r="S810">
            <v>0</v>
          </cell>
          <cell r="T810">
            <v>0</v>
          </cell>
          <cell r="U810" t="e">
            <v>#N/A</v>
          </cell>
        </row>
        <row r="811">
          <cell r="A811">
            <v>1000805</v>
          </cell>
          <cell r="B811" t="str">
            <v>Pararrayo Baja Tensión de Oxido de Metal</v>
          </cell>
          <cell r="D811">
            <v>7208</v>
          </cell>
          <cell r="E811">
            <v>1000</v>
          </cell>
          <cell r="F811" t="str">
            <v>ZALM</v>
          </cell>
          <cell r="G811" t="str">
            <v>UN</v>
          </cell>
          <cell r="H811" t="str">
            <v>DOP</v>
          </cell>
          <cell r="I811">
            <v>111</v>
          </cell>
          <cell r="J811">
            <v>129204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>
            <v>0</v>
          </cell>
          <cell r="S811">
            <v>111</v>
          </cell>
          <cell r="T811">
            <v>129204</v>
          </cell>
          <cell r="U811">
            <v>1164</v>
          </cell>
        </row>
        <row r="812">
          <cell r="A812">
            <v>1000806</v>
          </cell>
          <cell r="B812" t="str">
            <v>Pararrayo de 3 KV Clase I para Redes</v>
          </cell>
          <cell r="D812">
            <v>7208</v>
          </cell>
          <cell r="E812">
            <v>1000</v>
          </cell>
          <cell r="F812" t="str">
            <v>ZALM</v>
          </cell>
          <cell r="G812" t="str">
            <v>UN</v>
          </cell>
          <cell r="H812" t="str">
            <v>DOP</v>
          </cell>
          <cell r="I812">
            <v>103</v>
          </cell>
          <cell r="J812">
            <v>117421.72</v>
          </cell>
          <cell r="K812">
            <v>0</v>
          </cell>
          <cell r="L812">
            <v>0</v>
          </cell>
          <cell r="M812">
            <v>57</v>
          </cell>
          <cell r="N812">
            <v>64980.95</v>
          </cell>
          <cell r="O812">
            <v>0</v>
          </cell>
          <cell r="P812">
            <v>0</v>
          </cell>
          <cell r="Q812">
            <v>0</v>
          </cell>
          <cell r="R812">
            <v>0</v>
          </cell>
          <cell r="S812">
            <v>160</v>
          </cell>
          <cell r="T812">
            <v>182402.67</v>
          </cell>
          <cell r="U812">
            <v>1140.0166875</v>
          </cell>
        </row>
        <row r="813">
          <cell r="A813">
            <v>1000807</v>
          </cell>
          <cell r="B813" t="str">
            <v>Pararrayo de Distribución 9-10kV</v>
          </cell>
          <cell r="D813">
            <v>7208</v>
          </cell>
          <cell r="E813">
            <v>1000</v>
          </cell>
          <cell r="F813" t="str">
            <v>ZALM</v>
          </cell>
          <cell r="G813" t="str">
            <v>UN</v>
          </cell>
          <cell r="H813" t="str">
            <v>DOP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575</v>
          </cell>
          <cell r="N813">
            <v>691836.44</v>
          </cell>
          <cell r="O813">
            <v>0</v>
          </cell>
          <cell r="P813">
            <v>0</v>
          </cell>
          <cell r="Q813">
            <v>361</v>
          </cell>
          <cell r="R813">
            <v>434352.96</v>
          </cell>
          <cell r="S813">
            <v>936</v>
          </cell>
          <cell r="T813">
            <v>1126189.3999999999</v>
          </cell>
          <cell r="U813">
            <v>1203.1938034187999</v>
          </cell>
        </row>
        <row r="814">
          <cell r="A814">
            <v>1000808</v>
          </cell>
          <cell r="B814" t="str">
            <v>Pararrayo Polim 9-10kA Corte Desc Brazo</v>
          </cell>
          <cell r="D814">
            <v>7208</v>
          </cell>
          <cell r="E814">
            <v>1000</v>
          </cell>
          <cell r="F814" t="str">
            <v>ZALM</v>
          </cell>
          <cell r="G814" t="str">
            <v>UN</v>
          </cell>
          <cell r="H814" t="str">
            <v>DOP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9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>
            <v>0</v>
          </cell>
          <cell r="S814">
            <v>9</v>
          </cell>
          <cell r="T814">
            <v>0</v>
          </cell>
          <cell r="U814">
            <v>0</v>
          </cell>
        </row>
        <row r="815">
          <cell r="A815">
            <v>1000809</v>
          </cell>
          <cell r="B815" t="str">
            <v>Pararrayo Polimérico 27- 34.5 KV</v>
          </cell>
          <cell r="D815">
            <v>7208</v>
          </cell>
          <cell r="E815">
            <v>1000</v>
          </cell>
          <cell r="F815" t="str">
            <v>ZALM</v>
          </cell>
          <cell r="G815" t="str">
            <v>UN</v>
          </cell>
          <cell r="H815" t="str">
            <v>DOP</v>
          </cell>
          <cell r="I815">
            <v>1237</v>
          </cell>
          <cell r="J815">
            <v>1242566.5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>
            <v>0</v>
          </cell>
          <cell r="S815">
            <v>1237</v>
          </cell>
          <cell r="T815">
            <v>1242566.5</v>
          </cell>
          <cell r="U815">
            <v>1004.5</v>
          </cell>
        </row>
        <row r="816">
          <cell r="A816">
            <v>1000810</v>
          </cell>
          <cell r="B816" t="str">
            <v>Pararrayo T/ Válvula CL Estación 9-10kV</v>
          </cell>
          <cell r="D816">
            <v>7208</v>
          </cell>
          <cell r="E816">
            <v>1000</v>
          </cell>
          <cell r="F816" t="str">
            <v>ZALM</v>
          </cell>
          <cell r="G816" t="str">
            <v>UN</v>
          </cell>
          <cell r="H816" t="str">
            <v>DOP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>
            <v>0</v>
          </cell>
          <cell r="S816">
            <v>0</v>
          </cell>
          <cell r="T816">
            <v>0</v>
          </cell>
          <cell r="U816" t="e">
            <v>#N/A</v>
          </cell>
        </row>
        <row r="817">
          <cell r="A817">
            <v>1000811</v>
          </cell>
          <cell r="B817" t="str">
            <v>Percha P/ 3 Líneas Secundarias</v>
          </cell>
          <cell r="D817">
            <v>7208</v>
          </cell>
          <cell r="E817">
            <v>1000</v>
          </cell>
          <cell r="F817" t="str">
            <v>ZALM</v>
          </cell>
          <cell r="G817" t="str">
            <v>UN</v>
          </cell>
          <cell r="H817" t="str">
            <v>DOP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>
            <v>0</v>
          </cell>
          <cell r="S817">
            <v>0</v>
          </cell>
          <cell r="T817">
            <v>0</v>
          </cell>
          <cell r="U817" t="e">
            <v>#N/A</v>
          </cell>
        </row>
        <row r="818">
          <cell r="A818">
            <v>1000812</v>
          </cell>
          <cell r="B818" t="str">
            <v>Percha P/ 4 Líneas Secundarias</v>
          </cell>
          <cell r="D818">
            <v>7208</v>
          </cell>
          <cell r="E818">
            <v>1000</v>
          </cell>
          <cell r="F818" t="str">
            <v>ZALM</v>
          </cell>
          <cell r="G818" t="str">
            <v>UN</v>
          </cell>
          <cell r="H818" t="str">
            <v>DOP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>
            <v>0</v>
          </cell>
          <cell r="S818">
            <v>0</v>
          </cell>
          <cell r="T818">
            <v>0</v>
          </cell>
          <cell r="U818" t="e">
            <v>#N/A</v>
          </cell>
        </row>
        <row r="819">
          <cell r="A819">
            <v>1000813</v>
          </cell>
          <cell r="B819" t="str">
            <v>Pin-To-Pin Cable Assembly 20 Inc</v>
          </cell>
          <cell r="D819">
            <v>7208</v>
          </cell>
          <cell r="E819">
            <v>1000</v>
          </cell>
          <cell r="F819" t="str">
            <v>ZALM</v>
          </cell>
          <cell r="G819" t="str">
            <v>UN</v>
          </cell>
          <cell r="H819" t="str">
            <v>DOP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>
            <v>0</v>
          </cell>
          <cell r="S819">
            <v>0</v>
          </cell>
          <cell r="T819">
            <v>0</v>
          </cell>
          <cell r="U819" t="e">
            <v>#N/A</v>
          </cell>
        </row>
        <row r="820">
          <cell r="A820">
            <v>1000814</v>
          </cell>
          <cell r="B820" t="str">
            <v>Pinza de Retención para LBAT Prensacable</v>
          </cell>
          <cell r="D820">
            <v>7208</v>
          </cell>
          <cell r="E820">
            <v>1000</v>
          </cell>
          <cell r="F820" t="str">
            <v>ZALM</v>
          </cell>
          <cell r="G820" t="str">
            <v>UN</v>
          </cell>
          <cell r="H820" t="str">
            <v>DOP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70</v>
          </cell>
          <cell r="N820">
            <v>4827.8999999999996</v>
          </cell>
          <cell r="O820">
            <v>0</v>
          </cell>
          <cell r="P820">
            <v>0</v>
          </cell>
          <cell r="Q820">
            <v>1305</v>
          </cell>
          <cell r="R820">
            <v>90005.85</v>
          </cell>
          <cell r="S820">
            <v>1375</v>
          </cell>
          <cell r="T820">
            <v>94833.75</v>
          </cell>
          <cell r="U820">
            <v>68.97</v>
          </cell>
        </row>
        <row r="821">
          <cell r="A821">
            <v>1000815</v>
          </cell>
          <cell r="B821" t="str">
            <v>Pinza de Suspensión P/ LABT Prensacable</v>
          </cell>
          <cell r="D821">
            <v>7208</v>
          </cell>
          <cell r="E821">
            <v>1000</v>
          </cell>
          <cell r="F821" t="str">
            <v>ZALM</v>
          </cell>
          <cell r="G821" t="str">
            <v>UN</v>
          </cell>
          <cell r="H821" t="str">
            <v>DOP</v>
          </cell>
          <cell r="I821">
            <v>38114</v>
          </cell>
          <cell r="J821">
            <v>670232.55000000005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>
            <v>0</v>
          </cell>
          <cell r="S821">
            <v>38114</v>
          </cell>
          <cell r="T821">
            <v>670232.55000000005</v>
          </cell>
          <cell r="U821">
            <v>17.5849438526526</v>
          </cell>
        </row>
        <row r="822">
          <cell r="A822">
            <v>1000816</v>
          </cell>
          <cell r="B822" t="str">
            <v>Pinza Derivadora</v>
          </cell>
          <cell r="D822">
            <v>7208</v>
          </cell>
          <cell r="E822">
            <v>1000</v>
          </cell>
          <cell r="F822" t="str">
            <v>ZALM</v>
          </cell>
          <cell r="G822" t="str">
            <v>UN</v>
          </cell>
          <cell r="H822" t="str">
            <v>DOP</v>
          </cell>
          <cell r="I822">
            <v>0</v>
          </cell>
          <cell r="J822">
            <v>0</v>
          </cell>
          <cell r="K822">
            <v>7805</v>
          </cell>
          <cell r="L822">
            <v>299381.5</v>
          </cell>
          <cell r="M822">
            <v>284</v>
          </cell>
          <cell r="N822">
            <v>10893.57</v>
          </cell>
          <cell r="O822">
            <v>0</v>
          </cell>
          <cell r="P822">
            <v>0</v>
          </cell>
          <cell r="Q822">
            <v>196938</v>
          </cell>
          <cell r="R822">
            <v>7554079.8600000003</v>
          </cell>
          <cell r="S822">
            <v>205027</v>
          </cell>
          <cell r="T822">
            <v>7864354.9299999997</v>
          </cell>
          <cell r="U822">
            <v>38.357654991781601</v>
          </cell>
        </row>
        <row r="823">
          <cell r="A823">
            <v>1000817</v>
          </cell>
          <cell r="B823" t="str">
            <v>Polyphaser Surge Prot IS-50NX-C2 1000Mhz</v>
          </cell>
          <cell r="D823">
            <v>7208</v>
          </cell>
          <cell r="E823">
            <v>1000</v>
          </cell>
          <cell r="F823" t="str">
            <v>ZALM</v>
          </cell>
          <cell r="G823" t="str">
            <v>UN</v>
          </cell>
          <cell r="H823" t="str">
            <v>DOP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4</v>
          </cell>
          <cell r="N823">
            <v>12417.1</v>
          </cell>
          <cell r="O823">
            <v>0</v>
          </cell>
          <cell r="P823">
            <v>0</v>
          </cell>
          <cell r="Q823">
            <v>0</v>
          </cell>
          <cell r="R823">
            <v>0</v>
          </cell>
          <cell r="S823">
            <v>4</v>
          </cell>
          <cell r="T823">
            <v>12417.1</v>
          </cell>
          <cell r="U823">
            <v>3104.2750000000001</v>
          </cell>
        </row>
        <row r="824">
          <cell r="A824">
            <v>1000818</v>
          </cell>
          <cell r="B824" t="str">
            <v>Porta Conductor</v>
          </cell>
          <cell r="D824">
            <v>7208</v>
          </cell>
          <cell r="E824">
            <v>1000</v>
          </cell>
          <cell r="F824" t="str">
            <v>ZALM</v>
          </cell>
          <cell r="G824" t="str">
            <v>UN</v>
          </cell>
          <cell r="H824" t="str">
            <v>DOP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>
            <v>0</v>
          </cell>
          <cell r="S824">
            <v>0</v>
          </cell>
          <cell r="T824">
            <v>0</v>
          </cell>
          <cell r="U824" t="e">
            <v>#N/A</v>
          </cell>
        </row>
        <row r="825">
          <cell r="A825">
            <v>1000819</v>
          </cell>
          <cell r="B825" t="str">
            <v>Porta Fus Aéreo en Cap P/ Fus Neozep 63A</v>
          </cell>
          <cell r="D825">
            <v>7208</v>
          </cell>
          <cell r="E825">
            <v>1000</v>
          </cell>
          <cell r="F825" t="str">
            <v>ZALM</v>
          </cell>
          <cell r="G825" t="str">
            <v>UN</v>
          </cell>
          <cell r="H825" t="str">
            <v>DOP</v>
          </cell>
          <cell r="I825">
            <v>66603</v>
          </cell>
          <cell r="J825">
            <v>1093806.1200000001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>
            <v>0</v>
          </cell>
          <cell r="S825">
            <v>66603</v>
          </cell>
          <cell r="T825">
            <v>1093806.1200000001</v>
          </cell>
          <cell r="U825">
            <v>16.422775550650901</v>
          </cell>
        </row>
        <row r="826">
          <cell r="A826">
            <v>1000820</v>
          </cell>
          <cell r="B826" t="str">
            <v>Portafusible</v>
          </cell>
          <cell r="D826">
            <v>7208</v>
          </cell>
          <cell r="E826">
            <v>1000</v>
          </cell>
          <cell r="F826" t="str">
            <v>ZALM</v>
          </cell>
          <cell r="G826" t="str">
            <v>UN</v>
          </cell>
          <cell r="H826" t="str">
            <v>DOP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>
            <v>0</v>
          </cell>
          <cell r="S826">
            <v>0</v>
          </cell>
          <cell r="T826">
            <v>0</v>
          </cell>
          <cell r="U826" t="e">
            <v>#N/A</v>
          </cell>
        </row>
        <row r="827">
          <cell r="A827">
            <v>1000821</v>
          </cell>
          <cell r="B827" t="str">
            <v>Portafusible BPA 15 34.5kV 100A 20kA</v>
          </cell>
          <cell r="D827">
            <v>7208</v>
          </cell>
          <cell r="E827">
            <v>1000</v>
          </cell>
          <cell r="F827" t="str">
            <v>ZALM</v>
          </cell>
          <cell r="G827" t="str">
            <v>UN</v>
          </cell>
          <cell r="H827" t="str">
            <v>DOP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>
            <v>0</v>
          </cell>
          <cell r="S827">
            <v>0</v>
          </cell>
          <cell r="T827">
            <v>0</v>
          </cell>
          <cell r="U827" t="e">
            <v>#N/A</v>
          </cell>
        </row>
        <row r="828">
          <cell r="A828">
            <v>1000822</v>
          </cell>
          <cell r="B828" t="str">
            <v>Portafusible BPA 26 34.5KV 200A 20kA</v>
          </cell>
          <cell r="D828">
            <v>7208</v>
          </cell>
          <cell r="E828">
            <v>1000</v>
          </cell>
          <cell r="F828" t="str">
            <v>ZALM</v>
          </cell>
          <cell r="G828" t="str">
            <v>UN</v>
          </cell>
          <cell r="H828" t="str">
            <v>DOP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>
            <v>0</v>
          </cell>
          <cell r="S828">
            <v>0</v>
          </cell>
          <cell r="T828">
            <v>0</v>
          </cell>
          <cell r="U828" t="e">
            <v>#N/A</v>
          </cell>
        </row>
        <row r="829">
          <cell r="A829">
            <v>1000823</v>
          </cell>
          <cell r="B829" t="str">
            <v>Portafusible de Cristal 10A</v>
          </cell>
          <cell r="D829">
            <v>7208</v>
          </cell>
          <cell r="E829">
            <v>1000</v>
          </cell>
          <cell r="F829" t="str">
            <v>ZALM</v>
          </cell>
          <cell r="G829" t="str">
            <v>UN</v>
          </cell>
          <cell r="H829" t="str">
            <v>DOP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>
            <v>0</v>
          </cell>
          <cell r="S829">
            <v>0</v>
          </cell>
          <cell r="T829">
            <v>0</v>
          </cell>
          <cell r="U829" t="e">
            <v>#N/A</v>
          </cell>
        </row>
        <row r="830">
          <cell r="A830">
            <v>1000824</v>
          </cell>
          <cell r="B830" t="str">
            <v>Portafusible P/ 69kV</v>
          </cell>
          <cell r="D830">
            <v>7208</v>
          </cell>
          <cell r="E830">
            <v>1000</v>
          </cell>
          <cell r="F830" t="str">
            <v>ZALM</v>
          </cell>
          <cell r="G830" t="str">
            <v>UN</v>
          </cell>
          <cell r="H830" t="str">
            <v>DOP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>
            <v>0</v>
          </cell>
          <cell r="S830">
            <v>0</v>
          </cell>
          <cell r="T830">
            <v>0</v>
          </cell>
          <cell r="U830" t="e">
            <v>#N/A</v>
          </cell>
        </row>
        <row r="831">
          <cell r="A831">
            <v>1000825</v>
          </cell>
          <cell r="B831" t="str">
            <v>Portafusible T/ BPA Power Fuse 34.5kV</v>
          </cell>
          <cell r="D831">
            <v>7208</v>
          </cell>
          <cell r="E831">
            <v>1000</v>
          </cell>
          <cell r="F831" t="str">
            <v>ZALM</v>
          </cell>
          <cell r="G831" t="str">
            <v>UN</v>
          </cell>
          <cell r="H831" t="str">
            <v>DOP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>
            <v>0</v>
          </cell>
          <cell r="S831">
            <v>0</v>
          </cell>
          <cell r="T831">
            <v>0</v>
          </cell>
          <cell r="U831" t="e">
            <v>#N/A</v>
          </cell>
        </row>
        <row r="832">
          <cell r="A832">
            <v>1000826</v>
          </cell>
          <cell r="B832" t="str">
            <v>Protec Cable Acero C/ Cono 5´0" 4 1/2"</v>
          </cell>
          <cell r="D832">
            <v>7208</v>
          </cell>
          <cell r="E832">
            <v>1000</v>
          </cell>
          <cell r="F832" t="str">
            <v>ZALM</v>
          </cell>
          <cell r="G832" t="str">
            <v>UN</v>
          </cell>
          <cell r="H832" t="str">
            <v>DOP</v>
          </cell>
          <cell r="I832">
            <v>3</v>
          </cell>
          <cell r="J832">
            <v>3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>
            <v>0</v>
          </cell>
          <cell r="S832">
            <v>3</v>
          </cell>
          <cell r="T832">
            <v>3</v>
          </cell>
          <cell r="U832">
            <v>1</v>
          </cell>
        </row>
        <row r="833">
          <cell r="A833">
            <v>1000827</v>
          </cell>
          <cell r="B833" t="str">
            <v>Protec Cable Acero Placa 8´0" 4 1/2"</v>
          </cell>
          <cell r="D833">
            <v>7208</v>
          </cell>
          <cell r="E833">
            <v>1000</v>
          </cell>
          <cell r="F833" t="str">
            <v>ZALM</v>
          </cell>
          <cell r="G833" t="str">
            <v>UN</v>
          </cell>
          <cell r="H833" t="str">
            <v>DOP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>
            <v>0</v>
          </cell>
          <cell r="S833">
            <v>0</v>
          </cell>
          <cell r="T833">
            <v>0</v>
          </cell>
          <cell r="U833" t="e">
            <v>#N/A</v>
          </cell>
        </row>
        <row r="834">
          <cell r="A834">
            <v>1000828</v>
          </cell>
          <cell r="B834" t="str">
            <v>Protec Cable Acero S/ Cono 8´0" 4 1/2"</v>
          </cell>
          <cell r="D834">
            <v>7208</v>
          </cell>
          <cell r="E834">
            <v>1000</v>
          </cell>
          <cell r="F834" t="str">
            <v>ZALM</v>
          </cell>
          <cell r="G834" t="str">
            <v>UN</v>
          </cell>
          <cell r="H834" t="str">
            <v>DOP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>
            <v>0</v>
          </cell>
          <cell r="S834">
            <v>0</v>
          </cell>
          <cell r="T834">
            <v>0</v>
          </cell>
          <cell r="U834" t="e">
            <v>#N/A</v>
          </cell>
        </row>
        <row r="835">
          <cell r="A835">
            <v>1000829</v>
          </cell>
          <cell r="B835" t="str">
            <v>Regleta 6P 25A CAMSCO</v>
          </cell>
          <cell r="D835">
            <v>7208</v>
          </cell>
          <cell r="E835">
            <v>1000</v>
          </cell>
          <cell r="F835" t="str">
            <v>ZALM</v>
          </cell>
          <cell r="G835" t="str">
            <v>UN</v>
          </cell>
          <cell r="H835" t="str">
            <v>DOP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>
            <v>0</v>
          </cell>
          <cell r="S835">
            <v>0</v>
          </cell>
          <cell r="T835">
            <v>0</v>
          </cell>
          <cell r="U835" t="e">
            <v>#N/A</v>
          </cell>
        </row>
        <row r="836">
          <cell r="A836">
            <v>1000830</v>
          </cell>
          <cell r="B836" t="str">
            <v>Regleta 7P 25A CAMSCO</v>
          </cell>
          <cell r="D836">
            <v>7208</v>
          </cell>
          <cell r="E836">
            <v>1000</v>
          </cell>
          <cell r="F836" t="str">
            <v>ZALM</v>
          </cell>
          <cell r="G836" t="str">
            <v>UN</v>
          </cell>
          <cell r="H836" t="str">
            <v>DOP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>
            <v>0</v>
          </cell>
          <cell r="S836">
            <v>0</v>
          </cell>
          <cell r="T836">
            <v>0</v>
          </cell>
          <cell r="U836" t="e">
            <v>#N/A</v>
          </cell>
        </row>
        <row r="837">
          <cell r="A837">
            <v>1000831</v>
          </cell>
          <cell r="B837" t="str">
            <v>Regleta 9P 25A CAMSCO</v>
          </cell>
          <cell r="D837">
            <v>7208</v>
          </cell>
          <cell r="E837">
            <v>1000</v>
          </cell>
          <cell r="F837" t="str">
            <v>ZALM</v>
          </cell>
          <cell r="G837" t="str">
            <v>UN</v>
          </cell>
          <cell r="H837" t="str">
            <v>DOP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>
            <v>0</v>
          </cell>
          <cell r="S837">
            <v>0</v>
          </cell>
          <cell r="T837">
            <v>0</v>
          </cell>
          <cell r="U837" t="e">
            <v>#N/A</v>
          </cell>
        </row>
        <row r="838">
          <cell r="A838">
            <v>1000832</v>
          </cell>
          <cell r="B838" t="str">
            <v>Regleta Verificacion P/ Medida Indirecta</v>
          </cell>
          <cell r="D838">
            <v>7208</v>
          </cell>
          <cell r="E838">
            <v>1000</v>
          </cell>
          <cell r="F838" t="str">
            <v>ZALM</v>
          </cell>
          <cell r="G838" t="str">
            <v>UN</v>
          </cell>
          <cell r="H838" t="str">
            <v>DOP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>
            <v>0</v>
          </cell>
          <cell r="S838">
            <v>0</v>
          </cell>
          <cell r="T838">
            <v>0</v>
          </cell>
          <cell r="U838" t="e">
            <v>#N/A</v>
          </cell>
        </row>
        <row r="839">
          <cell r="A839">
            <v>1000833</v>
          </cell>
          <cell r="B839" t="str">
            <v>Regulador de 5V C/ Reset Ref. U402</v>
          </cell>
          <cell r="D839">
            <v>7208</v>
          </cell>
          <cell r="E839">
            <v>1000</v>
          </cell>
          <cell r="F839" t="str">
            <v>ZALM</v>
          </cell>
          <cell r="G839" t="str">
            <v>UN</v>
          </cell>
          <cell r="H839" t="str">
            <v>DOP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>
            <v>0</v>
          </cell>
          <cell r="S839">
            <v>0</v>
          </cell>
          <cell r="T839">
            <v>0</v>
          </cell>
          <cell r="U839" t="e">
            <v>#N/A</v>
          </cell>
        </row>
        <row r="840">
          <cell r="A840">
            <v>1000834</v>
          </cell>
          <cell r="B840" t="str">
            <v>Regulador de Voltaje P/ Paneles Solares</v>
          </cell>
          <cell r="D840">
            <v>7208</v>
          </cell>
          <cell r="E840">
            <v>1000</v>
          </cell>
          <cell r="F840" t="str">
            <v>ZALM</v>
          </cell>
          <cell r="G840" t="str">
            <v>UN</v>
          </cell>
          <cell r="H840" t="str">
            <v>DOP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>
            <v>0</v>
          </cell>
          <cell r="S840">
            <v>0</v>
          </cell>
          <cell r="T840">
            <v>0</v>
          </cell>
          <cell r="U840" t="e">
            <v>#N/A</v>
          </cell>
        </row>
        <row r="841">
          <cell r="A841">
            <v>1000835</v>
          </cell>
          <cell r="B841" t="str">
            <v>Regulador de Voltaje P/ Radio GM300</v>
          </cell>
          <cell r="D841">
            <v>7208</v>
          </cell>
          <cell r="E841">
            <v>1000</v>
          </cell>
          <cell r="F841" t="str">
            <v>ZALM</v>
          </cell>
          <cell r="G841" t="str">
            <v>UN</v>
          </cell>
          <cell r="H841" t="str">
            <v>DOP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>
            <v>0</v>
          </cell>
          <cell r="S841">
            <v>0</v>
          </cell>
          <cell r="T841">
            <v>0</v>
          </cell>
          <cell r="U841" t="e">
            <v>#N/A</v>
          </cell>
        </row>
        <row r="842">
          <cell r="A842">
            <v>1000836</v>
          </cell>
          <cell r="B842" t="str">
            <v>Relay 10A 110VDC (3CC) 11 Pines Finder</v>
          </cell>
          <cell r="D842">
            <v>7208</v>
          </cell>
          <cell r="E842">
            <v>1000</v>
          </cell>
          <cell r="F842" t="str">
            <v>ZALM</v>
          </cell>
          <cell r="G842" t="str">
            <v>UN</v>
          </cell>
          <cell r="H842" t="str">
            <v>DOP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>
            <v>0</v>
          </cell>
          <cell r="S842">
            <v>0</v>
          </cell>
          <cell r="T842">
            <v>0</v>
          </cell>
          <cell r="U842" t="e">
            <v>#N/A</v>
          </cell>
        </row>
        <row r="843">
          <cell r="A843">
            <v>1000837</v>
          </cell>
          <cell r="B843" t="str">
            <v>Relay 2 Cont Cerr-2 Abier110VDC 8 PIN</v>
          </cell>
          <cell r="D843">
            <v>7208</v>
          </cell>
          <cell r="E843">
            <v>1000</v>
          </cell>
          <cell r="F843" t="str">
            <v>ZALM</v>
          </cell>
          <cell r="G843" t="str">
            <v>UN</v>
          </cell>
          <cell r="H843" t="str">
            <v>DOP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>
            <v>0</v>
          </cell>
          <cell r="S843">
            <v>0</v>
          </cell>
          <cell r="T843">
            <v>0</v>
          </cell>
          <cell r="U843" t="e">
            <v>#N/A</v>
          </cell>
        </row>
        <row r="844">
          <cell r="A844">
            <v>1000838</v>
          </cell>
          <cell r="B844" t="str">
            <v>Relay Auxilar con Bocina 125 V DC</v>
          </cell>
          <cell r="D844">
            <v>7208</v>
          </cell>
          <cell r="E844">
            <v>1000</v>
          </cell>
          <cell r="F844" t="str">
            <v>ZALM</v>
          </cell>
          <cell r="G844" t="str">
            <v>UN</v>
          </cell>
          <cell r="H844" t="str">
            <v>DOP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>
            <v>0</v>
          </cell>
          <cell r="S844">
            <v>0</v>
          </cell>
          <cell r="T844">
            <v>0</v>
          </cell>
          <cell r="U844" t="e">
            <v>#N/A</v>
          </cell>
        </row>
        <row r="845">
          <cell r="A845">
            <v>1000839</v>
          </cell>
          <cell r="B845" t="str">
            <v>Relay Auxilar125VDC 2Cont N/C-2Cont N/O</v>
          </cell>
          <cell r="D845">
            <v>7208</v>
          </cell>
          <cell r="E845">
            <v>1000</v>
          </cell>
          <cell r="F845" t="str">
            <v>ZALM</v>
          </cell>
          <cell r="G845" t="str">
            <v>UN</v>
          </cell>
          <cell r="H845" t="str">
            <v>DOP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>
            <v>0</v>
          </cell>
          <cell r="S845">
            <v>0</v>
          </cell>
          <cell r="T845">
            <v>0</v>
          </cell>
          <cell r="U845" t="e">
            <v>#N/A</v>
          </cell>
        </row>
        <row r="846">
          <cell r="A846">
            <v>1000840</v>
          </cell>
          <cell r="B846" t="str">
            <v>Relay Auxiliar 110V AC Contactos 10A</v>
          </cell>
          <cell r="D846">
            <v>7208</v>
          </cell>
          <cell r="E846">
            <v>1000</v>
          </cell>
          <cell r="F846" t="str">
            <v>ZALM</v>
          </cell>
          <cell r="G846" t="str">
            <v>UN</v>
          </cell>
          <cell r="H846" t="str">
            <v>DOP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>
            <v>0</v>
          </cell>
          <cell r="S846">
            <v>0</v>
          </cell>
          <cell r="T846">
            <v>0</v>
          </cell>
          <cell r="U846" t="e">
            <v>#N/A</v>
          </cell>
        </row>
        <row r="847">
          <cell r="A847">
            <v>1000841</v>
          </cell>
          <cell r="B847" t="str">
            <v>Relay Auxiliar P/ Manej Contr 125VDC 10A</v>
          </cell>
          <cell r="D847">
            <v>7208</v>
          </cell>
          <cell r="E847">
            <v>1000</v>
          </cell>
          <cell r="F847" t="str">
            <v>ZALM</v>
          </cell>
          <cell r="G847" t="str">
            <v>UN</v>
          </cell>
          <cell r="H847" t="str">
            <v>DOP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>
            <v>0</v>
          </cell>
          <cell r="S847">
            <v>0</v>
          </cell>
          <cell r="T847">
            <v>0</v>
          </cell>
          <cell r="U847" t="e">
            <v>#N/A</v>
          </cell>
        </row>
        <row r="848">
          <cell r="A848">
            <v>1000842</v>
          </cell>
          <cell r="B848" t="str">
            <v>Relay de 8 PIN 120VDC C/ Base</v>
          </cell>
          <cell r="D848">
            <v>7208</v>
          </cell>
          <cell r="E848">
            <v>1000</v>
          </cell>
          <cell r="F848" t="str">
            <v>ZALM</v>
          </cell>
          <cell r="G848" t="str">
            <v>UN</v>
          </cell>
          <cell r="H848" t="str">
            <v>DOP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>
            <v>0</v>
          </cell>
          <cell r="S848">
            <v>0</v>
          </cell>
          <cell r="T848">
            <v>0</v>
          </cell>
          <cell r="U848" t="e">
            <v>#N/A</v>
          </cell>
        </row>
        <row r="849">
          <cell r="A849">
            <v>1000843</v>
          </cell>
          <cell r="B849" t="str">
            <v>PROCESADOR DE COM. Y SISTEMA SCADA</v>
          </cell>
          <cell r="D849">
            <v>7208</v>
          </cell>
          <cell r="E849">
            <v>1000</v>
          </cell>
          <cell r="F849" t="str">
            <v>ZALM</v>
          </cell>
          <cell r="G849" t="str">
            <v>UN</v>
          </cell>
          <cell r="H849" t="str">
            <v>DOP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>
            <v>0</v>
          </cell>
          <cell r="S849">
            <v>0</v>
          </cell>
          <cell r="T849">
            <v>0</v>
          </cell>
          <cell r="U849" t="e">
            <v>#N/A</v>
          </cell>
        </row>
        <row r="850">
          <cell r="A850">
            <v>1000844</v>
          </cell>
          <cell r="B850" t="str">
            <v>Relay de Protección SEL-387A</v>
          </cell>
          <cell r="D850">
            <v>7208</v>
          </cell>
          <cell r="E850">
            <v>1000</v>
          </cell>
          <cell r="F850" t="str">
            <v>ZALM</v>
          </cell>
          <cell r="G850" t="str">
            <v>UN</v>
          </cell>
          <cell r="H850" t="str">
            <v>DOP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>
            <v>0</v>
          </cell>
          <cell r="S850">
            <v>0</v>
          </cell>
          <cell r="T850">
            <v>0</v>
          </cell>
          <cell r="U850" t="e">
            <v>#N/A</v>
          </cell>
        </row>
        <row r="851">
          <cell r="A851">
            <v>1000845</v>
          </cell>
          <cell r="B851" t="str">
            <v>Relay de Protección SEL-501</v>
          </cell>
          <cell r="D851">
            <v>7208</v>
          </cell>
          <cell r="E851">
            <v>1000</v>
          </cell>
          <cell r="F851" t="str">
            <v>ZALM</v>
          </cell>
          <cell r="G851" t="str">
            <v>UN</v>
          </cell>
          <cell r="H851" t="str">
            <v>DOP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>
            <v>0</v>
          </cell>
          <cell r="S851">
            <v>0</v>
          </cell>
          <cell r="T851">
            <v>0</v>
          </cell>
          <cell r="U851" t="e">
            <v>#N/A</v>
          </cell>
        </row>
        <row r="852">
          <cell r="A852">
            <v>1000846</v>
          </cell>
          <cell r="B852" t="str">
            <v>RELE DE PROT. PARA ALIMENTADORES(FEEDER)</v>
          </cell>
          <cell r="D852">
            <v>7208</v>
          </cell>
          <cell r="E852">
            <v>1000</v>
          </cell>
          <cell r="F852" t="str">
            <v>ZALM</v>
          </cell>
          <cell r="G852" t="str">
            <v>UN</v>
          </cell>
          <cell r="H852" t="str">
            <v>DOP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>
            <v>0</v>
          </cell>
          <cell r="S852">
            <v>0</v>
          </cell>
          <cell r="T852">
            <v>0</v>
          </cell>
          <cell r="U852" t="e">
            <v>#N/A</v>
          </cell>
        </row>
        <row r="853">
          <cell r="A853">
            <v>1000847</v>
          </cell>
          <cell r="B853" t="str">
            <v>Relay de Protección SEL-751A</v>
          </cell>
          <cell r="D853">
            <v>7208</v>
          </cell>
          <cell r="E853">
            <v>1000</v>
          </cell>
          <cell r="F853" t="str">
            <v>ZALM</v>
          </cell>
          <cell r="G853" t="str">
            <v>UN</v>
          </cell>
          <cell r="H853" t="str">
            <v>DOP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>
            <v>0</v>
          </cell>
          <cell r="S853">
            <v>0</v>
          </cell>
          <cell r="T853">
            <v>0</v>
          </cell>
          <cell r="U853" t="e">
            <v>#N/A</v>
          </cell>
        </row>
        <row r="854">
          <cell r="A854">
            <v>1000848</v>
          </cell>
          <cell r="B854" t="str">
            <v>RELE DE PROT. PARA TRANSFORMADORES POT.</v>
          </cell>
          <cell r="D854">
            <v>7208</v>
          </cell>
          <cell r="E854">
            <v>1000</v>
          </cell>
          <cell r="F854" t="str">
            <v>ZALM</v>
          </cell>
          <cell r="G854" t="str">
            <v>UN</v>
          </cell>
          <cell r="H854" t="str">
            <v>DOP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>
            <v>0</v>
          </cell>
          <cell r="S854">
            <v>0</v>
          </cell>
          <cell r="T854">
            <v>0</v>
          </cell>
          <cell r="U854" t="e">
            <v>#N/A</v>
          </cell>
        </row>
        <row r="855">
          <cell r="A855">
            <v>1000849</v>
          </cell>
          <cell r="B855" t="str">
            <v>Relay Digital ABB DPU 2000R</v>
          </cell>
          <cell r="D855">
            <v>7208</v>
          </cell>
          <cell r="E855">
            <v>1000</v>
          </cell>
          <cell r="F855" t="str">
            <v>ZALM</v>
          </cell>
          <cell r="G855" t="str">
            <v>UN</v>
          </cell>
          <cell r="H855" t="str">
            <v>DOP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>
            <v>0</v>
          </cell>
          <cell r="S855">
            <v>0</v>
          </cell>
          <cell r="T855">
            <v>0</v>
          </cell>
          <cell r="U855" t="e">
            <v>#N/A</v>
          </cell>
        </row>
        <row r="856">
          <cell r="A856">
            <v>1000850</v>
          </cell>
          <cell r="B856" t="str">
            <v>Relay Digital ABB Referencia 316</v>
          </cell>
          <cell r="D856">
            <v>7208</v>
          </cell>
          <cell r="E856">
            <v>1000</v>
          </cell>
          <cell r="F856" t="str">
            <v>ZALM</v>
          </cell>
          <cell r="G856" t="str">
            <v>UN</v>
          </cell>
          <cell r="H856" t="str">
            <v>DOP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>
            <v>0</v>
          </cell>
          <cell r="S856">
            <v>0</v>
          </cell>
          <cell r="T856">
            <v>0</v>
          </cell>
          <cell r="U856" t="e">
            <v>#N/A</v>
          </cell>
        </row>
        <row r="857">
          <cell r="A857">
            <v>1000851</v>
          </cell>
          <cell r="B857" t="str">
            <v>Relay Digital ABB Referencia 542</v>
          </cell>
          <cell r="D857">
            <v>7208</v>
          </cell>
          <cell r="E857">
            <v>1000</v>
          </cell>
          <cell r="F857" t="str">
            <v>ZALM</v>
          </cell>
          <cell r="G857" t="str">
            <v>UN</v>
          </cell>
          <cell r="H857" t="str">
            <v>DOP</v>
          </cell>
          <cell r="I857">
            <v>0</v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  <cell r="N857">
            <v>0</v>
          </cell>
          <cell r="O857">
            <v>0</v>
          </cell>
          <cell r="P857">
            <v>0</v>
          </cell>
          <cell r="Q857">
            <v>0</v>
          </cell>
          <cell r="R857">
            <v>0</v>
          </cell>
          <cell r="S857">
            <v>0</v>
          </cell>
          <cell r="T857">
            <v>0</v>
          </cell>
          <cell r="U857" t="e">
            <v>#N/A</v>
          </cell>
        </row>
        <row r="858">
          <cell r="A858">
            <v>1000852</v>
          </cell>
          <cell r="B858" t="str">
            <v>Relay Digital AEG PS-431</v>
          </cell>
          <cell r="D858">
            <v>7208</v>
          </cell>
          <cell r="E858">
            <v>1000</v>
          </cell>
          <cell r="F858" t="str">
            <v>ZALM</v>
          </cell>
          <cell r="G858" t="str">
            <v>UN</v>
          </cell>
          <cell r="H858" t="str">
            <v>DOP</v>
          </cell>
          <cell r="I858">
            <v>0</v>
          </cell>
          <cell r="J858">
            <v>0</v>
          </cell>
          <cell r="K858">
            <v>0</v>
          </cell>
          <cell r="L858">
            <v>0</v>
          </cell>
          <cell r="M858">
            <v>0</v>
          </cell>
          <cell r="N858">
            <v>0</v>
          </cell>
          <cell r="O858">
            <v>0</v>
          </cell>
          <cell r="P858">
            <v>0</v>
          </cell>
          <cell r="Q858">
            <v>0</v>
          </cell>
          <cell r="R858">
            <v>0</v>
          </cell>
          <cell r="S858">
            <v>0</v>
          </cell>
          <cell r="T858">
            <v>0</v>
          </cell>
          <cell r="U858" t="e">
            <v>#N/A</v>
          </cell>
        </row>
        <row r="859">
          <cell r="A859">
            <v>1000853</v>
          </cell>
          <cell r="B859" t="str">
            <v>Relay Digital SIEMENS 7SJ62</v>
          </cell>
          <cell r="D859">
            <v>7208</v>
          </cell>
          <cell r="E859">
            <v>1000</v>
          </cell>
          <cell r="F859" t="str">
            <v>ZALM</v>
          </cell>
          <cell r="G859" t="str">
            <v>UN</v>
          </cell>
          <cell r="H859" t="str">
            <v>DOP</v>
          </cell>
          <cell r="I859">
            <v>0</v>
          </cell>
          <cell r="J859">
            <v>0</v>
          </cell>
          <cell r="K859">
            <v>0</v>
          </cell>
          <cell r="L859">
            <v>0</v>
          </cell>
          <cell r="M859">
            <v>0</v>
          </cell>
          <cell r="N859">
            <v>0</v>
          </cell>
          <cell r="O859">
            <v>0</v>
          </cell>
          <cell r="P859">
            <v>0</v>
          </cell>
          <cell r="Q859">
            <v>0</v>
          </cell>
          <cell r="R859">
            <v>0</v>
          </cell>
          <cell r="S859">
            <v>0</v>
          </cell>
          <cell r="T859">
            <v>0</v>
          </cell>
          <cell r="U859" t="e">
            <v>#N/A</v>
          </cell>
        </row>
        <row r="860">
          <cell r="A860">
            <v>1000854</v>
          </cell>
          <cell r="B860" t="str">
            <v>Relay Digital SIEMENS 7SJ63</v>
          </cell>
          <cell r="D860">
            <v>7208</v>
          </cell>
          <cell r="E860">
            <v>1000</v>
          </cell>
          <cell r="F860" t="str">
            <v>ZALM</v>
          </cell>
          <cell r="G860" t="str">
            <v>UN</v>
          </cell>
          <cell r="H860" t="str">
            <v>DOP</v>
          </cell>
          <cell r="I860">
            <v>0</v>
          </cell>
          <cell r="J860">
            <v>0</v>
          </cell>
          <cell r="K860">
            <v>0</v>
          </cell>
          <cell r="L860">
            <v>0</v>
          </cell>
          <cell r="M860">
            <v>0</v>
          </cell>
          <cell r="N860">
            <v>0</v>
          </cell>
          <cell r="O860">
            <v>0</v>
          </cell>
          <cell r="P860">
            <v>0</v>
          </cell>
          <cell r="Q860">
            <v>0</v>
          </cell>
          <cell r="R860">
            <v>0</v>
          </cell>
          <cell r="S860">
            <v>0</v>
          </cell>
          <cell r="T860">
            <v>0</v>
          </cell>
          <cell r="U860" t="e">
            <v>#N/A</v>
          </cell>
        </row>
        <row r="861">
          <cell r="A861">
            <v>1000855</v>
          </cell>
          <cell r="B861" t="str">
            <v>Relay Finder T/ 60 12 10A 250V 110VDC</v>
          </cell>
          <cell r="D861">
            <v>7208</v>
          </cell>
          <cell r="E861">
            <v>1000</v>
          </cell>
          <cell r="F861" t="str">
            <v>ZALM</v>
          </cell>
          <cell r="G861" t="str">
            <v>UN</v>
          </cell>
          <cell r="H861" t="str">
            <v>DOP</v>
          </cell>
          <cell r="I861">
            <v>0</v>
          </cell>
          <cell r="J861">
            <v>0</v>
          </cell>
          <cell r="K861">
            <v>0</v>
          </cell>
          <cell r="L861">
            <v>0</v>
          </cell>
          <cell r="M861">
            <v>0</v>
          </cell>
          <cell r="N861">
            <v>0</v>
          </cell>
          <cell r="O861">
            <v>0</v>
          </cell>
          <cell r="P861">
            <v>0</v>
          </cell>
          <cell r="Q861">
            <v>0</v>
          </cell>
          <cell r="R861">
            <v>0</v>
          </cell>
          <cell r="S861">
            <v>0</v>
          </cell>
          <cell r="T861">
            <v>0</v>
          </cell>
          <cell r="U861" t="e">
            <v>#N/A</v>
          </cell>
        </row>
        <row r="862">
          <cell r="A862">
            <v>1000856</v>
          </cell>
          <cell r="B862" t="str">
            <v>Relay Module 070559 Rev 0</v>
          </cell>
          <cell r="D862">
            <v>7208</v>
          </cell>
          <cell r="E862">
            <v>1000</v>
          </cell>
          <cell r="F862" t="str">
            <v>ZALM</v>
          </cell>
          <cell r="G862" t="str">
            <v>UN</v>
          </cell>
          <cell r="H862" t="str">
            <v>DOP</v>
          </cell>
          <cell r="I862">
            <v>0</v>
          </cell>
          <cell r="J862">
            <v>0</v>
          </cell>
          <cell r="K862">
            <v>0</v>
          </cell>
          <cell r="L862">
            <v>0</v>
          </cell>
          <cell r="M862">
            <v>0</v>
          </cell>
          <cell r="N862">
            <v>0</v>
          </cell>
          <cell r="O862">
            <v>0</v>
          </cell>
          <cell r="P862">
            <v>0</v>
          </cell>
          <cell r="Q862">
            <v>0</v>
          </cell>
          <cell r="R862">
            <v>0</v>
          </cell>
          <cell r="S862">
            <v>0</v>
          </cell>
          <cell r="T862">
            <v>0</v>
          </cell>
          <cell r="U862" t="e">
            <v>#N/A</v>
          </cell>
        </row>
        <row r="863">
          <cell r="A863">
            <v>1000857</v>
          </cell>
          <cell r="B863" t="str">
            <v>Relay Protec P/Transf T/TPU2000R/CAT544R</v>
          </cell>
          <cell r="D863">
            <v>7208</v>
          </cell>
          <cell r="E863">
            <v>1000</v>
          </cell>
          <cell r="F863" t="str">
            <v>ZALM</v>
          </cell>
          <cell r="G863" t="str">
            <v>UN</v>
          </cell>
          <cell r="H863" t="str">
            <v>DOP</v>
          </cell>
          <cell r="I863">
            <v>0</v>
          </cell>
          <cell r="J863">
            <v>0</v>
          </cell>
          <cell r="K863">
            <v>0</v>
          </cell>
          <cell r="L863">
            <v>0</v>
          </cell>
          <cell r="M863">
            <v>0</v>
          </cell>
          <cell r="N863">
            <v>0</v>
          </cell>
          <cell r="O863">
            <v>0</v>
          </cell>
          <cell r="P863">
            <v>0</v>
          </cell>
          <cell r="Q863">
            <v>0</v>
          </cell>
          <cell r="R863">
            <v>0</v>
          </cell>
          <cell r="S863">
            <v>0</v>
          </cell>
          <cell r="T863">
            <v>0</v>
          </cell>
          <cell r="U863" t="e">
            <v>#N/A</v>
          </cell>
        </row>
        <row r="864">
          <cell r="A864">
            <v>1000858</v>
          </cell>
          <cell r="B864" t="str">
            <v>Relay Protec P/Transf T/TPU2000R/CAT588R</v>
          </cell>
          <cell r="D864">
            <v>7208</v>
          </cell>
          <cell r="E864">
            <v>1000</v>
          </cell>
          <cell r="F864" t="str">
            <v>ZALM</v>
          </cell>
          <cell r="G864" t="str">
            <v>UN</v>
          </cell>
          <cell r="H864" t="str">
            <v>DOP</v>
          </cell>
          <cell r="I864">
            <v>0</v>
          </cell>
          <cell r="J864">
            <v>0</v>
          </cell>
          <cell r="K864">
            <v>0</v>
          </cell>
          <cell r="L864">
            <v>0</v>
          </cell>
          <cell r="M864">
            <v>0</v>
          </cell>
          <cell r="N864">
            <v>0</v>
          </cell>
          <cell r="O864">
            <v>0</v>
          </cell>
          <cell r="P864">
            <v>0</v>
          </cell>
          <cell r="Q864">
            <v>0</v>
          </cell>
          <cell r="R864">
            <v>0</v>
          </cell>
          <cell r="S864">
            <v>0</v>
          </cell>
          <cell r="T864">
            <v>0</v>
          </cell>
          <cell r="U864" t="e">
            <v>#N/A</v>
          </cell>
        </row>
        <row r="865">
          <cell r="A865">
            <v>1000859</v>
          </cell>
          <cell r="B865" t="str">
            <v>Relay Protección Digital 40-70Hz</v>
          </cell>
          <cell r="D865">
            <v>7208</v>
          </cell>
          <cell r="E865">
            <v>1000</v>
          </cell>
          <cell r="F865" t="str">
            <v>ZALM</v>
          </cell>
          <cell r="G865" t="str">
            <v>UN</v>
          </cell>
          <cell r="H865" t="str">
            <v>DOP</v>
          </cell>
          <cell r="I865">
            <v>0</v>
          </cell>
          <cell r="J865">
            <v>0</v>
          </cell>
          <cell r="K865">
            <v>0</v>
          </cell>
          <cell r="L865">
            <v>0</v>
          </cell>
          <cell r="M865">
            <v>0</v>
          </cell>
          <cell r="N865">
            <v>0</v>
          </cell>
          <cell r="O865">
            <v>0</v>
          </cell>
          <cell r="P865">
            <v>0</v>
          </cell>
          <cell r="Q865">
            <v>0</v>
          </cell>
          <cell r="R865">
            <v>0</v>
          </cell>
          <cell r="S865">
            <v>0</v>
          </cell>
          <cell r="T865">
            <v>0</v>
          </cell>
          <cell r="U865" t="e">
            <v>#N/A</v>
          </cell>
        </row>
        <row r="866">
          <cell r="A866">
            <v>1000860</v>
          </cell>
          <cell r="B866" t="str">
            <v>Relay Protección Multilinea 515 28 Salid</v>
          </cell>
          <cell r="D866">
            <v>7208</v>
          </cell>
          <cell r="E866">
            <v>1000</v>
          </cell>
          <cell r="F866" t="str">
            <v>ZALM</v>
          </cell>
          <cell r="G866" t="str">
            <v>UN</v>
          </cell>
          <cell r="H866" t="str">
            <v>DOP</v>
          </cell>
          <cell r="I866">
            <v>199</v>
          </cell>
          <cell r="J866">
            <v>929515.07</v>
          </cell>
          <cell r="K866">
            <v>0</v>
          </cell>
          <cell r="L866">
            <v>0</v>
          </cell>
          <cell r="M866">
            <v>0</v>
          </cell>
          <cell r="N866">
            <v>0</v>
          </cell>
          <cell r="O866">
            <v>0</v>
          </cell>
          <cell r="P866">
            <v>0</v>
          </cell>
          <cell r="Q866">
            <v>0</v>
          </cell>
          <cell r="R866">
            <v>0</v>
          </cell>
          <cell r="S866">
            <v>199</v>
          </cell>
          <cell r="T866">
            <v>929515.07</v>
          </cell>
          <cell r="U866">
            <v>4670.93</v>
          </cell>
        </row>
        <row r="867">
          <cell r="A867">
            <v>1000861</v>
          </cell>
          <cell r="B867" t="str">
            <v>Relay Protección P/ Distr T/ MicroShield</v>
          </cell>
          <cell r="D867">
            <v>7208</v>
          </cell>
          <cell r="E867">
            <v>1000</v>
          </cell>
          <cell r="F867" t="str">
            <v>ZALM</v>
          </cell>
          <cell r="G867" t="str">
            <v>UN</v>
          </cell>
          <cell r="H867" t="str">
            <v>DOP</v>
          </cell>
          <cell r="I867">
            <v>0</v>
          </cell>
          <cell r="J867">
            <v>0</v>
          </cell>
          <cell r="K867">
            <v>0</v>
          </cell>
          <cell r="L867">
            <v>0</v>
          </cell>
          <cell r="M867">
            <v>0</v>
          </cell>
          <cell r="N867">
            <v>0</v>
          </cell>
          <cell r="O867">
            <v>0</v>
          </cell>
          <cell r="P867">
            <v>0</v>
          </cell>
          <cell r="Q867">
            <v>0</v>
          </cell>
          <cell r="R867">
            <v>0</v>
          </cell>
          <cell r="S867">
            <v>0</v>
          </cell>
          <cell r="T867">
            <v>0</v>
          </cell>
          <cell r="U867" t="e">
            <v>#N/A</v>
          </cell>
        </row>
        <row r="868">
          <cell r="A868">
            <v>1000862</v>
          </cell>
          <cell r="B868" t="str">
            <v>Relay Protección Trifás SIEMENS 7SJ6111</v>
          </cell>
          <cell r="D868">
            <v>7208</v>
          </cell>
          <cell r="E868">
            <v>1000</v>
          </cell>
          <cell r="F868" t="str">
            <v>ZALM</v>
          </cell>
          <cell r="G868" t="str">
            <v>UN</v>
          </cell>
          <cell r="H868" t="str">
            <v>DOP</v>
          </cell>
          <cell r="I868">
            <v>0</v>
          </cell>
          <cell r="J868">
            <v>0</v>
          </cell>
          <cell r="K868">
            <v>0</v>
          </cell>
          <cell r="L868">
            <v>0</v>
          </cell>
          <cell r="M868">
            <v>0</v>
          </cell>
          <cell r="N868">
            <v>0</v>
          </cell>
          <cell r="O868">
            <v>0</v>
          </cell>
          <cell r="P868">
            <v>0</v>
          </cell>
          <cell r="Q868">
            <v>0</v>
          </cell>
          <cell r="R868">
            <v>0</v>
          </cell>
          <cell r="S868">
            <v>0</v>
          </cell>
          <cell r="T868">
            <v>0</v>
          </cell>
          <cell r="U868" t="e">
            <v>#N/A</v>
          </cell>
        </row>
        <row r="869">
          <cell r="A869">
            <v>1000863</v>
          </cell>
          <cell r="B869" t="str">
            <v>Relay Protección Trifás SIEMENS 7SJ6221</v>
          </cell>
          <cell r="D869">
            <v>7208</v>
          </cell>
          <cell r="E869">
            <v>1000</v>
          </cell>
          <cell r="F869" t="str">
            <v>ZALM</v>
          </cell>
          <cell r="G869" t="str">
            <v>UN</v>
          </cell>
          <cell r="H869" t="str">
            <v>DOP</v>
          </cell>
          <cell r="I869">
            <v>2</v>
          </cell>
          <cell r="J869">
            <v>0</v>
          </cell>
          <cell r="K869">
            <v>0</v>
          </cell>
          <cell r="L869">
            <v>0</v>
          </cell>
          <cell r="M869">
            <v>0</v>
          </cell>
          <cell r="N869">
            <v>0</v>
          </cell>
          <cell r="O869">
            <v>0</v>
          </cell>
          <cell r="P869">
            <v>0</v>
          </cell>
          <cell r="Q869">
            <v>0</v>
          </cell>
          <cell r="R869">
            <v>0</v>
          </cell>
          <cell r="S869">
            <v>2</v>
          </cell>
          <cell r="T869">
            <v>0</v>
          </cell>
          <cell r="U869">
            <v>0</v>
          </cell>
        </row>
        <row r="870">
          <cell r="A870">
            <v>1000864</v>
          </cell>
          <cell r="B870" t="str">
            <v>Relay Protección Trifás SIEMENS 7SJ6225</v>
          </cell>
          <cell r="D870">
            <v>7208</v>
          </cell>
          <cell r="E870">
            <v>1000</v>
          </cell>
          <cell r="F870" t="str">
            <v>ZALM</v>
          </cell>
          <cell r="G870" t="str">
            <v>UN</v>
          </cell>
          <cell r="H870" t="str">
            <v>DOP</v>
          </cell>
          <cell r="I870">
            <v>0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0</v>
          </cell>
          <cell r="R870">
            <v>0</v>
          </cell>
          <cell r="S870">
            <v>0</v>
          </cell>
          <cell r="T870">
            <v>0</v>
          </cell>
          <cell r="U870" t="e">
            <v>#N/A</v>
          </cell>
        </row>
        <row r="871">
          <cell r="A871">
            <v>1000865</v>
          </cell>
          <cell r="B871" t="str">
            <v>Relay Temporizado On Delay 125 VDC</v>
          </cell>
          <cell r="D871">
            <v>7208</v>
          </cell>
          <cell r="E871">
            <v>1000</v>
          </cell>
          <cell r="F871" t="str">
            <v>ZALM</v>
          </cell>
          <cell r="G871" t="str">
            <v>UN</v>
          </cell>
          <cell r="H871" t="str">
            <v>DOP</v>
          </cell>
          <cell r="I871">
            <v>0</v>
          </cell>
          <cell r="J871">
            <v>0</v>
          </cell>
          <cell r="K871">
            <v>0</v>
          </cell>
          <cell r="L871">
            <v>0</v>
          </cell>
          <cell r="M871">
            <v>0</v>
          </cell>
          <cell r="N871">
            <v>0</v>
          </cell>
          <cell r="O871">
            <v>0</v>
          </cell>
          <cell r="P871">
            <v>0</v>
          </cell>
          <cell r="Q871">
            <v>0</v>
          </cell>
          <cell r="R871">
            <v>0</v>
          </cell>
          <cell r="S871">
            <v>0</v>
          </cell>
          <cell r="T871">
            <v>0</v>
          </cell>
          <cell r="U871" t="e">
            <v>#N/A</v>
          </cell>
        </row>
        <row r="872">
          <cell r="A872">
            <v>1000866</v>
          </cell>
          <cell r="B872" t="str">
            <v>Repuestos Compuesto P/ 3AP1 FG-72.5kV</v>
          </cell>
          <cell r="D872">
            <v>7208</v>
          </cell>
          <cell r="E872">
            <v>1000</v>
          </cell>
          <cell r="F872" t="str">
            <v>ZALM</v>
          </cell>
          <cell r="G872" t="str">
            <v>UN</v>
          </cell>
          <cell r="H872" t="str">
            <v>DOP</v>
          </cell>
          <cell r="I872">
            <v>1</v>
          </cell>
          <cell r="J872">
            <v>28436.18</v>
          </cell>
          <cell r="K872">
            <v>0</v>
          </cell>
          <cell r="L872">
            <v>0</v>
          </cell>
          <cell r="M872">
            <v>0</v>
          </cell>
          <cell r="N872">
            <v>0</v>
          </cell>
          <cell r="O872">
            <v>0</v>
          </cell>
          <cell r="P872">
            <v>0</v>
          </cell>
          <cell r="Q872">
            <v>0</v>
          </cell>
          <cell r="R872">
            <v>0</v>
          </cell>
          <cell r="S872">
            <v>1</v>
          </cell>
          <cell r="T872">
            <v>28436.18</v>
          </cell>
          <cell r="U872">
            <v>28436.18</v>
          </cell>
        </row>
        <row r="873">
          <cell r="A873">
            <v>1000867</v>
          </cell>
          <cell r="B873" t="str">
            <v>Resistencia P/ CT'S de 12.5VA/5A</v>
          </cell>
          <cell r="D873">
            <v>7208</v>
          </cell>
          <cell r="E873">
            <v>1000</v>
          </cell>
          <cell r="F873" t="str">
            <v>ZALM</v>
          </cell>
          <cell r="G873" t="str">
            <v>UN</v>
          </cell>
          <cell r="H873" t="str">
            <v>DOP</v>
          </cell>
          <cell r="I873">
            <v>15</v>
          </cell>
          <cell r="J873">
            <v>41740.36</v>
          </cell>
          <cell r="K873">
            <v>0</v>
          </cell>
          <cell r="L873">
            <v>0</v>
          </cell>
          <cell r="M873">
            <v>0</v>
          </cell>
          <cell r="N873">
            <v>0</v>
          </cell>
          <cell r="O873">
            <v>0</v>
          </cell>
          <cell r="P873">
            <v>0</v>
          </cell>
          <cell r="Q873">
            <v>0</v>
          </cell>
          <cell r="R873">
            <v>0</v>
          </cell>
          <cell r="S873">
            <v>15</v>
          </cell>
          <cell r="T873">
            <v>41740.36</v>
          </cell>
          <cell r="U873">
            <v>2782.69066666667</v>
          </cell>
        </row>
        <row r="874">
          <cell r="A874">
            <v>1000868</v>
          </cell>
          <cell r="B874" t="str">
            <v>Resistencia P/ CT'S de 7.5VA/5A</v>
          </cell>
          <cell r="D874">
            <v>7208</v>
          </cell>
          <cell r="E874">
            <v>1000</v>
          </cell>
          <cell r="F874" t="str">
            <v>ZALM</v>
          </cell>
          <cell r="G874" t="str">
            <v>UN</v>
          </cell>
          <cell r="H874" t="str">
            <v>DOP</v>
          </cell>
          <cell r="I874">
            <v>21</v>
          </cell>
          <cell r="J874">
            <v>53573.32</v>
          </cell>
          <cell r="K874">
            <v>0</v>
          </cell>
          <cell r="L874">
            <v>0</v>
          </cell>
          <cell r="M874">
            <v>0</v>
          </cell>
          <cell r="N874">
            <v>0</v>
          </cell>
          <cell r="O874">
            <v>0</v>
          </cell>
          <cell r="P874">
            <v>0</v>
          </cell>
          <cell r="Q874">
            <v>0</v>
          </cell>
          <cell r="R874">
            <v>0</v>
          </cell>
          <cell r="S874">
            <v>21</v>
          </cell>
          <cell r="T874">
            <v>53573.32</v>
          </cell>
          <cell r="U874">
            <v>2551.1104761904799</v>
          </cell>
        </row>
        <row r="875">
          <cell r="A875">
            <v>1000869</v>
          </cell>
          <cell r="B875" t="str">
            <v>Resistencia P/ PT'S de 12.5VA/115V</v>
          </cell>
          <cell r="D875">
            <v>7208</v>
          </cell>
          <cell r="E875">
            <v>1000</v>
          </cell>
          <cell r="F875" t="str">
            <v>ZALM</v>
          </cell>
          <cell r="G875" t="str">
            <v>UN</v>
          </cell>
          <cell r="H875" t="str">
            <v>DOP</v>
          </cell>
          <cell r="I875">
            <v>12</v>
          </cell>
          <cell r="J875">
            <v>30613.33</v>
          </cell>
          <cell r="K875">
            <v>0</v>
          </cell>
          <cell r="L875">
            <v>0</v>
          </cell>
          <cell r="M875">
            <v>0</v>
          </cell>
          <cell r="N875">
            <v>0</v>
          </cell>
          <cell r="O875">
            <v>0</v>
          </cell>
          <cell r="P875">
            <v>0</v>
          </cell>
          <cell r="Q875">
            <v>0</v>
          </cell>
          <cell r="R875">
            <v>0</v>
          </cell>
          <cell r="S875">
            <v>12</v>
          </cell>
          <cell r="T875">
            <v>30613.33</v>
          </cell>
          <cell r="U875">
            <v>2551.11083333333</v>
          </cell>
        </row>
        <row r="876">
          <cell r="A876">
            <v>1000870</v>
          </cell>
          <cell r="B876" t="str">
            <v>Resistencia P/ PT'S de 12.5VA/120V</v>
          </cell>
          <cell r="D876">
            <v>7208</v>
          </cell>
          <cell r="E876">
            <v>1000</v>
          </cell>
          <cell r="F876" t="str">
            <v>ZALM</v>
          </cell>
          <cell r="G876" t="str">
            <v>UN</v>
          </cell>
          <cell r="H876" t="str">
            <v>DOP</v>
          </cell>
          <cell r="I876">
            <v>12</v>
          </cell>
          <cell r="J876">
            <v>30613.26</v>
          </cell>
          <cell r="K876">
            <v>0</v>
          </cell>
          <cell r="L876">
            <v>0</v>
          </cell>
          <cell r="M876">
            <v>0</v>
          </cell>
          <cell r="N876">
            <v>0</v>
          </cell>
          <cell r="O876">
            <v>0</v>
          </cell>
          <cell r="P876">
            <v>0</v>
          </cell>
          <cell r="Q876">
            <v>0</v>
          </cell>
          <cell r="R876">
            <v>0</v>
          </cell>
          <cell r="S876">
            <v>12</v>
          </cell>
          <cell r="T876">
            <v>30613.26</v>
          </cell>
          <cell r="U876">
            <v>2551.105</v>
          </cell>
        </row>
        <row r="877">
          <cell r="A877">
            <v>1000871</v>
          </cell>
          <cell r="B877" t="str">
            <v>Resistencia P/ PT'S de 12.5VA/66V</v>
          </cell>
          <cell r="D877">
            <v>7208</v>
          </cell>
          <cell r="E877">
            <v>1000</v>
          </cell>
          <cell r="F877" t="str">
            <v>ZALM</v>
          </cell>
          <cell r="G877" t="str">
            <v>UN</v>
          </cell>
          <cell r="H877" t="str">
            <v>DOP</v>
          </cell>
          <cell r="I877">
            <v>0</v>
          </cell>
          <cell r="J877">
            <v>0</v>
          </cell>
          <cell r="K877">
            <v>0</v>
          </cell>
          <cell r="L877">
            <v>0</v>
          </cell>
          <cell r="M877">
            <v>0</v>
          </cell>
          <cell r="N877">
            <v>0</v>
          </cell>
          <cell r="O877">
            <v>0</v>
          </cell>
          <cell r="P877">
            <v>0</v>
          </cell>
          <cell r="Q877">
            <v>0</v>
          </cell>
          <cell r="R877">
            <v>0</v>
          </cell>
          <cell r="S877">
            <v>0</v>
          </cell>
          <cell r="T877">
            <v>0</v>
          </cell>
          <cell r="U877" t="e">
            <v>#N/A</v>
          </cell>
        </row>
        <row r="878">
          <cell r="A878">
            <v>1000872</v>
          </cell>
          <cell r="B878" t="str">
            <v>Resistencia P/ PT'S de 7.5VA/120V</v>
          </cell>
          <cell r="D878">
            <v>7208</v>
          </cell>
          <cell r="E878">
            <v>1000</v>
          </cell>
          <cell r="F878" t="str">
            <v>ZALM</v>
          </cell>
          <cell r="G878" t="str">
            <v>UN</v>
          </cell>
          <cell r="H878" t="str">
            <v>DOP</v>
          </cell>
          <cell r="I878">
            <v>0</v>
          </cell>
          <cell r="J878">
            <v>0</v>
          </cell>
          <cell r="K878">
            <v>0</v>
          </cell>
          <cell r="L878">
            <v>0</v>
          </cell>
          <cell r="M878">
            <v>0</v>
          </cell>
          <cell r="N878">
            <v>0</v>
          </cell>
          <cell r="O878">
            <v>0</v>
          </cell>
          <cell r="P878">
            <v>0</v>
          </cell>
          <cell r="Q878">
            <v>0</v>
          </cell>
          <cell r="R878">
            <v>0</v>
          </cell>
          <cell r="S878">
            <v>0</v>
          </cell>
          <cell r="T878">
            <v>0</v>
          </cell>
          <cell r="U878" t="e">
            <v>#N/A</v>
          </cell>
        </row>
        <row r="879">
          <cell r="A879">
            <v>1000873</v>
          </cell>
          <cell r="B879" t="str">
            <v>Restaurador de Supercie</v>
          </cell>
          <cell r="D879">
            <v>7208</v>
          </cell>
          <cell r="E879">
            <v>1000</v>
          </cell>
          <cell r="F879" t="str">
            <v>ZALM</v>
          </cell>
          <cell r="G879" t="str">
            <v>UN</v>
          </cell>
          <cell r="H879" t="str">
            <v>DOP</v>
          </cell>
          <cell r="I879">
            <v>0</v>
          </cell>
          <cell r="J879">
            <v>0</v>
          </cell>
          <cell r="K879">
            <v>0</v>
          </cell>
          <cell r="L879">
            <v>0</v>
          </cell>
          <cell r="M879">
            <v>0</v>
          </cell>
          <cell r="N879">
            <v>0</v>
          </cell>
          <cell r="O879">
            <v>0</v>
          </cell>
          <cell r="P879">
            <v>0</v>
          </cell>
          <cell r="Q879">
            <v>0</v>
          </cell>
          <cell r="R879">
            <v>0</v>
          </cell>
          <cell r="S879">
            <v>0</v>
          </cell>
          <cell r="T879">
            <v>0</v>
          </cell>
          <cell r="U879" t="e">
            <v>#N/A</v>
          </cell>
        </row>
        <row r="880">
          <cell r="A880">
            <v>1000874</v>
          </cell>
          <cell r="B880" t="str">
            <v>Seccionad Monof Bypass 7.2kV 900A</v>
          </cell>
          <cell r="D880">
            <v>7208</v>
          </cell>
          <cell r="E880">
            <v>1000</v>
          </cell>
          <cell r="F880" t="str">
            <v>ZALM</v>
          </cell>
          <cell r="G880" t="str">
            <v>UN</v>
          </cell>
          <cell r="H880" t="str">
            <v>DOP</v>
          </cell>
          <cell r="I880">
            <v>0</v>
          </cell>
          <cell r="J880">
            <v>0</v>
          </cell>
          <cell r="K880">
            <v>0</v>
          </cell>
          <cell r="L880">
            <v>0</v>
          </cell>
          <cell r="M880">
            <v>0</v>
          </cell>
          <cell r="N880">
            <v>0</v>
          </cell>
          <cell r="O880">
            <v>0</v>
          </cell>
          <cell r="P880">
            <v>0</v>
          </cell>
          <cell r="Q880">
            <v>0</v>
          </cell>
          <cell r="R880">
            <v>0</v>
          </cell>
          <cell r="S880">
            <v>0</v>
          </cell>
          <cell r="T880">
            <v>0</v>
          </cell>
          <cell r="U880" t="e">
            <v>#N/A</v>
          </cell>
        </row>
        <row r="881">
          <cell r="A881">
            <v>1000875</v>
          </cell>
          <cell r="B881" t="str">
            <v>Seccionad Trip 138kV</v>
          </cell>
          <cell r="D881">
            <v>7208</v>
          </cell>
          <cell r="E881">
            <v>1000</v>
          </cell>
          <cell r="F881" t="str">
            <v>ZALM</v>
          </cell>
          <cell r="G881" t="str">
            <v>UN</v>
          </cell>
          <cell r="H881" t="str">
            <v>DOP</v>
          </cell>
          <cell r="I881">
            <v>0</v>
          </cell>
          <cell r="J881">
            <v>0</v>
          </cell>
          <cell r="K881">
            <v>0</v>
          </cell>
          <cell r="L881">
            <v>0</v>
          </cell>
          <cell r="M881">
            <v>0</v>
          </cell>
          <cell r="N881">
            <v>0</v>
          </cell>
          <cell r="O881">
            <v>0</v>
          </cell>
          <cell r="P881">
            <v>0</v>
          </cell>
          <cell r="Q881">
            <v>0</v>
          </cell>
          <cell r="R881">
            <v>0</v>
          </cell>
          <cell r="S881">
            <v>0</v>
          </cell>
          <cell r="T881">
            <v>0</v>
          </cell>
          <cell r="U881" t="e">
            <v>#N/A</v>
          </cell>
        </row>
        <row r="882">
          <cell r="A882">
            <v>1000876</v>
          </cell>
          <cell r="B882" t="str">
            <v>Seccionad Vert 600A Reg Volt Bypa</v>
          </cell>
          <cell r="D882">
            <v>7208</v>
          </cell>
          <cell r="E882">
            <v>1000</v>
          </cell>
          <cell r="F882" t="str">
            <v>ZALM</v>
          </cell>
          <cell r="G882" t="str">
            <v>UN</v>
          </cell>
          <cell r="H882" t="str">
            <v>DOP</v>
          </cell>
          <cell r="I882">
            <v>2</v>
          </cell>
          <cell r="J882">
            <v>71917.86</v>
          </cell>
          <cell r="K882">
            <v>0</v>
          </cell>
          <cell r="L882">
            <v>0</v>
          </cell>
          <cell r="M882">
            <v>112</v>
          </cell>
          <cell r="N882">
            <v>4027400.05</v>
          </cell>
          <cell r="O882">
            <v>0</v>
          </cell>
          <cell r="P882">
            <v>0</v>
          </cell>
          <cell r="Q882">
            <v>0</v>
          </cell>
          <cell r="R882">
            <v>0</v>
          </cell>
          <cell r="S882">
            <v>114</v>
          </cell>
          <cell r="T882">
            <v>4099317.91</v>
          </cell>
          <cell r="U882">
            <v>35958.929035087698</v>
          </cell>
        </row>
        <row r="883">
          <cell r="A883">
            <v>1000877</v>
          </cell>
          <cell r="B883" t="str">
            <v>Sello de Seguridad de Plomo</v>
          </cell>
          <cell r="D883">
            <v>7208</v>
          </cell>
          <cell r="E883">
            <v>1000</v>
          </cell>
          <cell r="F883" t="str">
            <v>ZALM</v>
          </cell>
          <cell r="G883" t="str">
            <v>UN</v>
          </cell>
          <cell r="H883" t="str">
            <v>DOP</v>
          </cell>
          <cell r="I883">
            <v>0</v>
          </cell>
          <cell r="J883">
            <v>0</v>
          </cell>
          <cell r="K883">
            <v>0</v>
          </cell>
          <cell r="L883">
            <v>0</v>
          </cell>
          <cell r="M883">
            <v>0</v>
          </cell>
          <cell r="N883">
            <v>0</v>
          </cell>
          <cell r="O883">
            <v>0</v>
          </cell>
          <cell r="P883">
            <v>0</v>
          </cell>
          <cell r="Q883">
            <v>0</v>
          </cell>
          <cell r="R883">
            <v>0</v>
          </cell>
          <cell r="S883">
            <v>0</v>
          </cell>
          <cell r="T883">
            <v>0</v>
          </cell>
          <cell r="U883" t="e">
            <v>#N/A</v>
          </cell>
        </row>
        <row r="884">
          <cell r="A884">
            <v>1000878</v>
          </cell>
          <cell r="B884" t="str">
            <v>Sello de Seguridad Enduro Seal Azul</v>
          </cell>
          <cell r="D884">
            <v>7208</v>
          </cell>
          <cell r="E884">
            <v>1000</v>
          </cell>
          <cell r="F884" t="str">
            <v>ZALM</v>
          </cell>
          <cell r="G884" t="str">
            <v>UN</v>
          </cell>
          <cell r="H884" t="str">
            <v>DOP</v>
          </cell>
          <cell r="I884">
            <v>500</v>
          </cell>
          <cell r="J884">
            <v>4150.59</v>
          </cell>
          <cell r="K884">
            <v>242993</v>
          </cell>
          <cell r="L884">
            <v>2017130.01</v>
          </cell>
          <cell r="M884">
            <v>0</v>
          </cell>
          <cell r="N884">
            <v>0</v>
          </cell>
          <cell r="O884">
            <v>0</v>
          </cell>
          <cell r="P884">
            <v>0</v>
          </cell>
          <cell r="Q884">
            <v>112391</v>
          </cell>
          <cell r="R884">
            <v>932978.56</v>
          </cell>
          <cell r="S884">
            <v>355884</v>
          </cell>
          <cell r="T884">
            <v>2954259.16</v>
          </cell>
          <cell r="U884">
            <v>8.3011856672398903</v>
          </cell>
        </row>
        <row r="885">
          <cell r="A885">
            <v>1000879</v>
          </cell>
          <cell r="B885" t="str">
            <v>Sello de Seguridad Inserto Marip Azul</v>
          </cell>
          <cell r="D885">
            <v>7208</v>
          </cell>
          <cell r="E885">
            <v>1000</v>
          </cell>
          <cell r="F885" t="str">
            <v>ZALM</v>
          </cell>
          <cell r="G885" t="str">
            <v>UN</v>
          </cell>
          <cell r="H885" t="str">
            <v>DOP</v>
          </cell>
          <cell r="I885">
            <v>700</v>
          </cell>
          <cell r="J885">
            <v>6193.62</v>
          </cell>
          <cell r="K885">
            <v>0</v>
          </cell>
          <cell r="L885">
            <v>0</v>
          </cell>
          <cell r="M885">
            <v>0</v>
          </cell>
          <cell r="N885">
            <v>0</v>
          </cell>
          <cell r="O885">
            <v>0</v>
          </cell>
          <cell r="P885">
            <v>0</v>
          </cell>
          <cell r="Q885">
            <v>21708</v>
          </cell>
          <cell r="R885">
            <v>192073.04</v>
          </cell>
          <cell r="S885">
            <v>22408</v>
          </cell>
          <cell r="T885">
            <v>198266.66</v>
          </cell>
          <cell r="U885">
            <v>8.8480301677972193</v>
          </cell>
        </row>
        <row r="886">
          <cell r="A886">
            <v>1000880</v>
          </cell>
          <cell r="B886" t="str">
            <v>Sello de Seguridad Inserto Marip Rojo</v>
          </cell>
          <cell r="D886">
            <v>7208</v>
          </cell>
          <cell r="E886">
            <v>1000</v>
          </cell>
          <cell r="F886" t="str">
            <v>ZALM</v>
          </cell>
          <cell r="G886" t="str">
            <v>UN</v>
          </cell>
          <cell r="H886" t="str">
            <v>DOP</v>
          </cell>
          <cell r="I886">
            <v>705</v>
          </cell>
          <cell r="J886">
            <v>5776.49</v>
          </cell>
          <cell r="K886">
            <v>0</v>
          </cell>
          <cell r="L886">
            <v>0</v>
          </cell>
          <cell r="M886">
            <v>0</v>
          </cell>
          <cell r="N886">
            <v>0</v>
          </cell>
          <cell r="O886">
            <v>0</v>
          </cell>
          <cell r="P886">
            <v>0</v>
          </cell>
          <cell r="Q886">
            <v>341795</v>
          </cell>
          <cell r="R886">
            <v>2800533.68</v>
          </cell>
          <cell r="S886">
            <v>342500</v>
          </cell>
          <cell r="T886">
            <v>2806310.17</v>
          </cell>
          <cell r="U886">
            <v>8.1936063357664306</v>
          </cell>
        </row>
        <row r="887">
          <cell r="A887">
            <v>1000881</v>
          </cell>
          <cell r="B887" t="str">
            <v>Sello de Seguridad Inserto Marip Verde</v>
          </cell>
          <cell r="D887">
            <v>7208</v>
          </cell>
          <cell r="E887">
            <v>1000</v>
          </cell>
          <cell r="F887" t="str">
            <v>ZALM</v>
          </cell>
          <cell r="G887" t="str">
            <v>UN</v>
          </cell>
          <cell r="H887" t="str">
            <v>DOP</v>
          </cell>
          <cell r="I887">
            <v>0</v>
          </cell>
          <cell r="J887">
            <v>0</v>
          </cell>
          <cell r="K887">
            <v>0</v>
          </cell>
          <cell r="L887">
            <v>0</v>
          </cell>
          <cell r="M887">
            <v>0</v>
          </cell>
          <cell r="N887">
            <v>0</v>
          </cell>
          <cell r="O887">
            <v>0</v>
          </cell>
          <cell r="P887">
            <v>0</v>
          </cell>
          <cell r="Q887">
            <v>40000</v>
          </cell>
          <cell r="R887">
            <v>344613.82</v>
          </cell>
          <cell r="S887">
            <v>40000</v>
          </cell>
          <cell r="T887">
            <v>344613.82</v>
          </cell>
          <cell r="U887">
            <v>8.6153455000000001</v>
          </cell>
        </row>
        <row r="888">
          <cell r="A888">
            <v>1000882</v>
          </cell>
          <cell r="B888" t="str">
            <v>Sello de Seguridad PSW97</v>
          </cell>
          <cell r="D888">
            <v>7208</v>
          </cell>
          <cell r="E888">
            <v>1000</v>
          </cell>
          <cell r="F888" t="str">
            <v>ZALM</v>
          </cell>
          <cell r="G888" t="str">
            <v>UN</v>
          </cell>
          <cell r="H888" t="str">
            <v>DOP</v>
          </cell>
          <cell r="I888">
            <v>74661</v>
          </cell>
          <cell r="J888">
            <v>291177.90000000002</v>
          </cell>
          <cell r="K888">
            <v>0</v>
          </cell>
          <cell r="L888">
            <v>0</v>
          </cell>
          <cell r="M888">
            <v>0</v>
          </cell>
          <cell r="N888">
            <v>0</v>
          </cell>
          <cell r="O888">
            <v>0</v>
          </cell>
          <cell r="P888">
            <v>0</v>
          </cell>
          <cell r="Q888">
            <v>0</v>
          </cell>
          <cell r="R888">
            <v>0</v>
          </cell>
          <cell r="S888">
            <v>74661</v>
          </cell>
          <cell r="T888">
            <v>291177.90000000002</v>
          </cell>
          <cell r="U888">
            <v>3.9</v>
          </cell>
        </row>
        <row r="889">
          <cell r="A889">
            <v>1000883</v>
          </cell>
          <cell r="B889" t="str">
            <v>Sello de Seguridad Roto-Seal Color Azul</v>
          </cell>
          <cell r="D889">
            <v>7208</v>
          </cell>
          <cell r="E889">
            <v>1000</v>
          </cell>
          <cell r="F889" t="str">
            <v>ZALM</v>
          </cell>
          <cell r="G889" t="str">
            <v>UN</v>
          </cell>
          <cell r="H889" t="str">
            <v>DOP</v>
          </cell>
          <cell r="I889">
            <v>0</v>
          </cell>
          <cell r="J889">
            <v>0</v>
          </cell>
          <cell r="K889">
            <v>0</v>
          </cell>
          <cell r="L889">
            <v>0</v>
          </cell>
          <cell r="M889">
            <v>0</v>
          </cell>
          <cell r="N889">
            <v>0</v>
          </cell>
          <cell r="O889">
            <v>0</v>
          </cell>
          <cell r="P889">
            <v>0</v>
          </cell>
          <cell r="Q889">
            <v>0</v>
          </cell>
          <cell r="R889">
            <v>0</v>
          </cell>
          <cell r="S889">
            <v>0</v>
          </cell>
          <cell r="T889">
            <v>0</v>
          </cell>
          <cell r="U889" t="e">
            <v>#N/A</v>
          </cell>
        </row>
        <row r="890">
          <cell r="A890">
            <v>1000884</v>
          </cell>
          <cell r="B890" t="str">
            <v>Sello de Seguridad Roto-Seal Color Gris</v>
          </cell>
          <cell r="D890">
            <v>7208</v>
          </cell>
          <cell r="E890">
            <v>1000</v>
          </cell>
          <cell r="F890" t="str">
            <v>ZALM</v>
          </cell>
          <cell r="G890" t="str">
            <v>UN</v>
          </cell>
          <cell r="H890" t="str">
            <v>DOP</v>
          </cell>
          <cell r="I890">
            <v>0</v>
          </cell>
          <cell r="J890">
            <v>0</v>
          </cell>
          <cell r="K890">
            <v>0</v>
          </cell>
          <cell r="L890">
            <v>0</v>
          </cell>
          <cell r="M890">
            <v>0</v>
          </cell>
          <cell r="N890">
            <v>0</v>
          </cell>
          <cell r="O890">
            <v>0</v>
          </cell>
          <cell r="P890">
            <v>0</v>
          </cell>
          <cell r="Q890">
            <v>0</v>
          </cell>
          <cell r="R890">
            <v>0</v>
          </cell>
          <cell r="S890">
            <v>0</v>
          </cell>
          <cell r="T890">
            <v>0</v>
          </cell>
          <cell r="U890" t="e">
            <v>#N/A</v>
          </cell>
        </row>
        <row r="891">
          <cell r="A891">
            <v>1000885</v>
          </cell>
          <cell r="B891" t="str">
            <v>Sello de Seguridad Spring Lock Seal Azul</v>
          </cell>
          <cell r="D891">
            <v>7208</v>
          </cell>
          <cell r="E891">
            <v>1000</v>
          </cell>
          <cell r="F891" t="str">
            <v>ZALM</v>
          </cell>
          <cell r="G891" t="str">
            <v>UN</v>
          </cell>
          <cell r="H891" t="str">
            <v>DOP</v>
          </cell>
          <cell r="I891">
            <v>0</v>
          </cell>
          <cell r="J891">
            <v>0</v>
          </cell>
          <cell r="K891">
            <v>0</v>
          </cell>
          <cell r="L891">
            <v>0</v>
          </cell>
          <cell r="M891">
            <v>0</v>
          </cell>
          <cell r="N891">
            <v>0</v>
          </cell>
          <cell r="O891">
            <v>0</v>
          </cell>
          <cell r="P891">
            <v>0</v>
          </cell>
          <cell r="Q891">
            <v>0</v>
          </cell>
          <cell r="R891">
            <v>0</v>
          </cell>
          <cell r="S891">
            <v>0</v>
          </cell>
          <cell r="T891">
            <v>0</v>
          </cell>
          <cell r="U891" t="e">
            <v>#N/A</v>
          </cell>
        </row>
        <row r="892">
          <cell r="A892">
            <v>1000886</v>
          </cell>
          <cell r="B892" t="str">
            <v>Sello Empal Grasa P/ Ptes Elect Fco 1/4</v>
          </cell>
          <cell r="D892">
            <v>7208</v>
          </cell>
          <cell r="E892">
            <v>1000</v>
          </cell>
          <cell r="F892" t="str">
            <v>ZALM</v>
          </cell>
          <cell r="G892" t="str">
            <v>UN</v>
          </cell>
          <cell r="H892" t="str">
            <v>DOP</v>
          </cell>
          <cell r="I892">
            <v>0</v>
          </cell>
          <cell r="J892">
            <v>0</v>
          </cell>
          <cell r="K892">
            <v>0</v>
          </cell>
          <cell r="L892">
            <v>0</v>
          </cell>
          <cell r="M892">
            <v>0</v>
          </cell>
          <cell r="N892">
            <v>0</v>
          </cell>
          <cell r="O892">
            <v>0</v>
          </cell>
          <cell r="P892">
            <v>0</v>
          </cell>
          <cell r="Q892">
            <v>0</v>
          </cell>
          <cell r="R892">
            <v>0</v>
          </cell>
          <cell r="S892">
            <v>0</v>
          </cell>
          <cell r="T892">
            <v>0</v>
          </cell>
          <cell r="U892" t="e">
            <v>#N/A</v>
          </cell>
        </row>
        <row r="893">
          <cell r="A893">
            <v>1000887</v>
          </cell>
          <cell r="B893" t="str">
            <v>Sello P/ Puerto Opti Medidor Electronico</v>
          </cell>
          <cell r="D893">
            <v>7208</v>
          </cell>
          <cell r="E893">
            <v>1000</v>
          </cell>
          <cell r="F893" t="str">
            <v>ZALM</v>
          </cell>
          <cell r="G893" t="str">
            <v>UN</v>
          </cell>
          <cell r="H893" t="str">
            <v>DOP</v>
          </cell>
          <cell r="I893">
            <v>1901</v>
          </cell>
          <cell r="J893">
            <v>208387.62</v>
          </cell>
          <cell r="K893">
            <v>0</v>
          </cell>
          <cell r="L893">
            <v>0</v>
          </cell>
          <cell r="M893">
            <v>0</v>
          </cell>
          <cell r="N893">
            <v>0</v>
          </cell>
          <cell r="O893">
            <v>0</v>
          </cell>
          <cell r="P893">
            <v>0</v>
          </cell>
          <cell r="Q893">
            <v>0</v>
          </cell>
          <cell r="R893">
            <v>0</v>
          </cell>
          <cell r="S893">
            <v>1901</v>
          </cell>
          <cell r="T893">
            <v>208387.62</v>
          </cell>
          <cell r="U893">
            <v>109.62</v>
          </cell>
        </row>
        <row r="894">
          <cell r="A894">
            <v>1000888</v>
          </cell>
          <cell r="B894" t="str">
            <v>Sello Pull-Fly Seal Color Naranja</v>
          </cell>
          <cell r="D894">
            <v>7208</v>
          </cell>
          <cell r="E894">
            <v>1000</v>
          </cell>
          <cell r="F894" t="str">
            <v>ZALM</v>
          </cell>
          <cell r="G894" t="str">
            <v>UN</v>
          </cell>
          <cell r="H894" t="str">
            <v>DOP</v>
          </cell>
          <cell r="I894">
            <v>0</v>
          </cell>
          <cell r="J894">
            <v>0</v>
          </cell>
          <cell r="K894">
            <v>772000</v>
          </cell>
          <cell r="L894">
            <v>2839935.6</v>
          </cell>
          <cell r="M894">
            <v>0</v>
          </cell>
          <cell r="N894">
            <v>0</v>
          </cell>
          <cell r="O894">
            <v>0</v>
          </cell>
          <cell r="P894">
            <v>0</v>
          </cell>
          <cell r="Q894">
            <v>0</v>
          </cell>
          <cell r="R894">
            <v>0</v>
          </cell>
          <cell r="S894">
            <v>772000</v>
          </cell>
          <cell r="T894">
            <v>2839935.6</v>
          </cell>
          <cell r="U894">
            <v>3.6786730569948198</v>
          </cell>
        </row>
        <row r="895">
          <cell r="A895">
            <v>1000889</v>
          </cell>
          <cell r="B895" t="str">
            <v>Sello Pull-Fly Seal Color Rojo</v>
          </cell>
          <cell r="D895">
            <v>7208</v>
          </cell>
          <cell r="E895">
            <v>1000</v>
          </cell>
          <cell r="F895" t="str">
            <v>ZALM</v>
          </cell>
          <cell r="G895" t="str">
            <v>UN</v>
          </cell>
          <cell r="H895" t="str">
            <v>DOP</v>
          </cell>
          <cell r="I895">
            <v>0</v>
          </cell>
          <cell r="J895">
            <v>0</v>
          </cell>
          <cell r="K895">
            <v>0</v>
          </cell>
          <cell r="L895">
            <v>0</v>
          </cell>
          <cell r="M895">
            <v>0</v>
          </cell>
          <cell r="N895">
            <v>0</v>
          </cell>
          <cell r="O895">
            <v>0</v>
          </cell>
          <cell r="P895">
            <v>0</v>
          </cell>
          <cell r="Q895">
            <v>0</v>
          </cell>
          <cell r="R895">
            <v>0</v>
          </cell>
          <cell r="S895">
            <v>0</v>
          </cell>
          <cell r="T895">
            <v>0</v>
          </cell>
          <cell r="U895" t="e">
            <v>#N/A</v>
          </cell>
        </row>
        <row r="896">
          <cell r="A896">
            <v>1000890</v>
          </cell>
          <cell r="B896" t="str">
            <v>Sello Seguridad Inserto Marip Amarillo</v>
          </cell>
          <cell r="D896">
            <v>7208</v>
          </cell>
          <cell r="E896">
            <v>1000</v>
          </cell>
          <cell r="F896" t="str">
            <v>ZALM</v>
          </cell>
          <cell r="G896" t="str">
            <v>UN</v>
          </cell>
          <cell r="H896" t="str">
            <v>DOP</v>
          </cell>
          <cell r="I896">
            <v>1000</v>
          </cell>
          <cell r="J896">
            <v>8555.14</v>
          </cell>
          <cell r="K896">
            <v>0</v>
          </cell>
          <cell r="L896">
            <v>0</v>
          </cell>
          <cell r="M896">
            <v>0</v>
          </cell>
          <cell r="N896">
            <v>0</v>
          </cell>
          <cell r="O896">
            <v>0</v>
          </cell>
          <cell r="P896">
            <v>0</v>
          </cell>
          <cell r="Q896">
            <v>58000</v>
          </cell>
          <cell r="R896">
            <v>496197.96</v>
          </cell>
          <cell r="S896">
            <v>59000</v>
          </cell>
          <cell r="T896">
            <v>504753.1</v>
          </cell>
          <cell r="U896">
            <v>8.5551372881355903</v>
          </cell>
        </row>
        <row r="897">
          <cell r="A897">
            <v>1000891</v>
          </cell>
          <cell r="B897" t="str">
            <v>Sistema Sujeción a Poste Gab 12 Med</v>
          </cell>
          <cell r="D897">
            <v>7208</v>
          </cell>
          <cell r="E897">
            <v>1000</v>
          </cell>
          <cell r="F897" t="str">
            <v>ZALM</v>
          </cell>
          <cell r="G897" t="str">
            <v>UN</v>
          </cell>
          <cell r="H897" t="str">
            <v>DOP</v>
          </cell>
          <cell r="I897">
            <v>0</v>
          </cell>
          <cell r="J897">
            <v>0</v>
          </cell>
          <cell r="K897">
            <v>0</v>
          </cell>
          <cell r="L897">
            <v>0</v>
          </cell>
          <cell r="M897">
            <v>0</v>
          </cell>
          <cell r="N897">
            <v>0</v>
          </cell>
          <cell r="O897">
            <v>0</v>
          </cell>
          <cell r="P897">
            <v>0</v>
          </cell>
          <cell r="Q897">
            <v>0</v>
          </cell>
          <cell r="R897">
            <v>0</v>
          </cell>
          <cell r="S897">
            <v>0</v>
          </cell>
          <cell r="T897">
            <v>0</v>
          </cell>
          <cell r="U897" t="e">
            <v>#N/A</v>
          </cell>
        </row>
        <row r="898">
          <cell r="A898">
            <v>1000892</v>
          </cell>
          <cell r="B898" t="str">
            <v>Sistema Sujeción a Poste Gab 6/8 Med</v>
          </cell>
          <cell r="D898">
            <v>7208</v>
          </cell>
          <cell r="E898">
            <v>1000</v>
          </cell>
          <cell r="F898" t="str">
            <v>ZALM</v>
          </cell>
          <cell r="G898" t="str">
            <v>UN</v>
          </cell>
          <cell r="H898" t="str">
            <v>DOP</v>
          </cell>
          <cell r="I898">
            <v>0</v>
          </cell>
          <cell r="J898">
            <v>0</v>
          </cell>
          <cell r="K898">
            <v>0</v>
          </cell>
          <cell r="L898">
            <v>0</v>
          </cell>
          <cell r="M898">
            <v>0</v>
          </cell>
          <cell r="N898">
            <v>0</v>
          </cell>
          <cell r="O898">
            <v>0</v>
          </cell>
          <cell r="P898">
            <v>0</v>
          </cell>
          <cell r="Q898">
            <v>0</v>
          </cell>
          <cell r="R898">
            <v>0</v>
          </cell>
          <cell r="S898">
            <v>0</v>
          </cell>
          <cell r="T898">
            <v>0</v>
          </cell>
          <cell r="U898" t="e">
            <v>#N/A</v>
          </cell>
        </row>
        <row r="899">
          <cell r="A899">
            <v>1000893</v>
          </cell>
          <cell r="B899" t="str">
            <v>Soporte P/ Jumper Auxiliar</v>
          </cell>
          <cell r="D899">
            <v>7208</v>
          </cell>
          <cell r="E899">
            <v>1000</v>
          </cell>
          <cell r="F899" t="str">
            <v>ZALM</v>
          </cell>
          <cell r="G899" t="str">
            <v>UN</v>
          </cell>
          <cell r="H899" t="str">
            <v>DOP</v>
          </cell>
          <cell r="I899">
            <v>0</v>
          </cell>
          <cell r="J899">
            <v>0</v>
          </cell>
          <cell r="K899">
            <v>0</v>
          </cell>
          <cell r="L899">
            <v>0</v>
          </cell>
          <cell r="M899">
            <v>0</v>
          </cell>
          <cell r="N899">
            <v>0</v>
          </cell>
          <cell r="O899">
            <v>0</v>
          </cell>
          <cell r="P899">
            <v>0</v>
          </cell>
          <cell r="Q899">
            <v>0</v>
          </cell>
          <cell r="R899">
            <v>0</v>
          </cell>
          <cell r="S899">
            <v>0</v>
          </cell>
          <cell r="T899">
            <v>0</v>
          </cell>
          <cell r="U899" t="e">
            <v>#N/A</v>
          </cell>
        </row>
        <row r="900">
          <cell r="A900">
            <v>1000894</v>
          </cell>
          <cell r="B900" t="str">
            <v>Soporte Regleta</v>
          </cell>
          <cell r="D900">
            <v>7208</v>
          </cell>
          <cell r="E900">
            <v>1000</v>
          </cell>
          <cell r="F900" t="str">
            <v>ZALM</v>
          </cell>
          <cell r="G900" t="str">
            <v>UN</v>
          </cell>
          <cell r="H900" t="str">
            <v>DOP</v>
          </cell>
          <cell r="I900">
            <v>0</v>
          </cell>
          <cell r="J900">
            <v>0</v>
          </cell>
          <cell r="K900">
            <v>0</v>
          </cell>
          <cell r="L900">
            <v>0</v>
          </cell>
          <cell r="M900">
            <v>0</v>
          </cell>
          <cell r="N900">
            <v>0</v>
          </cell>
          <cell r="O900">
            <v>0</v>
          </cell>
          <cell r="P900">
            <v>0</v>
          </cell>
          <cell r="Q900">
            <v>0</v>
          </cell>
          <cell r="R900">
            <v>0</v>
          </cell>
          <cell r="S900">
            <v>0</v>
          </cell>
          <cell r="T900">
            <v>0</v>
          </cell>
          <cell r="U900" t="e">
            <v>#N/A</v>
          </cell>
        </row>
        <row r="901">
          <cell r="A901">
            <v>1000895</v>
          </cell>
          <cell r="B901" t="str">
            <v>Soporte Temporario de Conductor</v>
          </cell>
          <cell r="D901">
            <v>7208</v>
          </cell>
          <cell r="E901">
            <v>1000</v>
          </cell>
          <cell r="F901" t="str">
            <v>ZALM</v>
          </cell>
          <cell r="G901" t="str">
            <v>UN</v>
          </cell>
          <cell r="H901" t="str">
            <v>DOP</v>
          </cell>
          <cell r="I901">
            <v>0</v>
          </cell>
          <cell r="J901">
            <v>0</v>
          </cell>
          <cell r="K901">
            <v>0</v>
          </cell>
          <cell r="L901">
            <v>0</v>
          </cell>
          <cell r="M901">
            <v>0</v>
          </cell>
          <cell r="N901">
            <v>0</v>
          </cell>
          <cell r="O901">
            <v>0</v>
          </cell>
          <cell r="P901">
            <v>0</v>
          </cell>
          <cell r="Q901">
            <v>0</v>
          </cell>
          <cell r="R901">
            <v>0</v>
          </cell>
          <cell r="S901">
            <v>0</v>
          </cell>
          <cell r="T901">
            <v>0</v>
          </cell>
          <cell r="U901" t="e">
            <v>#N/A</v>
          </cell>
        </row>
        <row r="902">
          <cell r="A902">
            <v>1000896</v>
          </cell>
          <cell r="B902" t="str">
            <v>Sujetador de Cable (Tight Wrap) 10"</v>
          </cell>
          <cell r="D902">
            <v>7208</v>
          </cell>
          <cell r="E902">
            <v>1000</v>
          </cell>
          <cell r="F902" t="str">
            <v>ZALM</v>
          </cell>
          <cell r="G902" t="str">
            <v>UN</v>
          </cell>
          <cell r="H902" t="str">
            <v>DOP</v>
          </cell>
          <cell r="I902">
            <v>0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  <cell r="O902">
            <v>0</v>
          </cell>
          <cell r="P902">
            <v>0</v>
          </cell>
          <cell r="Q902">
            <v>0</v>
          </cell>
          <cell r="R902">
            <v>0</v>
          </cell>
          <cell r="S902">
            <v>0</v>
          </cell>
          <cell r="T902">
            <v>0</v>
          </cell>
          <cell r="U902" t="e">
            <v>#N/A</v>
          </cell>
        </row>
        <row r="903">
          <cell r="A903">
            <v>1000897</v>
          </cell>
          <cell r="B903" t="str">
            <v>Sujetador de Cable (Tight Wrap) 12"</v>
          </cell>
          <cell r="D903">
            <v>7208</v>
          </cell>
          <cell r="E903">
            <v>1000</v>
          </cell>
          <cell r="F903" t="str">
            <v>ZALM</v>
          </cell>
          <cell r="G903" t="str">
            <v>UN</v>
          </cell>
          <cell r="H903" t="str">
            <v>DOP</v>
          </cell>
          <cell r="I903">
            <v>0</v>
          </cell>
          <cell r="J903">
            <v>0</v>
          </cell>
          <cell r="K903">
            <v>0</v>
          </cell>
          <cell r="L903">
            <v>0</v>
          </cell>
          <cell r="M903">
            <v>0</v>
          </cell>
          <cell r="N903">
            <v>0</v>
          </cell>
          <cell r="O903">
            <v>0</v>
          </cell>
          <cell r="P903">
            <v>0</v>
          </cell>
          <cell r="Q903">
            <v>0</v>
          </cell>
          <cell r="R903">
            <v>0</v>
          </cell>
          <cell r="S903">
            <v>0</v>
          </cell>
          <cell r="T903">
            <v>0</v>
          </cell>
          <cell r="U903" t="e">
            <v>#N/A</v>
          </cell>
        </row>
        <row r="904">
          <cell r="A904">
            <v>1000898</v>
          </cell>
          <cell r="B904" t="str">
            <v>Sujetador de Cable (Tight -Wrap) 15"</v>
          </cell>
          <cell r="D904">
            <v>7208</v>
          </cell>
          <cell r="E904">
            <v>1000</v>
          </cell>
          <cell r="F904" t="str">
            <v>ZALM</v>
          </cell>
          <cell r="G904" t="str">
            <v>UN</v>
          </cell>
          <cell r="H904" t="str">
            <v>DOP</v>
          </cell>
          <cell r="I904">
            <v>0</v>
          </cell>
          <cell r="J904">
            <v>0</v>
          </cell>
          <cell r="K904">
            <v>239400</v>
          </cell>
          <cell r="L904">
            <v>1516434.39</v>
          </cell>
          <cell r="M904">
            <v>700</v>
          </cell>
          <cell r="N904">
            <v>4434.0200000000004</v>
          </cell>
          <cell r="O904">
            <v>0</v>
          </cell>
          <cell r="P904">
            <v>0</v>
          </cell>
          <cell r="Q904">
            <v>125730</v>
          </cell>
          <cell r="R904">
            <v>796413.1</v>
          </cell>
          <cell r="S904">
            <v>365830</v>
          </cell>
          <cell r="T904">
            <v>2317281.5099999998</v>
          </cell>
          <cell r="U904">
            <v>6.3343124128693704</v>
          </cell>
        </row>
        <row r="905">
          <cell r="A905">
            <v>1000899</v>
          </cell>
          <cell r="B905" t="str">
            <v>Sujetador de Cable (Tight Wrap) 16"</v>
          </cell>
          <cell r="D905">
            <v>7208</v>
          </cell>
          <cell r="E905">
            <v>1000</v>
          </cell>
          <cell r="F905" t="str">
            <v>ZALM</v>
          </cell>
          <cell r="G905" t="str">
            <v>UN</v>
          </cell>
          <cell r="H905" t="str">
            <v>DOP</v>
          </cell>
          <cell r="I905">
            <v>0</v>
          </cell>
          <cell r="J905">
            <v>0</v>
          </cell>
          <cell r="K905">
            <v>0</v>
          </cell>
          <cell r="L905">
            <v>0</v>
          </cell>
          <cell r="M905">
            <v>0</v>
          </cell>
          <cell r="N905">
            <v>0</v>
          </cell>
          <cell r="O905">
            <v>0</v>
          </cell>
          <cell r="P905">
            <v>0</v>
          </cell>
          <cell r="Q905">
            <v>0</v>
          </cell>
          <cell r="R905">
            <v>0</v>
          </cell>
          <cell r="S905">
            <v>0</v>
          </cell>
          <cell r="T905">
            <v>0</v>
          </cell>
          <cell r="U905" t="e">
            <v>#N/A</v>
          </cell>
        </row>
        <row r="906">
          <cell r="A906">
            <v>1000900</v>
          </cell>
          <cell r="B906" t="str">
            <v>Sujetador de Cable (Tight Wrap) 18"</v>
          </cell>
          <cell r="D906">
            <v>7208</v>
          </cell>
          <cell r="E906">
            <v>1000</v>
          </cell>
          <cell r="F906" t="str">
            <v>ZALM</v>
          </cell>
          <cell r="G906" t="str">
            <v>UN</v>
          </cell>
          <cell r="H906" t="str">
            <v>DOP</v>
          </cell>
          <cell r="I906">
            <v>0</v>
          </cell>
          <cell r="J906">
            <v>0</v>
          </cell>
          <cell r="K906">
            <v>0</v>
          </cell>
          <cell r="L906">
            <v>0</v>
          </cell>
          <cell r="M906">
            <v>0</v>
          </cell>
          <cell r="N906">
            <v>0</v>
          </cell>
          <cell r="O906">
            <v>0</v>
          </cell>
          <cell r="P906">
            <v>0</v>
          </cell>
          <cell r="Q906">
            <v>3000</v>
          </cell>
          <cell r="R906">
            <v>31494</v>
          </cell>
          <cell r="S906">
            <v>3000</v>
          </cell>
          <cell r="T906">
            <v>31494</v>
          </cell>
          <cell r="U906">
            <v>10.497999999999999</v>
          </cell>
        </row>
        <row r="907">
          <cell r="A907">
            <v>1000901</v>
          </cell>
          <cell r="B907" t="str">
            <v>Sujetador de Cable (Tight Wrap) 380x8mm</v>
          </cell>
          <cell r="D907">
            <v>7208</v>
          </cell>
          <cell r="E907">
            <v>1000</v>
          </cell>
          <cell r="F907" t="str">
            <v>ZALM</v>
          </cell>
          <cell r="G907" t="str">
            <v>UN</v>
          </cell>
          <cell r="H907" t="str">
            <v>DOP</v>
          </cell>
          <cell r="I907">
            <v>0</v>
          </cell>
          <cell r="J907">
            <v>0</v>
          </cell>
          <cell r="K907">
            <v>0</v>
          </cell>
          <cell r="L907">
            <v>0</v>
          </cell>
          <cell r="M907">
            <v>0</v>
          </cell>
          <cell r="N907">
            <v>0</v>
          </cell>
          <cell r="O907">
            <v>0</v>
          </cell>
          <cell r="P907">
            <v>0</v>
          </cell>
          <cell r="Q907">
            <v>0</v>
          </cell>
          <cell r="R907">
            <v>0</v>
          </cell>
          <cell r="S907">
            <v>0</v>
          </cell>
          <cell r="T907">
            <v>0</v>
          </cell>
          <cell r="U907" t="e">
            <v>#N/A</v>
          </cell>
        </row>
        <row r="908">
          <cell r="A908">
            <v>1000902</v>
          </cell>
          <cell r="B908" t="str">
            <v>Sujetador de Cable (Tight Wrap) 48"x8mm</v>
          </cell>
          <cell r="D908">
            <v>7208</v>
          </cell>
          <cell r="E908">
            <v>1000</v>
          </cell>
          <cell r="F908" t="str">
            <v>ZALM</v>
          </cell>
          <cell r="G908" t="str">
            <v>UN</v>
          </cell>
          <cell r="H908" t="str">
            <v>DOP</v>
          </cell>
          <cell r="I908">
            <v>0</v>
          </cell>
          <cell r="J908">
            <v>0</v>
          </cell>
          <cell r="K908">
            <v>0</v>
          </cell>
          <cell r="L908">
            <v>0</v>
          </cell>
          <cell r="M908">
            <v>0</v>
          </cell>
          <cell r="N908">
            <v>0</v>
          </cell>
          <cell r="O908">
            <v>0</v>
          </cell>
          <cell r="P908">
            <v>0</v>
          </cell>
          <cell r="Q908">
            <v>0</v>
          </cell>
          <cell r="R908">
            <v>0</v>
          </cell>
          <cell r="S908">
            <v>0</v>
          </cell>
          <cell r="T908">
            <v>0</v>
          </cell>
          <cell r="U908" t="e">
            <v>#N/A</v>
          </cell>
        </row>
        <row r="909">
          <cell r="A909">
            <v>1000903</v>
          </cell>
          <cell r="B909" t="str">
            <v>Sujetador de Cable (Tight Wrap) 8"</v>
          </cell>
          <cell r="D909">
            <v>7208</v>
          </cell>
          <cell r="E909">
            <v>1000</v>
          </cell>
          <cell r="F909" t="str">
            <v>ZALM</v>
          </cell>
          <cell r="G909" t="str">
            <v>UN</v>
          </cell>
          <cell r="H909" t="str">
            <v>DOP</v>
          </cell>
          <cell r="I909">
            <v>9</v>
          </cell>
          <cell r="J909">
            <v>49.98</v>
          </cell>
          <cell r="K909">
            <v>0</v>
          </cell>
          <cell r="L909">
            <v>0</v>
          </cell>
          <cell r="M909">
            <v>0</v>
          </cell>
          <cell r="N909">
            <v>0</v>
          </cell>
          <cell r="O909">
            <v>0</v>
          </cell>
          <cell r="P909">
            <v>0</v>
          </cell>
          <cell r="Q909">
            <v>106</v>
          </cell>
          <cell r="R909">
            <v>588.69000000000005</v>
          </cell>
          <cell r="S909">
            <v>115</v>
          </cell>
          <cell r="T909">
            <v>638.66999999999996</v>
          </cell>
          <cell r="U909">
            <v>5.55365217391304</v>
          </cell>
        </row>
        <row r="910">
          <cell r="A910">
            <v>1000904</v>
          </cell>
          <cell r="B910" t="str">
            <v>Sujetador de Cable (Tight-Wrap) 6"</v>
          </cell>
          <cell r="D910">
            <v>7208</v>
          </cell>
          <cell r="E910">
            <v>1000</v>
          </cell>
          <cell r="F910" t="str">
            <v>ZALM</v>
          </cell>
          <cell r="G910" t="str">
            <v>UN</v>
          </cell>
          <cell r="H910" t="str">
            <v>DOP</v>
          </cell>
          <cell r="I910">
            <v>5607</v>
          </cell>
          <cell r="J910">
            <v>2702.57</v>
          </cell>
          <cell r="K910">
            <v>0</v>
          </cell>
          <cell r="L910">
            <v>0</v>
          </cell>
          <cell r="M910">
            <v>0</v>
          </cell>
          <cell r="N910">
            <v>0</v>
          </cell>
          <cell r="O910">
            <v>0</v>
          </cell>
          <cell r="P910">
            <v>0</v>
          </cell>
          <cell r="Q910">
            <v>50</v>
          </cell>
          <cell r="R910">
            <v>24.1</v>
          </cell>
          <cell r="S910">
            <v>5657</v>
          </cell>
          <cell r="T910">
            <v>2726.67</v>
          </cell>
          <cell r="U910">
            <v>0.48199929291143701</v>
          </cell>
        </row>
        <row r="911">
          <cell r="A911">
            <v>1000905</v>
          </cell>
          <cell r="B911" t="str">
            <v>Sujetador de Cable Haz de Hilo 3/16-4"</v>
          </cell>
          <cell r="D911">
            <v>7208</v>
          </cell>
          <cell r="E911">
            <v>1000</v>
          </cell>
          <cell r="F911" t="str">
            <v>ZALM</v>
          </cell>
          <cell r="G911" t="str">
            <v>UN</v>
          </cell>
          <cell r="H911" t="str">
            <v>DOP</v>
          </cell>
          <cell r="I911">
            <v>864</v>
          </cell>
          <cell r="J911">
            <v>2617.0700000000002</v>
          </cell>
          <cell r="K911">
            <v>0</v>
          </cell>
          <cell r="L911">
            <v>0</v>
          </cell>
          <cell r="M911">
            <v>0</v>
          </cell>
          <cell r="N911">
            <v>0</v>
          </cell>
          <cell r="O911">
            <v>0</v>
          </cell>
          <cell r="P911">
            <v>0</v>
          </cell>
          <cell r="Q911">
            <v>0</v>
          </cell>
          <cell r="R911">
            <v>0</v>
          </cell>
          <cell r="S911">
            <v>864</v>
          </cell>
          <cell r="T911">
            <v>2617.0700000000002</v>
          </cell>
          <cell r="U911">
            <v>3.0290162037037001</v>
          </cell>
        </row>
        <row r="912">
          <cell r="A912">
            <v>1000906</v>
          </cell>
          <cell r="B912" t="str">
            <v>Supresor de Pico 120/240 Vac 3W</v>
          </cell>
          <cell r="D912">
            <v>7208</v>
          </cell>
          <cell r="E912">
            <v>1000</v>
          </cell>
          <cell r="F912" t="str">
            <v>ZALM</v>
          </cell>
          <cell r="G912" t="str">
            <v>UN</v>
          </cell>
          <cell r="H912" t="str">
            <v>DOP</v>
          </cell>
          <cell r="I912">
            <v>0</v>
          </cell>
          <cell r="J912">
            <v>0</v>
          </cell>
          <cell r="K912">
            <v>0</v>
          </cell>
          <cell r="L912">
            <v>0</v>
          </cell>
          <cell r="M912">
            <v>0</v>
          </cell>
          <cell r="N912">
            <v>0</v>
          </cell>
          <cell r="O912">
            <v>0</v>
          </cell>
          <cell r="P912">
            <v>0</v>
          </cell>
          <cell r="Q912">
            <v>0</v>
          </cell>
          <cell r="R912">
            <v>0</v>
          </cell>
          <cell r="S912">
            <v>0</v>
          </cell>
          <cell r="T912">
            <v>0</v>
          </cell>
          <cell r="U912" t="e">
            <v>#N/A</v>
          </cell>
        </row>
        <row r="913">
          <cell r="A913">
            <v>1000907</v>
          </cell>
          <cell r="B913" t="str">
            <v>Supresor de Pico 120/240 Vac 4W</v>
          </cell>
          <cell r="D913">
            <v>7208</v>
          </cell>
          <cell r="E913">
            <v>1000</v>
          </cell>
          <cell r="F913" t="str">
            <v>ZALM</v>
          </cell>
          <cell r="G913" t="str">
            <v>UN</v>
          </cell>
          <cell r="H913" t="str">
            <v>DOP</v>
          </cell>
          <cell r="I913">
            <v>0</v>
          </cell>
          <cell r="J913">
            <v>0</v>
          </cell>
          <cell r="K913">
            <v>0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  <cell r="Q913">
            <v>0</v>
          </cell>
          <cell r="R913">
            <v>0</v>
          </cell>
          <cell r="S913">
            <v>0</v>
          </cell>
          <cell r="T913">
            <v>0</v>
          </cell>
          <cell r="U913" t="e">
            <v>#N/A</v>
          </cell>
        </row>
        <row r="914">
          <cell r="A914">
            <v>1000908</v>
          </cell>
          <cell r="B914" t="str">
            <v>Supresor de Pico en Línea Data DLP-4.71</v>
          </cell>
          <cell r="D914">
            <v>7208</v>
          </cell>
          <cell r="E914">
            <v>1000</v>
          </cell>
          <cell r="F914" t="str">
            <v>ZALM</v>
          </cell>
          <cell r="G914" t="str">
            <v>UN</v>
          </cell>
          <cell r="H914" t="str">
            <v>DOP</v>
          </cell>
          <cell r="I914">
            <v>324</v>
          </cell>
          <cell r="J914">
            <v>689084.18</v>
          </cell>
          <cell r="K914">
            <v>0</v>
          </cell>
          <cell r="L914">
            <v>0</v>
          </cell>
          <cell r="M914">
            <v>0</v>
          </cell>
          <cell r="N914">
            <v>0</v>
          </cell>
          <cell r="O914">
            <v>0</v>
          </cell>
          <cell r="P914">
            <v>0</v>
          </cell>
          <cell r="Q914">
            <v>0</v>
          </cell>
          <cell r="R914">
            <v>0</v>
          </cell>
          <cell r="S914">
            <v>324</v>
          </cell>
          <cell r="T914">
            <v>689084.18</v>
          </cell>
          <cell r="U914">
            <v>2126.80302469136</v>
          </cell>
        </row>
        <row r="915">
          <cell r="A915">
            <v>1000909</v>
          </cell>
          <cell r="B915" t="str">
            <v>Supresor de Pico Industr120V 60Hz 15A</v>
          </cell>
          <cell r="D915">
            <v>7208</v>
          </cell>
          <cell r="E915">
            <v>1000</v>
          </cell>
          <cell r="F915" t="str">
            <v>ZALM</v>
          </cell>
          <cell r="G915" t="str">
            <v>UN</v>
          </cell>
          <cell r="H915" t="str">
            <v>DOP</v>
          </cell>
          <cell r="I915">
            <v>2</v>
          </cell>
          <cell r="J915">
            <v>3779.1</v>
          </cell>
          <cell r="K915">
            <v>0</v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>
            <v>0</v>
          </cell>
          <cell r="Q915">
            <v>0</v>
          </cell>
          <cell r="R915">
            <v>0</v>
          </cell>
          <cell r="S915">
            <v>2</v>
          </cell>
          <cell r="T915">
            <v>3779.1</v>
          </cell>
          <cell r="U915">
            <v>1889.55</v>
          </cell>
        </row>
        <row r="916">
          <cell r="A916">
            <v>1000910</v>
          </cell>
          <cell r="B916" t="str">
            <v>Tantalum 47µf 10% 6V Ref. C407</v>
          </cell>
          <cell r="D916">
            <v>7208</v>
          </cell>
          <cell r="E916">
            <v>1000</v>
          </cell>
          <cell r="F916" t="str">
            <v>ZALM</v>
          </cell>
          <cell r="G916" t="str">
            <v>UN</v>
          </cell>
          <cell r="H916" t="str">
            <v>DOP</v>
          </cell>
          <cell r="I916">
            <v>0</v>
          </cell>
          <cell r="J916">
            <v>0</v>
          </cell>
          <cell r="K916">
            <v>0</v>
          </cell>
          <cell r="L916">
            <v>0</v>
          </cell>
          <cell r="M916">
            <v>0</v>
          </cell>
          <cell r="N916">
            <v>0</v>
          </cell>
          <cell r="O916">
            <v>0</v>
          </cell>
          <cell r="P916">
            <v>0</v>
          </cell>
          <cell r="Q916">
            <v>0</v>
          </cell>
          <cell r="R916">
            <v>0</v>
          </cell>
          <cell r="S916">
            <v>0</v>
          </cell>
          <cell r="T916">
            <v>0</v>
          </cell>
          <cell r="U916" t="e">
            <v>#N/A</v>
          </cell>
        </row>
        <row r="917">
          <cell r="A917">
            <v>1000911</v>
          </cell>
          <cell r="B917" t="str">
            <v>Tapa Ciega Circular para Base de Medidor</v>
          </cell>
          <cell r="D917">
            <v>7208</v>
          </cell>
          <cell r="E917">
            <v>1000</v>
          </cell>
          <cell r="F917" t="str">
            <v>ZALM</v>
          </cell>
          <cell r="G917" t="str">
            <v>UN</v>
          </cell>
          <cell r="H917" t="str">
            <v>DOP</v>
          </cell>
          <cell r="I917">
            <v>30966</v>
          </cell>
          <cell r="J917">
            <v>848573.52</v>
          </cell>
          <cell r="K917">
            <v>0</v>
          </cell>
          <cell r="L917">
            <v>0</v>
          </cell>
          <cell r="M917">
            <v>0</v>
          </cell>
          <cell r="N917">
            <v>0</v>
          </cell>
          <cell r="O917">
            <v>0</v>
          </cell>
          <cell r="P917">
            <v>0</v>
          </cell>
          <cell r="Q917">
            <v>240</v>
          </cell>
          <cell r="R917">
            <v>6576.81</v>
          </cell>
          <cell r="S917">
            <v>31206</v>
          </cell>
          <cell r="T917">
            <v>855150.33</v>
          </cell>
          <cell r="U917">
            <v>27.403394539511599</v>
          </cell>
        </row>
        <row r="918">
          <cell r="A918">
            <v>1000912</v>
          </cell>
          <cell r="B918" t="str">
            <v>Tapa Metal P/ Modulos PC-1 P/ Med 4P</v>
          </cell>
          <cell r="D918">
            <v>7208</v>
          </cell>
          <cell r="E918">
            <v>1000</v>
          </cell>
          <cell r="F918" t="str">
            <v>ZALM</v>
          </cell>
          <cell r="G918" t="str">
            <v>UN</v>
          </cell>
          <cell r="H918" t="str">
            <v>DOP</v>
          </cell>
          <cell r="I918">
            <v>0</v>
          </cell>
          <cell r="J918">
            <v>0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  <cell r="S918">
            <v>0</v>
          </cell>
          <cell r="T918">
            <v>0</v>
          </cell>
          <cell r="U918" t="e">
            <v>#N/A</v>
          </cell>
        </row>
        <row r="919">
          <cell r="A919">
            <v>1000913</v>
          </cell>
          <cell r="B919" t="str">
            <v>Tapa Metal P/ Modulos PD1</v>
          </cell>
          <cell r="D919">
            <v>7208</v>
          </cell>
          <cell r="E919">
            <v>1000</v>
          </cell>
          <cell r="F919" t="str">
            <v>ZALM</v>
          </cell>
          <cell r="G919" t="str">
            <v>UN</v>
          </cell>
          <cell r="H919" t="str">
            <v>DOP</v>
          </cell>
          <cell r="I919">
            <v>0</v>
          </cell>
          <cell r="J919">
            <v>0</v>
          </cell>
          <cell r="K919">
            <v>0</v>
          </cell>
          <cell r="L919">
            <v>0</v>
          </cell>
          <cell r="M919">
            <v>0</v>
          </cell>
          <cell r="N919">
            <v>0</v>
          </cell>
          <cell r="O919">
            <v>0</v>
          </cell>
          <cell r="P919">
            <v>0</v>
          </cell>
          <cell r="Q919">
            <v>0</v>
          </cell>
          <cell r="R919">
            <v>0</v>
          </cell>
          <cell r="S919">
            <v>0</v>
          </cell>
          <cell r="T919">
            <v>0</v>
          </cell>
          <cell r="U919" t="e">
            <v>#N/A</v>
          </cell>
        </row>
        <row r="920">
          <cell r="A920">
            <v>1000914</v>
          </cell>
          <cell r="B920" t="str">
            <v>Tapa Metal P/ Modulos PF-1</v>
          </cell>
          <cell r="D920">
            <v>7208</v>
          </cell>
          <cell r="E920">
            <v>1000</v>
          </cell>
          <cell r="F920" t="str">
            <v>ZALM</v>
          </cell>
          <cell r="G920" t="str">
            <v>UN</v>
          </cell>
          <cell r="H920" t="str">
            <v>DOP</v>
          </cell>
          <cell r="I920">
            <v>0</v>
          </cell>
          <cell r="J920">
            <v>0</v>
          </cell>
          <cell r="K920">
            <v>0</v>
          </cell>
          <cell r="L920">
            <v>0</v>
          </cell>
          <cell r="M920">
            <v>0</v>
          </cell>
          <cell r="N920">
            <v>0</v>
          </cell>
          <cell r="O920">
            <v>0</v>
          </cell>
          <cell r="P920">
            <v>0</v>
          </cell>
          <cell r="Q920">
            <v>0</v>
          </cell>
          <cell r="R920">
            <v>0</v>
          </cell>
          <cell r="S920">
            <v>0</v>
          </cell>
          <cell r="T920">
            <v>0</v>
          </cell>
          <cell r="U920" t="e">
            <v>#N/A</v>
          </cell>
        </row>
        <row r="921">
          <cell r="A921">
            <v>1000915</v>
          </cell>
          <cell r="B921" t="str">
            <v>Tapa P/ Borneras Ref. 39451</v>
          </cell>
          <cell r="D921">
            <v>7208</v>
          </cell>
          <cell r="E921">
            <v>1000</v>
          </cell>
          <cell r="F921" t="str">
            <v>ZALM</v>
          </cell>
          <cell r="G921" t="str">
            <v>UN</v>
          </cell>
          <cell r="H921" t="str">
            <v>DOP</v>
          </cell>
          <cell r="I921">
            <v>0</v>
          </cell>
          <cell r="J921">
            <v>0</v>
          </cell>
          <cell r="K921">
            <v>0</v>
          </cell>
          <cell r="L921">
            <v>0</v>
          </cell>
          <cell r="M921">
            <v>0</v>
          </cell>
          <cell r="N921">
            <v>0</v>
          </cell>
          <cell r="O921">
            <v>0</v>
          </cell>
          <cell r="P921">
            <v>0</v>
          </cell>
          <cell r="Q921">
            <v>0</v>
          </cell>
          <cell r="R921">
            <v>0</v>
          </cell>
          <cell r="S921">
            <v>0</v>
          </cell>
          <cell r="T921">
            <v>0</v>
          </cell>
          <cell r="U921" t="e">
            <v>#N/A</v>
          </cell>
        </row>
        <row r="922">
          <cell r="A922">
            <v>1000916</v>
          </cell>
          <cell r="B922" t="str">
            <v>Tapa P/ Caja Polic Med Electron A200 2h</v>
          </cell>
          <cell r="D922">
            <v>7208</v>
          </cell>
          <cell r="E922">
            <v>1000</v>
          </cell>
          <cell r="F922" t="str">
            <v>ZALM</v>
          </cell>
          <cell r="G922" t="str">
            <v>UN</v>
          </cell>
          <cell r="H922" t="str">
            <v>DOP</v>
          </cell>
          <cell r="I922">
            <v>70</v>
          </cell>
          <cell r="J922">
            <v>14979.43</v>
          </cell>
          <cell r="K922">
            <v>0</v>
          </cell>
          <cell r="L922">
            <v>0</v>
          </cell>
          <cell r="M922">
            <v>0</v>
          </cell>
          <cell r="N922">
            <v>0</v>
          </cell>
          <cell r="O922">
            <v>0</v>
          </cell>
          <cell r="P922">
            <v>0</v>
          </cell>
          <cell r="Q922">
            <v>0</v>
          </cell>
          <cell r="R922">
            <v>0</v>
          </cell>
          <cell r="S922">
            <v>70</v>
          </cell>
          <cell r="T922">
            <v>14979.43</v>
          </cell>
          <cell r="U922">
            <v>213.99185714285699</v>
          </cell>
        </row>
        <row r="923">
          <cell r="A923">
            <v>1000917</v>
          </cell>
          <cell r="B923" t="str">
            <v>Tapa P/ Caja Policarb Med 1ø T/ Dual</v>
          </cell>
          <cell r="D923">
            <v>7208</v>
          </cell>
          <cell r="E923">
            <v>1000</v>
          </cell>
          <cell r="F923" t="str">
            <v>ZALM</v>
          </cell>
          <cell r="G923" t="str">
            <v>UN</v>
          </cell>
          <cell r="H923" t="str">
            <v>DOP</v>
          </cell>
          <cell r="I923">
            <v>290</v>
          </cell>
          <cell r="J923">
            <v>140891.04999999999</v>
          </cell>
          <cell r="K923">
            <v>30456</v>
          </cell>
          <cell r="L923">
            <v>14796475.029999999</v>
          </cell>
          <cell r="M923">
            <v>0</v>
          </cell>
          <cell r="N923">
            <v>0</v>
          </cell>
          <cell r="O923">
            <v>0</v>
          </cell>
          <cell r="P923">
            <v>0</v>
          </cell>
          <cell r="Q923">
            <v>1900</v>
          </cell>
          <cell r="R923">
            <v>923079.28</v>
          </cell>
          <cell r="S923">
            <v>32646</v>
          </cell>
          <cell r="T923">
            <v>15860445.359999999</v>
          </cell>
          <cell r="U923">
            <v>485.83120014703201</v>
          </cell>
        </row>
        <row r="924">
          <cell r="A924">
            <v>1000918</v>
          </cell>
          <cell r="B924" t="str">
            <v>Tapa Plást P/ Medidor RXRS4 Landis+Gyr</v>
          </cell>
          <cell r="D924">
            <v>7208</v>
          </cell>
          <cell r="E924">
            <v>1000</v>
          </cell>
          <cell r="F924" t="str">
            <v>ZALM</v>
          </cell>
          <cell r="G924" t="str">
            <v>UN</v>
          </cell>
          <cell r="H924" t="str">
            <v>DOP</v>
          </cell>
          <cell r="I924">
            <v>0</v>
          </cell>
          <cell r="J924">
            <v>0</v>
          </cell>
          <cell r="K924">
            <v>0</v>
          </cell>
          <cell r="L924">
            <v>0</v>
          </cell>
          <cell r="M924">
            <v>0</v>
          </cell>
          <cell r="N924">
            <v>0</v>
          </cell>
          <cell r="O924">
            <v>0</v>
          </cell>
          <cell r="P924">
            <v>0</v>
          </cell>
          <cell r="Q924">
            <v>0</v>
          </cell>
          <cell r="R924">
            <v>0</v>
          </cell>
          <cell r="S924">
            <v>0</v>
          </cell>
          <cell r="T924">
            <v>0</v>
          </cell>
          <cell r="U924" t="e">
            <v>#N/A</v>
          </cell>
        </row>
        <row r="925">
          <cell r="A925">
            <v>1000919</v>
          </cell>
          <cell r="B925" t="str">
            <v>Tapa Troqueladas P/ Baquelitas M-3</v>
          </cell>
          <cell r="D925">
            <v>7208</v>
          </cell>
          <cell r="E925">
            <v>1000</v>
          </cell>
          <cell r="F925" t="str">
            <v>ZALM</v>
          </cell>
          <cell r="G925" t="str">
            <v>UN</v>
          </cell>
          <cell r="H925" t="str">
            <v>DOP</v>
          </cell>
          <cell r="I925">
            <v>766</v>
          </cell>
          <cell r="J925">
            <v>41364</v>
          </cell>
          <cell r="K925">
            <v>0</v>
          </cell>
          <cell r="L925">
            <v>0</v>
          </cell>
          <cell r="M925">
            <v>0</v>
          </cell>
          <cell r="N925">
            <v>0</v>
          </cell>
          <cell r="O925">
            <v>0</v>
          </cell>
          <cell r="P925">
            <v>0</v>
          </cell>
          <cell r="Q925">
            <v>0</v>
          </cell>
          <cell r="R925">
            <v>0</v>
          </cell>
          <cell r="S925">
            <v>766</v>
          </cell>
          <cell r="T925">
            <v>41364</v>
          </cell>
          <cell r="U925">
            <v>54</v>
          </cell>
        </row>
        <row r="926">
          <cell r="A926">
            <v>1000920</v>
          </cell>
          <cell r="B926" t="str">
            <v>Tapa Troqueladas P/ Baquelitas M-4</v>
          </cell>
          <cell r="D926">
            <v>7208</v>
          </cell>
          <cell r="E926">
            <v>1000</v>
          </cell>
          <cell r="F926" t="str">
            <v>ZALM</v>
          </cell>
          <cell r="G926" t="str">
            <v>UN</v>
          </cell>
          <cell r="H926" t="str">
            <v>DOP</v>
          </cell>
          <cell r="I926">
            <v>0</v>
          </cell>
          <cell r="J926">
            <v>0</v>
          </cell>
          <cell r="K926">
            <v>0</v>
          </cell>
          <cell r="L926">
            <v>0</v>
          </cell>
          <cell r="M926">
            <v>0</v>
          </cell>
          <cell r="N926">
            <v>0</v>
          </cell>
          <cell r="O926">
            <v>0</v>
          </cell>
          <cell r="P926">
            <v>0</v>
          </cell>
          <cell r="Q926">
            <v>0</v>
          </cell>
          <cell r="R926">
            <v>0</v>
          </cell>
          <cell r="S926">
            <v>0</v>
          </cell>
          <cell r="T926">
            <v>0</v>
          </cell>
          <cell r="U926" t="e">
            <v>#N/A</v>
          </cell>
        </row>
        <row r="927">
          <cell r="A927">
            <v>1000921</v>
          </cell>
          <cell r="B927" t="str">
            <v>Tape Catrige 3M 3480 de 575"</v>
          </cell>
          <cell r="D927">
            <v>7208</v>
          </cell>
          <cell r="E927">
            <v>1000</v>
          </cell>
          <cell r="F927" t="str">
            <v>ZALM</v>
          </cell>
          <cell r="G927" t="str">
            <v>UN</v>
          </cell>
          <cell r="H927" t="str">
            <v>DOP</v>
          </cell>
          <cell r="I927">
            <v>20</v>
          </cell>
          <cell r="J927">
            <v>2500</v>
          </cell>
          <cell r="K927">
            <v>0</v>
          </cell>
          <cell r="L927">
            <v>0</v>
          </cell>
          <cell r="M927">
            <v>0</v>
          </cell>
          <cell r="N927">
            <v>0</v>
          </cell>
          <cell r="O927">
            <v>0</v>
          </cell>
          <cell r="P927">
            <v>0</v>
          </cell>
          <cell r="Q927">
            <v>0</v>
          </cell>
          <cell r="R927">
            <v>0</v>
          </cell>
          <cell r="S927">
            <v>20</v>
          </cell>
          <cell r="T927">
            <v>2500</v>
          </cell>
          <cell r="U927">
            <v>125</v>
          </cell>
        </row>
        <row r="928">
          <cell r="A928">
            <v>1000922</v>
          </cell>
          <cell r="B928" t="str">
            <v>Tape Eléctrico 3/4" x 30' Goma</v>
          </cell>
          <cell r="D928">
            <v>7208</v>
          </cell>
          <cell r="E928">
            <v>1000</v>
          </cell>
          <cell r="F928" t="str">
            <v>ZALM</v>
          </cell>
          <cell r="G928" t="str">
            <v>UN</v>
          </cell>
          <cell r="H928" t="str">
            <v>DOP</v>
          </cell>
          <cell r="I928">
            <v>625</v>
          </cell>
          <cell r="J928">
            <v>140642.51999999999</v>
          </cell>
          <cell r="K928">
            <v>13278</v>
          </cell>
          <cell r="L928">
            <v>2987922.25</v>
          </cell>
          <cell r="M928">
            <v>39</v>
          </cell>
          <cell r="N928">
            <v>8776.09</v>
          </cell>
          <cell r="O928">
            <v>0</v>
          </cell>
          <cell r="P928">
            <v>0</v>
          </cell>
          <cell r="Q928">
            <v>190</v>
          </cell>
          <cell r="R928">
            <v>42755.33</v>
          </cell>
          <cell r="S928">
            <v>14132</v>
          </cell>
          <cell r="T928">
            <v>3180096.19</v>
          </cell>
          <cell r="U928">
            <v>225.02803495612801</v>
          </cell>
        </row>
        <row r="929">
          <cell r="A929">
            <v>1000923</v>
          </cell>
          <cell r="B929" t="str">
            <v>Tape Eléctrico 3/4" x 66' Vinyl</v>
          </cell>
          <cell r="D929">
            <v>7208</v>
          </cell>
          <cell r="E929">
            <v>1000</v>
          </cell>
          <cell r="F929" t="str">
            <v>ZALM</v>
          </cell>
          <cell r="G929" t="str">
            <v>UN</v>
          </cell>
          <cell r="H929" t="str">
            <v>DOP</v>
          </cell>
          <cell r="I929">
            <v>0</v>
          </cell>
          <cell r="J929">
            <v>0</v>
          </cell>
          <cell r="K929">
            <v>8395</v>
          </cell>
          <cell r="L929">
            <v>511568.62</v>
          </cell>
          <cell r="M929">
            <v>3</v>
          </cell>
          <cell r="N929">
            <v>182.81</v>
          </cell>
          <cell r="O929">
            <v>0</v>
          </cell>
          <cell r="P929">
            <v>0</v>
          </cell>
          <cell r="Q929">
            <v>280</v>
          </cell>
          <cell r="R929">
            <v>17062.439999999999</v>
          </cell>
          <cell r="S929">
            <v>8678</v>
          </cell>
          <cell r="T929">
            <v>528813.87</v>
          </cell>
          <cell r="U929">
            <v>60.937297764461903</v>
          </cell>
        </row>
        <row r="930">
          <cell r="A930">
            <v>1000924</v>
          </cell>
          <cell r="B930" t="str">
            <v>Tape Mastique Vinilo Plast 3M 2210 CDE</v>
          </cell>
          <cell r="D930">
            <v>7208</v>
          </cell>
          <cell r="E930">
            <v>1000</v>
          </cell>
          <cell r="F930" t="str">
            <v>ZALM</v>
          </cell>
          <cell r="G930" t="str">
            <v>UN</v>
          </cell>
          <cell r="H930" t="str">
            <v>DOP</v>
          </cell>
          <cell r="I930">
            <v>0</v>
          </cell>
          <cell r="J930">
            <v>0</v>
          </cell>
          <cell r="K930">
            <v>0</v>
          </cell>
          <cell r="L930">
            <v>0</v>
          </cell>
          <cell r="M930">
            <v>0</v>
          </cell>
          <cell r="N930">
            <v>0</v>
          </cell>
          <cell r="O930">
            <v>0</v>
          </cell>
          <cell r="P930">
            <v>0</v>
          </cell>
          <cell r="Q930">
            <v>0</v>
          </cell>
          <cell r="R930">
            <v>0</v>
          </cell>
          <cell r="S930">
            <v>0</v>
          </cell>
          <cell r="T930">
            <v>0</v>
          </cell>
          <cell r="U930" t="e">
            <v>#N/A</v>
          </cell>
        </row>
        <row r="931">
          <cell r="A931">
            <v>1000925</v>
          </cell>
          <cell r="B931" t="str">
            <v>Tape Semiconductivo de 30mm</v>
          </cell>
          <cell r="D931">
            <v>7208</v>
          </cell>
          <cell r="E931">
            <v>1000</v>
          </cell>
          <cell r="F931" t="str">
            <v>ZALM</v>
          </cell>
          <cell r="G931" t="str">
            <v>UN</v>
          </cell>
          <cell r="H931" t="str">
            <v>DOP</v>
          </cell>
          <cell r="I931">
            <v>0</v>
          </cell>
          <cell r="J931">
            <v>0</v>
          </cell>
          <cell r="K931">
            <v>0</v>
          </cell>
          <cell r="L931">
            <v>0</v>
          </cell>
          <cell r="M931">
            <v>0</v>
          </cell>
          <cell r="N931">
            <v>0</v>
          </cell>
          <cell r="O931">
            <v>0</v>
          </cell>
          <cell r="P931">
            <v>0</v>
          </cell>
          <cell r="Q931">
            <v>0</v>
          </cell>
          <cell r="R931">
            <v>0</v>
          </cell>
          <cell r="S931">
            <v>0</v>
          </cell>
          <cell r="T931">
            <v>0</v>
          </cell>
          <cell r="U931" t="e">
            <v>#N/A</v>
          </cell>
        </row>
        <row r="932">
          <cell r="A932">
            <v>1000926</v>
          </cell>
          <cell r="B932" t="str">
            <v>Tarjeta 6A0003641 Act Recl KYLE NOVA 15</v>
          </cell>
          <cell r="D932">
            <v>7208</v>
          </cell>
          <cell r="E932">
            <v>1000</v>
          </cell>
          <cell r="F932" t="str">
            <v>ZALM</v>
          </cell>
          <cell r="G932" t="str">
            <v>UN</v>
          </cell>
          <cell r="H932" t="str">
            <v>DOP</v>
          </cell>
          <cell r="I932">
            <v>0</v>
          </cell>
          <cell r="J932">
            <v>0</v>
          </cell>
          <cell r="K932">
            <v>0</v>
          </cell>
          <cell r="L932">
            <v>0</v>
          </cell>
          <cell r="M932">
            <v>0</v>
          </cell>
          <cell r="N932">
            <v>0</v>
          </cell>
          <cell r="O932">
            <v>0</v>
          </cell>
          <cell r="P932">
            <v>0</v>
          </cell>
          <cell r="Q932">
            <v>0</v>
          </cell>
          <cell r="R932">
            <v>0</v>
          </cell>
          <cell r="S932">
            <v>0</v>
          </cell>
          <cell r="T932">
            <v>0</v>
          </cell>
          <cell r="U932" t="e">
            <v>#N/A</v>
          </cell>
        </row>
        <row r="933">
          <cell r="A933">
            <v>1000927</v>
          </cell>
          <cell r="B933" t="str">
            <v>Tarjeta 6A00364502 Act Recl NOVA FM6</v>
          </cell>
          <cell r="D933">
            <v>7208</v>
          </cell>
          <cell r="E933">
            <v>1000</v>
          </cell>
          <cell r="F933" t="str">
            <v>ZALM</v>
          </cell>
          <cell r="G933" t="str">
            <v>UN</v>
          </cell>
          <cell r="H933" t="str">
            <v>DOP</v>
          </cell>
          <cell r="I933">
            <v>2</v>
          </cell>
          <cell r="J933">
            <v>69261.899999999994</v>
          </cell>
          <cell r="K933">
            <v>0</v>
          </cell>
          <cell r="L933">
            <v>0</v>
          </cell>
          <cell r="M933">
            <v>0</v>
          </cell>
          <cell r="N933">
            <v>0</v>
          </cell>
          <cell r="O933">
            <v>0</v>
          </cell>
          <cell r="P933">
            <v>0</v>
          </cell>
          <cell r="Q933">
            <v>0</v>
          </cell>
          <cell r="R933">
            <v>0</v>
          </cell>
          <cell r="S933">
            <v>2</v>
          </cell>
          <cell r="T933">
            <v>69261.899999999994</v>
          </cell>
          <cell r="U933">
            <v>34630.949999999997</v>
          </cell>
        </row>
        <row r="934">
          <cell r="A934">
            <v>1000928</v>
          </cell>
          <cell r="B934" t="str">
            <v>Tarjeta Control Local I/O Modul NTU-7550</v>
          </cell>
          <cell r="D934">
            <v>7208</v>
          </cell>
          <cell r="E934">
            <v>1000</v>
          </cell>
          <cell r="F934" t="str">
            <v>ZALM</v>
          </cell>
          <cell r="G934" t="str">
            <v>UN</v>
          </cell>
          <cell r="H934" t="str">
            <v>DOP</v>
          </cell>
          <cell r="I934">
            <v>2</v>
          </cell>
          <cell r="J934">
            <v>85583</v>
          </cell>
          <cell r="K934">
            <v>0</v>
          </cell>
          <cell r="L934">
            <v>0</v>
          </cell>
          <cell r="M934">
            <v>0</v>
          </cell>
          <cell r="N934">
            <v>0</v>
          </cell>
          <cell r="O934">
            <v>0</v>
          </cell>
          <cell r="P934">
            <v>0</v>
          </cell>
          <cell r="Q934">
            <v>0</v>
          </cell>
          <cell r="R934">
            <v>0</v>
          </cell>
          <cell r="S934">
            <v>2</v>
          </cell>
          <cell r="T934">
            <v>85583</v>
          </cell>
          <cell r="U934">
            <v>42791.5</v>
          </cell>
        </row>
        <row r="935">
          <cell r="A935">
            <v>1000929</v>
          </cell>
          <cell r="B935" t="str">
            <v>Tubo Termocontráctil P/ Casquil Lisos 5'</v>
          </cell>
          <cell r="D935">
            <v>7208</v>
          </cell>
          <cell r="E935">
            <v>1000</v>
          </cell>
          <cell r="F935" t="str">
            <v>ZALM</v>
          </cell>
          <cell r="G935" t="str">
            <v>UN</v>
          </cell>
          <cell r="H935" t="str">
            <v>DOP</v>
          </cell>
          <cell r="I935">
            <v>0</v>
          </cell>
          <cell r="J935">
            <v>0</v>
          </cell>
          <cell r="K935">
            <v>0</v>
          </cell>
          <cell r="L935">
            <v>0</v>
          </cell>
          <cell r="M935">
            <v>0</v>
          </cell>
          <cell r="N935">
            <v>0</v>
          </cell>
          <cell r="O935">
            <v>0</v>
          </cell>
          <cell r="P935">
            <v>0</v>
          </cell>
          <cell r="Q935">
            <v>0</v>
          </cell>
          <cell r="R935">
            <v>0</v>
          </cell>
          <cell r="S935">
            <v>0</v>
          </cell>
          <cell r="T935">
            <v>0</v>
          </cell>
          <cell r="U935" t="e">
            <v>#N/A</v>
          </cell>
        </row>
        <row r="936">
          <cell r="A936">
            <v>1000930</v>
          </cell>
          <cell r="B936" t="str">
            <v>Antena cuarto de onda tipo NMO</v>
          </cell>
          <cell r="D936">
            <v>5405</v>
          </cell>
          <cell r="E936">
            <v>1000</v>
          </cell>
          <cell r="F936" t="str">
            <v>ZALM</v>
          </cell>
          <cell r="G936" t="str">
            <v>UN</v>
          </cell>
          <cell r="H936" t="str">
            <v>DOP</v>
          </cell>
          <cell r="I936">
            <v>0</v>
          </cell>
          <cell r="J936">
            <v>0</v>
          </cell>
          <cell r="K936">
            <v>0</v>
          </cell>
          <cell r="L936">
            <v>0</v>
          </cell>
          <cell r="M936">
            <v>0</v>
          </cell>
          <cell r="N936">
            <v>0</v>
          </cell>
          <cell r="O936">
            <v>0</v>
          </cell>
          <cell r="P936">
            <v>0</v>
          </cell>
          <cell r="Q936">
            <v>0</v>
          </cell>
          <cell r="R936">
            <v>0</v>
          </cell>
          <cell r="S936">
            <v>0</v>
          </cell>
          <cell r="T936">
            <v>0</v>
          </cell>
          <cell r="U936" t="e">
            <v>#N/A</v>
          </cell>
        </row>
        <row r="937">
          <cell r="A937">
            <v>1000931</v>
          </cell>
          <cell r="B937" t="str">
            <v>Antena BAHIA VHF 145-174 MHZ</v>
          </cell>
          <cell r="D937">
            <v>5405</v>
          </cell>
          <cell r="E937">
            <v>1000</v>
          </cell>
          <cell r="F937" t="str">
            <v>ZALM</v>
          </cell>
          <cell r="G937" t="str">
            <v>UN</v>
          </cell>
          <cell r="H937" t="str">
            <v>DOP</v>
          </cell>
          <cell r="I937">
            <v>0</v>
          </cell>
          <cell r="J937">
            <v>0</v>
          </cell>
          <cell r="K937">
            <v>0</v>
          </cell>
          <cell r="L937">
            <v>0</v>
          </cell>
          <cell r="M937">
            <v>0</v>
          </cell>
          <cell r="N937">
            <v>0</v>
          </cell>
          <cell r="O937">
            <v>0</v>
          </cell>
          <cell r="P937">
            <v>0</v>
          </cell>
          <cell r="Q937">
            <v>0</v>
          </cell>
          <cell r="R937">
            <v>0</v>
          </cell>
          <cell r="S937">
            <v>0</v>
          </cell>
          <cell r="T937">
            <v>0</v>
          </cell>
          <cell r="U937" t="e">
            <v>#N/A</v>
          </cell>
        </row>
        <row r="938">
          <cell r="A938">
            <v>1000932</v>
          </cell>
          <cell r="B938" t="str">
            <v>Antena BAHIA VHF 160-170 MHZ</v>
          </cell>
          <cell r="D938">
            <v>5405</v>
          </cell>
          <cell r="E938">
            <v>1000</v>
          </cell>
          <cell r="F938" t="str">
            <v>ZALM</v>
          </cell>
          <cell r="G938" t="str">
            <v>UN</v>
          </cell>
          <cell r="H938" t="str">
            <v>DOP</v>
          </cell>
          <cell r="I938">
            <v>0</v>
          </cell>
          <cell r="J938">
            <v>0</v>
          </cell>
          <cell r="K938">
            <v>0</v>
          </cell>
          <cell r="L938">
            <v>0</v>
          </cell>
          <cell r="M938">
            <v>0</v>
          </cell>
          <cell r="N938">
            <v>0</v>
          </cell>
          <cell r="O938">
            <v>0</v>
          </cell>
          <cell r="P938">
            <v>0</v>
          </cell>
          <cell r="Q938">
            <v>0</v>
          </cell>
          <cell r="R938">
            <v>0</v>
          </cell>
          <cell r="S938">
            <v>0</v>
          </cell>
          <cell r="T938">
            <v>0</v>
          </cell>
          <cell r="U938" t="e">
            <v>#N/A</v>
          </cell>
        </row>
        <row r="939">
          <cell r="A939">
            <v>1000933</v>
          </cell>
          <cell r="B939" t="str">
            <v>Antena Direcc Yagui 5 Elem 441-447MHz</v>
          </cell>
          <cell r="D939">
            <v>5405</v>
          </cell>
          <cell r="E939">
            <v>1000</v>
          </cell>
          <cell r="F939" t="str">
            <v>ZALM</v>
          </cell>
          <cell r="G939" t="str">
            <v>UN</v>
          </cell>
          <cell r="H939" t="str">
            <v>DOP</v>
          </cell>
          <cell r="I939">
            <v>0</v>
          </cell>
          <cell r="J939">
            <v>0</v>
          </cell>
          <cell r="K939">
            <v>0</v>
          </cell>
          <cell r="L939">
            <v>0</v>
          </cell>
          <cell r="M939">
            <v>0</v>
          </cell>
          <cell r="N939">
            <v>0</v>
          </cell>
          <cell r="O939">
            <v>0</v>
          </cell>
          <cell r="P939">
            <v>0</v>
          </cell>
          <cell r="Q939">
            <v>0</v>
          </cell>
          <cell r="R939">
            <v>0</v>
          </cell>
          <cell r="S939">
            <v>0</v>
          </cell>
          <cell r="T939">
            <v>0</v>
          </cell>
          <cell r="U939" t="e">
            <v>#N/A</v>
          </cell>
        </row>
        <row r="940">
          <cell r="A940">
            <v>1000934</v>
          </cell>
          <cell r="B940" t="str">
            <v>Antena Marconi 1/4 Longitud de Onda</v>
          </cell>
          <cell r="D940">
            <v>5405</v>
          </cell>
          <cell r="E940">
            <v>1000</v>
          </cell>
          <cell r="F940" t="str">
            <v>ZALM</v>
          </cell>
          <cell r="G940" t="str">
            <v>UN</v>
          </cell>
          <cell r="H940" t="str">
            <v>DOP</v>
          </cell>
          <cell r="I940">
            <v>0</v>
          </cell>
          <cell r="J940">
            <v>0</v>
          </cell>
          <cell r="K940">
            <v>0</v>
          </cell>
          <cell r="L940">
            <v>0</v>
          </cell>
          <cell r="M940">
            <v>0</v>
          </cell>
          <cell r="N940">
            <v>0</v>
          </cell>
          <cell r="O940">
            <v>0</v>
          </cell>
          <cell r="P940">
            <v>0</v>
          </cell>
          <cell r="Q940">
            <v>0</v>
          </cell>
          <cell r="R940">
            <v>0</v>
          </cell>
          <cell r="S940">
            <v>0</v>
          </cell>
          <cell r="T940">
            <v>0</v>
          </cell>
          <cell r="U940" t="e">
            <v>#N/A</v>
          </cell>
        </row>
        <row r="941">
          <cell r="A941">
            <v>1000935</v>
          </cell>
          <cell r="B941" t="str">
            <v>Antena Radio GP-300 Rango 146-176HZ VHF</v>
          </cell>
          <cell r="D941">
            <v>5405</v>
          </cell>
          <cell r="E941">
            <v>1000</v>
          </cell>
          <cell r="F941" t="str">
            <v>ZALM</v>
          </cell>
          <cell r="G941" t="str">
            <v>UN</v>
          </cell>
          <cell r="H941" t="str">
            <v>DOP</v>
          </cell>
          <cell r="I941">
            <v>0</v>
          </cell>
          <cell r="J941">
            <v>0</v>
          </cell>
          <cell r="K941">
            <v>0</v>
          </cell>
          <cell r="L941">
            <v>0</v>
          </cell>
          <cell r="M941">
            <v>0</v>
          </cell>
          <cell r="N941">
            <v>0</v>
          </cell>
          <cell r="O941">
            <v>0</v>
          </cell>
          <cell r="P941">
            <v>0</v>
          </cell>
          <cell r="Q941">
            <v>0</v>
          </cell>
          <cell r="R941">
            <v>0</v>
          </cell>
          <cell r="S941">
            <v>0</v>
          </cell>
          <cell r="T941">
            <v>0</v>
          </cell>
          <cell r="U941" t="e">
            <v>#N/A</v>
          </cell>
        </row>
        <row r="942">
          <cell r="A942">
            <v>1000936</v>
          </cell>
          <cell r="B942" t="str">
            <v>Antena Radio PRO-5150 Rango 146-17MHz</v>
          </cell>
          <cell r="D942">
            <v>5405</v>
          </cell>
          <cell r="E942">
            <v>1000</v>
          </cell>
          <cell r="F942" t="str">
            <v>ZALM</v>
          </cell>
          <cell r="G942" t="str">
            <v>UN</v>
          </cell>
          <cell r="H942" t="str">
            <v>DOP</v>
          </cell>
          <cell r="I942">
            <v>0</v>
          </cell>
          <cell r="J942">
            <v>0</v>
          </cell>
          <cell r="K942">
            <v>0</v>
          </cell>
          <cell r="L942">
            <v>0</v>
          </cell>
          <cell r="M942">
            <v>0</v>
          </cell>
          <cell r="N942">
            <v>0</v>
          </cell>
          <cell r="O942">
            <v>0</v>
          </cell>
          <cell r="P942">
            <v>0</v>
          </cell>
          <cell r="Q942">
            <v>0</v>
          </cell>
          <cell r="R942">
            <v>0</v>
          </cell>
          <cell r="S942">
            <v>0</v>
          </cell>
          <cell r="T942">
            <v>0</v>
          </cell>
          <cell r="U942" t="e">
            <v>#N/A</v>
          </cell>
        </row>
        <row r="943">
          <cell r="A943">
            <v>1000937</v>
          </cell>
          <cell r="B943" t="str">
            <v>Antena Yagui 3 Elemento VHF 146-174MHz</v>
          </cell>
          <cell r="D943">
            <v>5405</v>
          </cell>
          <cell r="E943">
            <v>1000</v>
          </cell>
          <cell r="F943" t="str">
            <v>ZALM</v>
          </cell>
          <cell r="G943" t="str">
            <v>UN</v>
          </cell>
          <cell r="H943" t="str">
            <v>DOP</v>
          </cell>
          <cell r="I943">
            <v>0</v>
          </cell>
          <cell r="J943">
            <v>0</v>
          </cell>
          <cell r="K943">
            <v>0</v>
          </cell>
          <cell r="L943">
            <v>0</v>
          </cell>
          <cell r="M943">
            <v>0</v>
          </cell>
          <cell r="N943">
            <v>0</v>
          </cell>
          <cell r="O943">
            <v>0</v>
          </cell>
          <cell r="P943">
            <v>0</v>
          </cell>
          <cell r="Q943">
            <v>0</v>
          </cell>
          <cell r="R943">
            <v>0</v>
          </cell>
          <cell r="S943">
            <v>0</v>
          </cell>
          <cell r="T943">
            <v>0</v>
          </cell>
          <cell r="U943" t="e">
            <v>#N/A</v>
          </cell>
        </row>
        <row r="944">
          <cell r="A944">
            <v>1000938</v>
          </cell>
          <cell r="B944" t="str">
            <v>Antena Yagui 5 Elementos 420-450 Mhz</v>
          </cell>
          <cell r="D944">
            <v>5405</v>
          </cell>
          <cell r="E944">
            <v>1000</v>
          </cell>
          <cell r="F944" t="str">
            <v>ZALM</v>
          </cell>
          <cell r="G944" t="str">
            <v>UN</v>
          </cell>
          <cell r="H944" t="str">
            <v>DOP</v>
          </cell>
          <cell r="I944">
            <v>0</v>
          </cell>
          <cell r="J944">
            <v>0</v>
          </cell>
          <cell r="K944">
            <v>0</v>
          </cell>
          <cell r="L944">
            <v>0</v>
          </cell>
          <cell r="M944">
            <v>0</v>
          </cell>
          <cell r="N944">
            <v>0</v>
          </cell>
          <cell r="O944">
            <v>0</v>
          </cell>
          <cell r="P944">
            <v>0</v>
          </cell>
          <cell r="Q944">
            <v>0</v>
          </cell>
          <cell r="R944">
            <v>0</v>
          </cell>
          <cell r="S944">
            <v>0</v>
          </cell>
          <cell r="T944">
            <v>0</v>
          </cell>
          <cell r="U944" t="e">
            <v>#N/A</v>
          </cell>
        </row>
        <row r="945">
          <cell r="A945">
            <v>1000939</v>
          </cell>
          <cell r="B945" t="str">
            <v>Antena Yagui 5 Elementos 450-480 Mhz</v>
          </cell>
          <cell r="D945">
            <v>5405</v>
          </cell>
          <cell r="E945">
            <v>1000</v>
          </cell>
          <cell r="F945" t="str">
            <v>ZALM</v>
          </cell>
          <cell r="G945" t="str">
            <v>UN</v>
          </cell>
          <cell r="H945" t="str">
            <v>DOP</v>
          </cell>
          <cell r="I945">
            <v>0</v>
          </cell>
          <cell r="J945">
            <v>0</v>
          </cell>
          <cell r="K945">
            <v>0</v>
          </cell>
          <cell r="L945">
            <v>0</v>
          </cell>
          <cell r="M945">
            <v>0</v>
          </cell>
          <cell r="N945">
            <v>0</v>
          </cell>
          <cell r="O945">
            <v>0</v>
          </cell>
          <cell r="P945">
            <v>0</v>
          </cell>
          <cell r="Q945">
            <v>0</v>
          </cell>
          <cell r="R945">
            <v>0</v>
          </cell>
          <cell r="S945">
            <v>0</v>
          </cell>
          <cell r="T945">
            <v>0</v>
          </cell>
          <cell r="U945" t="e">
            <v>#N/A</v>
          </cell>
        </row>
        <row r="946">
          <cell r="A946">
            <v>1000940</v>
          </cell>
          <cell r="B946" t="str">
            <v>Antena Yagui 6 Elementos</v>
          </cell>
          <cell r="D946">
            <v>5405</v>
          </cell>
          <cell r="E946">
            <v>1000</v>
          </cell>
          <cell r="F946" t="str">
            <v>ZALM</v>
          </cell>
          <cell r="G946" t="str">
            <v>UN</v>
          </cell>
          <cell r="H946" t="str">
            <v>DOP</v>
          </cell>
          <cell r="I946">
            <v>0</v>
          </cell>
          <cell r="J946">
            <v>0</v>
          </cell>
          <cell r="K946">
            <v>0</v>
          </cell>
          <cell r="L946">
            <v>0</v>
          </cell>
          <cell r="M946">
            <v>0</v>
          </cell>
          <cell r="N946">
            <v>0</v>
          </cell>
          <cell r="O946">
            <v>0</v>
          </cell>
          <cell r="P946">
            <v>0</v>
          </cell>
          <cell r="Q946">
            <v>0</v>
          </cell>
          <cell r="R946">
            <v>0</v>
          </cell>
          <cell r="S946">
            <v>0</v>
          </cell>
          <cell r="T946">
            <v>0</v>
          </cell>
          <cell r="U946" t="e">
            <v>#N/A</v>
          </cell>
        </row>
        <row r="947">
          <cell r="A947">
            <v>1000941</v>
          </cell>
          <cell r="B947" t="str">
            <v>Base P/ Antena NMO</v>
          </cell>
          <cell r="D947">
            <v>5405</v>
          </cell>
          <cell r="E947">
            <v>1000</v>
          </cell>
          <cell r="F947" t="str">
            <v>ZALM</v>
          </cell>
          <cell r="G947" t="str">
            <v>UN</v>
          </cell>
          <cell r="H947" t="str">
            <v>DOP</v>
          </cell>
          <cell r="I947">
            <v>9</v>
          </cell>
          <cell r="J947">
            <v>292401.59000000003</v>
          </cell>
          <cell r="K947">
            <v>0</v>
          </cell>
          <cell r="L947">
            <v>0</v>
          </cell>
          <cell r="M947">
            <v>0</v>
          </cell>
          <cell r="N947">
            <v>0</v>
          </cell>
          <cell r="O947">
            <v>0</v>
          </cell>
          <cell r="P947">
            <v>0</v>
          </cell>
          <cell r="Q947">
            <v>0</v>
          </cell>
          <cell r="R947">
            <v>0</v>
          </cell>
          <cell r="S947">
            <v>9</v>
          </cell>
          <cell r="T947">
            <v>292401.59000000003</v>
          </cell>
          <cell r="U947">
            <v>32489.0655555556</v>
          </cell>
        </row>
        <row r="948">
          <cell r="A948">
            <v>1000942</v>
          </cell>
          <cell r="B948" t="str">
            <v>Base T/ L Antena Marconi 1/4 Long Onda</v>
          </cell>
          <cell r="D948">
            <v>5405</v>
          </cell>
          <cell r="E948">
            <v>1000</v>
          </cell>
          <cell r="F948" t="str">
            <v>ZALM</v>
          </cell>
          <cell r="G948" t="str">
            <v>UN</v>
          </cell>
          <cell r="H948" t="str">
            <v>DOP</v>
          </cell>
          <cell r="I948">
            <v>0</v>
          </cell>
          <cell r="J948">
            <v>0</v>
          </cell>
          <cell r="K948">
            <v>0</v>
          </cell>
          <cell r="L948">
            <v>0</v>
          </cell>
          <cell r="M948">
            <v>0</v>
          </cell>
          <cell r="N948">
            <v>0</v>
          </cell>
          <cell r="O948">
            <v>0</v>
          </cell>
          <cell r="P948">
            <v>0</v>
          </cell>
          <cell r="Q948">
            <v>0</v>
          </cell>
          <cell r="R948">
            <v>0</v>
          </cell>
          <cell r="S948">
            <v>0</v>
          </cell>
          <cell r="T948">
            <v>0</v>
          </cell>
          <cell r="U948" t="e">
            <v>#N/A</v>
          </cell>
        </row>
        <row r="949">
          <cell r="A949">
            <v>1000943</v>
          </cell>
          <cell r="B949" t="str">
            <v>Bateria P/ Radio GP-300</v>
          </cell>
          <cell r="D949">
            <v>5405</v>
          </cell>
          <cell r="E949">
            <v>1000</v>
          </cell>
          <cell r="F949" t="str">
            <v>ZALM</v>
          </cell>
          <cell r="G949" t="str">
            <v>UN</v>
          </cell>
          <cell r="H949" t="str">
            <v>DOP</v>
          </cell>
          <cell r="I949">
            <v>0</v>
          </cell>
          <cell r="J949">
            <v>0</v>
          </cell>
          <cell r="K949">
            <v>0</v>
          </cell>
          <cell r="L949">
            <v>0</v>
          </cell>
          <cell r="M949">
            <v>0</v>
          </cell>
          <cell r="N949">
            <v>0</v>
          </cell>
          <cell r="O949">
            <v>0</v>
          </cell>
          <cell r="P949">
            <v>0</v>
          </cell>
          <cell r="Q949">
            <v>0</v>
          </cell>
          <cell r="R949">
            <v>0</v>
          </cell>
          <cell r="S949">
            <v>0</v>
          </cell>
          <cell r="T949">
            <v>0</v>
          </cell>
          <cell r="U949" t="e">
            <v>#N/A</v>
          </cell>
        </row>
        <row r="950">
          <cell r="A950">
            <v>1000944</v>
          </cell>
          <cell r="B950" t="str">
            <v>Batería para Radio EP-450</v>
          </cell>
          <cell r="D950">
            <v>5405</v>
          </cell>
          <cell r="E950">
            <v>1000</v>
          </cell>
          <cell r="F950" t="str">
            <v>ZALM</v>
          </cell>
          <cell r="G950" t="str">
            <v>UN</v>
          </cell>
          <cell r="H950" t="str">
            <v>DOP</v>
          </cell>
          <cell r="I950">
            <v>0</v>
          </cell>
          <cell r="J950">
            <v>0</v>
          </cell>
          <cell r="K950">
            <v>0</v>
          </cell>
          <cell r="L950">
            <v>0</v>
          </cell>
          <cell r="M950">
            <v>0</v>
          </cell>
          <cell r="N950">
            <v>0</v>
          </cell>
          <cell r="O950">
            <v>0</v>
          </cell>
          <cell r="P950">
            <v>0</v>
          </cell>
          <cell r="Q950">
            <v>0</v>
          </cell>
          <cell r="R950">
            <v>0</v>
          </cell>
          <cell r="S950">
            <v>0</v>
          </cell>
          <cell r="T950">
            <v>0</v>
          </cell>
          <cell r="U950" t="e">
            <v>#N/A</v>
          </cell>
        </row>
        <row r="951">
          <cell r="A951">
            <v>1000945</v>
          </cell>
          <cell r="B951" t="str">
            <v>Batería para Radio Motorola PRO-5150</v>
          </cell>
          <cell r="D951">
            <v>5405</v>
          </cell>
          <cell r="E951">
            <v>1000</v>
          </cell>
          <cell r="F951" t="str">
            <v>ZALM</v>
          </cell>
          <cell r="G951" t="str">
            <v>UN</v>
          </cell>
          <cell r="H951" t="str">
            <v>DOP</v>
          </cell>
          <cell r="I951">
            <v>0</v>
          </cell>
          <cell r="J951">
            <v>0</v>
          </cell>
          <cell r="K951">
            <v>0</v>
          </cell>
          <cell r="L951">
            <v>0</v>
          </cell>
          <cell r="M951">
            <v>0</v>
          </cell>
          <cell r="N951">
            <v>0</v>
          </cell>
          <cell r="O951">
            <v>0</v>
          </cell>
          <cell r="P951">
            <v>0</v>
          </cell>
          <cell r="Q951">
            <v>0</v>
          </cell>
          <cell r="R951">
            <v>0</v>
          </cell>
          <cell r="S951">
            <v>0</v>
          </cell>
          <cell r="T951">
            <v>0</v>
          </cell>
          <cell r="U951" t="e">
            <v>#N/A</v>
          </cell>
        </row>
        <row r="952">
          <cell r="A952">
            <v>1000946</v>
          </cell>
          <cell r="B952" t="str">
            <v>Batería para Radio Portátil GP-450</v>
          </cell>
          <cell r="D952">
            <v>5405</v>
          </cell>
          <cell r="E952">
            <v>1000</v>
          </cell>
          <cell r="F952" t="str">
            <v>ZALM</v>
          </cell>
          <cell r="G952" t="str">
            <v>UN</v>
          </cell>
          <cell r="H952" t="str">
            <v>DOP</v>
          </cell>
          <cell r="I952">
            <v>0</v>
          </cell>
          <cell r="J952">
            <v>0</v>
          </cell>
          <cell r="K952">
            <v>0</v>
          </cell>
          <cell r="L952">
            <v>0</v>
          </cell>
          <cell r="M952">
            <v>0</v>
          </cell>
          <cell r="N952">
            <v>0</v>
          </cell>
          <cell r="O952">
            <v>0</v>
          </cell>
          <cell r="P952">
            <v>0</v>
          </cell>
          <cell r="Q952">
            <v>0</v>
          </cell>
          <cell r="R952">
            <v>0</v>
          </cell>
          <cell r="S952">
            <v>0</v>
          </cell>
          <cell r="T952">
            <v>0</v>
          </cell>
          <cell r="U952" t="e">
            <v>#N/A</v>
          </cell>
        </row>
        <row r="953">
          <cell r="A953">
            <v>1000947</v>
          </cell>
          <cell r="B953" t="str">
            <v>Bocina 22 OHM a 5 Watts</v>
          </cell>
          <cell r="D953">
            <v>5405</v>
          </cell>
          <cell r="E953">
            <v>1000</v>
          </cell>
          <cell r="F953" t="str">
            <v>ZALM</v>
          </cell>
          <cell r="G953" t="str">
            <v>UN</v>
          </cell>
          <cell r="H953" t="str">
            <v>DOP</v>
          </cell>
          <cell r="I953">
            <v>0</v>
          </cell>
          <cell r="J953">
            <v>0</v>
          </cell>
          <cell r="K953">
            <v>0</v>
          </cell>
          <cell r="L953">
            <v>0</v>
          </cell>
          <cell r="M953">
            <v>0</v>
          </cell>
          <cell r="N953">
            <v>0</v>
          </cell>
          <cell r="O953">
            <v>0</v>
          </cell>
          <cell r="P953">
            <v>0</v>
          </cell>
          <cell r="Q953">
            <v>0</v>
          </cell>
          <cell r="R953">
            <v>0</v>
          </cell>
          <cell r="S953">
            <v>0</v>
          </cell>
          <cell r="T953">
            <v>0</v>
          </cell>
          <cell r="U953" t="e">
            <v>#N/A</v>
          </cell>
        </row>
        <row r="954">
          <cell r="A954">
            <v>1000948</v>
          </cell>
          <cell r="B954" t="str">
            <v>Bombillo P/ Luz Piloto 130V 20MA</v>
          </cell>
          <cell r="D954">
            <v>5405</v>
          </cell>
          <cell r="E954">
            <v>1000</v>
          </cell>
          <cell r="F954" t="str">
            <v>ZALM</v>
          </cell>
          <cell r="G954" t="str">
            <v>UN</v>
          </cell>
          <cell r="H954" t="str">
            <v>DOP</v>
          </cell>
          <cell r="I954">
            <v>0</v>
          </cell>
          <cell r="J954">
            <v>0</v>
          </cell>
          <cell r="K954">
            <v>0</v>
          </cell>
          <cell r="L954">
            <v>0</v>
          </cell>
          <cell r="M954">
            <v>0</v>
          </cell>
          <cell r="N954">
            <v>0</v>
          </cell>
          <cell r="O954">
            <v>0</v>
          </cell>
          <cell r="P954">
            <v>0</v>
          </cell>
          <cell r="Q954">
            <v>0</v>
          </cell>
          <cell r="R954">
            <v>0</v>
          </cell>
          <cell r="S954">
            <v>0</v>
          </cell>
          <cell r="T954">
            <v>0</v>
          </cell>
          <cell r="U954" t="e">
            <v>#N/A</v>
          </cell>
        </row>
        <row r="955">
          <cell r="A955">
            <v>1000949</v>
          </cell>
          <cell r="B955" t="str">
            <v>Cable Assembly, Reference # 400272-4I</v>
          </cell>
          <cell r="D955">
            <v>5405</v>
          </cell>
          <cell r="E955">
            <v>1000</v>
          </cell>
          <cell r="F955" t="str">
            <v>ZALM</v>
          </cell>
          <cell r="G955" t="str">
            <v>UN</v>
          </cell>
          <cell r="H955" t="str">
            <v>DOP</v>
          </cell>
          <cell r="I955">
            <v>0</v>
          </cell>
          <cell r="J955">
            <v>0</v>
          </cell>
          <cell r="K955">
            <v>0</v>
          </cell>
          <cell r="L955">
            <v>0</v>
          </cell>
          <cell r="M955">
            <v>0</v>
          </cell>
          <cell r="N955">
            <v>0</v>
          </cell>
          <cell r="O955">
            <v>0</v>
          </cell>
          <cell r="P955">
            <v>0</v>
          </cell>
          <cell r="Q955">
            <v>0</v>
          </cell>
          <cell r="R955">
            <v>0</v>
          </cell>
          <cell r="S955">
            <v>0</v>
          </cell>
          <cell r="T955">
            <v>0</v>
          </cell>
          <cell r="U955" t="e">
            <v>#N/A</v>
          </cell>
        </row>
        <row r="956">
          <cell r="A956">
            <v>1000950</v>
          </cell>
          <cell r="B956" t="str">
            <v>Cable Coax 150mm Plug P-5 30-80138M07</v>
          </cell>
          <cell r="D956">
            <v>5405</v>
          </cell>
          <cell r="E956">
            <v>1000</v>
          </cell>
          <cell r="F956" t="str">
            <v>ZALM</v>
          </cell>
          <cell r="G956" t="str">
            <v>UN</v>
          </cell>
          <cell r="H956" t="str">
            <v>DOP</v>
          </cell>
          <cell r="I956">
            <v>0</v>
          </cell>
          <cell r="J956">
            <v>0</v>
          </cell>
          <cell r="K956">
            <v>0</v>
          </cell>
          <cell r="L956">
            <v>0</v>
          </cell>
          <cell r="M956">
            <v>0</v>
          </cell>
          <cell r="N956">
            <v>0</v>
          </cell>
          <cell r="O956">
            <v>0</v>
          </cell>
          <cell r="P956">
            <v>0</v>
          </cell>
          <cell r="Q956">
            <v>0</v>
          </cell>
          <cell r="R956">
            <v>0</v>
          </cell>
          <cell r="S956">
            <v>0</v>
          </cell>
          <cell r="T956">
            <v>0</v>
          </cell>
          <cell r="U956" t="e">
            <v>#N/A</v>
          </cell>
        </row>
        <row r="957">
          <cell r="A957">
            <v>1000951</v>
          </cell>
          <cell r="B957" t="str">
            <v>Cable Coax 200mm Plug P-4 30-80138M08</v>
          </cell>
          <cell r="D957">
            <v>5405</v>
          </cell>
          <cell r="E957">
            <v>1000</v>
          </cell>
          <cell r="F957" t="str">
            <v>ZALM</v>
          </cell>
          <cell r="G957" t="str">
            <v>UN</v>
          </cell>
          <cell r="H957" t="str">
            <v>DOP</v>
          </cell>
          <cell r="I957">
            <v>0</v>
          </cell>
          <cell r="J957">
            <v>0</v>
          </cell>
          <cell r="K957">
            <v>0</v>
          </cell>
          <cell r="L957">
            <v>0</v>
          </cell>
          <cell r="M957">
            <v>0</v>
          </cell>
          <cell r="N957">
            <v>0</v>
          </cell>
          <cell r="O957">
            <v>0</v>
          </cell>
          <cell r="P957">
            <v>0</v>
          </cell>
          <cell r="Q957">
            <v>0</v>
          </cell>
          <cell r="R957">
            <v>0</v>
          </cell>
          <cell r="S957">
            <v>0</v>
          </cell>
          <cell r="T957">
            <v>0</v>
          </cell>
          <cell r="U957" t="e">
            <v>#N/A</v>
          </cell>
        </row>
        <row r="958">
          <cell r="A958">
            <v>1000952</v>
          </cell>
          <cell r="B958" t="str">
            <v>Cable Coax T x Lado Tr J-5  09-80135M01</v>
          </cell>
          <cell r="D958">
            <v>5405</v>
          </cell>
          <cell r="E958">
            <v>1000</v>
          </cell>
          <cell r="F958" t="str">
            <v>ZALM</v>
          </cell>
          <cell r="G958" t="str">
            <v>UN</v>
          </cell>
          <cell r="H958" t="str">
            <v>DOP</v>
          </cell>
          <cell r="I958">
            <v>0</v>
          </cell>
          <cell r="J958">
            <v>0</v>
          </cell>
          <cell r="K958">
            <v>0</v>
          </cell>
          <cell r="L958">
            <v>0</v>
          </cell>
          <cell r="M958">
            <v>0</v>
          </cell>
          <cell r="N958">
            <v>0</v>
          </cell>
          <cell r="O958">
            <v>0</v>
          </cell>
          <cell r="P958">
            <v>0</v>
          </cell>
          <cell r="Q958">
            <v>0</v>
          </cell>
          <cell r="R958">
            <v>0</v>
          </cell>
          <cell r="S958">
            <v>0</v>
          </cell>
          <cell r="T958">
            <v>0</v>
          </cell>
          <cell r="U958" t="e">
            <v>#N/A</v>
          </cell>
        </row>
        <row r="959">
          <cell r="A959">
            <v>1000953</v>
          </cell>
          <cell r="B959" t="str">
            <v>Cable Comun Baja Capacit EIA RS-485 9842</v>
          </cell>
          <cell r="D959">
            <v>5405</v>
          </cell>
          <cell r="E959">
            <v>1000</v>
          </cell>
          <cell r="F959" t="str">
            <v>ZALM</v>
          </cell>
          <cell r="G959" t="str">
            <v>PIE</v>
          </cell>
          <cell r="H959" t="str">
            <v>DOP</v>
          </cell>
          <cell r="I959">
            <v>0</v>
          </cell>
          <cell r="J959">
            <v>0</v>
          </cell>
          <cell r="K959">
            <v>0</v>
          </cell>
          <cell r="L959">
            <v>0</v>
          </cell>
          <cell r="M959">
            <v>0</v>
          </cell>
          <cell r="N959">
            <v>0</v>
          </cell>
          <cell r="O959">
            <v>0</v>
          </cell>
          <cell r="P959">
            <v>0</v>
          </cell>
          <cell r="Q959">
            <v>0</v>
          </cell>
          <cell r="R959">
            <v>0</v>
          </cell>
          <cell r="S959">
            <v>0</v>
          </cell>
          <cell r="T959">
            <v>0</v>
          </cell>
          <cell r="U959" t="e">
            <v>#N/A</v>
          </cell>
        </row>
        <row r="960">
          <cell r="A960">
            <v>1000954</v>
          </cell>
          <cell r="B960" t="str">
            <v>Cable Comunic Data P/ Aplicac IED RS232</v>
          </cell>
          <cell r="D960">
            <v>5405</v>
          </cell>
          <cell r="E960">
            <v>1000</v>
          </cell>
          <cell r="F960" t="str">
            <v>ZALM</v>
          </cell>
          <cell r="G960" t="str">
            <v>PIE</v>
          </cell>
          <cell r="H960" t="str">
            <v>DOP</v>
          </cell>
          <cell r="I960">
            <v>0</v>
          </cell>
          <cell r="J960">
            <v>0</v>
          </cell>
          <cell r="K960">
            <v>0</v>
          </cell>
          <cell r="L960">
            <v>0</v>
          </cell>
          <cell r="M960">
            <v>0</v>
          </cell>
          <cell r="N960">
            <v>0</v>
          </cell>
          <cell r="O960">
            <v>0</v>
          </cell>
          <cell r="P960">
            <v>0</v>
          </cell>
          <cell r="Q960">
            <v>0</v>
          </cell>
          <cell r="R960">
            <v>0</v>
          </cell>
          <cell r="S960">
            <v>0</v>
          </cell>
          <cell r="T960">
            <v>0</v>
          </cell>
          <cell r="U960" t="e">
            <v>#N/A</v>
          </cell>
        </row>
        <row r="961">
          <cell r="A961">
            <v>1000955</v>
          </cell>
          <cell r="B961" t="str">
            <v>Cable Comunic Data P/ Aplicac IED RS484</v>
          </cell>
          <cell r="D961">
            <v>5405</v>
          </cell>
          <cell r="E961">
            <v>1000</v>
          </cell>
          <cell r="F961" t="str">
            <v>ZALM</v>
          </cell>
          <cell r="G961" t="str">
            <v>M</v>
          </cell>
          <cell r="H961" t="str">
            <v>DOP</v>
          </cell>
          <cell r="I961">
            <v>0</v>
          </cell>
          <cell r="J961">
            <v>0</v>
          </cell>
          <cell r="K961">
            <v>0</v>
          </cell>
          <cell r="L961">
            <v>0</v>
          </cell>
          <cell r="M961">
            <v>0</v>
          </cell>
          <cell r="N961">
            <v>0</v>
          </cell>
          <cell r="O961">
            <v>0</v>
          </cell>
          <cell r="P961">
            <v>0</v>
          </cell>
          <cell r="Q961">
            <v>0</v>
          </cell>
          <cell r="R961">
            <v>0</v>
          </cell>
          <cell r="S961">
            <v>0</v>
          </cell>
          <cell r="T961">
            <v>0</v>
          </cell>
          <cell r="U961" t="e">
            <v>#N/A</v>
          </cell>
        </row>
        <row r="962">
          <cell r="A962">
            <v>1000956</v>
          </cell>
          <cell r="B962" t="str">
            <v>Cable Kit de Programación de Radio EM400</v>
          </cell>
          <cell r="D962">
            <v>5405</v>
          </cell>
          <cell r="E962">
            <v>1000</v>
          </cell>
          <cell r="F962" t="str">
            <v>ZALM</v>
          </cell>
          <cell r="G962" t="str">
            <v>UN</v>
          </cell>
          <cell r="H962" t="str">
            <v>DOP</v>
          </cell>
          <cell r="I962">
            <v>0</v>
          </cell>
          <cell r="J962">
            <v>0</v>
          </cell>
          <cell r="K962">
            <v>0</v>
          </cell>
          <cell r="L962">
            <v>0</v>
          </cell>
          <cell r="M962">
            <v>0</v>
          </cell>
          <cell r="N962">
            <v>0</v>
          </cell>
          <cell r="O962">
            <v>0</v>
          </cell>
          <cell r="P962">
            <v>0</v>
          </cell>
          <cell r="Q962">
            <v>0</v>
          </cell>
          <cell r="R962">
            <v>0</v>
          </cell>
          <cell r="S962">
            <v>0</v>
          </cell>
          <cell r="T962">
            <v>0</v>
          </cell>
          <cell r="U962" t="e">
            <v>#N/A</v>
          </cell>
        </row>
        <row r="963">
          <cell r="A963">
            <v>1000957</v>
          </cell>
          <cell r="B963" t="str">
            <v>Cable Kit de Programación de Radio GM300</v>
          </cell>
          <cell r="D963">
            <v>5405</v>
          </cell>
          <cell r="E963">
            <v>1000</v>
          </cell>
          <cell r="F963" t="str">
            <v>ZALM</v>
          </cell>
          <cell r="G963" t="str">
            <v>UN</v>
          </cell>
          <cell r="H963" t="str">
            <v>DOP</v>
          </cell>
          <cell r="I963">
            <v>0</v>
          </cell>
          <cell r="J963">
            <v>0</v>
          </cell>
          <cell r="K963">
            <v>0</v>
          </cell>
          <cell r="L963">
            <v>0</v>
          </cell>
          <cell r="M963">
            <v>0</v>
          </cell>
          <cell r="N963">
            <v>0</v>
          </cell>
          <cell r="O963">
            <v>0</v>
          </cell>
          <cell r="P963">
            <v>0</v>
          </cell>
          <cell r="Q963">
            <v>0</v>
          </cell>
          <cell r="R963">
            <v>0</v>
          </cell>
          <cell r="S963">
            <v>0</v>
          </cell>
          <cell r="T963">
            <v>0</v>
          </cell>
          <cell r="U963" t="e">
            <v>#N/A</v>
          </cell>
        </row>
        <row r="964">
          <cell r="A964">
            <v>1000958</v>
          </cell>
          <cell r="B964" t="str">
            <v>Cable Kit de Programación de Radio GP350</v>
          </cell>
          <cell r="D964">
            <v>5405</v>
          </cell>
          <cell r="E964">
            <v>1000</v>
          </cell>
          <cell r="F964" t="str">
            <v>ZALM</v>
          </cell>
          <cell r="G964" t="str">
            <v>UN</v>
          </cell>
          <cell r="H964" t="str">
            <v>DOP</v>
          </cell>
          <cell r="I964">
            <v>0</v>
          </cell>
          <cell r="J964">
            <v>0</v>
          </cell>
          <cell r="K964">
            <v>0</v>
          </cell>
          <cell r="L964">
            <v>0</v>
          </cell>
          <cell r="M964">
            <v>0</v>
          </cell>
          <cell r="N964">
            <v>0</v>
          </cell>
          <cell r="O964">
            <v>0</v>
          </cell>
          <cell r="P964">
            <v>0</v>
          </cell>
          <cell r="Q964">
            <v>0</v>
          </cell>
          <cell r="R964">
            <v>0</v>
          </cell>
          <cell r="S964">
            <v>0</v>
          </cell>
          <cell r="T964">
            <v>0</v>
          </cell>
          <cell r="U964" t="e">
            <v>#N/A</v>
          </cell>
        </row>
        <row r="965">
          <cell r="A965">
            <v>1000959</v>
          </cell>
          <cell r="B965" t="str">
            <v>Cable Kit Prog Radio Motorola PRO-5150</v>
          </cell>
          <cell r="D965">
            <v>5405</v>
          </cell>
          <cell r="E965">
            <v>1000</v>
          </cell>
          <cell r="F965" t="str">
            <v>ZALM</v>
          </cell>
          <cell r="G965" t="str">
            <v>UN</v>
          </cell>
          <cell r="H965" t="str">
            <v>DOP</v>
          </cell>
          <cell r="I965">
            <v>0</v>
          </cell>
          <cell r="J965">
            <v>0</v>
          </cell>
          <cell r="K965">
            <v>0</v>
          </cell>
          <cell r="L965">
            <v>0</v>
          </cell>
          <cell r="M965">
            <v>0</v>
          </cell>
          <cell r="N965">
            <v>0</v>
          </cell>
          <cell r="O965">
            <v>0</v>
          </cell>
          <cell r="P965">
            <v>0</v>
          </cell>
          <cell r="Q965">
            <v>0</v>
          </cell>
          <cell r="R965">
            <v>0</v>
          </cell>
          <cell r="S965">
            <v>0</v>
          </cell>
          <cell r="T965">
            <v>0</v>
          </cell>
          <cell r="U965" t="e">
            <v>#N/A</v>
          </cell>
        </row>
        <row r="966">
          <cell r="A966">
            <v>1000960</v>
          </cell>
          <cell r="B966" t="str">
            <v>Cable Serial RS-232 para Módem Celular</v>
          </cell>
          <cell r="D966">
            <v>5405</v>
          </cell>
          <cell r="E966">
            <v>1000</v>
          </cell>
          <cell r="F966" t="str">
            <v>ZALM</v>
          </cell>
          <cell r="G966" t="str">
            <v>UN</v>
          </cell>
          <cell r="H966" t="str">
            <v>DOP</v>
          </cell>
          <cell r="I966">
            <v>0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</v>
          </cell>
          <cell r="Q966">
            <v>0</v>
          </cell>
          <cell r="R966">
            <v>0</v>
          </cell>
          <cell r="S966">
            <v>0</v>
          </cell>
          <cell r="T966">
            <v>0</v>
          </cell>
          <cell r="U966" t="e">
            <v>#N/A</v>
          </cell>
        </row>
        <row r="967">
          <cell r="A967">
            <v>1000961</v>
          </cell>
          <cell r="B967" t="str">
            <v>Cajas Entradas Salidas Analogo-Digital</v>
          </cell>
          <cell r="D967">
            <v>5405</v>
          </cell>
          <cell r="E967">
            <v>1000</v>
          </cell>
          <cell r="F967" t="str">
            <v>ZALM</v>
          </cell>
          <cell r="G967" t="str">
            <v>UN</v>
          </cell>
          <cell r="H967" t="str">
            <v>DOP</v>
          </cell>
          <cell r="I967">
            <v>0</v>
          </cell>
          <cell r="J967">
            <v>0</v>
          </cell>
          <cell r="K967">
            <v>0</v>
          </cell>
          <cell r="L967">
            <v>0</v>
          </cell>
          <cell r="M967">
            <v>0</v>
          </cell>
          <cell r="N967">
            <v>0</v>
          </cell>
          <cell r="O967">
            <v>0</v>
          </cell>
          <cell r="P967">
            <v>0</v>
          </cell>
          <cell r="Q967">
            <v>0</v>
          </cell>
          <cell r="R967">
            <v>0</v>
          </cell>
          <cell r="S967">
            <v>0</v>
          </cell>
          <cell r="T967">
            <v>0</v>
          </cell>
          <cell r="U967" t="e">
            <v>#N/A</v>
          </cell>
        </row>
        <row r="968">
          <cell r="A968">
            <v>1000962</v>
          </cell>
          <cell r="B968" t="str">
            <v>Captor Opti Unicom Probe III Puert USB</v>
          </cell>
          <cell r="D968">
            <v>5405</v>
          </cell>
          <cell r="E968">
            <v>1000</v>
          </cell>
          <cell r="F968" t="str">
            <v>ZALM</v>
          </cell>
          <cell r="G968" t="str">
            <v>UN</v>
          </cell>
          <cell r="H968" t="str">
            <v>DOP</v>
          </cell>
          <cell r="I968">
            <v>0</v>
          </cell>
          <cell r="J968">
            <v>0</v>
          </cell>
          <cell r="K968">
            <v>0</v>
          </cell>
          <cell r="L968">
            <v>0</v>
          </cell>
          <cell r="M968">
            <v>0</v>
          </cell>
          <cell r="N968">
            <v>0</v>
          </cell>
          <cell r="O968">
            <v>0</v>
          </cell>
          <cell r="P968">
            <v>0</v>
          </cell>
          <cell r="Q968">
            <v>0</v>
          </cell>
          <cell r="R968">
            <v>0</v>
          </cell>
          <cell r="S968">
            <v>0</v>
          </cell>
          <cell r="T968">
            <v>0</v>
          </cell>
          <cell r="U968" t="e">
            <v>#N/A</v>
          </cell>
        </row>
        <row r="969">
          <cell r="A969">
            <v>1000963</v>
          </cell>
          <cell r="B969" t="str">
            <v>Captor Opti Unicom Probe III PuertSerial</v>
          </cell>
          <cell r="D969">
            <v>5405</v>
          </cell>
          <cell r="E969">
            <v>1000</v>
          </cell>
          <cell r="F969" t="str">
            <v>ZALM</v>
          </cell>
          <cell r="G969" t="str">
            <v>UN</v>
          </cell>
          <cell r="H969" t="str">
            <v>DOP</v>
          </cell>
          <cell r="I969">
            <v>0</v>
          </cell>
          <cell r="J969">
            <v>0</v>
          </cell>
          <cell r="K969">
            <v>0</v>
          </cell>
          <cell r="L969">
            <v>0</v>
          </cell>
          <cell r="M969">
            <v>0</v>
          </cell>
          <cell r="N969">
            <v>0</v>
          </cell>
          <cell r="O969">
            <v>0</v>
          </cell>
          <cell r="P969">
            <v>0</v>
          </cell>
          <cell r="Q969">
            <v>0</v>
          </cell>
          <cell r="R969">
            <v>0</v>
          </cell>
          <cell r="S969">
            <v>0</v>
          </cell>
          <cell r="T969">
            <v>0</v>
          </cell>
          <cell r="U969" t="e">
            <v>#N/A</v>
          </cell>
        </row>
        <row r="970">
          <cell r="A970">
            <v>1000964</v>
          </cell>
          <cell r="B970" t="str">
            <v>Cargador 20A 12VDC Inteligente</v>
          </cell>
          <cell r="D970">
            <v>5405</v>
          </cell>
          <cell r="E970">
            <v>1000</v>
          </cell>
          <cell r="F970" t="str">
            <v>ZALM</v>
          </cell>
          <cell r="G970" t="str">
            <v>UN</v>
          </cell>
          <cell r="H970" t="str">
            <v>DOP</v>
          </cell>
          <cell r="I970">
            <v>0</v>
          </cell>
          <cell r="J970">
            <v>0</v>
          </cell>
          <cell r="K970">
            <v>0</v>
          </cell>
          <cell r="L970">
            <v>0</v>
          </cell>
          <cell r="M970">
            <v>0</v>
          </cell>
          <cell r="N970">
            <v>0</v>
          </cell>
          <cell r="O970">
            <v>0</v>
          </cell>
          <cell r="P970">
            <v>0</v>
          </cell>
          <cell r="Q970">
            <v>0</v>
          </cell>
          <cell r="R970">
            <v>0</v>
          </cell>
          <cell r="S970">
            <v>0</v>
          </cell>
          <cell r="T970">
            <v>0</v>
          </cell>
          <cell r="U970" t="e">
            <v>#N/A</v>
          </cell>
        </row>
        <row r="971">
          <cell r="A971">
            <v>1000965</v>
          </cell>
          <cell r="B971" t="str">
            <v>Cargador Bateria P/ Radio Port GP-450</v>
          </cell>
          <cell r="D971">
            <v>5405</v>
          </cell>
          <cell r="E971">
            <v>1000</v>
          </cell>
          <cell r="F971" t="str">
            <v>ZALM</v>
          </cell>
          <cell r="G971" t="str">
            <v>UN</v>
          </cell>
          <cell r="H971" t="str">
            <v>DOP</v>
          </cell>
          <cell r="I971">
            <v>0</v>
          </cell>
          <cell r="J971">
            <v>0</v>
          </cell>
          <cell r="K971">
            <v>0</v>
          </cell>
          <cell r="L971">
            <v>0</v>
          </cell>
          <cell r="M971">
            <v>0</v>
          </cell>
          <cell r="N971">
            <v>0</v>
          </cell>
          <cell r="O971">
            <v>0</v>
          </cell>
          <cell r="P971">
            <v>0</v>
          </cell>
          <cell r="Q971">
            <v>0</v>
          </cell>
          <cell r="R971">
            <v>0</v>
          </cell>
          <cell r="S971">
            <v>0</v>
          </cell>
          <cell r="T971">
            <v>0</v>
          </cell>
          <cell r="U971" t="e">
            <v>#N/A</v>
          </cell>
        </row>
        <row r="972">
          <cell r="A972">
            <v>1000966</v>
          </cell>
          <cell r="B972" t="str">
            <v>Cargador P/ Radio Motorola PRO-5150</v>
          </cell>
          <cell r="D972">
            <v>5405</v>
          </cell>
          <cell r="E972">
            <v>1000</v>
          </cell>
          <cell r="F972" t="str">
            <v>ZALM</v>
          </cell>
          <cell r="G972" t="str">
            <v>UN</v>
          </cell>
          <cell r="H972" t="str">
            <v>DOP</v>
          </cell>
          <cell r="I972">
            <v>0</v>
          </cell>
          <cell r="J972">
            <v>0</v>
          </cell>
          <cell r="K972">
            <v>0</v>
          </cell>
          <cell r="L972">
            <v>0</v>
          </cell>
          <cell r="M972">
            <v>0</v>
          </cell>
          <cell r="N972">
            <v>0</v>
          </cell>
          <cell r="O972">
            <v>0</v>
          </cell>
          <cell r="P972">
            <v>0</v>
          </cell>
          <cell r="Q972">
            <v>0</v>
          </cell>
          <cell r="R972">
            <v>0</v>
          </cell>
          <cell r="S972">
            <v>0</v>
          </cell>
          <cell r="T972">
            <v>0</v>
          </cell>
          <cell r="U972" t="e">
            <v>#N/A</v>
          </cell>
        </row>
        <row r="973">
          <cell r="A973">
            <v>1000967</v>
          </cell>
          <cell r="B973" t="str">
            <v>Click para Batería de Radio EP450</v>
          </cell>
          <cell r="D973">
            <v>5405</v>
          </cell>
          <cell r="E973">
            <v>1000</v>
          </cell>
          <cell r="F973" t="str">
            <v>ZALM</v>
          </cell>
          <cell r="G973" t="str">
            <v>UN</v>
          </cell>
          <cell r="H973" t="str">
            <v>DOP</v>
          </cell>
          <cell r="I973">
            <v>0</v>
          </cell>
          <cell r="J973">
            <v>0</v>
          </cell>
          <cell r="K973">
            <v>0</v>
          </cell>
          <cell r="L973">
            <v>0</v>
          </cell>
          <cell r="M973">
            <v>0</v>
          </cell>
          <cell r="N973">
            <v>0</v>
          </cell>
          <cell r="O973">
            <v>0</v>
          </cell>
          <cell r="P973">
            <v>0</v>
          </cell>
          <cell r="Q973">
            <v>0</v>
          </cell>
          <cell r="R973">
            <v>0</v>
          </cell>
          <cell r="S973">
            <v>0</v>
          </cell>
          <cell r="T973">
            <v>0</v>
          </cell>
          <cell r="U973" t="e">
            <v>#N/A</v>
          </cell>
        </row>
        <row r="974">
          <cell r="A974">
            <v>1000968</v>
          </cell>
          <cell r="B974" t="str">
            <v>Clip para Batería de Radio PRO-5150</v>
          </cell>
          <cell r="D974">
            <v>5405</v>
          </cell>
          <cell r="E974">
            <v>1000</v>
          </cell>
          <cell r="F974" t="str">
            <v>ZALM</v>
          </cell>
          <cell r="G974" t="str">
            <v>UN</v>
          </cell>
          <cell r="H974" t="str">
            <v>DOP</v>
          </cell>
          <cell r="I974">
            <v>0</v>
          </cell>
          <cell r="J974">
            <v>0</v>
          </cell>
          <cell r="K974">
            <v>0</v>
          </cell>
          <cell r="L974">
            <v>0</v>
          </cell>
          <cell r="M974">
            <v>0</v>
          </cell>
          <cell r="N974">
            <v>0</v>
          </cell>
          <cell r="O974">
            <v>0</v>
          </cell>
          <cell r="P974">
            <v>0</v>
          </cell>
          <cell r="Q974">
            <v>0</v>
          </cell>
          <cell r="R974">
            <v>0</v>
          </cell>
          <cell r="S974">
            <v>0</v>
          </cell>
          <cell r="T974">
            <v>0</v>
          </cell>
          <cell r="U974" t="e">
            <v>#N/A</v>
          </cell>
        </row>
        <row r="975">
          <cell r="A975">
            <v>1000969</v>
          </cell>
          <cell r="B975" t="str">
            <v>Cristal de Frecuencia Intermedia 44.645</v>
          </cell>
          <cell r="D975">
            <v>5405</v>
          </cell>
          <cell r="E975">
            <v>1000</v>
          </cell>
          <cell r="F975" t="str">
            <v>ZALM</v>
          </cell>
          <cell r="G975" t="str">
            <v>UN</v>
          </cell>
          <cell r="H975" t="str">
            <v>DOP</v>
          </cell>
          <cell r="I975">
            <v>0</v>
          </cell>
          <cell r="J975">
            <v>0</v>
          </cell>
          <cell r="K975">
            <v>0</v>
          </cell>
          <cell r="L975">
            <v>0</v>
          </cell>
          <cell r="M975">
            <v>0</v>
          </cell>
          <cell r="N975">
            <v>0</v>
          </cell>
          <cell r="O975">
            <v>0</v>
          </cell>
          <cell r="P975">
            <v>0</v>
          </cell>
          <cell r="Q975">
            <v>0</v>
          </cell>
          <cell r="R975">
            <v>0</v>
          </cell>
          <cell r="S975">
            <v>0</v>
          </cell>
          <cell r="T975">
            <v>0</v>
          </cell>
          <cell r="U975" t="e">
            <v>#N/A</v>
          </cell>
        </row>
        <row r="976">
          <cell r="A976">
            <v>1000970</v>
          </cell>
          <cell r="B976" t="str">
            <v>Cristal P/ Radio GM300 Y151 48-80174D05</v>
          </cell>
          <cell r="D976">
            <v>5405</v>
          </cell>
          <cell r="E976">
            <v>1000</v>
          </cell>
          <cell r="F976" t="str">
            <v>ZALM</v>
          </cell>
          <cell r="G976" t="str">
            <v>UN</v>
          </cell>
          <cell r="H976" t="str">
            <v>DOP</v>
          </cell>
          <cell r="I976">
            <v>0</v>
          </cell>
          <cell r="J976">
            <v>0</v>
          </cell>
          <cell r="K976">
            <v>0</v>
          </cell>
          <cell r="L976">
            <v>0</v>
          </cell>
          <cell r="M976">
            <v>0</v>
          </cell>
          <cell r="N976">
            <v>0</v>
          </cell>
          <cell r="O976">
            <v>0</v>
          </cell>
          <cell r="P976">
            <v>0</v>
          </cell>
          <cell r="Q976">
            <v>0</v>
          </cell>
          <cell r="R976">
            <v>0</v>
          </cell>
          <cell r="S976">
            <v>0</v>
          </cell>
          <cell r="T976">
            <v>0</v>
          </cell>
          <cell r="U976" t="e">
            <v>#N/A</v>
          </cell>
        </row>
        <row r="977">
          <cell r="A977">
            <v>1000971</v>
          </cell>
          <cell r="B977" t="str">
            <v>Cristal P/ Radio GM300 Y51 91-80022M02</v>
          </cell>
          <cell r="D977">
            <v>5405</v>
          </cell>
          <cell r="E977">
            <v>1000</v>
          </cell>
          <cell r="F977" t="str">
            <v>ZALM</v>
          </cell>
          <cell r="G977" t="str">
            <v>UN</v>
          </cell>
          <cell r="H977" t="str">
            <v>DOP</v>
          </cell>
          <cell r="I977">
            <v>0</v>
          </cell>
          <cell r="J977">
            <v>0</v>
          </cell>
          <cell r="K977">
            <v>0</v>
          </cell>
          <cell r="L977">
            <v>0</v>
          </cell>
          <cell r="M977">
            <v>0</v>
          </cell>
          <cell r="N977">
            <v>0</v>
          </cell>
          <cell r="O977">
            <v>0</v>
          </cell>
          <cell r="P977">
            <v>0</v>
          </cell>
          <cell r="Q977">
            <v>0</v>
          </cell>
          <cell r="R977">
            <v>0</v>
          </cell>
          <cell r="S977">
            <v>0</v>
          </cell>
          <cell r="T977">
            <v>0</v>
          </cell>
          <cell r="U977" t="e">
            <v>#N/A</v>
          </cell>
        </row>
        <row r="978">
          <cell r="A978">
            <v>1000972</v>
          </cell>
          <cell r="B978" t="str">
            <v>Digital Cable Assembly 101269-20I</v>
          </cell>
          <cell r="D978">
            <v>5405</v>
          </cell>
          <cell r="E978">
            <v>1000</v>
          </cell>
          <cell r="F978" t="str">
            <v>ZALM</v>
          </cell>
          <cell r="G978" t="str">
            <v>UN</v>
          </cell>
          <cell r="H978" t="str">
            <v>DOP</v>
          </cell>
          <cell r="I978">
            <v>0</v>
          </cell>
          <cell r="J978">
            <v>0</v>
          </cell>
          <cell r="K978">
            <v>0</v>
          </cell>
          <cell r="L978">
            <v>0</v>
          </cell>
          <cell r="M978">
            <v>0</v>
          </cell>
          <cell r="N978">
            <v>0</v>
          </cell>
          <cell r="O978">
            <v>0</v>
          </cell>
          <cell r="P978">
            <v>0</v>
          </cell>
          <cell r="Q978">
            <v>0</v>
          </cell>
          <cell r="R978">
            <v>0</v>
          </cell>
          <cell r="S978">
            <v>0</v>
          </cell>
          <cell r="T978">
            <v>0</v>
          </cell>
          <cell r="U978" t="e">
            <v>#N/A</v>
          </cell>
        </row>
        <row r="979">
          <cell r="A979">
            <v>1000973</v>
          </cell>
          <cell r="B979" t="str">
            <v>Digital Input Modul 070536 Rev.2 P/ 7550</v>
          </cell>
          <cell r="D979">
            <v>5405</v>
          </cell>
          <cell r="E979">
            <v>1000</v>
          </cell>
          <cell r="F979" t="str">
            <v>ZALM</v>
          </cell>
          <cell r="G979" t="str">
            <v>UN</v>
          </cell>
          <cell r="H979" t="str">
            <v>DOP</v>
          </cell>
          <cell r="I979">
            <v>0</v>
          </cell>
          <cell r="J979">
            <v>0</v>
          </cell>
          <cell r="K979">
            <v>0</v>
          </cell>
          <cell r="L979">
            <v>0</v>
          </cell>
          <cell r="M979">
            <v>0</v>
          </cell>
          <cell r="N979">
            <v>0</v>
          </cell>
          <cell r="O979">
            <v>0</v>
          </cell>
          <cell r="P979">
            <v>0</v>
          </cell>
          <cell r="Q979">
            <v>0</v>
          </cell>
          <cell r="R979">
            <v>0</v>
          </cell>
          <cell r="S979">
            <v>0</v>
          </cell>
          <cell r="T979">
            <v>0</v>
          </cell>
          <cell r="U979" t="e">
            <v>#N/A</v>
          </cell>
        </row>
        <row r="980">
          <cell r="A980">
            <v>1000974</v>
          </cell>
          <cell r="B980" t="str">
            <v>Digital Input Modul 075068 Rev.6 P/ 7560</v>
          </cell>
          <cell r="D980">
            <v>5405</v>
          </cell>
          <cell r="E980">
            <v>1000</v>
          </cell>
          <cell r="F980" t="str">
            <v>ZALM</v>
          </cell>
          <cell r="G980" t="str">
            <v>UN</v>
          </cell>
          <cell r="H980" t="str">
            <v>DOP</v>
          </cell>
          <cell r="I980">
            <v>0</v>
          </cell>
          <cell r="J980">
            <v>0</v>
          </cell>
          <cell r="K980">
            <v>0</v>
          </cell>
          <cell r="L980">
            <v>0</v>
          </cell>
          <cell r="M980">
            <v>0</v>
          </cell>
          <cell r="N980">
            <v>0</v>
          </cell>
          <cell r="O980">
            <v>0</v>
          </cell>
          <cell r="P980">
            <v>0</v>
          </cell>
          <cell r="Q980">
            <v>0</v>
          </cell>
          <cell r="R980">
            <v>0</v>
          </cell>
          <cell r="S980">
            <v>0</v>
          </cell>
          <cell r="T980">
            <v>0</v>
          </cell>
          <cell r="U980" t="e">
            <v>#N/A</v>
          </cell>
        </row>
        <row r="981">
          <cell r="A981">
            <v>1000975</v>
          </cell>
          <cell r="B981" t="str">
            <v>Diodo Potencia 60A 200V</v>
          </cell>
          <cell r="D981">
            <v>5405</v>
          </cell>
          <cell r="E981">
            <v>1000</v>
          </cell>
          <cell r="F981" t="str">
            <v>ZALM</v>
          </cell>
          <cell r="G981" t="str">
            <v>UN</v>
          </cell>
          <cell r="H981" t="str">
            <v>DOP</v>
          </cell>
          <cell r="I981">
            <v>0</v>
          </cell>
          <cell r="J981">
            <v>0</v>
          </cell>
          <cell r="K981">
            <v>0</v>
          </cell>
          <cell r="L981">
            <v>0</v>
          </cell>
          <cell r="M981">
            <v>0</v>
          </cell>
          <cell r="N981">
            <v>0</v>
          </cell>
          <cell r="O981">
            <v>0</v>
          </cell>
          <cell r="P981">
            <v>0</v>
          </cell>
          <cell r="Q981">
            <v>0</v>
          </cell>
          <cell r="R981">
            <v>0</v>
          </cell>
          <cell r="S981">
            <v>0</v>
          </cell>
          <cell r="T981">
            <v>0</v>
          </cell>
          <cell r="U981" t="e">
            <v>#N/A</v>
          </cell>
        </row>
        <row r="982">
          <cell r="A982">
            <v>1000976</v>
          </cell>
          <cell r="B982" t="str">
            <v>Diodo Protec P/ Radio GM300 Ref MR2W9810</v>
          </cell>
          <cell r="D982">
            <v>5405</v>
          </cell>
          <cell r="E982">
            <v>1000</v>
          </cell>
          <cell r="F982" t="str">
            <v>ZALM</v>
          </cell>
          <cell r="G982" t="str">
            <v>UN</v>
          </cell>
          <cell r="H982" t="str">
            <v>DOP</v>
          </cell>
          <cell r="I982">
            <v>0</v>
          </cell>
          <cell r="J982">
            <v>0</v>
          </cell>
          <cell r="K982">
            <v>0</v>
          </cell>
          <cell r="L982">
            <v>0</v>
          </cell>
          <cell r="M982">
            <v>0</v>
          </cell>
          <cell r="N982">
            <v>0</v>
          </cell>
          <cell r="O982">
            <v>0</v>
          </cell>
          <cell r="P982">
            <v>0</v>
          </cell>
          <cell r="Q982">
            <v>0</v>
          </cell>
          <cell r="R982">
            <v>0</v>
          </cell>
          <cell r="S982">
            <v>0</v>
          </cell>
          <cell r="T982">
            <v>0</v>
          </cell>
          <cell r="U982" t="e">
            <v>#N/A</v>
          </cell>
        </row>
        <row r="983">
          <cell r="A983">
            <v>1000977</v>
          </cell>
          <cell r="B983" t="str">
            <v>Diodo T/ Led ET-16 125V Luz de Colores</v>
          </cell>
          <cell r="D983">
            <v>5405</v>
          </cell>
          <cell r="E983">
            <v>1000</v>
          </cell>
          <cell r="F983" t="str">
            <v>ZALM</v>
          </cell>
          <cell r="G983" t="str">
            <v>UN</v>
          </cell>
          <cell r="H983" t="str">
            <v>DOP</v>
          </cell>
          <cell r="I983">
            <v>411</v>
          </cell>
          <cell r="J983">
            <v>210637.5</v>
          </cell>
          <cell r="K983">
            <v>0</v>
          </cell>
          <cell r="L983">
            <v>0</v>
          </cell>
          <cell r="M983">
            <v>0</v>
          </cell>
          <cell r="N983">
            <v>0</v>
          </cell>
          <cell r="O983">
            <v>0</v>
          </cell>
          <cell r="P983">
            <v>0</v>
          </cell>
          <cell r="Q983">
            <v>0</v>
          </cell>
          <cell r="R983">
            <v>0</v>
          </cell>
          <cell r="S983">
            <v>411</v>
          </cell>
          <cell r="T983">
            <v>210637.5</v>
          </cell>
          <cell r="U983">
            <v>512.5</v>
          </cell>
        </row>
        <row r="984">
          <cell r="A984">
            <v>1000978</v>
          </cell>
          <cell r="B984" t="str">
            <v>Diodos de 10A NTE5916</v>
          </cell>
          <cell r="D984">
            <v>5405</v>
          </cell>
          <cell r="E984">
            <v>1000</v>
          </cell>
          <cell r="F984" t="str">
            <v>ZALM</v>
          </cell>
          <cell r="G984" t="str">
            <v>UN</v>
          </cell>
          <cell r="H984" t="str">
            <v>DOP</v>
          </cell>
          <cell r="I984">
            <v>0</v>
          </cell>
          <cell r="J984">
            <v>0</v>
          </cell>
          <cell r="K984">
            <v>0</v>
          </cell>
          <cell r="L984">
            <v>0</v>
          </cell>
          <cell r="M984">
            <v>0</v>
          </cell>
          <cell r="N984">
            <v>0</v>
          </cell>
          <cell r="O984">
            <v>0</v>
          </cell>
          <cell r="P984">
            <v>0</v>
          </cell>
          <cell r="Q984">
            <v>0</v>
          </cell>
          <cell r="R984">
            <v>0</v>
          </cell>
          <cell r="S984">
            <v>0</v>
          </cell>
          <cell r="T984">
            <v>0</v>
          </cell>
          <cell r="U984" t="e">
            <v>#N/A</v>
          </cell>
        </row>
        <row r="985">
          <cell r="A985">
            <v>1000979</v>
          </cell>
          <cell r="B985" t="str">
            <v>Disco Duro 20GB Conextable a USB</v>
          </cell>
          <cell r="D985">
            <v>5405</v>
          </cell>
          <cell r="E985">
            <v>1000</v>
          </cell>
          <cell r="F985" t="str">
            <v>ZALM</v>
          </cell>
          <cell r="G985" t="str">
            <v>UN</v>
          </cell>
          <cell r="H985" t="str">
            <v>DOP</v>
          </cell>
          <cell r="I985">
            <v>0</v>
          </cell>
          <cell r="J985">
            <v>0</v>
          </cell>
          <cell r="K985">
            <v>0</v>
          </cell>
          <cell r="L985">
            <v>0</v>
          </cell>
          <cell r="M985">
            <v>0</v>
          </cell>
          <cell r="N985">
            <v>0</v>
          </cell>
          <cell r="O985">
            <v>0</v>
          </cell>
          <cell r="P985">
            <v>0</v>
          </cell>
          <cell r="Q985">
            <v>0</v>
          </cell>
          <cell r="R985">
            <v>0</v>
          </cell>
          <cell r="S985">
            <v>0</v>
          </cell>
          <cell r="T985">
            <v>0</v>
          </cell>
          <cell r="U985" t="e">
            <v>#N/A</v>
          </cell>
        </row>
        <row r="986">
          <cell r="A986">
            <v>1000980</v>
          </cell>
          <cell r="B986" t="str">
            <v>Duplexer VHF 146-174 MHZ</v>
          </cell>
          <cell r="D986">
            <v>5405</v>
          </cell>
          <cell r="E986">
            <v>1000</v>
          </cell>
          <cell r="F986" t="str">
            <v>ZALM</v>
          </cell>
          <cell r="G986" t="str">
            <v>UN</v>
          </cell>
          <cell r="H986" t="str">
            <v>DOP</v>
          </cell>
          <cell r="I986">
            <v>0</v>
          </cell>
          <cell r="J986">
            <v>0</v>
          </cell>
          <cell r="K986">
            <v>0</v>
          </cell>
          <cell r="L986">
            <v>0</v>
          </cell>
          <cell r="M986">
            <v>0</v>
          </cell>
          <cell r="N986">
            <v>0</v>
          </cell>
          <cell r="O986">
            <v>0</v>
          </cell>
          <cell r="P986">
            <v>0</v>
          </cell>
          <cell r="Q986">
            <v>0</v>
          </cell>
          <cell r="R986">
            <v>0</v>
          </cell>
          <cell r="S986">
            <v>0</v>
          </cell>
          <cell r="T986">
            <v>0</v>
          </cell>
          <cell r="U986" t="e">
            <v>#N/A</v>
          </cell>
        </row>
        <row r="987">
          <cell r="A987">
            <v>1000981</v>
          </cell>
          <cell r="B987" t="str">
            <v>Equipo Grabacion de Voz</v>
          </cell>
          <cell r="D987">
            <v>5405</v>
          </cell>
          <cell r="E987">
            <v>1000</v>
          </cell>
          <cell r="F987" t="str">
            <v>ZALM</v>
          </cell>
          <cell r="G987" t="str">
            <v>UN</v>
          </cell>
          <cell r="H987" t="str">
            <v>DOP</v>
          </cell>
          <cell r="I987">
            <v>0</v>
          </cell>
          <cell r="J987">
            <v>0</v>
          </cell>
          <cell r="K987">
            <v>0</v>
          </cell>
          <cell r="L987">
            <v>0</v>
          </cell>
          <cell r="M987">
            <v>0</v>
          </cell>
          <cell r="N987">
            <v>0</v>
          </cell>
          <cell r="O987">
            <v>0</v>
          </cell>
          <cell r="P987">
            <v>0</v>
          </cell>
          <cell r="Q987">
            <v>0</v>
          </cell>
          <cell r="R987">
            <v>0</v>
          </cell>
          <cell r="S987">
            <v>0</v>
          </cell>
          <cell r="T987">
            <v>0</v>
          </cell>
          <cell r="U987" t="e">
            <v>#N/A</v>
          </cell>
        </row>
        <row r="988">
          <cell r="A988">
            <v>1000982</v>
          </cell>
          <cell r="B988" t="str">
            <v>Fuente ANSTRON de 20 Amperes 12 Voltios</v>
          </cell>
          <cell r="D988">
            <v>5405</v>
          </cell>
          <cell r="E988">
            <v>1000</v>
          </cell>
          <cell r="F988" t="str">
            <v>ZALM</v>
          </cell>
          <cell r="G988" t="str">
            <v>UN</v>
          </cell>
          <cell r="H988" t="str">
            <v>DOP</v>
          </cell>
          <cell r="I988">
            <v>0</v>
          </cell>
          <cell r="J988">
            <v>0</v>
          </cell>
          <cell r="K988">
            <v>0</v>
          </cell>
          <cell r="L988">
            <v>0</v>
          </cell>
          <cell r="M988">
            <v>0</v>
          </cell>
          <cell r="N988">
            <v>0</v>
          </cell>
          <cell r="O988">
            <v>0</v>
          </cell>
          <cell r="P988">
            <v>0</v>
          </cell>
          <cell r="Q988">
            <v>0</v>
          </cell>
          <cell r="R988">
            <v>0</v>
          </cell>
          <cell r="S988">
            <v>0</v>
          </cell>
          <cell r="T988">
            <v>0</v>
          </cell>
          <cell r="U988" t="e">
            <v>#N/A</v>
          </cell>
        </row>
        <row r="989">
          <cell r="A989">
            <v>1000983</v>
          </cell>
          <cell r="B989" t="str">
            <v>Fuente de Alimentación 24/13.8 VDC</v>
          </cell>
          <cell r="D989">
            <v>5405</v>
          </cell>
          <cell r="E989">
            <v>1000</v>
          </cell>
          <cell r="F989" t="str">
            <v>ZALM</v>
          </cell>
          <cell r="G989" t="str">
            <v>UN</v>
          </cell>
          <cell r="H989" t="str">
            <v>DOP</v>
          </cell>
          <cell r="I989">
            <v>0</v>
          </cell>
          <cell r="J989">
            <v>0</v>
          </cell>
          <cell r="K989">
            <v>0</v>
          </cell>
          <cell r="L989">
            <v>0</v>
          </cell>
          <cell r="M989">
            <v>0</v>
          </cell>
          <cell r="N989">
            <v>0</v>
          </cell>
          <cell r="O989">
            <v>0</v>
          </cell>
          <cell r="P989">
            <v>0</v>
          </cell>
          <cell r="Q989">
            <v>0</v>
          </cell>
          <cell r="R989">
            <v>0</v>
          </cell>
          <cell r="S989">
            <v>0</v>
          </cell>
          <cell r="T989">
            <v>0</v>
          </cell>
          <cell r="U989" t="e">
            <v>#N/A</v>
          </cell>
        </row>
        <row r="990">
          <cell r="A990">
            <v>1000984</v>
          </cell>
          <cell r="B990" t="str">
            <v>Hand Held Terminal HHT 02-1502A02 MDS</v>
          </cell>
          <cell r="D990">
            <v>5405</v>
          </cell>
          <cell r="E990">
            <v>1000</v>
          </cell>
          <cell r="F990" t="str">
            <v>ZALM</v>
          </cell>
          <cell r="G990" t="str">
            <v>UN</v>
          </cell>
          <cell r="H990" t="str">
            <v>DOP</v>
          </cell>
          <cell r="I990">
            <v>0</v>
          </cell>
          <cell r="J990">
            <v>0</v>
          </cell>
          <cell r="K990">
            <v>0</v>
          </cell>
          <cell r="L990">
            <v>0</v>
          </cell>
          <cell r="M990">
            <v>0</v>
          </cell>
          <cell r="N990">
            <v>0</v>
          </cell>
          <cell r="O990">
            <v>0</v>
          </cell>
          <cell r="P990">
            <v>0</v>
          </cell>
          <cell r="Q990">
            <v>0</v>
          </cell>
          <cell r="R990">
            <v>0</v>
          </cell>
          <cell r="S990">
            <v>0</v>
          </cell>
          <cell r="T990">
            <v>0</v>
          </cell>
          <cell r="U990" t="e">
            <v>#N/A</v>
          </cell>
        </row>
        <row r="991">
          <cell r="A991">
            <v>1000985</v>
          </cell>
          <cell r="B991" t="str">
            <v>Indicador Electrónico OHAUS Acer Inox</v>
          </cell>
          <cell r="D991">
            <v>5405</v>
          </cell>
          <cell r="E991">
            <v>1000</v>
          </cell>
          <cell r="F991" t="str">
            <v>ZALM</v>
          </cell>
          <cell r="G991" t="str">
            <v>UN</v>
          </cell>
          <cell r="H991" t="str">
            <v>DOP</v>
          </cell>
          <cell r="I991">
            <v>0</v>
          </cell>
          <cell r="J991">
            <v>0</v>
          </cell>
          <cell r="K991">
            <v>0</v>
          </cell>
          <cell r="L991">
            <v>0</v>
          </cell>
          <cell r="M991">
            <v>0</v>
          </cell>
          <cell r="N991">
            <v>0</v>
          </cell>
          <cell r="O991">
            <v>0</v>
          </cell>
          <cell r="P991">
            <v>0</v>
          </cell>
          <cell r="Q991">
            <v>0</v>
          </cell>
          <cell r="R991">
            <v>0</v>
          </cell>
          <cell r="S991">
            <v>0</v>
          </cell>
          <cell r="T991">
            <v>0</v>
          </cell>
          <cell r="U991" t="e">
            <v>#N/A</v>
          </cell>
        </row>
        <row r="992">
          <cell r="A992">
            <v>1000986</v>
          </cell>
          <cell r="B992" t="str">
            <v>Integrado Amplif Audio TDA1519C U 502</v>
          </cell>
          <cell r="D992">
            <v>5405</v>
          </cell>
          <cell r="E992">
            <v>1000</v>
          </cell>
          <cell r="F992" t="str">
            <v>ZALM</v>
          </cell>
          <cell r="G992" t="str">
            <v>UN</v>
          </cell>
          <cell r="H992" t="str">
            <v>DOP</v>
          </cell>
          <cell r="I992">
            <v>0</v>
          </cell>
          <cell r="J992">
            <v>0</v>
          </cell>
          <cell r="K992">
            <v>0</v>
          </cell>
          <cell r="L992">
            <v>0</v>
          </cell>
          <cell r="M992">
            <v>0</v>
          </cell>
          <cell r="N992">
            <v>0</v>
          </cell>
          <cell r="O992">
            <v>0</v>
          </cell>
          <cell r="P992">
            <v>0</v>
          </cell>
          <cell r="Q992">
            <v>0</v>
          </cell>
          <cell r="R992">
            <v>0</v>
          </cell>
          <cell r="S992">
            <v>0</v>
          </cell>
          <cell r="T992">
            <v>0</v>
          </cell>
          <cell r="U992" t="e">
            <v>#N/A</v>
          </cell>
        </row>
        <row r="993">
          <cell r="A993">
            <v>1000987</v>
          </cell>
          <cell r="B993" t="str">
            <v>Integrado IC QHKS-9251</v>
          </cell>
          <cell r="D993">
            <v>5405</v>
          </cell>
          <cell r="E993">
            <v>1000</v>
          </cell>
          <cell r="F993" t="str">
            <v>ZALM</v>
          </cell>
          <cell r="G993" t="str">
            <v>UN</v>
          </cell>
          <cell r="H993" t="str">
            <v>DOP</v>
          </cell>
          <cell r="I993">
            <v>0</v>
          </cell>
          <cell r="J993">
            <v>0</v>
          </cell>
          <cell r="K993">
            <v>0</v>
          </cell>
          <cell r="L993">
            <v>0</v>
          </cell>
          <cell r="M993">
            <v>0</v>
          </cell>
          <cell r="N993">
            <v>0</v>
          </cell>
          <cell r="O993">
            <v>0</v>
          </cell>
          <cell r="P993">
            <v>0</v>
          </cell>
          <cell r="Q993">
            <v>0</v>
          </cell>
          <cell r="R993">
            <v>0</v>
          </cell>
          <cell r="S993">
            <v>0</v>
          </cell>
          <cell r="T993">
            <v>0</v>
          </cell>
          <cell r="U993" t="e">
            <v>#N/A</v>
          </cell>
        </row>
        <row r="994">
          <cell r="A994">
            <v>1000988</v>
          </cell>
          <cell r="B994" t="str">
            <v>Integrado IC2904</v>
          </cell>
          <cell r="D994">
            <v>5405</v>
          </cell>
          <cell r="E994">
            <v>1000</v>
          </cell>
          <cell r="F994" t="str">
            <v>ZALM</v>
          </cell>
          <cell r="G994" t="str">
            <v>UN</v>
          </cell>
          <cell r="H994" t="str">
            <v>DOP</v>
          </cell>
          <cell r="I994">
            <v>0</v>
          </cell>
          <cell r="J994">
            <v>0</v>
          </cell>
          <cell r="K994">
            <v>0</v>
          </cell>
          <cell r="L994">
            <v>0</v>
          </cell>
          <cell r="M994">
            <v>0</v>
          </cell>
          <cell r="N994">
            <v>0</v>
          </cell>
          <cell r="O994">
            <v>0</v>
          </cell>
          <cell r="P994">
            <v>0</v>
          </cell>
          <cell r="Q994">
            <v>0</v>
          </cell>
          <cell r="R994">
            <v>0</v>
          </cell>
          <cell r="S994">
            <v>0</v>
          </cell>
          <cell r="T994">
            <v>0</v>
          </cell>
          <cell r="U994" t="e">
            <v>#N/A</v>
          </cell>
        </row>
        <row r="995">
          <cell r="A995">
            <v>1000989</v>
          </cell>
          <cell r="B995" t="str">
            <v>Interfaz Program RIB P/ Radio PRO-5150</v>
          </cell>
          <cell r="D995">
            <v>5405</v>
          </cell>
          <cell r="E995">
            <v>1000</v>
          </cell>
          <cell r="F995" t="str">
            <v>ZALM</v>
          </cell>
          <cell r="G995" t="str">
            <v>UN</v>
          </cell>
          <cell r="H995" t="str">
            <v>DOP</v>
          </cell>
          <cell r="I995">
            <v>0</v>
          </cell>
          <cell r="J995">
            <v>0</v>
          </cell>
          <cell r="K995">
            <v>0</v>
          </cell>
          <cell r="L995">
            <v>0</v>
          </cell>
          <cell r="M995">
            <v>0</v>
          </cell>
          <cell r="N995">
            <v>0</v>
          </cell>
          <cell r="O995">
            <v>0</v>
          </cell>
          <cell r="P995">
            <v>0</v>
          </cell>
          <cell r="Q995">
            <v>0</v>
          </cell>
          <cell r="R995">
            <v>0</v>
          </cell>
          <cell r="S995">
            <v>0</v>
          </cell>
          <cell r="T995">
            <v>0</v>
          </cell>
          <cell r="U995" t="e">
            <v>#N/A</v>
          </cell>
        </row>
        <row r="996">
          <cell r="A996">
            <v>1000990</v>
          </cell>
          <cell r="B996" t="str">
            <v>IRIG-B Time Cod Reader Ass Amplit Mod IF</v>
          </cell>
          <cell r="D996">
            <v>5405</v>
          </cell>
          <cell r="E996">
            <v>1000</v>
          </cell>
          <cell r="F996" t="str">
            <v>ZALM</v>
          </cell>
          <cell r="G996" t="str">
            <v>UN</v>
          </cell>
          <cell r="H996" t="str">
            <v>DOP</v>
          </cell>
          <cell r="I996">
            <v>0</v>
          </cell>
          <cell r="J996">
            <v>0</v>
          </cell>
          <cell r="K996">
            <v>0</v>
          </cell>
          <cell r="L996">
            <v>0</v>
          </cell>
          <cell r="M996">
            <v>0</v>
          </cell>
          <cell r="N996">
            <v>0</v>
          </cell>
          <cell r="O996">
            <v>0</v>
          </cell>
          <cell r="P996">
            <v>0</v>
          </cell>
          <cell r="Q996">
            <v>0</v>
          </cell>
          <cell r="R996">
            <v>0</v>
          </cell>
          <cell r="S996">
            <v>0</v>
          </cell>
          <cell r="T996">
            <v>0</v>
          </cell>
          <cell r="U996" t="e">
            <v>#N/A</v>
          </cell>
        </row>
        <row r="997">
          <cell r="A997">
            <v>1000991</v>
          </cell>
          <cell r="B997" t="str">
            <v>Juego Cord Plugs  A8320 &amp;  CON-8323</v>
          </cell>
          <cell r="D997">
            <v>5405</v>
          </cell>
          <cell r="E997">
            <v>1000</v>
          </cell>
          <cell r="F997" t="str">
            <v>ZALM</v>
          </cell>
          <cell r="G997" t="str">
            <v>UN</v>
          </cell>
          <cell r="H997" t="str">
            <v>DOP</v>
          </cell>
          <cell r="I997">
            <v>0</v>
          </cell>
          <cell r="J997">
            <v>0</v>
          </cell>
          <cell r="K997">
            <v>0</v>
          </cell>
          <cell r="L997">
            <v>0</v>
          </cell>
          <cell r="M997">
            <v>0</v>
          </cell>
          <cell r="N997">
            <v>0</v>
          </cell>
          <cell r="O997">
            <v>0</v>
          </cell>
          <cell r="P997">
            <v>0</v>
          </cell>
          <cell r="Q997">
            <v>0</v>
          </cell>
          <cell r="R997">
            <v>0</v>
          </cell>
          <cell r="S997">
            <v>0</v>
          </cell>
          <cell r="T997">
            <v>0</v>
          </cell>
          <cell r="U997" t="e">
            <v>#N/A</v>
          </cell>
        </row>
        <row r="998">
          <cell r="A998">
            <v>1000992</v>
          </cell>
          <cell r="B998" t="str">
            <v>Kit Cable RG-58 Base Rosca Fina C/ Cond</v>
          </cell>
          <cell r="D998">
            <v>5405</v>
          </cell>
          <cell r="E998">
            <v>1000</v>
          </cell>
          <cell r="F998" t="str">
            <v>ZALM</v>
          </cell>
          <cell r="G998" t="str">
            <v>UN</v>
          </cell>
          <cell r="H998" t="str">
            <v>DOP</v>
          </cell>
          <cell r="I998">
            <v>25</v>
          </cell>
          <cell r="J998">
            <v>14147.2</v>
          </cell>
          <cell r="K998">
            <v>0</v>
          </cell>
          <cell r="L998">
            <v>0</v>
          </cell>
          <cell r="M998">
            <v>0</v>
          </cell>
          <cell r="N998">
            <v>0</v>
          </cell>
          <cell r="O998">
            <v>0</v>
          </cell>
          <cell r="P998">
            <v>0</v>
          </cell>
          <cell r="Q998">
            <v>0</v>
          </cell>
          <cell r="R998">
            <v>0</v>
          </cell>
          <cell r="S998">
            <v>25</v>
          </cell>
          <cell r="T998">
            <v>14147.2</v>
          </cell>
          <cell r="U998">
            <v>565.88800000000003</v>
          </cell>
        </row>
        <row r="999">
          <cell r="A999">
            <v>1000993</v>
          </cell>
          <cell r="B999" t="str">
            <v>Kit de Cable RG-58 con Base NMO</v>
          </cell>
          <cell r="D999">
            <v>5405</v>
          </cell>
          <cell r="E999">
            <v>1000</v>
          </cell>
          <cell r="F999" t="str">
            <v>ZALM</v>
          </cell>
          <cell r="G999" t="str">
            <v>UN</v>
          </cell>
          <cell r="H999" t="str">
            <v>DOP</v>
          </cell>
          <cell r="I999">
            <v>0</v>
          </cell>
          <cell r="J999">
            <v>0</v>
          </cell>
          <cell r="K999">
            <v>0</v>
          </cell>
          <cell r="L999">
            <v>0</v>
          </cell>
          <cell r="M999">
            <v>0</v>
          </cell>
          <cell r="N999">
            <v>0</v>
          </cell>
          <cell r="O999">
            <v>0</v>
          </cell>
          <cell r="P999">
            <v>0</v>
          </cell>
          <cell r="Q999">
            <v>0</v>
          </cell>
          <cell r="R999">
            <v>0</v>
          </cell>
          <cell r="S999">
            <v>0</v>
          </cell>
          <cell r="T999">
            <v>0</v>
          </cell>
          <cell r="U999" t="e">
            <v>#N/A</v>
          </cell>
        </row>
        <row r="1000">
          <cell r="A1000">
            <v>1000994</v>
          </cell>
          <cell r="B1000" t="str">
            <v>Luz Piloto 22mm Roja 110V (ZBV-6)</v>
          </cell>
          <cell r="D1000">
            <v>5405</v>
          </cell>
          <cell r="E1000">
            <v>1000</v>
          </cell>
          <cell r="F1000" t="str">
            <v>ZALM</v>
          </cell>
          <cell r="G1000" t="str">
            <v>UN</v>
          </cell>
          <cell r="H1000" t="str">
            <v>DOP</v>
          </cell>
          <cell r="I1000">
            <v>0</v>
          </cell>
          <cell r="J1000">
            <v>0</v>
          </cell>
          <cell r="K1000">
            <v>0</v>
          </cell>
          <cell r="L1000">
            <v>0</v>
          </cell>
          <cell r="M1000">
            <v>0</v>
          </cell>
          <cell r="N1000">
            <v>0</v>
          </cell>
          <cell r="O1000">
            <v>0</v>
          </cell>
          <cell r="P1000">
            <v>0</v>
          </cell>
          <cell r="Q1000">
            <v>0</v>
          </cell>
          <cell r="R1000">
            <v>0</v>
          </cell>
          <cell r="S1000">
            <v>0</v>
          </cell>
          <cell r="T1000">
            <v>0</v>
          </cell>
          <cell r="U1000" t="e">
            <v>#N/A</v>
          </cell>
        </row>
        <row r="1001">
          <cell r="A1001">
            <v>1000995</v>
          </cell>
          <cell r="B1001" t="str">
            <v>Luz Piloto 22mm Verde 110V (ZBV-6)</v>
          </cell>
          <cell r="D1001">
            <v>5405</v>
          </cell>
          <cell r="E1001">
            <v>1000</v>
          </cell>
          <cell r="F1001" t="str">
            <v>ZALM</v>
          </cell>
          <cell r="G1001" t="str">
            <v>UN</v>
          </cell>
          <cell r="H1001" t="str">
            <v>DOP</v>
          </cell>
          <cell r="I1001">
            <v>0</v>
          </cell>
          <cell r="J1001">
            <v>0</v>
          </cell>
          <cell r="K1001">
            <v>0</v>
          </cell>
          <cell r="L1001">
            <v>0</v>
          </cell>
          <cell r="M1001">
            <v>0</v>
          </cell>
          <cell r="N1001">
            <v>0</v>
          </cell>
          <cell r="O1001">
            <v>0</v>
          </cell>
          <cell r="P1001">
            <v>0</v>
          </cell>
          <cell r="Q1001">
            <v>0</v>
          </cell>
          <cell r="R1001">
            <v>0</v>
          </cell>
          <cell r="S1001">
            <v>0</v>
          </cell>
          <cell r="T1001">
            <v>0</v>
          </cell>
          <cell r="U1001" t="e">
            <v>#N/A</v>
          </cell>
        </row>
        <row r="1002">
          <cell r="A1002">
            <v>1000996</v>
          </cell>
          <cell r="B1002" t="str">
            <v>Micrófono P/ Radio Motorola PRO-5150</v>
          </cell>
          <cell r="D1002">
            <v>5405</v>
          </cell>
          <cell r="E1002">
            <v>1000</v>
          </cell>
          <cell r="F1002" t="str">
            <v>ZALM</v>
          </cell>
          <cell r="G1002" t="str">
            <v>UN</v>
          </cell>
          <cell r="H1002" t="str">
            <v>DOP</v>
          </cell>
          <cell r="I1002">
            <v>0</v>
          </cell>
          <cell r="J1002">
            <v>0</v>
          </cell>
          <cell r="K1002">
            <v>0</v>
          </cell>
          <cell r="L1002">
            <v>0</v>
          </cell>
          <cell r="M1002">
            <v>0</v>
          </cell>
          <cell r="N1002">
            <v>0</v>
          </cell>
          <cell r="O1002">
            <v>0</v>
          </cell>
          <cell r="P1002">
            <v>0</v>
          </cell>
          <cell r="Q1002">
            <v>0</v>
          </cell>
          <cell r="R1002">
            <v>0</v>
          </cell>
          <cell r="S1002">
            <v>0</v>
          </cell>
          <cell r="T1002">
            <v>0</v>
          </cell>
          <cell r="U1002" t="e">
            <v>#N/A</v>
          </cell>
        </row>
        <row r="1003">
          <cell r="A1003">
            <v>1000997</v>
          </cell>
          <cell r="B1003" t="str">
            <v>Micrófono P/ Radio Móvil GM-300</v>
          </cell>
          <cell r="D1003">
            <v>5405</v>
          </cell>
          <cell r="E1003">
            <v>1000</v>
          </cell>
          <cell r="F1003" t="str">
            <v>ZALM</v>
          </cell>
          <cell r="G1003" t="str">
            <v>UN</v>
          </cell>
          <cell r="H1003" t="str">
            <v>DOP</v>
          </cell>
          <cell r="I1003">
            <v>0</v>
          </cell>
          <cell r="J1003">
            <v>0</v>
          </cell>
          <cell r="K1003">
            <v>0</v>
          </cell>
          <cell r="L1003">
            <v>0</v>
          </cell>
          <cell r="M1003">
            <v>0</v>
          </cell>
          <cell r="N1003">
            <v>0</v>
          </cell>
          <cell r="O1003">
            <v>0</v>
          </cell>
          <cell r="P1003">
            <v>0</v>
          </cell>
          <cell r="Q1003">
            <v>0</v>
          </cell>
          <cell r="R1003">
            <v>0</v>
          </cell>
          <cell r="S1003">
            <v>0</v>
          </cell>
          <cell r="T1003">
            <v>0</v>
          </cell>
          <cell r="U1003" t="e">
            <v>#N/A</v>
          </cell>
        </row>
        <row r="1004">
          <cell r="A1004">
            <v>1000998</v>
          </cell>
          <cell r="B1004" t="str">
            <v>Mini UHF Coaxial P/ Radio GM300</v>
          </cell>
          <cell r="D1004">
            <v>5405</v>
          </cell>
          <cell r="E1004">
            <v>1000</v>
          </cell>
          <cell r="F1004" t="str">
            <v>ZALM</v>
          </cell>
          <cell r="G1004" t="str">
            <v>UN</v>
          </cell>
          <cell r="H1004" t="str">
            <v>DOP</v>
          </cell>
          <cell r="I1004">
            <v>0</v>
          </cell>
          <cell r="J1004">
            <v>0</v>
          </cell>
          <cell r="K1004">
            <v>0</v>
          </cell>
          <cell r="L1004">
            <v>0</v>
          </cell>
          <cell r="M1004">
            <v>0</v>
          </cell>
          <cell r="N1004">
            <v>0</v>
          </cell>
          <cell r="O1004">
            <v>0</v>
          </cell>
          <cell r="P1004">
            <v>0</v>
          </cell>
          <cell r="Q1004">
            <v>0</v>
          </cell>
          <cell r="R1004">
            <v>0</v>
          </cell>
          <cell r="S1004">
            <v>0</v>
          </cell>
          <cell r="T1004">
            <v>0</v>
          </cell>
          <cell r="U1004" t="e">
            <v>#N/A</v>
          </cell>
        </row>
        <row r="1005">
          <cell r="A1005">
            <v>1000999</v>
          </cell>
          <cell r="B1005" t="str">
            <v>Mini UHF Coaxial Ref J 1 N/P 09-80131M01</v>
          </cell>
          <cell r="D1005">
            <v>5405</v>
          </cell>
          <cell r="E1005">
            <v>1000</v>
          </cell>
          <cell r="F1005" t="str">
            <v>ZALM</v>
          </cell>
          <cell r="G1005" t="str">
            <v>UN</v>
          </cell>
          <cell r="H1005" t="str">
            <v>DOP</v>
          </cell>
          <cell r="I1005">
            <v>0</v>
          </cell>
          <cell r="J1005">
            <v>0</v>
          </cell>
          <cell r="K1005">
            <v>0</v>
          </cell>
          <cell r="L1005">
            <v>0</v>
          </cell>
          <cell r="M1005">
            <v>0</v>
          </cell>
          <cell r="N1005">
            <v>0</v>
          </cell>
          <cell r="O1005">
            <v>0</v>
          </cell>
          <cell r="P1005">
            <v>0</v>
          </cell>
          <cell r="Q1005">
            <v>0</v>
          </cell>
          <cell r="R1005">
            <v>0</v>
          </cell>
          <cell r="S1005">
            <v>0</v>
          </cell>
          <cell r="T1005">
            <v>0</v>
          </cell>
          <cell r="U1005" t="e">
            <v>#N/A</v>
          </cell>
        </row>
        <row r="1006">
          <cell r="A1006">
            <v>1001000</v>
          </cell>
          <cell r="B1006" t="str">
            <v>Mobil Gm300 m43gmcooD2-aa 40P/RadioMovil</v>
          </cell>
          <cell r="D1006">
            <v>5405</v>
          </cell>
          <cell r="E1006">
            <v>1000</v>
          </cell>
          <cell r="F1006" t="str">
            <v>ZALM</v>
          </cell>
          <cell r="G1006" t="str">
            <v>UN</v>
          </cell>
          <cell r="H1006" t="str">
            <v>DOP</v>
          </cell>
          <cell r="I1006">
            <v>0</v>
          </cell>
          <cell r="J1006">
            <v>0</v>
          </cell>
          <cell r="K1006">
            <v>0</v>
          </cell>
          <cell r="L1006">
            <v>0</v>
          </cell>
          <cell r="M1006">
            <v>0</v>
          </cell>
          <cell r="N1006">
            <v>0</v>
          </cell>
          <cell r="O1006">
            <v>0</v>
          </cell>
          <cell r="P1006">
            <v>0</v>
          </cell>
          <cell r="Q1006">
            <v>0</v>
          </cell>
          <cell r="R1006">
            <v>0</v>
          </cell>
          <cell r="S1006">
            <v>0</v>
          </cell>
          <cell r="T1006">
            <v>0</v>
          </cell>
          <cell r="U1006" t="e">
            <v>#N/A</v>
          </cell>
        </row>
        <row r="1007">
          <cell r="A1007">
            <v>1001001</v>
          </cell>
          <cell r="B1007" t="str">
            <v>Mobil Power Cable hkn 4137ar</v>
          </cell>
          <cell r="D1007">
            <v>5405</v>
          </cell>
          <cell r="E1007">
            <v>1000</v>
          </cell>
          <cell r="F1007" t="str">
            <v>ZALM</v>
          </cell>
          <cell r="G1007" t="str">
            <v>UN</v>
          </cell>
          <cell r="H1007" t="str">
            <v>DOP</v>
          </cell>
          <cell r="I1007">
            <v>0</v>
          </cell>
          <cell r="J1007">
            <v>0</v>
          </cell>
          <cell r="K1007">
            <v>0</v>
          </cell>
          <cell r="L1007">
            <v>0</v>
          </cell>
          <cell r="M1007">
            <v>0</v>
          </cell>
          <cell r="N1007">
            <v>0</v>
          </cell>
          <cell r="O1007">
            <v>0</v>
          </cell>
          <cell r="P1007">
            <v>0</v>
          </cell>
          <cell r="Q1007">
            <v>0</v>
          </cell>
          <cell r="R1007">
            <v>0</v>
          </cell>
          <cell r="S1007">
            <v>0</v>
          </cell>
          <cell r="T1007">
            <v>0</v>
          </cell>
          <cell r="U1007" t="e">
            <v>#N/A</v>
          </cell>
        </row>
        <row r="1008">
          <cell r="A1008">
            <v>1001002</v>
          </cell>
          <cell r="B1008" t="str">
            <v>Módem Celular C/ Accesorios</v>
          </cell>
          <cell r="D1008">
            <v>5405</v>
          </cell>
          <cell r="E1008">
            <v>1000</v>
          </cell>
          <cell r="F1008" t="str">
            <v>ZALM</v>
          </cell>
          <cell r="G1008" t="str">
            <v>UN</v>
          </cell>
          <cell r="H1008" t="str">
            <v>DOP</v>
          </cell>
          <cell r="I1008">
            <v>0</v>
          </cell>
          <cell r="J1008">
            <v>0</v>
          </cell>
          <cell r="K1008">
            <v>0</v>
          </cell>
          <cell r="L1008">
            <v>0</v>
          </cell>
          <cell r="M1008">
            <v>0</v>
          </cell>
          <cell r="N1008">
            <v>0</v>
          </cell>
          <cell r="O1008">
            <v>0</v>
          </cell>
          <cell r="P1008">
            <v>0</v>
          </cell>
          <cell r="Q1008">
            <v>0</v>
          </cell>
          <cell r="R1008">
            <v>0</v>
          </cell>
          <cell r="S1008">
            <v>0</v>
          </cell>
          <cell r="T1008">
            <v>0</v>
          </cell>
          <cell r="U1008" t="e">
            <v>#N/A</v>
          </cell>
        </row>
        <row r="1009">
          <cell r="A1009">
            <v>1001003</v>
          </cell>
          <cell r="B1009" t="str">
            <v>Módem GSM/GPRS/EDGE</v>
          </cell>
          <cell r="D1009">
            <v>5405</v>
          </cell>
          <cell r="E1009">
            <v>1000</v>
          </cell>
          <cell r="F1009" t="str">
            <v>ZALM</v>
          </cell>
          <cell r="G1009" t="str">
            <v>UN</v>
          </cell>
          <cell r="H1009" t="str">
            <v>DOP</v>
          </cell>
          <cell r="I1009">
            <v>0</v>
          </cell>
          <cell r="J1009">
            <v>0</v>
          </cell>
          <cell r="K1009">
            <v>0</v>
          </cell>
          <cell r="L1009">
            <v>0</v>
          </cell>
          <cell r="M1009">
            <v>0</v>
          </cell>
          <cell r="N1009">
            <v>0</v>
          </cell>
          <cell r="O1009">
            <v>0</v>
          </cell>
          <cell r="P1009">
            <v>0</v>
          </cell>
          <cell r="Q1009">
            <v>0</v>
          </cell>
          <cell r="R1009">
            <v>0</v>
          </cell>
          <cell r="S1009">
            <v>0</v>
          </cell>
          <cell r="T1009">
            <v>0</v>
          </cell>
          <cell r="U1009" t="e">
            <v>#N/A</v>
          </cell>
        </row>
        <row r="1010">
          <cell r="A1010">
            <v>1001004</v>
          </cell>
          <cell r="B1010" t="str">
            <v>Opamp 4558 SOIC Circ Integr U 401</v>
          </cell>
          <cell r="D1010">
            <v>5405</v>
          </cell>
          <cell r="E1010">
            <v>1000</v>
          </cell>
          <cell r="F1010" t="str">
            <v>ZALM</v>
          </cell>
          <cell r="G1010" t="str">
            <v>UN</v>
          </cell>
          <cell r="H1010" t="str">
            <v>DOP</v>
          </cell>
          <cell r="I1010">
            <v>0</v>
          </cell>
          <cell r="J1010">
            <v>0</v>
          </cell>
          <cell r="K1010">
            <v>0</v>
          </cell>
          <cell r="L1010">
            <v>0</v>
          </cell>
          <cell r="M1010">
            <v>0</v>
          </cell>
          <cell r="N1010">
            <v>0</v>
          </cell>
          <cell r="O1010">
            <v>0</v>
          </cell>
          <cell r="P1010">
            <v>0</v>
          </cell>
          <cell r="Q1010">
            <v>0</v>
          </cell>
          <cell r="R1010">
            <v>0</v>
          </cell>
          <cell r="S1010">
            <v>0</v>
          </cell>
          <cell r="T1010">
            <v>0</v>
          </cell>
          <cell r="U1010" t="e">
            <v>#N/A</v>
          </cell>
        </row>
        <row r="1011">
          <cell r="A1011">
            <v>1001005</v>
          </cell>
          <cell r="B1011" t="str">
            <v>Optical Fiber PC Connect Cable T/500OCC2</v>
          </cell>
          <cell r="D1011">
            <v>5405</v>
          </cell>
          <cell r="E1011">
            <v>1000</v>
          </cell>
          <cell r="F1011" t="str">
            <v>ZALM</v>
          </cell>
          <cell r="G1011" t="str">
            <v>UN</v>
          </cell>
          <cell r="H1011" t="str">
            <v>DOP</v>
          </cell>
          <cell r="I1011">
            <v>0</v>
          </cell>
          <cell r="J1011">
            <v>0</v>
          </cell>
          <cell r="K1011">
            <v>0</v>
          </cell>
          <cell r="L1011">
            <v>0</v>
          </cell>
          <cell r="M1011">
            <v>0</v>
          </cell>
          <cell r="N1011">
            <v>0</v>
          </cell>
          <cell r="O1011">
            <v>0</v>
          </cell>
          <cell r="P1011">
            <v>0</v>
          </cell>
          <cell r="Q1011">
            <v>0</v>
          </cell>
          <cell r="R1011">
            <v>0</v>
          </cell>
          <cell r="S1011">
            <v>0</v>
          </cell>
          <cell r="T1011">
            <v>0</v>
          </cell>
          <cell r="U1011" t="e">
            <v>#N/A</v>
          </cell>
        </row>
        <row r="1012">
          <cell r="A1012">
            <v>1001006</v>
          </cell>
          <cell r="B1012" t="str">
            <v>Panel de Alarma 12 Señales Luminosa Prog</v>
          </cell>
          <cell r="D1012">
            <v>5405</v>
          </cell>
          <cell r="E1012">
            <v>1000</v>
          </cell>
          <cell r="F1012" t="str">
            <v>ZALM</v>
          </cell>
          <cell r="G1012" t="str">
            <v>UN</v>
          </cell>
          <cell r="H1012" t="str">
            <v>DOP</v>
          </cell>
          <cell r="I1012">
            <v>0</v>
          </cell>
          <cell r="J1012">
            <v>0</v>
          </cell>
          <cell r="K1012">
            <v>0</v>
          </cell>
          <cell r="L1012">
            <v>0</v>
          </cell>
          <cell r="M1012">
            <v>0</v>
          </cell>
          <cell r="N1012">
            <v>0</v>
          </cell>
          <cell r="O1012">
            <v>0</v>
          </cell>
          <cell r="P1012">
            <v>0</v>
          </cell>
          <cell r="Q1012">
            <v>0</v>
          </cell>
          <cell r="R1012">
            <v>0</v>
          </cell>
          <cell r="S1012">
            <v>0</v>
          </cell>
          <cell r="T1012">
            <v>0</v>
          </cell>
          <cell r="U1012" t="e">
            <v>#N/A</v>
          </cell>
        </row>
        <row r="1013">
          <cell r="A1013">
            <v>1001007</v>
          </cell>
          <cell r="B1013" t="str">
            <v>Panel de Alarma 16 Señales Luminosa Prog</v>
          </cell>
          <cell r="D1013">
            <v>5405</v>
          </cell>
          <cell r="E1013">
            <v>1000</v>
          </cell>
          <cell r="F1013" t="str">
            <v>ZALM</v>
          </cell>
          <cell r="G1013" t="str">
            <v>UN</v>
          </cell>
          <cell r="H1013" t="str">
            <v>DOP</v>
          </cell>
          <cell r="I1013">
            <v>0</v>
          </cell>
          <cell r="J1013">
            <v>0</v>
          </cell>
          <cell r="K1013">
            <v>0</v>
          </cell>
          <cell r="L1013">
            <v>0</v>
          </cell>
          <cell r="M1013">
            <v>0</v>
          </cell>
          <cell r="N1013">
            <v>0</v>
          </cell>
          <cell r="O1013">
            <v>0</v>
          </cell>
          <cell r="P1013">
            <v>0</v>
          </cell>
          <cell r="Q1013">
            <v>0</v>
          </cell>
          <cell r="R1013">
            <v>0</v>
          </cell>
          <cell r="S1013">
            <v>0</v>
          </cell>
          <cell r="T1013">
            <v>0</v>
          </cell>
          <cell r="U1013" t="e">
            <v>#N/A</v>
          </cell>
        </row>
        <row r="1014">
          <cell r="A1014">
            <v>1001008</v>
          </cell>
          <cell r="B1014" t="str">
            <v>PLC SR1 A101 FU (ZELIO)</v>
          </cell>
          <cell r="D1014">
            <v>5405</v>
          </cell>
          <cell r="E1014">
            <v>1000</v>
          </cell>
          <cell r="F1014" t="str">
            <v>ZALM</v>
          </cell>
          <cell r="G1014" t="str">
            <v>UN</v>
          </cell>
          <cell r="H1014" t="str">
            <v>DOP</v>
          </cell>
          <cell r="I1014">
            <v>7</v>
          </cell>
          <cell r="J1014">
            <v>24054.73</v>
          </cell>
          <cell r="K1014">
            <v>0</v>
          </cell>
          <cell r="L1014">
            <v>0</v>
          </cell>
          <cell r="M1014">
            <v>0</v>
          </cell>
          <cell r="N1014">
            <v>0</v>
          </cell>
          <cell r="O1014">
            <v>0</v>
          </cell>
          <cell r="P1014">
            <v>0</v>
          </cell>
          <cell r="Q1014">
            <v>0</v>
          </cell>
          <cell r="R1014">
            <v>0</v>
          </cell>
          <cell r="S1014">
            <v>7</v>
          </cell>
          <cell r="T1014">
            <v>24054.73</v>
          </cell>
          <cell r="U1014">
            <v>3436.39</v>
          </cell>
        </row>
        <row r="1015">
          <cell r="A1015">
            <v>1001009</v>
          </cell>
          <cell r="B1015" t="str">
            <v>PLC SR1 A201 FU (ZELIO)</v>
          </cell>
          <cell r="D1015">
            <v>5405</v>
          </cell>
          <cell r="E1015">
            <v>1000</v>
          </cell>
          <cell r="F1015" t="str">
            <v>ZALM</v>
          </cell>
          <cell r="G1015" t="str">
            <v>UN</v>
          </cell>
          <cell r="H1015" t="str">
            <v>DOP</v>
          </cell>
          <cell r="I1015">
            <v>1</v>
          </cell>
          <cell r="J1015">
            <v>4838.5600000000004</v>
          </cell>
          <cell r="K1015">
            <v>0</v>
          </cell>
          <cell r="L1015">
            <v>0</v>
          </cell>
          <cell r="M1015">
            <v>0</v>
          </cell>
          <cell r="N1015">
            <v>0</v>
          </cell>
          <cell r="O1015">
            <v>0</v>
          </cell>
          <cell r="P1015">
            <v>0</v>
          </cell>
          <cell r="Q1015">
            <v>0</v>
          </cell>
          <cell r="R1015">
            <v>0</v>
          </cell>
          <cell r="S1015">
            <v>1</v>
          </cell>
          <cell r="T1015">
            <v>4838.5600000000004</v>
          </cell>
          <cell r="U1015">
            <v>4838.5600000000004</v>
          </cell>
        </row>
        <row r="1016">
          <cell r="A1016">
            <v>1001010</v>
          </cell>
          <cell r="B1016" t="str">
            <v>Plug Entr Antena Chasis P/ Radio GM 300</v>
          </cell>
          <cell r="D1016">
            <v>5405</v>
          </cell>
          <cell r="E1016">
            <v>1000</v>
          </cell>
          <cell r="F1016" t="str">
            <v>ZALM</v>
          </cell>
          <cell r="G1016" t="str">
            <v>UN</v>
          </cell>
          <cell r="H1016" t="str">
            <v>DOP</v>
          </cell>
          <cell r="I1016">
            <v>0</v>
          </cell>
          <cell r="J1016">
            <v>0</v>
          </cell>
          <cell r="K1016">
            <v>0</v>
          </cell>
          <cell r="L1016">
            <v>0</v>
          </cell>
          <cell r="M1016">
            <v>0</v>
          </cell>
          <cell r="N1016">
            <v>0</v>
          </cell>
          <cell r="O1016">
            <v>0</v>
          </cell>
          <cell r="P1016">
            <v>0</v>
          </cell>
          <cell r="Q1016">
            <v>0</v>
          </cell>
          <cell r="R1016">
            <v>0</v>
          </cell>
          <cell r="S1016">
            <v>0</v>
          </cell>
          <cell r="T1016">
            <v>0</v>
          </cell>
          <cell r="U1016" t="e">
            <v>#N/A</v>
          </cell>
        </row>
        <row r="1017">
          <cell r="A1017">
            <v>1001011</v>
          </cell>
          <cell r="B1017" t="str">
            <v>Potenciómetro C/ Switch P/ Radio GM 300</v>
          </cell>
          <cell r="D1017">
            <v>5405</v>
          </cell>
          <cell r="E1017">
            <v>1000</v>
          </cell>
          <cell r="F1017" t="str">
            <v>ZALM</v>
          </cell>
          <cell r="G1017" t="str">
            <v>UN</v>
          </cell>
          <cell r="H1017" t="str">
            <v>DOP</v>
          </cell>
          <cell r="I1017">
            <v>0</v>
          </cell>
          <cell r="J1017">
            <v>0</v>
          </cell>
          <cell r="K1017">
            <v>0</v>
          </cell>
          <cell r="L1017">
            <v>0</v>
          </cell>
          <cell r="M1017">
            <v>0</v>
          </cell>
          <cell r="N1017">
            <v>0</v>
          </cell>
          <cell r="O1017">
            <v>0</v>
          </cell>
          <cell r="P1017">
            <v>0</v>
          </cell>
          <cell r="Q1017">
            <v>0</v>
          </cell>
          <cell r="R1017">
            <v>0</v>
          </cell>
          <cell r="S1017">
            <v>0</v>
          </cell>
          <cell r="T1017">
            <v>0</v>
          </cell>
          <cell r="U1017" t="e">
            <v>#N/A</v>
          </cell>
        </row>
        <row r="1018">
          <cell r="A1018">
            <v>1001012</v>
          </cell>
          <cell r="B1018" t="str">
            <v>Potenciómetro C/ Switch P/ Radio PRO5150</v>
          </cell>
          <cell r="D1018">
            <v>5405</v>
          </cell>
          <cell r="E1018">
            <v>1000</v>
          </cell>
          <cell r="F1018" t="str">
            <v>ZALM</v>
          </cell>
          <cell r="G1018" t="str">
            <v>UN</v>
          </cell>
          <cell r="H1018" t="str">
            <v>DOP</v>
          </cell>
          <cell r="I1018">
            <v>0</v>
          </cell>
          <cell r="J1018">
            <v>0</v>
          </cell>
          <cell r="K1018">
            <v>0</v>
          </cell>
          <cell r="L1018">
            <v>0</v>
          </cell>
          <cell r="M1018">
            <v>0</v>
          </cell>
          <cell r="N1018">
            <v>0</v>
          </cell>
          <cell r="O1018">
            <v>0</v>
          </cell>
          <cell r="P1018">
            <v>0</v>
          </cell>
          <cell r="Q1018">
            <v>0</v>
          </cell>
          <cell r="R1018">
            <v>0</v>
          </cell>
          <cell r="S1018">
            <v>0</v>
          </cell>
          <cell r="T1018">
            <v>0</v>
          </cell>
          <cell r="U1018" t="e">
            <v>#N/A</v>
          </cell>
        </row>
        <row r="1019">
          <cell r="A1019">
            <v>1001013</v>
          </cell>
          <cell r="B1019" t="str">
            <v>Power Cable Assembly Ref #401010-201</v>
          </cell>
          <cell r="D1019">
            <v>5405</v>
          </cell>
          <cell r="E1019">
            <v>1000</v>
          </cell>
          <cell r="F1019" t="str">
            <v>ZALM</v>
          </cell>
          <cell r="G1019" t="str">
            <v>UN</v>
          </cell>
          <cell r="H1019" t="str">
            <v>DOP</v>
          </cell>
          <cell r="I1019">
            <v>0</v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  <cell r="N1019">
            <v>0</v>
          </cell>
          <cell r="O1019">
            <v>0</v>
          </cell>
          <cell r="P1019">
            <v>0</v>
          </cell>
          <cell r="Q1019">
            <v>0</v>
          </cell>
          <cell r="R1019">
            <v>0</v>
          </cell>
          <cell r="S1019">
            <v>0</v>
          </cell>
          <cell r="T1019">
            <v>0</v>
          </cell>
          <cell r="U1019" t="e">
            <v>#N/A</v>
          </cell>
        </row>
        <row r="1020">
          <cell r="A1020">
            <v>1001014</v>
          </cell>
          <cell r="B1020" t="str">
            <v>Power Cable Assembly Ref #401011-301</v>
          </cell>
          <cell r="D1020">
            <v>5405</v>
          </cell>
          <cell r="E1020">
            <v>1000</v>
          </cell>
          <cell r="F1020" t="str">
            <v>ZALM</v>
          </cell>
          <cell r="G1020" t="str">
            <v>UN</v>
          </cell>
          <cell r="H1020" t="str">
            <v>DOP</v>
          </cell>
          <cell r="I1020">
            <v>0</v>
          </cell>
          <cell r="J1020">
            <v>0</v>
          </cell>
          <cell r="K1020">
            <v>0</v>
          </cell>
          <cell r="L1020">
            <v>0</v>
          </cell>
          <cell r="M1020">
            <v>0</v>
          </cell>
          <cell r="N1020">
            <v>0</v>
          </cell>
          <cell r="O1020">
            <v>0</v>
          </cell>
          <cell r="P1020">
            <v>0</v>
          </cell>
          <cell r="Q1020">
            <v>0</v>
          </cell>
          <cell r="R1020">
            <v>0</v>
          </cell>
          <cell r="S1020">
            <v>0</v>
          </cell>
          <cell r="T1020">
            <v>0</v>
          </cell>
          <cell r="U1020" t="e">
            <v>#N/A</v>
          </cell>
        </row>
        <row r="1021">
          <cell r="A1021">
            <v>1001015</v>
          </cell>
          <cell r="B1021" t="str">
            <v>Power Cable Assembly Ref #401012-301</v>
          </cell>
          <cell r="D1021">
            <v>5405</v>
          </cell>
          <cell r="E1021">
            <v>1000</v>
          </cell>
          <cell r="F1021" t="str">
            <v>ZALM</v>
          </cell>
          <cell r="G1021" t="str">
            <v>UN</v>
          </cell>
          <cell r="H1021" t="str">
            <v>DOP</v>
          </cell>
          <cell r="I1021">
            <v>0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O1021">
            <v>0</v>
          </cell>
          <cell r="P1021">
            <v>0</v>
          </cell>
          <cell r="Q1021">
            <v>0</v>
          </cell>
          <cell r="R1021">
            <v>0</v>
          </cell>
          <cell r="S1021">
            <v>0</v>
          </cell>
          <cell r="T1021">
            <v>0</v>
          </cell>
          <cell r="U1021" t="e">
            <v>#N/A</v>
          </cell>
        </row>
        <row r="1022">
          <cell r="A1022">
            <v>1001016</v>
          </cell>
          <cell r="B1022" t="str">
            <v>Power Conect C/ Porta Fusible MOTOROLA</v>
          </cell>
          <cell r="D1022">
            <v>5405</v>
          </cell>
          <cell r="E1022">
            <v>1000</v>
          </cell>
          <cell r="F1022" t="str">
            <v>ZALM</v>
          </cell>
          <cell r="G1022" t="str">
            <v>UN</v>
          </cell>
          <cell r="H1022" t="str">
            <v>DOP</v>
          </cell>
          <cell r="I1022">
            <v>0</v>
          </cell>
          <cell r="J1022">
            <v>0</v>
          </cell>
          <cell r="K1022">
            <v>0</v>
          </cell>
          <cell r="L1022">
            <v>0</v>
          </cell>
          <cell r="M1022">
            <v>0</v>
          </cell>
          <cell r="N1022">
            <v>0</v>
          </cell>
          <cell r="O1022">
            <v>0</v>
          </cell>
          <cell r="P1022">
            <v>0</v>
          </cell>
          <cell r="Q1022">
            <v>0</v>
          </cell>
          <cell r="R1022">
            <v>0</v>
          </cell>
          <cell r="S1022">
            <v>0</v>
          </cell>
          <cell r="T1022">
            <v>0</v>
          </cell>
          <cell r="U1022" t="e">
            <v>#N/A</v>
          </cell>
        </row>
        <row r="1023">
          <cell r="A1023">
            <v>1001017</v>
          </cell>
          <cell r="B1023" t="str">
            <v>Power Supp F6 AC PWR REV 06 (6A00169701)</v>
          </cell>
          <cell r="D1023">
            <v>5405</v>
          </cell>
          <cell r="E1023">
            <v>1000</v>
          </cell>
          <cell r="F1023" t="str">
            <v>ZALM</v>
          </cell>
          <cell r="G1023" t="str">
            <v>UN</v>
          </cell>
          <cell r="H1023" t="str">
            <v>DOP</v>
          </cell>
          <cell r="I1023">
            <v>0</v>
          </cell>
          <cell r="J1023">
            <v>0</v>
          </cell>
          <cell r="K1023">
            <v>0</v>
          </cell>
          <cell r="L1023">
            <v>0</v>
          </cell>
          <cell r="M1023">
            <v>0</v>
          </cell>
          <cell r="N1023">
            <v>0</v>
          </cell>
          <cell r="O1023">
            <v>0</v>
          </cell>
          <cell r="P1023">
            <v>0</v>
          </cell>
          <cell r="Q1023">
            <v>0</v>
          </cell>
          <cell r="R1023">
            <v>0</v>
          </cell>
          <cell r="S1023">
            <v>0</v>
          </cell>
          <cell r="T1023">
            <v>0</v>
          </cell>
          <cell r="U1023" t="e">
            <v>#N/A</v>
          </cell>
        </row>
        <row r="1024">
          <cell r="A1024">
            <v>1001018</v>
          </cell>
          <cell r="B1024" t="str">
            <v>Power Supply 070579 Rev. 0</v>
          </cell>
          <cell r="D1024">
            <v>5405</v>
          </cell>
          <cell r="E1024">
            <v>1000</v>
          </cell>
          <cell r="F1024" t="str">
            <v>ZALM</v>
          </cell>
          <cell r="G1024" t="str">
            <v>UN</v>
          </cell>
          <cell r="H1024" t="str">
            <v>DOP</v>
          </cell>
          <cell r="I1024">
            <v>0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  <cell r="N1024">
            <v>0</v>
          </cell>
          <cell r="O1024">
            <v>0</v>
          </cell>
          <cell r="P1024">
            <v>0</v>
          </cell>
          <cell r="Q1024">
            <v>0</v>
          </cell>
          <cell r="R1024">
            <v>0</v>
          </cell>
          <cell r="S1024">
            <v>0</v>
          </cell>
          <cell r="T1024">
            <v>0</v>
          </cell>
          <cell r="U1024" t="e">
            <v>#N/A</v>
          </cell>
        </row>
        <row r="1025">
          <cell r="A1025">
            <v>1001019</v>
          </cell>
          <cell r="B1025" t="str">
            <v>Protector Entrada Program MOT PRO-5150</v>
          </cell>
          <cell r="D1025">
            <v>5405</v>
          </cell>
          <cell r="E1025">
            <v>1000</v>
          </cell>
          <cell r="F1025" t="str">
            <v>ZALM</v>
          </cell>
          <cell r="G1025" t="str">
            <v>UN</v>
          </cell>
          <cell r="H1025" t="str">
            <v>DOP</v>
          </cell>
          <cell r="I1025">
            <v>0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  <cell r="N1025">
            <v>0</v>
          </cell>
          <cell r="O1025">
            <v>0</v>
          </cell>
          <cell r="P1025">
            <v>0</v>
          </cell>
          <cell r="Q1025">
            <v>0</v>
          </cell>
          <cell r="R1025">
            <v>0</v>
          </cell>
          <cell r="S1025">
            <v>0</v>
          </cell>
          <cell r="T1025">
            <v>0</v>
          </cell>
          <cell r="U1025" t="e">
            <v>#N/A</v>
          </cell>
        </row>
        <row r="1026">
          <cell r="A1026">
            <v>1001020</v>
          </cell>
          <cell r="B1026" t="str">
            <v>Protector Plást PTT P/Radio MOT PRO-5250</v>
          </cell>
          <cell r="D1026">
            <v>5405</v>
          </cell>
          <cell r="E1026">
            <v>1000</v>
          </cell>
          <cell r="F1026" t="str">
            <v>ZALM</v>
          </cell>
          <cell r="G1026" t="str">
            <v>UN</v>
          </cell>
          <cell r="H1026" t="str">
            <v>DOP</v>
          </cell>
          <cell r="I1026">
            <v>0</v>
          </cell>
          <cell r="J1026">
            <v>0</v>
          </cell>
          <cell r="K1026">
            <v>0</v>
          </cell>
          <cell r="L1026">
            <v>0</v>
          </cell>
          <cell r="M1026">
            <v>0</v>
          </cell>
          <cell r="N1026">
            <v>0</v>
          </cell>
          <cell r="O1026">
            <v>0</v>
          </cell>
          <cell r="P1026">
            <v>0</v>
          </cell>
          <cell r="Q1026">
            <v>0</v>
          </cell>
          <cell r="R1026">
            <v>0</v>
          </cell>
          <cell r="S1026">
            <v>0</v>
          </cell>
          <cell r="T1026">
            <v>0</v>
          </cell>
          <cell r="U1026" t="e">
            <v>#N/A</v>
          </cell>
        </row>
        <row r="1027">
          <cell r="A1027">
            <v>1001021</v>
          </cell>
          <cell r="B1027" t="str">
            <v>Protector Plástico para Cable de Viento</v>
          </cell>
          <cell r="D1027">
            <v>5405</v>
          </cell>
          <cell r="E1027">
            <v>1000</v>
          </cell>
          <cell r="F1027" t="str">
            <v>ZALM</v>
          </cell>
          <cell r="G1027" t="str">
            <v>UN</v>
          </cell>
          <cell r="H1027" t="str">
            <v>DOP</v>
          </cell>
          <cell r="I1027">
            <v>1</v>
          </cell>
          <cell r="J1027">
            <v>270</v>
          </cell>
          <cell r="K1027">
            <v>0</v>
          </cell>
          <cell r="L1027">
            <v>0</v>
          </cell>
          <cell r="M1027">
            <v>4</v>
          </cell>
          <cell r="N1027">
            <v>1080.01</v>
          </cell>
          <cell r="O1027">
            <v>0</v>
          </cell>
          <cell r="P1027">
            <v>0</v>
          </cell>
          <cell r="Q1027">
            <v>0</v>
          </cell>
          <cell r="R1027">
            <v>0</v>
          </cell>
          <cell r="S1027">
            <v>5</v>
          </cell>
          <cell r="T1027">
            <v>1350.01</v>
          </cell>
          <cell r="U1027">
            <v>270.00200000000001</v>
          </cell>
        </row>
        <row r="1028">
          <cell r="A1028">
            <v>1001022</v>
          </cell>
          <cell r="B1028" t="str">
            <v>Pulsador Amarillo ZBE-101 Telemecanique</v>
          </cell>
          <cell r="D1028">
            <v>5405</v>
          </cell>
          <cell r="E1028">
            <v>1000</v>
          </cell>
          <cell r="F1028" t="str">
            <v>ZALM</v>
          </cell>
          <cell r="G1028" t="str">
            <v>UN</v>
          </cell>
          <cell r="H1028" t="str">
            <v>DOP</v>
          </cell>
          <cell r="I1028">
            <v>0</v>
          </cell>
          <cell r="J1028">
            <v>0</v>
          </cell>
          <cell r="K1028">
            <v>0</v>
          </cell>
          <cell r="L1028">
            <v>0</v>
          </cell>
          <cell r="M1028">
            <v>0</v>
          </cell>
          <cell r="N1028">
            <v>0</v>
          </cell>
          <cell r="O1028">
            <v>0</v>
          </cell>
          <cell r="P1028">
            <v>0</v>
          </cell>
          <cell r="Q1028">
            <v>0</v>
          </cell>
          <cell r="R1028">
            <v>0</v>
          </cell>
          <cell r="S1028">
            <v>0</v>
          </cell>
          <cell r="T1028">
            <v>0</v>
          </cell>
          <cell r="U1028" t="e">
            <v>#N/A</v>
          </cell>
        </row>
        <row r="1029">
          <cell r="A1029">
            <v>1001023</v>
          </cell>
          <cell r="B1029" t="str">
            <v>Push Botton para Radio Motorola PRO 5150</v>
          </cell>
          <cell r="D1029">
            <v>5405</v>
          </cell>
          <cell r="E1029">
            <v>1000</v>
          </cell>
          <cell r="F1029" t="str">
            <v>ZALM</v>
          </cell>
          <cell r="G1029" t="str">
            <v>UN</v>
          </cell>
          <cell r="H1029" t="str">
            <v>DOP</v>
          </cell>
          <cell r="I1029">
            <v>0</v>
          </cell>
          <cell r="J1029">
            <v>0</v>
          </cell>
          <cell r="K1029">
            <v>0</v>
          </cell>
          <cell r="L1029">
            <v>0</v>
          </cell>
          <cell r="M1029">
            <v>0</v>
          </cell>
          <cell r="N1029">
            <v>0</v>
          </cell>
          <cell r="O1029">
            <v>0</v>
          </cell>
          <cell r="P1029">
            <v>0</v>
          </cell>
          <cell r="Q1029">
            <v>0</v>
          </cell>
          <cell r="R1029">
            <v>0</v>
          </cell>
          <cell r="S1029">
            <v>0</v>
          </cell>
          <cell r="T1029">
            <v>0</v>
          </cell>
          <cell r="U1029" t="e">
            <v>#N/A</v>
          </cell>
        </row>
        <row r="1030">
          <cell r="A1030">
            <v>1001024</v>
          </cell>
          <cell r="B1030" t="str">
            <v>Radio Base DGM-6100</v>
          </cell>
          <cell r="D1030">
            <v>5405</v>
          </cell>
          <cell r="E1030">
            <v>1000</v>
          </cell>
          <cell r="F1030" t="str">
            <v>ZALM</v>
          </cell>
          <cell r="G1030" t="str">
            <v>UN</v>
          </cell>
          <cell r="H1030" t="str">
            <v>DOP</v>
          </cell>
          <cell r="I1030">
            <v>8</v>
          </cell>
          <cell r="J1030">
            <v>236408</v>
          </cell>
          <cell r="K1030">
            <v>0</v>
          </cell>
          <cell r="L1030">
            <v>0</v>
          </cell>
          <cell r="M1030">
            <v>0</v>
          </cell>
          <cell r="N1030">
            <v>0</v>
          </cell>
          <cell r="O1030">
            <v>0</v>
          </cell>
          <cell r="P1030">
            <v>0</v>
          </cell>
          <cell r="Q1030">
            <v>0</v>
          </cell>
          <cell r="R1030">
            <v>0</v>
          </cell>
          <cell r="S1030">
            <v>8</v>
          </cell>
          <cell r="T1030">
            <v>236408</v>
          </cell>
          <cell r="U1030">
            <v>29551</v>
          </cell>
        </row>
        <row r="1031">
          <cell r="A1031">
            <v>1001025</v>
          </cell>
          <cell r="B1031" t="str">
            <v>Radio Base EM400 16Ch VHF 146-174MHz</v>
          </cell>
          <cell r="D1031">
            <v>5405</v>
          </cell>
          <cell r="E1031">
            <v>1000</v>
          </cell>
          <cell r="F1031" t="str">
            <v>ZALM</v>
          </cell>
          <cell r="G1031" t="str">
            <v>UN</v>
          </cell>
          <cell r="H1031" t="str">
            <v>DOP</v>
          </cell>
          <cell r="I1031">
            <v>0</v>
          </cell>
          <cell r="J1031">
            <v>0</v>
          </cell>
          <cell r="K1031">
            <v>0</v>
          </cell>
          <cell r="L1031">
            <v>0</v>
          </cell>
          <cell r="M1031">
            <v>0</v>
          </cell>
          <cell r="N1031">
            <v>0</v>
          </cell>
          <cell r="O1031">
            <v>0</v>
          </cell>
          <cell r="P1031">
            <v>0</v>
          </cell>
          <cell r="Q1031">
            <v>0</v>
          </cell>
          <cell r="R1031">
            <v>0</v>
          </cell>
          <cell r="S1031">
            <v>0</v>
          </cell>
          <cell r="T1031">
            <v>0</v>
          </cell>
          <cell r="U1031" t="e">
            <v>#N/A</v>
          </cell>
        </row>
        <row r="1032">
          <cell r="A1032">
            <v>1001026</v>
          </cell>
          <cell r="B1032" t="str">
            <v>Radio Base EM400 VHF 146-174MHz MOT</v>
          </cell>
          <cell r="D1032">
            <v>5405</v>
          </cell>
          <cell r="E1032">
            <v>1000</v>
          </cell>
          <cell r="F1032" t="str">
            <v>ZALM</v>
          </cell>
          <cell r="G1032" t="str">
            <v>UN</v>
          </cell>
          <cell r="H1032" t="str">
            <v>DOP</v>
          </cell>
          <cell r="I1032">
            <v>0</v>
          </cell>
          <cell r="J1032">
            <v>0</v>
          </cell>
          <cell r="K1032">
            <v>0</v>
          </cell>
          <cell r="L1032">
            <v>0</v>
          </cell>
          <cell r="M1032">
            <v>0</v>
          </cell>
          <cell r="N1032">
            <v>0</v>
          </cell>
          <cell r="O1032">
            <v>0</v>
          </cell>
          <cell r="P1032">
            <v>0</v>
          </cell>
          <cell r="Q1032">
            <v>0</v>
          </cell>
          <cell r="R1032">
            <v>0</v>
          </cell>
          <cell r="S1032">
            <v>0</v>
          </cell>
          <cell r="T1032">
            <v>0</v>
          </cell>
          <cell r="U1032" t="e">
            <v>#N/A</v>
          </cell>
        </row>
        <row r="1033">
          <cell r="A1033">
            <v>1001027</v>
          </cell>
          <cell r="B1033" t="str">
            <v>Radio Base MOTOROLA PRO-5100</v>
          </cell>
          <cell r="D1033">
            <v>5405</v>
          </cell>
          <cell r="E1033">
            <v>1000</v>
          </cell>
          <cell r="F1033" t="str">
            <v>ZALM</v>
          </cell>
          <cell r="G1033" t="str">
            <v>UN</v>
          </cell>
          <cell r="H1033" t="str">
            <v>DOP</v>
          </cell>
          <cell r="I1033">
            <v>0</v>
          </cell>
          <cell r="J1033">
            <v>0</v>
          </cell>
          <cell r="K1033">
            <v>0</v>
          </cell>
          <cell r="L1033">
            <v>0</v>
          </cell>
          <cell r="M1033">
            <v>0</v>
          </cell>
          <cell r="N1033">
            <v>0</v>
          </cell>
          <cell r="O1033">
            <v>0</v>
          </cell>
          <cell r="P1033">
            <v>0</v>
          </cell>
          <cell r="Q1033">
            <v>0</v>
          </cell>
          <cell r="R1033">
            <v>0</v>
          </cell>
          <cell r="S1033">
            <v>0</v>
          </cell>
          <cell r="T1033">
            <v>0</v>
          </cell>
          <cell r="U1033" t="e">
            <v>#N/A</v>
          </cell>
        </row>
        <row r="1034">
          <cell r="A1034">
            <v>1001028</v>
          </cell>
          <cell r="B1034" t="str">
            <v>Radio Data Móden</v>
          </cell>
          <cell r="D1034">
            <v>5405</v>
          </cell>
          <cell r="E1034">
            <v>1000</v>
          </cell>
          <cell r="F1034" t="str">
            <v>ZALM</v>
          </cell>
          <cell r="G1034" t="str">
            <v>UN</v>
          </cell>
          <cell r="H1034" t="str">
            <v>DOP</v>
          </cell>
          <cell r="I1034">
            <v>0</v>
          </cell>
          <cell r="J1034">
            <v>0</v>
          </cell>
          <cell r="K1034">
            <v>0</v>
          </cell>
          <cell r="L1034">
            <v>0</v>
          </cell>
          <cell r="M1034">
            <v>0</v>
          </cell>
          <cell r="N1034">
            <v>0</v>
          </cell>
          <cell r="O1034">
            <v>0</v>
          </cell>
          <cell r="P1034">
            <v>0</v>
          </cell>
          <cell r="Q1034">
            <v>0</v>
          </cell>
          <cell r="R1034">
            <v>0</v>
          </cell>
          <cell r="S1034">
            <v>0</v>
          </cell>
          <cell r="T1034">
            <v>0</v>
          </cell>
          <cell r="U1034" t="e">
            <v>#N/A</v>
          </cell>
        </row>
        <row r="1035">
          <cell r="A1035">
            <v>1001029</v>
          </cell>
          <cell r="B1035" t="str">
            <v>Radio Data Móden MDS4710 13.8V Acces</v>
          </cell>
          <cell r="D1035">
            <v>5405</v>
          </cell>
          <cell r="E1035">
            <v>1000</v>
          </cell>
          <cell r="F1035" t="str">
            <v>ZALM</v>
          </cell>
          <cell r="G1035" t="str">
            <v>UN</v>
          </cell>
          <cell r="H1035" t="str">
            <v>DOP</v>
          </cell>
          <cell r="I1035">
            <v>0</v>
          </cell>
          <cell r="J1035">
            <v>0</v>
          </cell>
          <cell r="K1035">
            <v>0</v>
          </cell>
          <cell r="L1035">
            <v>0</v>
          </cell>
          <cell r="M1035">
            <v>0</v>
          </cell>
          <cell r="N1035">
            <v>0</v>
          </cell>
          <cell r="O1035">
            <v>0</v>
          </cell>
          <cell r="P1035">
            <v>0</v>
          </cell>
          <cell r="Q1035">
            <v>0</v>
          </cell>
          <cell r="R1035">
            <v>0</v>
          </cell>
          <cell r="S1035">
            <v>0</v>
          </cell>
          <cell r="T1035">
            <v>0</v>
          </cell>
          <cell r="U1035" t="e">
            <v>#N/A</v>
          </cell>
        </row>
        <row r="1036">
          <cell r="A1036">
            <v>1001030</v>
          </cell>
          <cell r="B1036" t="str">
            <v>Radio MDS 4710A 12.5KHz 9.6Kb 441-447MHz</v>
          </cell>
          <cell r="D1036">
            <v>5405</v>
          </cell>
          <cell r="E1036">
            <v>1000</v>
          </cell>
          <cell r="F1036" t="str">
            <v>ZALM</v>
          </cell>
          <cell r="G1036" t="str">
            <v>UN</v>
          </cell>
          <cell r="H1036" t="str">
            <v>DOP</v>
          </cell>
          <cell r="I1036">
            <v>0</v>
          </cell>
          <cell r="J1036">
            <v>0</v>
          </cell>
          <cell r="K1036">
            <v>0</v>
          </cell>
          <cell r="L1036">
            <v>0</v>
          </cell>
          <cell r="M1036">
            <v>0</v>
          </cell>
          <cell r="N1036">
            <v>0</v>
          </cell>
          <cell r="O1036">
            <v>0</v>
          </cell>
          <cell r="P1036">
            <v>0</v>
          </cell>
          <cell r="Q1036">
            <v>0</v>
          </cell>
          <cell r="R1036">
            <v>0</v>
          </cell>
          <cell r="S1036">
            <v>0</v>
          </cell>
          <cell r="T1036">
            <v>0</v>
          </cell>
          <cell r="U1036" t="e">
            <v>#N/A</v>
          </cell>
        </row>
        <row r="1037">
          <cell r="A1037">
            <v>1001031</v>
          </cell>
          <cell r="B1037" t="str">
            <v>Radio MOT GM-300 16Ch 146-174MHz 25W</v>
          </cell>
          <cell r="D1037">
            <v>5405</v>
          </cell>
          <cell r="E1037">
            <v>1000</v>
          </cell>
          <cell r="F1037" t="str">
            <v>ZALM</v>
          </cell>
          <cell r="G1037" t="str">
            <v>UN</v>
          </cell>
          <cell r="H1037" t="str">
            <v>DOP</v>
          </cell>
          <cell r="I1037">
            <v>0</v>
          </cell>
          <cell r="J1037">
            <v>0</v>
          </cell>
          <cell r="K1037">
            <v>0</v>
          </cell>
          <cell r="L1037">
            <v>0</v>
          </cell>
          <cell r="M1037">
            <v>0</v>
          </cell>
          <cell r="N1037">
            <v>0</v>
          </cell>
          <cell r="O1037">
            <v>0</v>
          </cell>
          <cell r="P1037">
            <v>0</v>
          </cell>
          <cell r="Q1037">
            <v>0</v>
          </cell>
          <cell r="R1037">
            <v>0</v>
          </cell>
          <cell r="S1037">
            <v>0</v>
          </cell>
          <cell r="T1037">
            <v>0</v>
          </cell>
          <cell r="U1037" t="e">
            <v>#N/A</v>
          </cell>
        </row>
        <row r="1038">
          <cell r="A1038">
            <v>1001032</v>
          </cell>
          <cell r="B1038" t="str">
            <v>Radio MOT GM-300 16Ch 146-174MHz 45W</v>
          </cell>
          <cell r="D1038">
            <v>5405</v>
          </cell>
          <cell r="E1038">
            <v>1000</v>
          </cell>
          <cell r="F1038" t="str">
            <v>ZALM</v>
          </cell>
          <cell r="G1038" t="str">
            <v>UN</v>
          </cell>
          <cell r="H1038" t="str">
            <v>DOP</v>
          </cell>
          <cell r="I1038">
            <v>0</v>
          </cell>
          <cell r="J1038">
            <v>0</v>
          </cell>
          <cell r="K1038">
            <v>0</v>
          </cell>
          <cell r="L1038">
            <v>0</v>
          </cell>
          <cell r="M1038">
            <v>0</v>
          </cell>
          <cell r="N1038">
            <v>0</v>
          </cell>
          <cell r="O1038">
            <v>0</v>
          </cell>
          <cell r="P1038">
            <v>0</v>
          </cell>
          <cell r="Q1038">
            <v>0</v>
          </cell>
          <cell r="R1038">
            <v>0</v>
          </cell>
          <cell r="S1038">
            <v>0</v>
          </cell>
          <cell r="T1038">
            <v>0</v>
          </cell>
          <cell r="U1038" t="e">
            <v>#N/A</v>
          </cell>
        </row>
        <row r="1039">
          <cell r="A1039">
            <v>1001033</v>
          </cell>
          <cell r="B1039" t="str">
            <v>Radio MOT PRO-5150 VHF 16Ch 146-174MHz</v>
          </cell>
          <cell r="D1039">
            <v>5405</v>
          </cell>
          <cell r="E1039">
            <v>1000</v>
          </cell>
          <cell r="F1039" t="str">
            <v>ZALM</v>
          </cell>
          <cell r="G1039" t="str">
            <v>UN</v>
          </cell>
          <cell r="H1039" t="str">
            <v>DOP</v>
          </cell>
          <cell r="I1039">
            <v>0</v>
          </cell>
          <cell r="J1039">
            <v>0</v>
          </cell>
          <cell r="K1039">
            <v>0</v>
          </cell>
          <cell r="L1039">
            <v>0</v>
          </cell>
          <cell r="M1039">
            <v>0</v>
          </cell>
          <cell r="N1039">
            <v>0</v>
          </cell>
          <cell r="O1039">
            <v>0</v>
          </cell>
          <cell r="P1039">
            <v>0</v>
          </cell>
          <cell r="Q1039">
            <v>0</v>
          </cell>
          <cell r="R1039">
            <v>0</v>
          </cell>
          <cell r="S1039">
            <v>0</v>
          </cell>
          <cell r="T1039">
            <v>0</v>
          </cell>
          <cell r="U1039" t="e">
            <v>#N/A</v>
          </cell>
        </row>
        <row r="1040">
          <cell r="A1040">
            <v>1001034</v>
          </cell>
          <cell r="B1040" t="str">
            <v>Radio MOTOROLA PRO-7150</v>
          </cell>
          <cell r="D1040">
            <v>5405</v>
          </cell>
          <cell r="E1040">
            <v>1000</v>
          </cell>
          <cell r="F1040" t="str">
            <v>ZALM</v>
          </cell>
          <cell r="G1040" t="str">
            <v>UN</v>
          </cell>
          <cell r="H1040" t="str">
            <v>DOP</v>
          </cell>
          <cell r="I1040">
            <v>0</v>
          </cell>
          <cell r="J1040">
            <v>0</v>
          </cell>
          <cell r="K1040">
            <v>0</v>
          </cell>
          <cell r="L1040">
            <v>0</v>
          </cell>
          <cell r="M1040">
            <v>0</v>
          </cell>
          <cell r="N1040">
            <v>0</v>
          </cell>
          <cell r="O1040">
            <v>0</v>
          </cell>
          <cell r="P1040">
            <v>0</v>
          </cell>
          <cell r="Q1040">
            <v>0</v>
          </cell>
          <cell r="R1040">
            <v>0</v>
          </cell>
          <cell r="S1040">
            <v>0</v>
          </cell>
          <cell r="T1040">
            <v>0</v>
          </cell>
          <cell r="U1040" t="e">
            <v>#N/A</v>
          </cell>
        </row>
        <row r="1041">
          <cell r="A1041">
            <v>1001035</v>
          </cell>
          <cell r="B1041" t="str">
            <v>Radio Portátil DGP-6150</v>
          </cell>
          <cell r="D1041">
            <v>5405</v>
          </cell>
          <cell r="E1041">
            <v>1000</v>
          </cell>
          <cell r="F1041" t="str">
            <v>ZALM</v>
          </cell>
          <cell r="G1041" t="str">
            <v>UN</v>
          </cell>
          <cell r="H1041" t="str">
            <v>DOP</v>
          </cell>
          <cell r="I1041">
            <v>18</v>
          </cell>
          <cell r="J1041">
            <v>524320</v>
          </cell>
          <cell r="K1041">
            <v>0</v>
          </cell>
          <cell r="L1041">
            <v>0</v>
          </cell>
          <cell r="M1041">
            <v>0</v>
          </cell>
          <cell r="N1041">
            <v>0</v>
          </cell>
          <cell r="O1041">
            <v>0</v>
          </cell>
          <cell r="P1041">
            <v>0</v>
          </cell>
          <cell r="Q1041">
            <v>0</v>
          </cell>
          <cell r="R1041">
            <v>0</v>
          </cell>
          <cell r="S1041">
            <v>18</v>
          </cell>
          <cell r="T1041">
            <v>524320</v>
          </cell>
          <cell r="U1041">
            <v>29128.888888888901</v>
          </cell>
        </row>
        <row r="1042">
          <cell r="A1042">
            <v>1001036</v>
          </cell>
          <cell r="B1042" t="str">
            <v>Radio Portátil DGP-6150 con GPS</v>
          </cell>
          <cell r="D1042">
            <v>5405</v>
          </cell>
          <cell r="E1042">
            <v>1000</v>
          </cell>
          <cell r="F1042" t="str">
            <v>ZALM</v>
          </cell>
          <cell r="G1042" t="str">
            <v>UN</v>
          </cell>
          <cell r="H1042" t="str">
            <v>DOP</v>
          </cell>
          <cell r="I1042">
            <v>1</v>
          </cell>
          <cell r="J1042">
            <v>28536</v>
          </cell>
          <cell r="K1042">
            <v>0</v>
          </cell>
          <cell r="L1042">
            <v>0</v>
          </cell>
          <cell r="M1042">
            <v>0</v>
          </cell>
          <cell r="N1042">
            <v>0</v>
          </cell>
          <cell r="O1042">
            <v>0</v>
          </cell>
          <cell r="P1042">
            <v>0</v>
          </cell>
          <cell r="Q1042">
            <v>0</v>
          </cell>
          <cell r="R1042">
            <v>0</v>
          </cell>
          <cell r="S1042">
            <v>1</v>
          </cell>
          <cell r="T1042">
            <v>28536</v>
          </cell>
          <cell r="U1042">
            <v>28536</v>
          </cell>
        </row>
        <row r="1043">
          <cell r="A1043">
            <v>1001037</v>
          </cell>
          <cell r="B1043" t="str">
            <v>Radio PWR Acces Supply Board F5-13 40546</v>
          </cell>
          <cell r="D1043">
            <v>5405</v>
          </cell>
          <cell r="E1043">
            <v>1000</v>
          </cell>
          <cell r="F1043" t="str">
            <v>ZALM</v>
          </cell>
          <cell r="G1043" t="str">
            <v>UN</v>
          </cell>
          <cell r="H1043" t="str">
            <v>DOP</v>
          </cell>
          <cell r="I1043">
            <v>0</v>
          </cell>
          <cell r="J1043">
            <v>0</v>
          </cell>
          <cell r="K1043">
            <v>0</v>
          </cell>
          <cell r="L1043">
            <v>0</v>
          </cell>
          <cell r="M1043">
            <v>0</v>
          </cell>
          <cell r="N1043">
            <v>0</v>
          </cell>
          <cell r="O1043">
            <v>0</v>
          </cell>
          <cell r="P1043">
            <v>0</v>
          </cell>
          <cell r="Q1043">
            <v>0</v>
          </cell>
          <cell r="R1043">
            <v>0</v>
          </cell>
          <cell r="S1043">
            <v>0</v>
          </cell>
          <cell r="T1043">
            <v>0</v>
          </cell>
          <cell r="U1043" t="e">
            <v>#N/A</v>
          </cell>
        </row>
        <row r="1044">
          <cell r="A1044">
            <v>1001038</v>
          </cell>
          <cell r="B1044" t="str">
            <v>Radio YAESO VX-1R</v>
          </cell>
          <cell r="D1044">
            <v>5405</v>
          </cell>
          <cell r="E1044">
            <v>1000</v>
          </cell>
          <cell r="F1044" t="str">
            <v>ZALM</v>
          </cell>
          <cell r="G1044" t="str">
            <v>UN</v>
          </cell>
          <cell r="H1044" t="str">
            <v>DOP</v>
          </cell>
          <cell r="I1044">
            <v>0</v>
          </cell>
          <cell r="J1044">
            <v>0</v>
          </cell>
          <cell r="K1044">
            <v>0</v>
          </cell>
          <cell r="L1044">
            <v>0</v>
          </cell>
          <cell r="M1044">
            <v>0</v>
          </cell>
          <cell r="N1044">
            <v>0</v>
          </cell>
          <cell r="O1044">
            <v>0</v>
          </cell>
          <cell r="P1044">
            <v>0</v>
          </cell>
          <cell r="Q1044">
            <v>0</v>
          </cell>
          <cell r="R1044">
            <v>0</v>
          </cell>
          <cell r="S1044">
            <v>0</v>
          </cell>
          <cell r="T1044">
            <v>0</v>
          </cell>
          <cell r="U1044" t="e">
            <v>#N/A</v>
          </cell>
        </row>
        <row r="1045">
          <cell r="A1045">
            <v>1001039</v>
          </cell>
          <cell r="B1045" t="str">
            <v>Radios Master MDS 4790 y Accesorios</v>
          </cell>
          <cell r="D1045">
            <v>5405</v>
          </cell>
          <cell r="E1045">
            <v>1000</v>
          </cell>
          <cell r="F1045" t="str">
            <v>ZALM</v>
          </cell>
          <cell r="G1045" t="str">
            <v>UN</v>
          </cell>
          <cell r="H1045" t="str">
            <v>DOP</v>
          </cell>
          <cell r="I1045">
            <v>0</v>
          </cell>
          <cell r="J1045">
            <v>0</v>
          </cell>
          <cell r="K1045">
            <v>0</v>
          </cell>
          <cell r="L1045">
            <v>0</v>
          </cell>
          <cell r="M1045">
            <v>0</v>
          </cell>
          <cell r="N1045">
            <v>0</v>
          </cell>
          <cell r="O1045">
            <v>0</v>
          </cell>
          <cell r="P1045">
            <v>0</v>
          </cell>
          <cell r="Q1045">
            <v>0</v>
          </cell>
          <cell r="R1045">
            <v>0</v>
          </cell>
          <cell r="S1045">
            <v>0</v>
          </cell>
          <cell r="T1045">
            <v>0</v>
          </cell>
          <cell r="U1045" t="e">
            <v>#N/A</v>
          </cell>
        </row>
        <row r="1046">
          <cell r="A1046">
            <v>1001040</v>
          </cell>
          <cell r="B1046" t="str">
            <v>Radios P/ Reconectadores Trifasicos</v>
          </cell>
          <cell r="D1046">
            <v>5405</v>
          </cell>
          <cell r="E1046">
            <v>1000</v>
          </cell>
          <cell r="F1046" t="str">
            <v>ZALM</v>
          </cell>
          <cell r="G1046" t="str">
            <v>UN</v>
          </cell>
          <cell r="H1046" t="str">
            <v>DOP</v>
          </cell>
          <cell r="I1046">
            <v>0</v>
          </cell>
          <cell r="J1046">
            <v>0</v>
          </cell>
          <cell r="K1046">
            <v>0</v>
          </cell>
          <cell r="L1046">
            <v>0</v>
          </cell>
          <cell r="M1046">
            <v>0</v>
          </cell>
          <cell r="N1046">
            <v>0</v>
          </cell>
          <cell r="O1046">
            <v>0</v>
          </cell>
          <cell r="P1046">
            <v>0</v>
          </cell>
          <cell r="Q1046">
            <v>0</v>
          </cell>
          <cell r="R1046">
            <v>0</v>
          </cell>
          <cell r="S1046">
            <v>0</v>
          </cell>
          <cell r="T1046">
            <v>0</v>
          </cell>
          <cell r="U1046" t="e">
            <v>#N/A</v>
          </cell>
        </row>
        <row r="1047">
          <cell r="A1047">
            <v>1001041</v>
          </cell>
          <cell r="B1047" t="str">
            <v>Repetidor MOT GR-1225 146-176MHz</v>
          </cell>
          <cell r="D1047">
            <v>5405</v>
          </cell>
          <cell r="E1047">
            <v>1000</v>
          </cell>
          <cell r="F1047" t="str">
            <v>ZALM</v>
          </cell>
          <cell r="G1047" t="str">
            <v>UN</v>
          </cell>
          <cell r="H1047" t="str">
            <v>DOP</v>
          </cell>
          <cell r="I1047">
            <v>0</v>
          </cell>
          <cell r="J1047">
            <v>0</v>
          </cell>
          <cell r="K1047">
            <v>0</v>
          </cell>
          <cell r="L1047">
            <v>0</v>
          </cell>
          <cell r="M1047">
            <v>0</v>
          </cell>
          <cell r="N1047">
            <v>0</v>
          </cell>
          <cell r="O1047">
            <v>0</v>
          </cell>
          <cell r="P1047">
            <v>0</v>
          </cell>
          <cell r="Q1047">
            <v>0</v>
          </cell>
          <cell r="R1047">
            <v>0</v>
          </cell>
          <cell r="S1047">
            <v>0</v>
          </cell>
          <cell r="T1047">
            <v>0</v>
          </cell>
          <cell r="U1047" t="e">
            <v>#N/A</v>
          </cell>
        </row>
        <row r="1048">
          <cell r="A1048">
            <v>1001042</v>
          </cell>
          <cell r="B1048" t="str">
            <v>Selector 22mm 2 Posiciones 1NO 1NC</v>
          </cell>
          <cell r="D1048">
            <v>5405</v>
          </cell>
          <cell r="E1048">
            <v>1000</v>
          </cell>
          <cell r="F1048" t="str">
            <v>ZALM</v>
          </cell>
          <cell r="G1048" t="str">
            <v>UN</v>
          </cell>
          <cell r="H1048" t="str">
            <v>DOP</v>
          </cell>
          <cell r="I1048">
            <v>0</v>
          </cell>
          <cell r="J1048">
            <v>0</v>
          </cell>
          <cell r="K1048">
            <v>0</v>
          </cell>
          <cell r="L1048">
            <v>0</v>
          </cell>
          <cell r="M1048">
            <v>0</v>
          </cell>
          <cell r="N1048">
            <v>0</v>
          </cell>
          <cell r="O1048">
            <v>0</v>
          </cell>
          <cell r="P1048">
            <v>0</v>
          </cell>
          <cell r="Q1048">
            <v>0</v>
          </cell>
          <cell r="R1048">
            <v>0</v>
          </cell>
          <cell r="S1048">
            <v>0</v>
          </cell>
          <cell r="T1048">
            <v>0</v>
          </cell>
          <cell r="U1048" t="e">
            <v>#N/A</v>
          </cell>
        </row>
        <row r="1049">
          <cell r="A1049">
            <v>1001043</v>
          </cell>
          <cell r="B1049" t="str">
            <v>Selector Canales P/ Radio MOT PRO-5150</v>
          </cell>
          <cell r="D1049">
            <v>5405</v>
          </cell>
          <cell r="E1049">
            <v>1000</v>
          </cell>
          <cell r="F1049" t="str">
            <v>ZALM</v>
          </cell>
          <cell r="G1049" t="str">
            <v>UN</v>
          </cell>
          <cell r="H1049" t="str">
            <v>DOP</v>
          </cell>
          <cell r="I1049">
            <v>0</v>
          </cell>
          <cell r="J1049">
            <v>0</v>
          </cell>
          <cell r="K1049">
            <v>0</v>
          </cell>
          <cell r="L1049">
            <v>0</v>
          </cell>
          <cell r="M1049">
            <v>0</v>
          </cell>
          <cell r="N1049">
            <v>0</v>
          </cell>
          <cell r="O1049">
            <v>0</v>
          </cell>
          <cell r="P1049">
            <v>0</v>
          </cell>
          <cell r="Q1049">
            <v>0</v>
          </cell>
          <cell r="R1049">
            <v>0</v>
          </cell>
          <cell r="S1049">
            <v>0</v>
          </cell>
          <cell r="T1049">
            <v>0</v>
          </cell>
          <cell r="U1049" t="e">
            <v>#N/A</v>
          </cell>
        </row>
        <row r="1050">
          <cell r="A1050">
            <v>1001044</v>
          </cell>
          <cell r="B1050" t="str">
            <v>Selector Coral Remoto</v>
          </cell>
          <cell r="D1050">
            <v>5405</v>
          </cell>
          <cell r="E1050">
            <v>1000</v>
          </cell>
          <cell r="F1050" t="str">
            <v>ZALM</v>
          </cell>
          <cell r="G1050" t="str">
            <v>UN</v>
          </cell>
          <cell r="H1050" t="str">
            <v>DOP</v>
          </cell>
          <cell r="I1050">
            <v>0</v>
          </cell>
          <cell r="J1050">
            <v>0</v>
          </cell>
          <cell r="K1050">
            <v>0</v>
          </cell>
          <cell r="L1050">
            <v>0</v>
          </cell>
          <cell r="M1050">
            <v>0</v>
          </cell>
          <cell r="N1050">
            <v>0</v>
          </cell>
          <cell r="O1050">
            <v>0</v>
          </cell>
          <cell r="P1050">
            <v>0</v>
          </cell>
          <cell r="Q1050">
            <v>0</v>
          </cell>
          <cell r="R1050">
            <v>0</v>
          </cell>
          <cell r="S1050">
            <v>0</v>
          </cell>
          <cell r="T1050">
            <v>0</v>
          </cell>
          <cell r="U1050" t="e">
            <v>#N/A</v>
          </cell>
        </row>
        <row r="1051">
          <cell r="A1051">
            <v>1001045</v>
          </cell>
          <cell r="B1051" t="str">
            <v>Selector Local Remoto</v>
          </cell>
          <cell r="D1051">
            <v>5405</v>
          </cell>
          <cell r="E1051">
            <v>1000</v>
          </cell>
          <cell r="F1051" t="str">
            <v>ZALM</v>
          </cell>
          <cell r="G1051" t="str">
            <v>UN</v>
          </cell>
          <cell r="H1051" t="str">
            <v>DOP</v>
          </cell>
          <cell r="I1051">
            <v>0</v>
          </cell>
          <cell r="J1051">
            <v>0</v>
          </cell>
          <cell r="K1051">
            <v>0</v>
          </cell>
          <cell r="L1051">
            <v>0</v>
          </cell>
          <cell r="M1051">
            <v>0</v>
          </cell>
          <cell r="N1051">
            <v>0</v>
          </cell>
          <cell r="O1051">
            <v>0</v>
          </cell>
          <cell r="P1051">
            <v>0</v>
          </cell>
          <cell r="Q1051">
            <v>0</v>
          </cell>
          <cell r="R1051">
            <v>0</v>
          </cell>
          <cell r="S1051">
            <v>0</v>
          </cell>
          <cell r="T1051">
            <v>0</v>
          </cell>
          <cell r="U1051" t="e">
            <v>#N/A</v>
          </cell>
        </row>
        <row r="1052">
          <cell r="A1052">
            <v>1001046</v>
          </cell>
          <cell r="B1052" t="str">
            <v>Selector XB2-BD33 3Posic CONTACTOS V50A</v>
          </cell>
          <cell r="D1052">
            <v>5405</v>
          </cell>
          <cell r="E1052">
            <v>1000</v>
          </cell>
          <cell r="F1052" t="str">
            <v>ZALM</v>
          </cell>
          <cell r="G1052" t="str">
            <v>UN</v>
          </cell>
          <cell r="H1052" t="str">
            <v>DOP</v>
          </cell>
          <cell r="I1052">
            <v>0</v>
          </cell>
          <cell r="J1052">
            <v>0</v>
          </cell>
          <cell r="K1052">
            <v>0</v>
          </cell>
          <cell r="L1052">
            <v>0</v>
          </cell>
          <cell r="M1052">
            <v>0</v>
          </cell>
          <cell r="N1052">
            <v>0</v>
          </cell>
          <cell r="O1052">
            <v>0</v>
          </cell>
          <cell r="P1052">
            <v>0</v>
          </cell>
          <cell r="Q1052">
            <v>0</v>
          </cell>
          <cell r="R1052">
            <v>0</v>
          </cell>
          <cell r="S1052">
            <v>0</v>
          </cell>
          <cell r="T1052">
            <v>0</v>
          </cell>
          <cell r="U1052" t="e">
            <v>#N/A</v>
          </cell>
        </row>
        <row r="1053">
          <cell r="A1053">
            <v>1001047</v>
          </cell>
          <cell r="B1053" t="str">
            <v>Soft Progr Config Eq Prueba Trif P/ Re</v>
          </cell>
          <cell r="D1053">
            <v>5405</v>
          </cell>
          <cell r="E1053">
            <v>1000</v>
          </cell>
          <cell r="F1053" t="str">
            <v>ZALM</v>
          </cell>
          <cell r="G1053" t="str">
            <v>UN</v>
          </cell>
          <cell r="H1053" t="str">
            <v>DOP</v>
          </cell>
          <cell r="I1053">
            <v>0</v>
          </cell>
          <cell r="J1053">
            <v>0</v>
          </cell>
          <cell r="K1053">
            <v>0</v>
          </cell>
          <cell r="L1053">
            <v>0</v>
          </cell>
          <cell r="M1053">
            <v>0</v>
          </cell>
          <cell r="N1053">
            <v>0</v>
          </cell>
          <cell r="O1053">
            <v>0</v>
          </cell>
          <cell r="P1053">
            <v>0</v>
          </cell>
          <cell r="Q1053">
            <v>0</v>
          </cell>
          <cell r="R1053">
            <v>0</v>
          </cell>
          <cell r="S1053">
            <v>0</v>
          </cell>
          <cell r="T1053">
            <v>0</v>
          </cell>
          <cell r="U1053" t="e">
            <v>#N/A</v>
          </cell>
        </row>
        <row r="1054">
          <cell r="A1054">
            <v>1001048</v>
          </cell>
          <cell r="B1054" t="str">
            <v>Tarjeta Comun T/ 3 Cat. 8R17-1041-313001</v>
          </cell>
          <cell r="D1054">
            <v>5405</v>
          </cell>
          <cell r="E1054">
            <v>1000</v>
          </cell>
          <cell r="F1054" t="str">
            <v>ZALM</v>
          </cell>
          <cell r="G1054" t="str">
            <v>UN</v>
          </cell>
          <cell r="H1054" t="str">
            <v>DOP</v>
          </cell>
          <cell r="I1054">
            <v>0</v>
          </cell>
          <cell r="J1054">
            <v>0</v>
          </cell>
          <cell r="K1054">
            <v>0</v>
          </cell>
          <cell r="L1054">
            <v>0</v>
          </cell>
          <cell r="M1054">
            <v>0</v>
          </cell>
          <cell r="N1054">
            <v>0</v>
          </cell>
          <cell r="O1054">
            <v>0</v>
          </cell>
          <cell r="P1054">
            <v>0</v>
          </cell>
          <cell r="Q1054">
            <v>0</v>
          </cell>
          <cell r="R1054">
            <v>0</v>
          </cell>
          <cell r="S1054">
            <v>0</v>
          </cell>
          <cell r="T1054">
            <v>0</v>
          </cell>
          <cell r="U1054" t="e">
            <v>#N/A</v>
          </cell>
        </row>
        <row r="1055">
          <cell r="A1055">
            <v>1001049</v>
          </cell>
          <cell r="B1055" t="str">
            <v>Tarjeta Comunicación RS-485</v>
          </cell>
          <cell r="D1055">
            <v>5405</v>
          </cell>
          <cell r="E1055">
            <v>1000</v>
          </cell>
          <cell r="F1055" t="str">
            <v>ZALM</v>
          </cell>
          <cell r="G1055" t="str">
            <v>UN</v>
          </cell>
          <cell r="H1055" t="str">
            <v>DOP</v>
          </cell>
          <cell r="I1055">
            <v>0</v>
          </cell>
          <cell r="J1055">
            <v>0</v>
          </cell>
          <cell r="K1055">
            <v>0</v>
          </cell>
          <cell r="L1055">
            <v>0</v>
          </cell>
          <cell r="M1055">
            <v>0</v>
          </cell>
          <cell r="N1055">
            <v>0</v>
          </cell>
          <cell r="O1055">
            <v>0</v>
          </cell>
          <cell r="P1055">
            <v>0</v>
          </cell>
          <cell r="Q1055">
            <v>0</v>
          </cell>
          <cell r="R1055">
            <v>0</v>
          </cell>
          <cell r="S1055">
            <v>0</v>
          </cell>
          <cell r="T1055">
            <v>0</v>
          </cell>
          <cell r="U1055" t="e">
            <v>#N/A</v>
          </cell>
        </row>
        <row r="1056">
          <cell r="A1056">
            <v>1001050</v>
          </cell>
          <cell r="B1056" t="str">
            <v>Tarjeta Interf PCB P/Radio MDS 4790/970</v>
          </cell>
          <cell r="D1056">
            <v>5405</v>
          </cell>
          <cell r="E1056">
            <v>1000</v>
          </cell>
          <cell r="F1056" t="str">
            <v>ZALM</v>
          </cell>
          <cell r="G1056" t="str">
            <v>UN</v>
          </cell>
          <cell r="H1056" t="str">
            <v>DOP</v>
          </cell>
          <cell r="I1056">
            <v>3</v>
          </cell>
          <cell r="J1056">
            <v>0</v>
          </cell>
          <cell r="K1056">
            <v>0</v>
          </cell>
          <cell r="L1056">
            <v>0</v>
          </cell>
          <cell r="M1056">
            <v>0</v>
          </cell>
          <cell r="N1056">
            <v>0</v>
          </cell>
          <cell r="O1056">
            <v>0</v>
          </cell>
          <cell r="P1056">
            <v>0</v>
          </cell>
          <cell r="Q1056">
            <v>0</v>
          </cell>
          <cell r="R1056">
            <v>0</v>
          </cell>
          <cell r="S1056">
            <v>3</v>
          </cell>
          <cell r="T1056">
            <v>0</v>
          </cell>
          <cell r="U1056">
            <v>0</v>
          </cell>
        </row>
        <row r="1057">
          <cell r="A1057">
            <v>1001051</v>
          </cell>
          <cell r="B1057" t="str">
            <v>Tarjeta Red P/ Conex Servidor 10/10</v>
          </cell>
          <cell r="D1057">
            <v>5405</v>
          </cell>
          <cell r="E1057">
            <v>1000</v>
          </cell>
          <cell r="F1057" t="str">
            <v>ZALM</v>
          </cell>
          <cell r="G1057" t="str">
            <v>UN</v>
          </cell>
          <cell r="H1057" t="str">
            <v>DOP</v>
          </cell>
          <cell r="I1057">
            <v>0</v>
          </cell>
          <cell r="J1057">
            <v>0</v>
          </cell>
          <cell r="K1057">
            <v>0</v>
          </cell>
          <cell r="L1057">
            <v>0</v>
          </cell>
          <cell r="M1057">
            <v>0</v>
          </cell>
          <cell r="N1057">
            <v>0</v>
          </cell>
          <cell r="O1057">
            <v>0</v>
          </cell>
          <cell r="P1057">
            <v>0</v>
          </cell>
          <cell r="Q1057">
            <v>0</v>
          </cell>
          <cell r="R1057">
            <v>0</v>
          </cell>
          <cell r="S1057">
            <v>0</v>
          </cell>
          <cell r="T1057">
            <v>0</v>
          </cell>
          <cell r="U1057" t="e">
            <v>#N/A</v>
          </cell>
        </row>
        <row r="1058">
          <cell r="A1058">
            <v>1001052</v>
          </cell>
          <cell r="B1058" t="str">
            <v>Temporizardor On Delay 240 Vac</v>
          </cell>
          <cell r="D1058">
            <v>5405</v>
          </cell>
          <cell r="E1058">
            <v>1000</v>
          </cell>
          <cell r="F1058" t="str">
            <v>ZALM</v>
          </cell>
          <cell r="G1058" t="str">
            <v>UN</v>
          </cell>
          <cell r="H1058" t="str">
            <v>DOP</v>
          </cell>
          <cell r="I1058">
            <v>0</v>
          </cell>
          <cell r="J1058">
            <v>0</v>
          </cell>
          <cell r="K1058">
            <v>0</v>
          </cell>
          <cell r="L1058">
            <v>0</v>
          </cell>
          <cell r="M1058">
            <v>0</v>
          </cell>
          <cell r="N1058">
            <v>0</v>
          </cell>
          <cell r="O1058">
            <v>0</v>
          </cell>
          <cell r="P1058">
            <v>0</v>
          </cell>
          <cell r="Q1058">
            <v>0</v>
          </cell>
          <cell r="R1058">
            <v>0</v>
          </cell>
          <cell r="S1058">
            <v>0</v>
          </cell>
          <cell r="T1058">
            <v>0</v>
          </cell>
          <cell r="U1058" t="e">
            <v>#N/A</v>
          </cell>
        </row>
        <row r="1059">
          <cell r="A1059">
            <v>1001053</v>
          </cell>
          <cell r="B1059" t="str">
            <v>Terminales de Cobros Remotas (Ingénicos)</v>
          </cell>
          <cell r="D1059">
            <v>5405</v>
          </cell>
          <cell r="E1059">
            <v>1000</v>
          </cell>
          <cell r="F1059" t="str">
            <v>ZALM</v>
          </cell>
          <cell r="G1059" t="str">
            <v>UN</v>
          </cell>
          <cell r="H1059" t="str">
            <v>DOP</v>
          </cell>
          <cell r="I1059">
            <v>0</v>
          </cell>
          <cell r="J1059">
            <v>0</v>
          </cell>
          <cell r="K1059">
            <v>0</v>
          </cell>
          <cell r="L1059">
            <v>0</v>
          </cell>
          <cell r="M1059">
            <v>0</v>
          </cell>
          <cell r="N1059">
            <v>0</v>
          </cell>
          <cell r="O1059">
            <v>0</v>
          </cell>
          <cell r="P1059">
            <v>0</v>
          </cell>
          <cell r="Q1059">
            <v>0</v>
          </cell>
          <cell r="R1059">
            <v>0</v>
          </cell>
          <cell r="S1059">
            <v>0</v>
          </cell>
          <cell r="T1059">
            <v>0</v>
          </cell>
          <cell r="U1059" t="e">
            <v>#N/A</v>
          </cell>
        </row>
        <row r="1060">
          <cell r="A1060">
            <v>1001054</v>
          </cell>
          <cell r="B1060" t="str">
            <v>Tramos Torre 10' Galv P/ Antena Comunic</v>
          </cell>
          <cell r="D1060">
            <v>5405</v>
          </cell>
          <cell r="E1060">
            <v>1000</v>
          </cell>
          <cell r="F1060" t="str">
            <v>ZALM</v>
          </cell>
          <cell r="G1060" t="str">
            <v>UN</v>
          </cell>
          <cell r="H1060" t="str">
            <v>DOP</v>
          </cell>
          <cell r="I1060">
            <v>0</v>
          </cell>
          <cell r="J1060">
            <v>0</v>
          </cell>
          <cell r="K1060">
            <v>0</v>
          </cell>
          <cell r="L1060">
            <v>0</v>
          </cell>
          <cell r="M1060">
            <v>0</v>
          </cell>
          <cell r="N1060">
            <v>0</v>
          </cell>
          <cell r="O1060">
            <v>0</v>
          </cell>
          <cell r="P1060">
            <v>0</v>
          </cell>
          <cell r="Q1060">
            <v>0</v>
          </cell>
          <cell r="R1060">
            <v>0</v>
          </cell>
          <cell r="S1060">
            <v>0</v>
          </cell>
          <cell r="T1060">
            <v>0</v>
          </cell>
          <cell r="U1060" t="e">
            <v>#N/A</v>
          </cell>
        </row>
        <row r="1061">
          <cell r="A1061">
            <v>1001055</v>
          </cell>
          <cell r="B1061" t="str">
            <v>Transistor Amplitud de Fuente ECG185</v>
          </cell>
          <cell r="D1061">
            <v>5405</v>
          </cell>
          <cell r="E1061">
            <v>1000</v>
          </cell>
          <cell r="F1061" t="str">
            <v>ZALM</v>
          </cell>
          <cell r="G1061" t="str">
            <v>UN</v>
          </cell>
          <cell r="H1061" t="str">
            <v>DOP</v>
          </cell>
          <cell r="I1061">
            <v>0</v>
          </cell>
          <cell r="J1061">
            <v>0</v>
          </cell>
          <cell r="K1061">
            <v>0</v>
          </cell>
          <cell r="L1061">
            <v>0</v>
          </cell>
          <cell r="M1061">
            <v>0</v>
          </cell>
          <cell r="N1061">
            <v>0</v>
          </cell>
          <cell r="O1061">
            <v>0</v>
          </cell>
          <cell r="P1061">
            <v>0</v>
          </cell>
          <cell r="Q1061">
            <v>0</v>
          </cell>
          <cell r="R1061">
            <v>0</v>
          </cell>
          <cell r="S1061">
            <v>0</v>
          </cell>
          <cell r="T1061">
            <v>0</v>
          </cell>
          <cell r="U1061" t="e">
            <v>#N/A</v>
          </cell>
        </row>
        <row r="1062">
          <cell r="A1062">
            <v>1001056</v>
          </cell>
          <cell r="B1062" t="str">
            <v>Transistor B1142</v>
          </cell>
          <cell r="D1062">
            <v>5405</v>
          </cell>
          <cell r="E1062">
            <v>1000</v>
          </cell>
          <cell r="F1062" t="str">
            <v>ZALM</v>
          </cell>
          <cell r="G1062" t="str">
            <v>UN</v>
          </cell>
          <cell r="H1062" t="str">
            <v>DOP</v>
          </cell>
          <cell r="I1062">
            <v>0</v>
          </cell>
          <cell r="J1062">
            <v>0</v>
          </cell>
          <cell r="K1062">
            <v>0</v>
          </cell>
          <cell r="L1062">
            <v>0</v>
          </cell>
          <cell r="M1062">
            <v>0</v>
          </cell>
          <cell r="N1062">
            <v>0</v>
          </cell>
          <cell r="O1062">
            <v>0</v>
          </cell>
          <cell r="P1062">
            <v>0</v>
          </cell>
          <cell r="Q1062">
            <v>0</v>
          </cell>
          <cell r="R1062">
            <v>0</v>
          </cell>
          <cell r="S1062">
            <v>0</v>
          </cell>
          <cell r="T1062">
            <v>0</v>
          </cell>
          <cell r="U1062" t="e">
            <v>#N/A</v>
          </cell>
        </row>
        <row r="1063">
          <cell r="A1063">
            <v>1001057</v>
          </cell>
          <cell r="B1063" t="str">
            <v>Transistor Dig NPN T/ DTC144W Q501</v>
          </cell>
          <cell r="D1063">
            <v>5405</v>
          </cell>
          <cell r="E1063">
            <v>1000</v>
          </cell>
          <cell r="F1063" t="str">
            <v>ZALM</v>
          </cell>
          <cell r="G1063" t="str">
            <v>UN</v>
          </cell>
          <cell r="H1063" t="str">
            <v>DOP</v>
          </cell>
          <cell r="I1063">
            <v>0</v>
          </cell>
          <cell r="J1063">
            <v>0</v>
          </cell>
          <cell r="K1063">
            <v>0</v>
          </cell>
          <cell r="L1063">
            <v>0</v>
          </cell>
          <cell r="M1063">
            <v>0</v>
          </cell>
          <cell r="N1063">
            <v>0</v>
          </cell>
          <cell r="O1063">
            <v>0</v>
          </cell>
          <cell r="P1063">
            <v>0</v>
          </cell>
          <cell r="Q1063">
            <v>0</v>
          </cell>
          <cell r="R1063">
            <v>0</v>
          </cell>
          <cell r="S1063">
            <v>0</v>
          </cell>
          <cell r="T1063">
            <v>0</v>
          </cell>
          <cell r="U1063" t="e">
            <v>#N/A</v>
          </cell>
        </row>
        <row r="1064">
          <cell r="A1064">
            <v>1001058</v>
          </cell>
          <cell r="B1064" t="str">
            <v>Transistor MPS2</v>
          </cell>
          <cell r="D1064">
            <v>5405</v>
          </cell>
          <cell r="E1064">
            <v>1000</v>
          </cell>
          <cell r="F1064" t="str">
            <v>ZALM</v>
          </cell>
          <cell r="G1064" t="str">
            <v>UN</v>
          </cell>
          <cell r="H1064" t="str">
            <v>DOP</v>
          </cell>
          <cell r="I1064">
            <v>0</v>
          </cell>
          <cell r="J1064">
            <v>0</v>
          </cell>
          <cell r="K1064">
            <v>0</v>
          </cell>
          <cell r="L1064">
            <v>0</v>
          </cell>
          <cell r="M1064">
            <v>0</v>
          </cell>
          <cell r="N1064">
            <v>0</v>
          </cell>
          <cell r="O1064">
            <v>0</v>
          </cell>
          <cell r="P1064">
            <v>0</v>
          </cell>
          <cell r="Q1064">
            <v>0</v>
          </cell>
          <cell r="R1064">
            <v>0</v>
          </cell>
          <cell r="S1064">
            <v>0</v>
          </cell>
          <cell r="T1064">
            <v>0</v>
          </cell>
          <cell r="U1064" t="e">
            <v>#N/A</v>
          </cell>
        </row>
        <row r="1065">
          <cell r="A1065">
            <v>1001059</v>
          </cell>
          <cell r="B1065" t="str">
            <v>Transistor MRF 559</v>
          </cell>
          <cell r="D1065">
            <v>5405</v>
          </cell>
          <cell r="E1065">
            <v>1000</v>
          </cell>
          <cell r="F1065" t="str">
            <v>ZALM</v>
          </cell>
          <cell r="G1065" t="str">
            <v>UN</v>
          </cell>
          <cell r="H1065" t="str">
            <v>DOP</v>
          </cell>
          <cell r="I1065">
            <v>0</v>
          </cell>
          <cell r="J1065">
            <v>0</v>
          </cell>
          <cell r="K1065">
            <v>0</v>
          </cell>
          <cell r="L1065">
            <v>0</v>
          </cell>
          <cell r="M1065">
            <v>0</v>
          </cell>
          <cell r="N1065">
            <v>0</v>
          </cell>
          <cell r="O1065">
            <v>0</v>
          </cell>
          <cell r="P1065">
            <v>0</v>
          </cell>
          <cell r="Q1065">
            <v>0</v>
          </cell>
          <cell r="R1065">
            <v>0</v>
          </cell>
          <cell r="S1065">
            <v>0</v>
          </cell>
          <cell r="T1065">
            <v>0</v>
          </cell>
          <cell r="U1065" t="e">
            <v>#N/A</v>
          </cell>
        </row>
        <row r="1066">
          <cell r="A1066">
            <v>1001060</v>
          </cell>
          <cell r="B1066" t="str">
            <v>Transistor NPN M 1104 Q2440</v>
          </cell>
          <cell r="D1066">
            <v>5405</v>
          </cell>
          <cell r="E1066">
            <v>1000</v>
          </cell>
          <cell r="F1066" t="str">
            <v>ZALM</v>
          </cell>
          <cell r="G1066" t="str">
            <v>UN</v>
          </cell>
          <cell r="H1066" t="str">
            <v>DOP</v>
          </cell>
          <cell r="I1066">
            <v>0</v>
          </cell>
          <cell r="J1066">
            <v>0</v>
          </cell>
          <cell r="K1066">
            <v>0</v>
          </cell>
          <cell r="L1066">
            <v>0</v>
          </cell>
          <cell r="M1066">
            <v>0</v>
          </cell>
          <cell r="N1066">
            <v>0</v>
          </cell>
          <cell r="O1066">
            <v>0</v>
          </cell>
          <cell r="P1066">
            <v>0</v>
          </cell>
          <cell r="Q1066">
            <v>0</v>
          </cell>
          <cell r="R1066">
            <v>0</v>
          </cell>
          <cell r="S1066">
            <v>0</v>
          </cell>
          <cell r="T1066">
            <v>0</v>
          </cell>
          <cell r="U1066" t="e">
            <v>#N/A</v>
          </cell>
        </row>
        <row r="1067">
          <cell r="A1067">
            <v>1001061</v>
          </cell>
          <cell r="B1067" t="str">
            <v>Transistor NPN MMBT 3904 Q453</v>
          </cell>
          <cell r="D1067">
            <v>5405</v>
          </cell>
          <cell r="E1067">
            <v>1000</v>
          </cell>
          <cell r="F1067" t="str">
            <v>ZALM</v>
          </cell>
          <cell r="G1067" t="str">
            <v>UN</v>
          </cell>
          <cell r="H1067" t="str">
            <v>DOP</v>
          </cell>
          <cell r="I1067">
            <v>0</v>
          </cell>
          <cell r="J1067">
            <v>0</v>
          </cell>
          <cell r="K1067">
            <v>0</v>
          </cell>
          <cell r="L1067">
            <v>0</v>
          </cell>
          <cell r="M1067">
            <v>0</v>
          </cell>
          <cell r="N1067">
            <v>0</v>
          </cell>
          <cell r="O1067">
            <v>0</v>
          </cell>
          <cell r="P1067">
            <v>0</v>
          </cell>
          <cell r="Q1067">
            <v>0</v>
          </cell>
          <cell r="R1067">
            <v>0</v>
          </cell>
          <cell r="S1067">
            <v>0</v>
          </cell>
          <cell r="T1067">
            <v>0</v>
          </cell>
          <cell r="U1067" t="e">
            <v>#N/A</v>
          </cell>
        </row>
        <row r="1068">
          <cell r="A1068">
            <v>1001062</v>
          </cell>
          <cell r="B1068" t="str">
            <v>Transistor NPN MRF 2628 Q2430</v>
          </cell>
          <cell r="D1068">
            <v>5405</v>
          </cell>
          <cell r="E1068">
            <v>1000</v>
          </cell>
          <cell r="F1068" t="str">
            <v>ZALM</v>
          </cell>
          <cell r="G1068" t="str">
            <v>UN</v>
          </cell>
          <cell r="H1068" t="str">
            <v>DOP</v>
          </cell>
          <cell r="I1068">
            <v>0</v>
          </cell>
          <cell r="J1068">
            <v>0</v>
          </cell>
          <cell r="K1068">
            <v>0</v>
          </cell>
          <cell r="L1068">
            <v>0</v>
          </cell>
          <cell r="M1068">
            <v>0</v>
          </cell>
          <cell r="N1068">
            <v>0</v>
          </cell>
          <cell r="O1068">
            <v>0</v>
          </cell>
          <cell r="P1068">
            <v>0</v>
          </cell>
          <cell r="Q1068">
            <v>0</v>
          </cell>
          <cell r="R1068">
            <v>0</v>
          </cell>
          <cell r="S1068">
            <v>0</v>
          </cell>
          <cell r="T1068">
            <v>0</v>
          </cell>
          <cell r="U1068" t="e">
            <v>#N/A</v>
          </cell>
        </row>
        <row r="1069">
          <cell r="A1069">
            <v>1001063</v>
          </cell>
          <cell r="B1069" t="str">
            <v>Transistor NPN T/ BFQ43S Q2420</v>
          </cell>
          <cell r="D1069">
            <v>5405</v>
          </cell>
          <cell r="E1069">
            <v>1000</v>
          </cell>
          <cell r="F1069" t="str">
            <v>ZALM</v>
          </cell>
          <cell r="G1069" t="str">
            <v>UN</v>
          </cell>
          <cell r="H1069" t="str">
            <v>DOP</v>
          </cell>
          <cell r="I1069">
            <v>0</v>
          </cell>
          <cell r="J1069">
            <v>0</v>
          </cell>
          <cell r="K1069">
            <v>0</v>
          </cell>
          <cell r="L1069">
            <v>0</v>
          </cell>
          <cell r="M1069">
            <v>0</v>
          </cell>
          <cell r="N1069">
            <v>0</v>
          </cell>
          <cell r="O1069">
            <v>0</v>
          </cell>
          <cell r="P1069">
            <v>0</v>
          </cell>
          <cell r="Q1069">
            <v>0</v>
          </cell>
          <cell r="R1069">
            <v>0</v>
          </cell>
          <cell r="S1069">
            <v>0</v>
          </cell>
          <cell r="T1069">
            <v>0</v>
          </cell>
          <cell r="U1069" t="e">
            <v>#N/A</v>
          </cell>
        </row>
        <row r="1070">
          <cell r="A1070">
            <v>1001064</v>
          </cell>
          <cell r="B1070" t="str">
            <v>Transistor P/ Channel Tmos 5A 60V Q403</v>
          </cell>
          <cell r="D1070">
            <v>5405</v>
          </cell>
          <cell r="E1070">
            <v>1000</v>
          </cell>
          <cell r="F1070" t="str">
            <v>ZALM</v>
          </cell>
          <cell r="G1070" t="str">
            <v>UN</v>
          </cell>
          <cell r="H1070" t="str">
            <v>DOP</v>
          </cell>
          <cell r="I1070">
            <v>0</v>
          </cell>
          <cell r="J1070">
            <v>0</v>
          </cell>
          <cell r="K1070">
            <v>0</v>
          </cell>
          <cell r="L1070">
            <v>0</v>
          </cell>
          <cell r="M1070">
            <v>0</v>
          </cell>
          <cell r="N1070">
            <v>0</v>
          </cell>
          <cell r="O1070">
            <v>0</v>
          </cell>
          <cell r="P1070">
            <v>0</v>
          </cell>
          <cell r="Q1070">
            <v>0</v>
          </cell>
          <cell r="R1070">
            <v>0</v>
          </cell>
          <cell r="S1070">
            <v>0</v>
          </cell>
          <cell r="T1070">
            <v>0</v>
          </cell>
          <cell r="U1070" t="e">
            <v>#N/A</v>
          </cell>
        </row>
        <row r="1071">
          <cell r="A1071">
            <v>1001065</v>
          </cell>
          <cell r="B1071" t="str">
            <v>Transistor PNP M 41L03 Q455</v>
          </cell>
          <cell r="D1071">
            <v>5405</v>
          </cell>
          <cell r="E1071">
            <v>1000</v>
          </cell>
          <cell r="F1071" t="str">
            <v>ZALM</v>
          </cell>
          <cell r="G1071" t="str">
            <v>UN</v>
          </cell>
          <cell r="H1071" t="str">
            <v>DOP</v>
          </cell>
          <cell r="I1071">
            <v>0</v>
          </cell>
          <cell r="J1071">
            <v>0</v>
          </cell>
          <cell r="K1071">
            <v>0</v>
          </cell>
          <cell r="L1071">
            <v>0</v>
          </cell>
          <cell r="M1071">
            <v>0</v>
          </cell>
          <cell r="N1071">
            <v>0</v>
          </cell>
          <cell r="O1071">
            <v>0</v>
          </cell>
          <cell r="P1071">
            <v>0</v>
          </cell>
          <cell r="Q1071">
            <v>0</v>
          </cell>
          <cell r="R1071">
            <v>0</v>
          </cell>
          <cell r="S1071">
            <v>0</v>
          </cell>
          <cell r="T1071">
            <v>0</v>
          </cell>
          <cell r="U1071" t="e">
            <v>#N/A</v>
          </cell>
        </row>
        <row r="1072">
          <cell r="A1072">
            <v>1001066</v>
          </cell>
          <cell r="B1072" t="str">
            <v>Transistor PNP M 9609 Q501</v>
          </cell>
          <cell r="D1072">
            <v>5405</v>
          </cell>
          <cell r="E1072">
            <v>1000</v>
          </cell>
          <cell r="F1072" t="str">
            <v>ZALM</v>
          </cell>
          <cell r="G1072" t="str">
            <v>UN</v>
          </cell>
          <cell r="H1072" t="str">
            <v>DOP</v>
          </cell>
          <cell r="I1072">
            <v>0</v>
          </cell>
          <cell r="J1072">
            <v>0</v>
          </cell>
          <cell r="K1072">
            <v>0</v>
          </cell>
          <cell r="L1072">
            <v>0</v>
          </cell>
          <cell r="M1072">
            <v>0</v>
          </cell>
          <cell r="N1072">
            <v>0</v>
          </cell>
          <cell r="O1072">
            <v>0</v>
          </cell>
          <cell r="P1072">
            <v>0</v>
          </cell>
          <cell r="Q1072">
            <v>0</v>
          </cell>
          <cell r="R1072">
            <v>0</v>
          </cell>
          <cell r="S1072">
            <v>0</v>
          </cell>
          <cell r="T1072">
            <v>0</v>
          </cell>
          <cell r="U1072" t="e">
            <v>#N/A</v>
          </cell>
        </row>
        <row r="1073">
          <cell r="A1073">
            <v>1001067</v>
          </cell>
          <cell r="B1073" t="str">
            <v>Transistor PNP T/ 2SB1142S Q401</v>
          </cell>
          <cell r="D1073">
            <v>5405</v>
          </cell>
          <cell r="E1073">
            <v>1000</v>
          </cell>
          <cell r="F1073" t="str">
            <v>ZALM</v>
          </cell>
          <cell r="G1073" t="str">
            <v>UN</v>
          </cell>
          <cell r="H1073" t="str">
            <v>DOP</v>
          </cell>
          <cell r="I1073">
            <v>0</v>
          </cell>
          <cell r="J1073">
            <v>0</v>
          </cell>
          <cell r="K1073">
            <v>0</v>
          </cell>
          <cell r="L1073">
            <v>0</v>
          </cell>
          <cell r="M1073">
            <v>0</v>
          </cell>
          <cell r="N1073">
            <v>0</v>
          </cell>
          <cell r="O1073">
            <v>0</v>
          </cell>
          <cell r="P1073">
            <v>0</v>
          </cell>
          <cell r="Q1073">
            <v>0</v>
          </cell>
          <cell r="R1073">
            <v>0</v>
          </cell>
          <cell r="S1073">
            <v>0</v>
          </cell>
          <cell r="T1073">
            <v>0</v>
          </cell>
          <cell r="U1073" t="e">
            <v>#N/A</v>
          </cell>
        </row>
        <row r="1074">
          <cell r="A1074">
            <v>1001068</v>
          </cell>
          <cell r="B1074" t="str">
            <v>Transistor PNP T/ 2SB1142S Q451</v>
          </cell>
          <cell r="D1074">
            <v>5405</v>
          </cell>
          <cell r="E1074">
            <v>1000</v>
          </cell>
          <cell r="F1074" t="str">
            <v>ZALM</v>
          </cell>
          <cell r="G1074" t="str">
            <v>UN</v>
          </cell>
          <cell r="H1074" t="str">
            <v>DOP</v>
          </cell>
          <cell r="I1074">
            <v>0</v>
          </cell>
          <cell r="J1074">
            <v>0</v>
          </cell>
          <cell r="K1074">
            <v>0</v>
          </cell>
          <cell r="L1074">
            <v>0</v>
          </cell>
          <cell r="M1074">
            <v>0</v>
          </cell>
          <cell r="N1074">
            <v>0</v>
          </cell>
          <cell r="O1074">
            <v>0</v>
          </cell>
          <cell r="P1074">
            <v>0</v>
          </cell>
          <cell r="Q1074">
            <v>0</v>
          </cell>
          <cell r="R1074">
            <v>0</v>
          </cell>
          <cell r="S1074">
            <v>0</v>
          </cell>
          <cell r="T1074">
            <v>0</v>
          </cell>
          <cell r="U1074" t="e">
            <v>#N/A</v>
          </cell>
        </row>
        <row r="1075">
          <cell r="A1075">
            <v>1001069</v>
          </cell>
          <cell r="B1075" t="str">
            <v>Transistor Potencia M2518 P/ Radio GM300</v>
          </cell>
          <cell r="D1075">
            <v>5405</v>
          </cell>
          <cell r="E1075">
            <v>1000</v>
          </cell>
          <cell r="F1075" t="str">
            <v>ZALM</v>
          </cell>
          <cell r="G1075" t="str">
            <v>UN</v>
          </cell>
          <cell r="H1075" t="str">
            <v>DOP</v>
          </cell>
          <cell r="I1075">
            <v>0</v>
          </cell>
          <cell r="J1075">
            <v>0</v>
          </cell>
          <cell r="K1075">
            <v>0</v>
          </cell>
          <cell r="L1075">
            <v>0</v>
          </cell>
          <cell r="M1075">
            <v>0</v>
          </cell>
          <cell r="N1075">
            <v>0</v>
          </cell>
          <cell r="O1075">
            <v>0</v>
          </cell>
          <cell r="P1075">
            <v>0</v>
          </cell>
          <cell r="Q1075">
            <v>0</v>
          </cell>
          <cell r="R1075">
            <v>0</v>
          </cell>
          <cell r="S1075">
            <v>0</v>
          </cell>
          <cell r="T1075">
            <v>0</v>
          </cell>
          <cell r="U1075" t="e">
            <v>#N/A</v>
          </cell>
        </row>
        <row r="1076">
          <cell r="A1076">
            <v>1001070</v>
          </cell>
          <cell r="B1076" t="str">
            <v>Transistor Potencia M25C22</v>
          </cell>
          <cell r="D1076">
            <v>5405</v>
          </cell>
          <cell r="E1076">
            <v>1000</v>
          </cell>
          <cell r="F1076" t="str">
            <v>ZALM</v>
          </cell>
          <cell r="G1076" t="str">
            <v>UN</v>
          </cell>
          <cell r="H1076" t="str">
            <v>DOP</v>
          </cell>
          <cell r="I1076">
            <v>0</v>
          </cell>
          <cell r="J1076">
            <v>0</v>
          </cell>
          <cell r="K1076">
            <v>0</v>
          </cell>
          <cell r="L1076">
            <v>0</v>
          </cell>
          <cell r="M1076">
            <v>0</v>
          </cell>
          <cell r="N1076">
            <v>0</v>
          </cell>
          <cell r="O1076">
            <v>0</v>
          </cell>
          <cell r="P1076">
            <v>0</v>
          </cell>
          <cell r="Q1076">
            <v>0</v>
          </cell>
          <cell r="R1076">
            <v>0</v>
          </cell>
          <cell r="S1076">
            <v>0</v>
          </cell>
          <cell r="T1076">
            <v>0</v>
          </cell>
          <cell r="U1076" t="e">
            <v>#N/A</v>
          </cell>
        </row>
        <row r="1077">
          <cell r="A1077">
            <v>1001071</v>
          </cell>
          <cell r="B1077" t="str">
            <v>Transistor Potencia MMRF237</v>
          </cell>
          <cell r="D1077">
            <v>5405</v>
          </cell>
          <cell r="E1077">
            <v>1000</v>
          </cell>
          <cell r="F1077" t="str">
            <v>ZALM</v>
          </cell>
          <cell r="G1077" t="str">
            <v>UN</v>
          </cell>
          <cell r="H1077" t="str">
            <v>DOP</v>
          </cell>
          <cell r="I1077">
            <v>0</v>
          </cell>
          <cell r="J1077">
            <v>0</v>
          </cell>
          <cell r="K1077">
            <v>0</v>
          </cell>
          <cell r="L1077">
            <v>0</v>
          </cell>
          <cell r="M1077">
            <v>0</v>
          </cell>
          <cell r="N1077">
            <v>0</v>
          </cell>
          <cell r="O1077">
            <v>0</v>
          </cell>
          <cell r="P1077">
            <v>0</v>
          </cell>
          <cell r="Q1077">
            <v>0</v>
          </cell>
          <cell r="R1077">
            <v>0</v>
          </cell>
          <cell r="S1077">
            <v>0</v>
          </cell>
          <cell r="T1077">
            <v>0</v>
          </cell>
          <cell r="U1077" t="e">
            <v>#N/A</v>
          </cell>
        </row>
        <row r="1078">
          <cell r="A1078">
            <v>1001072</v>
          </cell>
          <cell r="B1078" t="str">
            <v>Transistor Potencia MRF1946 25W Q2330</v>
          </cell>
          <cell r="D1078">
            <v>5405</v>
          </cell>
          <cell r="E1078">
            <v>1000</v>
          </cell>
          <cell r="F1078" t="str">
            <v>ZALM</v>
          </cell>
          <cell r="G1078" t="str">
            <v>UN</v>
          </cell>
          <cell r="H1078" t="str">
            <v>DOP</v>
          </cell>
          <cell r="I1078">
            <v>0</v>
          </cell>
          <cell r="J1078">
            <v>0</v>
          </cell>
          <cell r="K1078">
            <v>0</v>
          </cell>
          <cell r="L1078">
            <v>0</v>
          </cell>
          <cell r="M1078">
            <v>0</v>
          </cell>
          <cell r="N1078">
            <v>0</v>
          </cell>
          <cell r="O1078">
            <v>0</v>
          </cell>
          <cell r="P1078">
            <v>0</v>
          </cell>
          <cell r="Q1078">
            <v>0</v>
          </cell>
          <cell r="R1078">
            <v>0</v>
          </cell>
          <cell r="S1078">
            <v>0</v>
          </cell>
          <cell r="T1078">
            <v>0</v>
          </cell>
          <cell r="U1078" t="e">
            <v>#N/A</v>
          </cell>
        </row>
        <row r="1079">
          <cell r="A1079">
            <v>1001073</v>
          </cell>
          <cell r="B1079" t="str">
            <v>Transistor Pre MµF 238  MRF237</v>
          </cell>
          <cell r="D1079">
            <v>5405</v>
          </cell>
          <cell r="E1079">
            <v>1000</v>
          </cell>
          <cell r="F1079" t="str">
            <v>ZALM</v>
          </cell>
          <cell r="G1079" t="str">
            <v>UN</v>
          </cell>
          <cell r="H1079" t="str">
            <v>DOP</v>
          </cell>
          <cell r="I1079">
            <v>0</v>
          </cell>
          <cell r="J1079">
            <v>0</v>
          </cell>
          <cell r="K1079">
            <v>0</v>
          </cell>
          <cell r="L1079">
            <v>0</v>
          </cell>
          <cell r="M1079">
            <v>0</v>
          </cell>
          <cell r="N1079">
            <v>0</v>
          </cell>
          <cell r="O1079">
            <v>0</v>
          </cell>
          <cell r="P1079">
            <v>0</v>
          </cell>
          <cell r="Q1079">
            <v>0</v>
          </cell>
          <cell r="R1079">
            <v>0</v>
          </cell>
          <cell r="S1079">
            <v>0</v>
          </cell>
          <cell r="T1079">
            <v>0</v>
          </cell>
          <cell r="U1079" t="e">
            <v>#N/A</v>
          </cell>
        </row>
        <row r="1080">
          <cell r="A1080">
            <v>1001074</v>
          </cell>
          <cell r="B1080" t="str">
            <v>Transistor TDA1519C</v>
          </cell>
          <cell r="D1080">
            <v>5405</v>
          </cell>
          <cell r="E1080">
            <v>1000</v>
          </cell>
          <cell r="F1080" t="str">
            <v>ZALM</v>
          </cell>
          <cell r="G1080" t="str">
            <v>UN</v>
          </cell>
          <cell r="H1080" t="str">
            <v>DOP</v>
          </cell>
          <cell r="I1080">
            <v>0</v>
          </cell>
          <cell r="J1080">
            <v>0</v>
          </cell>
          <cell r="K1080">
            <v>0</v>
          </cell>
          <cell r="L1080">
            <v>0</v>
          </cell>
          <cell r="M1080">
            <v>0</v>
          </cell>
          <cell r="N1080">
            <v>0</v>
          </cell>
          <cell r="O1080">
            <v>0</v>
          </cell>
          <cell r="P1080">
            <v>0</v>
          </cell>
          <cell r="Q1080">
            <v>0</v>
          </cell>
          <cell r="R1080">
            <v>0</v>
          </cell>
          <cell r="S1080">
            <v>0</v>
          </cell>
          <cell r="T1080">
            <v>0</v>
          </cell>
          <cell r="U1080" t="e">
            <v>#N/A</v>
          </cell>
        </row>
        <row r="1081">
          <cell r="A1081">
            <v>1001075</v>
          </cell>
          <cell r="B1081" t="str">
            <v>Unidad Comunic Telef MODEM Cel Trib GSM</v>
          </cell>
          <cell r="D1081">
            <v>5405</v>
          </cell>
          <cell r="E1081">
            <v>1000</v>
          </cell>
          <cell r="F1081" t="str">
            <v>ZALM</v>
          </cell>
          <cell r="G1081" t="str">
            <v>UN</v>
          </cell>
          <cell r="H1081" t="str">
            <v>DOP</v>
          </cell>
          <cell r="I1081">
            <v>2</v>
          </cell>
          <cell r="J1081">
            <v>35051.760000000002</v>
          </cell>
          <cell r="K1081">
            <v>0</v>
          </cell>
          <cell r="L1081">
            <v>0</v>
          </cell>
          <cell r="M1081">
            <v>0</v>
          </cell>
          <cell r="N1081">
            <v>0</v>
          </cell>
          <cell r="O1081">
            <v>0</v>
          </cell>
          <cell r="P1081">
            <v>0</v>
          </cell>
          <cell r="Q1081">
            <v>0</v>
          </cell>
          <cell r="R1081">
            <v>0</v>
          </cell>
          <cell r="S1081">
            <v>2</v>
          </cell>
          <cell r="T1081">
            <v>35051.760000000002</v>
          </cell>
          <cell r="U1081">
            <v>17525.88</v>
          </cell>
        </row>
        <row r="1082">
          <cell r="A1082">
            <v>1001076</v>
          </cell>
          <cell r="B1082" t="str">
            <v>Abanico 12V P/ Enfriamiento de Equipos</v>
          </cell>
          <cell r="D1082">
            <v>7200</v>
          </cell>
          <cell r="E1082">
            <v>1000</v>
          </cell>
          <cell r="F1082" t="str">
            <v>ZALM</v>
          </cell>
          <cell r="G1082" t="str">
            <v>UN</v>
          </cell>
          <cell r="H1082" t="str">
            <v>DOP</v>
          </cell>
          <cell r="I1082">
            <v>0</v>
          </cell>
          <cell r="J1082">
            <v>0</v>
          </cell>
          <cell r="K1082">
            <v>0</v>
          </cell>
          <cell r="L1082">
            <v>0</v>
          </cell>
          <cell r="M1082">
            <v>0</v>
          </cell>
          <cell r="N1082">
            <v>0</v>
          </cell>
          <cell r="O1082">
            <v>0</v>
          </cell>
          <cell r="P1082">
            <v>0</v>
          </cell>
          <cell r="Q1082">
            <v>0</v>
          </cell>
          <cell r="R1082">
            <v>0</v>
          </cell>
          <cell r="S1082">
            <v>0</v>
          </cell>
          <cell r="T1082">
            <v>0</v>
          </cell>
          <cell r="U1082" t="e">
            <v>#N/A</v>
          </cell>
        </row>
        <row r="1083">
          <cell r="A1083">
            <v>1001077</v>
          </cell>
          <cell r="B1083" t="str">
            <v>Bandejas Porta Cables 9"x2"  8'3" Largo</v>
          </cell>
          <cell r="D1083">
            <v>7200</v>
          </cell>
          <cell r="E1083">
            <v>1000</v>
          </cell>
          <cell r="F1083" t="str">
            <v>ZALM</v>
          </cell>
          <cell r="G1083" t="str">
            <v>UN</v>
          </cell>
          <cell r="H1083" t="str">
            <v>DOP</v>
          </cell>
          <cell r="I1083">
            <v>0</v>
          </cell>
          <cell r="J1083">
            <v>0</v>
          </cell>
          <cell r="K1083">
            <v>0</v>
          </cell>
          <cell r="L1083">
            <v>0</v>
          </cell>
          <cell r="M1083">
            <v>0</v>
          </cell>
          <cell r="N1083">
            <v>0</v>
          </cell>
          <cell r="O1083">
            <v>0</v>
          </cell>
          <cell r="P1083">
            <v>0</v>
          </cell>
          <cell r="Q1083">
            <v>0</v>
          </cell>
          <cell r="R1083">
            <v>0</v>
          </cell>
          <cell r="S1083">
            <v>0</v>
          </cell>
          <cell r="T1083">
            <v>0</v>
          </cell>
          <cell r="U1083" t="e">
            <v>#N/A</v>
          </cell>
        </row>
        <row r="1084">
          <cell r="A1084">
            <v>1001078</v>
          </cell>
          <cell r="B1084" t="str">
            <v>Base Pivote P/ Plataforma 4" C-402-1164</v>
          </cell>
          <cell r="D1084">
            <v>7200</v>
          </cell>
          <cell r="E1084">
            <v>1000</v>
          </cell>
          <cell r="F1084" t="str">
            <v>ZALM</v>
          </cell>
          <cell r="G1084" t="str">
            <v>UN</v>
          </cell>
          <cell r="H1084" t="str">
            <v>DOP</v>
          </cell>
          <cell r="I1084">
            <v>0</v>
          </cell>
          <cell r="J1084">
            <v>0</v>
          </cell>
          <cell r="K1084">
            <v>0</v>
          </cell>
          <cell r="L1084">
            <v>0</v>
          </cell>
          <cell r="M1084">
            <v>0</v>
          </cell>
          <cell r="N1084">
            <v>0</v>
          </cell>
          <cell r="O1084">
            <v>0</v>
          </cell>
          <cell r="P1084">
            <v>0</v>
          </cell>
          <cell r="Q1084">
            <v>0</v>
          </cell>
          <cell r="R1084">
            <v>0</v>
          </cell>
          <cell r="S1084">
            <v>0</v>
          </cell>
          <cell r="T1084">
            <v>0</v>
          </cell>
          <cell r="U1084" t="e">
            <v>#N/A</v>
          </cell>
        </row>
        <row r="1085">
          <cell r="A1085">
            <v>1001079</v>
          </cell>
          <cell r="B1085" t="str">
            <v>Base Pivote P/ Plataforma 6" C-402-1173</v>
          </cell>
          <cell r="D1085">
            <v>7200</v>
          </cell>
          <cell r="E1085">
            <v>1000</v>
          </cell>
          <cell r="F1085" t="str">
            <v>ZALM</v>
          </cell>
          <cell r="G1085" t="str">
            <v>UN</v>
          </cell>
          <cell r="H1085" t="str">
            <v>DOP</v>
          </cell>
          <cell r="I1085">
            <v>0</v>
          </cell>
          <cell r="J1085">
            <v>0</v>
          </cell>
          <cell r="K1085">
            <v>0</v>
          </cell>
          <cell r="L1085">
            <v>0</v>
          </cell>
          <cell r="M1085">
            <v>0</v>
          </cell>
          <cell r="N1085">
            <v>0</v>
          </cell>
          <cell r="O1085">
            <v>0</v>
          </cell>
          <cell r="P1085">
            <v>0</v>
          </cell>
          <cell r="Q1085">
            <v>0</v>
          </cell>
          <cell r="R1085">
            <v>0</v>
          </cell>
          <cell r="S1085">
            <v>0</v>
          </cell>
          <cell r="T1085">
            <v>0</v>
          </cell>
          <cell r="U1085" t="e">
            <v>#N/A</v>
          </cell>
        </row>
        <row r="1086">
          <cell r="A1086">
            <v>1001080</v>
          </cell>
          <cell r="B1086" t="str">
            <v>Bimetalic Transition Plate Catálogo TP-B</v>
          </cell>
          <cell r="D1086">
            <v>7200</v>
          </cell>
          <cell r="E1086">
            <v>1000</v>
          </cell>
          <cell r="F1086" t="str">
            <v>ZALM</v>
          </cell>
          <cell r="G1086" t="str">
            <v>UN</v>
          </cell>
          <cell r="H1086" t="str">
            <v>DOP</v>
          </cell>
          <cell r="I1086">
            <v>0</v>
          </cell>
          <cell r="J1086">
            <v>0</v>
          </cell>
          <cell r="K1086">
            <v>0</v>
          </cell>
          <cell r="L1086">
            <v>0</v>
          </cell>
          <cell r="M1086">
            <v>0</v>
          </cell>
          <cell r="N1086">
            <v>0</v>
          </cell>
          <cell r="O1086">
            <v>0</v>
          </cell>
          <cell r="P1086">
            <v>0</v>
          </cell>
          <cell r="Q1086">
            <v>0</v>
          </cell>
          <cell r="R1086">
            <v>0</v>
          </cell>
          <cell r="S1086">
            <v>0</v>
          </cell>
          <cell r="T1086">
            <v>0</v>
          </cell>
          <cell r="U1086" t="e">
            <v>#N/A</v>
          </cell>
        </row>
        <row r="1087">
          <cell r="A1087">
            <v>1001081</v>
          </cell>
          <cell r="B1087" t="str">
            <v>Bimetalic Transition Plate Catálogo TP-C</v>
          </cell>
          <cell r="D1087">
            <v>7200</v>
          </cell>
          <cell r="E1087">
            <v>1000</v>
          </cell>
          <cell r="F1087" t="str">
            <v>ZALM</v>
          </cell>
          <cell r="G1087" t="str">
            <v>UN</v>
          </cell>
          <cell r="H1087" t="str">
            <v>DOP</v>
          </cell>
          <cell r="I1087">
            <v>42</v>
          </cell>
          <cell r="J1087">
            <v>10386.19</v>
          </cell>
          <cell r="K1087">
            <v>0</v>
          </cell>
          <cell r="L1087">
            <v>0</v>
          </cell>
          <cell r="M1087">
            <v>0</v>
          </cell>
          <cell r="N1087">
            <v>0</v>
          </cell>
          <cell r="O1087">
            <v>0</v>
          </cell>
          <cell r="P1087">
            <v>0</v>
          </cell>
          <cell r="Q1087">
            <v>0</v>
          </cell>
          <cell r="R1087">
            <v>0</v>
          </cell>
          <cell r="S1087">
            <v>42</v>
          </cell>
          <cell r="T1087">
            <v>10386.19</v>
          </cell>
          <cell r="U1087">
            <v>247.29023809523801</v>
          </cell>
        </row>
        <row r="1088">
          <cell r="A1088">
            <v>1001082</v>
          </cell>
          <cell r="B1088" t="str">
            <v>Bomba Manual para Combustible y Aceite</v>
          </cell>
          <cell r="D1088">
            <v>7200</v>
          </cell>
          <cell r="E1088">
            <v>1000</v>
          </cell>
          <cell r="F1088" t="str">
            <v>ZALM</v>
          </cell>
          <cell r="G1088" t="str">
            <v>UN</v>
          </cell>
          <cell r="H1088" t="str">
            <v>DOP</v>
          </cell>
          <cell r="I1088">
            <v>0</v>
          </cell>
          <cell r="J1088">
            <v>0</v>
          </cell>
          <cell r="K1088">
            <v>0</v>
          </cell>
          <cell r="L1088">
            <v>0</v>
          </cell>
          <cell r="M1088">
            <v>0</v>
          </cell>
          <cell r="N1088">
            <v>0</v>
          </cell>
          <cell r="O1088">
            <v>0</v>
          </cell>
          <cell r="P1088">
            <v>0</v>
          </cell>
          <cell r="Q1088">
            <v>0</v>
          </cell>
          <cell r="R1088">
            <v>0</v>
          </cell>
          <cell r="S1088">
            <v>0</v>
          </cell>
          <cell r="T1088">
            <v>0</v>
          </cell>
          <cell r="U1088" t="e">
            <v>#N/A</v>
          </cell>
        </row>
        <row r="1089">
          <cell r="A1089">
            <v>1001083</v>
          </cell>
          <cell r="B1089" t="str">
            <v>Cargador Bateria 12V de 2-15A</v>
          </cell>
          <cell r="D1089">
            <v>7200</v>
          </cell>
          <cell r="E1089">
            <v>1000</v>
          </cell>
          <cell r="F1089" t="str">
            <v>ZALM</v>
          </cell>
          <cell r="G1089" t="str">
            <v>UN</v>
          </cell>
          <cell r="H1089" t="str">
            <v>DOP</v>
          </cell>
          <cell r="I1089">
            <v>0</v>
          </cell>
          <cell r="J1089">
            <v>0</v>
          </cell>
          <cell r="K1089">
            <v>0</v>
          </cell>
          <cell r="L1089">
            <v>0</v>
          </cell>
          <cell r="M1089">
            <v>0</v>
          </cell>
          <cell r="N1089">
            <v>0</v>
          </cell>
          <cell r="O1089">
            <v>0</v>
          </cell>
          <cell r="P1089">
            <v>0</v>
          </cell>
          <cell r="Q1089">
            <v>0</v>
          </cell>
          <cell r="R1089">
            <v>0</v>
          </cell>
          <cell r="S1089">
            <v>0</v>
          </cell>
          <cell r="T1089">
            <v>0</v>
          </cell>
          <cell r="U1089" t="e">
            <v>#N/A</v>
          </cell>
        </row>
        <row r="1090">
          <cell r="A1090">
            <v>1001084</v>
          </cell>
          <cell r="B1090" t="str">
            <v>Cargador Bateria 230V AC 128DC</v>
          </cell>
          <cell r="D1090">
            <v>7200</v>
          </cell>
          <cell r="E1090">
            <v>1000</v>
          </cell>
          <cell r="F1090" t="str">
            <v>ZALM</v>
          </cell>
          <cell r="G1090" t="str">
            <v>UN</v>
          </cell>
          <cell r="H1090" t="str">
            <v>DOP</v>
          </cell>
          <cell r="I1090">
            <v>0</v>
          </cell>
          <cell r="J1090">
            <v>0</v>
          </cell>
          <cell r="K1090">
            <v>0</v>
          </cell>
          <cell r="L1090">
            <v>0</v>
          </cell>
          <cell r="M1090">
            <v>0</v>
          </cell>
          <cell r="N1090">
            <v>0</v>
          </cell>
          <cell r="O1090">
            <v>0</v>
          </cell>
          <cell r="P1090">
            <v>0</v>
          </cell>
          <cell r="Q1090">
            <v>0</v>
          </cell>
          <cell r="R1090">
            <v>0</v>
          </cell>
          <cell r="S1090">
            <v>0</v>
          </cell>
          <cell r="T1090">
            <v>0</v>
          </cell>
          <cell r="U1090" t="e">
            <v>#N/A</v>
          </cell>
        </row>
        <row r="1091">
          <cell r="A1091">
            <v>1001085</v>
          </cell>
          <cell r="B1091" t="str">
            <v>Bomba Eléct P/ Tanq Aceite 120V C/ Vast</v>
          </cell>
          <cell r="D1091">
            <v>7200</v>
          </cell>
          <cell r="E1091">
            <v>1000</v>
          </cell>
          <cell r="F1091" t="str">
            <v>ZALM</v>
          </cell>
          <cell r="G1091" t="str">
            <v>UN</v>
          </cell>
          <cell r="H1091" t="str">
            <v>DOP</v>
          </cell>
          <cell r="I1091">
            <v>0</v>
          </cell>
          <cell r="J1091">
            <v>0</v>
          </cell>
          <cell r="K1091">
            <v>0</v>
          </cell>
          <cell r="L1091">
            <v>0</v>
          </cell>
          <cell r="M1091">
            <v>0</v>
          </cell>
          <cell r="N1091">
            <v>0</v>
          </cell>
          <cell r="O1091">
            <v>0</v>
          </cell>
          <cell r="P1091">
            <v>0</v>
          </cell>
          <cell r="Q1091">
            <v>0</v>
          </cell>
          <cell r="R1091">
            <v>0</v>
          </cell>
          <cell r="S1091">
            <v>0</v>
          </cell>
          <cell r="T1091">
            <v>0</v>
          </cell>
          <cell r="U1091" t="e">
            <v>#N/A</v>
          </cell>
        </row>
        <row r="1092">
          <cell r="A1092">
            <v>1001086</v>
          </cell>
          <cell r="B1092" t="str">
            <v>Conjunto Tira Cables Completo Modelo CT</v>
          </cell>
          <cell r="D1092">
            <v>7200</v>
          </cell>
          <cell r="E1092">
            <v>1000</v>
          </cell>
          <cell r="F1092" t="str">
            <v>ZALM</v>
          </cell>
          <cell r="G1092" t="str">
            <v>UN</v>
          </cell>
          <cell r="H1092" t="str">
            <v>DOP</v>
          </cell>
          <cell r="I1092">
            <v>0</v>
          </cell>
          <cell r="J1092">
            <v>0</v>
          </cell>
          <cell r="K1092">
            <v>0</v>
          </cell>
          <cell r="L1092">
            <v>0</v>
          </cell>
          <cell r="M1092">
            <v>0</v>
          </cell>
          <cell r="N1092">
            <v>0</v>
          </cell>
          <cell r="O1092">
            <v>0</v>
          </cell>
          <cell r="P1092">
            <v>0</v>
          </cell>
          <cell r="Q1092">
            <v>0</v>
          </cell>
          <cell r="R1092">
            <v>0</v>
          </cell>
          <cell r="S1092">
            <v>0</v>
          </cell>
          <cell r="T1092">
            <v>0</v>
          </cell>
          <cell r="U1092" t="e">
            <v>#N/A</v>
          </cell>
        </row>
        <row r="1093">
          <cell r="A1093">
            <v>1001087</v>
          </cell>
          <cell r="B1093" t="str">
            <v>Convert DC/DC VI=125V VO=12V, CC=2.5</v>
          </cell>
          <cell r="D1093">
            <v>7200</v>
          </cell>
          <cell r="E1093">
            <v>1000</v>
          </cell>
          <cell r="F1093" t="str">
            <v>ZALM</v>
          </cell>
          <cell r="G1093" t="str">
            <v>UN</v>
          </cell>
          <cell r="H1093" t="str">
            <v>DOP</v>
          </cell>
          <cell r="I1093">
            <v>0</v>
          </cell>
          <cell r="J1093">
            <v>0</v>
          </cell>
          <cell r="K1093">
            <v>0</v>
          </cell>
          <cell r="L1093">
            <v>0</v>
          </cell>
          <cell r="M1093">
            <v>0</v>
          </cell>
          <cell r="N1093">
            <v>0</v>
          </cell>
          <cell r="O1093">
            <v>0</v>
          </cell>
          <cell r="P1093">
            <v>0</v>
          </cell>
          <cell r="Q1093">
            <v>0</v>
          </cell>
          <cell r="R1093">
            <v>0</v>
          </cell>
          <cell r="S1093">
            <v>0</v>
          </cell>
          <cell r="T1093">
            <v>0</v>
          </cell>
          <cell r="U1093" t="e">
            <v>#N/A</v>
          </cell>
        </row>
        <row r="1094">
          <cell r="A1094">
            <v>1001088</v>
          </cell>
          <cell r="B1094" t="str">
            <v>Convert DC/DC VI=48V, VO=12C, CC=2.5</v>
          </cell>
          <cell r="D1094">
            <v>7200</v>
          </cell>
          <cell r="E1094">
            <v>1000</v>
          </cell>
          <cell r="F1094" t="str">
            <v>ZALM</v>
          </cell>
          <cell r="G1094" t="str">
            <v>UN</v>
          </cell>
          <cell r="H1094" t="str">
            <v>DOP</v>
          </cell>
          <cell r="I1094">
            <v>0</v>
          </cell>
          <cell r="J1094">
            <v>0</v>
          </cell>
          <cell r="K1094">
            <v>0</v>
          </cell>
          <cell r="L1094">
            <v>0</v>
          </cell>
          <cell r="M1094">
            <v>0</v>
          </cell>
          <cell r="N1094">
            <v>0</v>
          </cell>
          <cell r="O1094">
            <v>0</v>
          </cell>
          <cell r="P1094">
            <v>0</v>
          </cell>
          <cell r="Q1094">
            <v>0</v>
          </cell>
          <cell r="R1094">
            <v>0</v>
          </cell>
          <cell r="S1094">
            <v>0</v>
          </cell>
          <cell r="T1094">
            <v>0</v>
          </cell>
          <cell r="U1094" t="e">
            <v>#N/A</v>
          </cell>
        </row>
        <row r="1095">
          <cell r="A1095">
            <v>1001089</v>
          </cell>
          <cell r="B1095" t="str">
            <v>CONVERTIDOR A DC REV. F5-133-1</v>
          </cell>
          <cell r="D1095">
            <v>7200</v>
          </cell>
          <cell r="E1095">
            <v>1000</v>
          </cell>
          <cell r="F1095" t="str">
            <v>ZALM</v>
          </cell>
          <cell r="G1095" t="str">
            <v>UN</v>
          </cell>
          <cell r="H1095" t="str">
            <v>DOP</v>
          </cell>
          <cell r="I1095">
            <v>0</v>
          </cell>
          <cell r="J1095">
            <v>0</v>
          </cell>
          <cell r="K1095">
            <v>0</v>
          </cell>
          <cell r="L1095">
            <v>0</v>
          </cell>
          <cell r="M1095">
            <v>0</v>
          </cell>
          <cell r="N1095">
            <v>0</v>
          </cell>
          <cell r="O1095">
            <v>0</v>
          </cell>
          <cell r="P1095">
            <v>0</v>
          </cell>
          <cell r="Q1095">
            <v>0</v>
          </cell>
          <cell r="R1095">
            <v>0</v>
          </cell>
          <cell r="S1095">
            <v>0</v>
          </cell>
          <cell r="T1095">
            <v>0</v>
          </cell>
          <cell r="U1095" t="e">
            <v>#N/A</v>
          </cell>
        </row>
        <row r="1096">
          <cell r="A1096">
            <v>1001090</v>
          </cell>
          <cell r="B1096" t="str">
            <v>CONVERTIDOR DC A DC, VCS-171-1</v>
          </cell>
          <cell r="D1096">
            <v>7200</v>
          </cell>
          <cell r="E1096">
            <v>1000</v>
          </cell>
          <cell r="F1096" t="str">
            <v>ZALM</v>
          </cell>
          <cell r="G1096" t="str">
            <v>UN</v>
          </cell>
          <cell r="H1096" t="str">
            <v>DOP</v>
          </cell>
          <cell r="I1096">
            <v>0</v>
          </cell>
          <cell r="J1096">
            <v>0</v>
          </cell>
          <cell r="K1096">
            <v>0</v>
          </cell>
          <cell r="L1096">
            <v>0</v>
          </cell>
          <cell r="M1096">
            <v>0</v>
          </cell>
          <cell r="N1096">
            <v>0</v>
          </cell>
          <cell r="O1096">
            <v>0</v>
          </cell>
          <cell r="P1096">
            <v>0</v>
          </cell>
          <cell r="Q1096">
            <v>0</v>
          </cell>
          <cell r="R1096">
            <v>0</v>
          </cell>
          <cell r="S1096">
            <v>0</v>
          </cell>
          <cell r="T1096">
            <v>0</v>
          </cell>
          <cell r="U1096" t="e">
            <v>#N/A</v>
          </cell>
        </row>
        <row r="1097">
          <cell r="A1097">
            <v>1001091</v>
          </cell>
          <cell r="B1097" t="str">
            <v>Convertidor de 24-12 Voltios</v>
          </cell>
          <cell r="D1097">
            <v>7200</v>
          </cell>
          <cell r="E1097">
            <v>1000</v>
          </cell>
          <cell r="F1097" t="str">
            <v>ZALM</v>
          </cell>
          <cell r="G1097" t="str">
            <v>UN</v>
          </cell>
          <cell r="H1097" t="str">
            <v>DOP</v>
          </cell>
          <cell r="I1097">
            <v>0</v>
          </cell>
          <cell r="J1097">
            <v>0</v>
          </cell>
          <cell r="K1097">
            <v>0</v>
          </cell>
          <cell r="L1097">
            <v>0</v>
          </cell>
          <cell r="M1097">
            <v>0</v>
          </cell>
          <cell r="N1097">
            <v>0</v>
          </cell>
          <cell r="O1097">
            <v>0</v>
          </cell>
          <cell r="P1097">
            <v>0</v>
          </cell>
          <cell r="Q1097">
            <v>0</v>
          </cell>
          <cell r="R1097">
            <v>0</v>
          </cell>
          <cell r="S1097">
            <v>0</v>
          </cell>
          <cell r="T1097">
            <v>0</v>
          </cell>
          <cell r="U1097" t="e">
            <v>#N/A</v>
          </cell>
        </row>
        <row r="1098">
          <cell r="A1098">
            <v>1001092</v>
          </cell>
          <cell r="B1098" t="str">
            <v>Convertidor de PL a Mini UHF</v>
          </cell>
          <cell r="D1098">
            <v>7200</v>
          </cell>
          <cell r="E1098">
            <v>1000</v>
          </cell>
          <cell r="F1098" t="str">
            <v>ZALM</v>
          </cell>
          <cell r="G1098" t="str">
            <v>UN</v>
          </cell>
          <cell r="H1098" t="str">
            <v>DOP</v>
          </cell>
          <cell r="I1098">
            <v>0</v>
          </cell>
          <cell r="J1098">
            <v>0</v>
          </cell>
          <cell r="K1098">
            <v>0</v>
          </cell>
          <cell r="L1098">
            <v>0</v>
          </cell>
          <cell r="M1098">
            <v>0</v>
          </cell>
          <cell r="N1098">
            <v>0</v>
          </cell>
          <cell r="O1098">
            <v>0</v>
          </cell>
          <cell r="P1098">
            <v>0</v>
          </cell>
          <cell r="Q1098">
            <v>0</v>
          </cell>
          <cell r="R1098">
            <v>0</v>
          </cell>
          <cell r="S1098">
            <v>0</v>
          </cell>
          <cell r="T1098">
            <v>0</v>
          </cell>
          <cell r="U1098" t="e">
            <v>#N/A</v>
          </cell>
        </row>
        <row r="1099">
          <cell r="A1099">
            <v>1001093</v>
          </cell>
          <cell r="B1099" t="str">
            <v>Equipo Acetileno P/ Soldar SMITH</v>
          </cell>
          <cell r="D1099">
            <v>7200</v>
          </cell>
          <cell r="E1099">
            <v>1000</v>
          </cell>
          <cell r="F1099" t="str">
            <v>ZALM</v>
          </cell>
          <cell r="G1099" t="str">
            <v>UN</v>
          </cell>
          <cell r="H1099" t="str">
            <v>DOP</v>
          </cell>
          <cell r="I1099">
            <v>0</v>
          </cell>
          <cell r="J1099">
            <v>0</v>
          </cell>
          <cell r="K1099">
            <v>0</v>
          </cell>
          <cell r="L1099">
            <v>0</v>
          </cell>
          <cell r="M1099">
            <v>0</v>
          </cell>
          <cell r="N1099">
            <v>0</v>
          </cell>
          <cell r="O1099">
            <v>0</v>
          </cell>
          <cell r="P1099">
            <v>0</v>
          </cell>
          <cell r="Q1099">
            <v>0</v>
          </cell>
          <cell r="R1099">
            <v>0</v>
          </cell>
          <cell r="S1099">
            <v>0</v>
          </cell>
          <cell r="T1099">
            <v>0</v>
          </cell>
          <cell r="U1099" t="e">
            <v>#N/A</v>
          </cell>
        </row>
        <row r="1100">
          <cell r="A1100">
            <v>1001094</v>
          </cell>
          <cell r="B1100" t="str">
            <v>Equipo Aterrizaje P/ Líneas Aéreas MT</v>
          </cell>
          <cell r="D1100">
            <v>7200</v>
          </cell>
          <cell r="E1100">
            <v>1000</v>
          </cell>
          <cell r="F1100" t="str">
            <v>ZALM</v>
          </cell>
          <cell r="G1100" t="str">
            <v>UN</v>
          </cell>
          <cell r="H1100" t="str">
            <v>DOP</v>
          </cell>
          <cell r="I1100">
            <v>0</v>
          </cell>
          <cell r="J1100">
            <v>0</v>
          </cell>
          <cell r="K1100">
            <v>0</v>
          </cell>
          <cell r="L1100">
            <v>0</v>
          </cell>
          <cell r="M1100">
            <v>0</v>
          </cell>
          <cell r="N1100">
            <v>0</v>
          </cell>
          <cell r="O1100">
            <v>0</v>
          </cell>
          <cell r="P1100">
            <v>0</v>
          </cell>
          <cell r="Q1100">
            <v>0</v>
          </cell>
          <cell r="R1100">
            <v>0</v>
          </cell>
          <cell r="S1100">
            <v>0</v>
          </cell>
          <cell r="T1100">
            <v>0</v>
          </cell>
          <cell r="U1100" t="e">
            <v>#N/A</v>
          </cell>
        </row>
        <row r="1101">
          <cell r="A1101">
            <v>1001095</v>
          </cell>
          <cell r="B1101" t="str">
            <v>Equipo Portátil de Fumigación Manual</v>
          </cell>
          <cell r="D1101">
            <v>7200</v>
          </cell>
          <cell r="E1101">
            <v>1000</v>
          </cell>
          <cell r="F1101" t="str">
            <v>ZALM</v>
          </cell>
          <cell r="G1101" t="str">
            <v>UN</v>
          </cell>
          <cell r="H1101" t="str">
            <v>DOP</v>
          </cell>
          <cell r="I1101">
            <v>0</v>
          </cell>
          <cell r="J1101">
            <v>0</v>
          </cell>
          <cell r="K1101">
            <v>0</v>
          </cell>
          <cell r="L1101">
            <v>0</v>
          </cell>
          <cell r="M1101">
            <v>0</v>
          </cell>
          <cell r="N1101">
            <v>0</v>
          </cell>
          <cell r="O1101">
            <v>0</v>
          </cell>
          <cell r="P1101">
            <v>0</v>
          </cell>
          <cell r="Q1101">
            <v>0</v>
          </cell>
          <cell r="R1101">
            <v>0</v>
          </cell>
          <cell r="S1101">
            <v>0</v>
          </cell>
          <cell r="T1101">
            <v>0</v>
          </cell>
          <cell r="U1101" t="e">
            <v>#N/A</v>
          </cell>
        </row>
        <row r="1102">
          <cell r="A1102">
            <v>1001096</v>
          </cell>
          <cell r="B1102" t="str">
            <v>Equipo Probador Aisl Pertiga Maniobr</v>
          </cell>
          <cell r="D1102">
            <v>7200</v>
          </cell>
          <cell r="E1102">
            <v>1000</v>
          </cell>
          <cell r="F1102" t="str">
            <v>ZALM</v>
          </cell>
          <cell r="G1102" t="str">
            <v>UN</v>
          </cell>
          <cell r="H1102" t="str">
            <v>DOP</v>
          </cell>
          <cell r="I1102">
            <v>0</v>
          </cell>
          <cell r="J1102">
            <v>0</v>
          </cell>
          <cell r="K1102">
            <v>0</v>
          </cell>
          <cell r="L1102">
            <v>0</v>
          </cell>
          <cell r="M1102">
            <v>0</v>
          </cell>
          <cell r="N1102">
            <v>0</v>
          </cell>
          <cell r="O1102">
            <v>0</v>
          </cell>
          <cell r="P1102">
            <v>0</v>
          </cell>
          <cell r="Q1102">
            <v>0</v>
          </cell>
          <cell r="R1102">
            <v>0</v>
          </cell>
          <cell r="S1102">
            <v>0</v>
          </cell>
          <cell r="T1102">
            <v>0</v>
          </cell>
          <cell r="U1102" t="e">
            <v>#N/A</v>
          </cell>
        </row>
        <row r="1103">
          <cell r="A1103">
            <v>1001097</v>
          </cell>
          <cell r="B1103" t="str">
            <v>Equipo Prueba Trif de Relay Protección</v>
          </cell>
          <cell r="D1103">
            <v>7200</v>
          </cell>
          <cell r="E1103">
            <v>1000</v>
          </cell>
          <cell r="F1103" t="str">
            <v>ZALM</v>
          </cell>
          <cell r="G1103" t="str">
            <v>UN</v>
          </cell>
          <cell r="H1103" t="str">
            <v>DOP</v>
          </cell>
          <cell r="I1103">
            <v>0</v>
          </cell>
          <cell r="J1103">
            <v>0</v>
          </cell>
          <cell r="K1103">
            <v>0</v>
          </cell>
          <cell r="L1103">
            <v>0</v>
          </cell>
          <cell r="M1103">
            <v>0</v>
          </cell>
          <cell r="N1103">
            <v>0</v>
          </cell>
          <cell r="O1103">
            <v>0</v>
          </cell>
          <cell r="P1103">
            <v>0</v>
          </cell>
          <cell r="Q1103">
            <v>0</v>
          </cell>
          <cell r="R1103">
            <v>0</v>
          </cell>
          <cell r="S1103">
            <v>0</v>
          </cell>
          <cell r="T1103">
            <v>0</v>
          </cell>
          <cell r="U1103" t="e">
            <v>#N/A</v>
          </cell>
        </row>
        <row r="1104">
          <cell r="A1104">
            <v>1001098</v>
          </cell>
          <cell r="B1104" t="str">
            <v>Equipo Puesta a Tierra Líneas de MT</v>
          </cell>
          <cell r="D1104">
            <v>7200</v>
          </cell>
          <cell r="E1104">
            <v>1000</v>
          </cell>
          <cell r="F1104" t="str">
            <v>ZALM</v>
          </cell>
          <cell r="G1104" t="str">
            <v>UN</v>
          </cell>
          <cell r="H1104" t="str">
            <v>DOP</v>
          </cell>
          <cell r="I1104">
            <v>0</v>
          </cell>
          <cell r="J1104">
            <v>0</v>
          </cell>
          <cell r="K1104">
            <v>0</v>
          </cell>
          <cell r="L1104">
            <v>0</v>
          </cell>
          <cell r="M1104">
            <v>0</v>
          </cell>
          <cell r="N1104">
            <v>0</v>
          </cell>
          <cell r="O1104">
            <v>0</v>
          </cell>
          <cell r="P1104">
            <v>0</v>
          </cell>
          <cell r="Q1104">
            <v>0</v>
          </cell>
          <cell r="R1104">
            <v>0</v>
          </cell>
          <cell r="S1104">
            <v>0</v>
          </cell>
          <cell r="T1104">
            <v>0</v>
          </cell>
          <cell r="U1104" t="e">
            <v>#N/A</v>
          </cell>
        </row>
        <row r="1105">
          <cell r="A1105">
            <v>1001099</v>
          </cell>
          <cell r="B1105" t="str">
            <v>Inversor 400W Portátil P/ Vehiculo 12V</v>
          </cell>
          <cell r="D1105">
            <v>7200</v>
          </cell>
          <cell r="E1105">
            <v>1000</v>
          </cell>
          <cell r="F1105" t="str">
            <v>ZALM</v>
          </cell>
          <cell r="G1105" t="str">
            <v>UN</v>
          </cell>
          <cell r="H1105" t="str">
            <v>DOP</v>
          </cell>
          <cell r="I1105">
            <v>0</v>
          </cell>
          <cell r="J1105">
            <v>0</v>
          </cell>
          <cell r="K1105">
            <v>0</v>
          </cell>
          <cell r="L1105">
            <v>0</v>
          </cell>
          <cell r="M1105">
            <v>0</v>
          </cell>
          <cell r="N1105">
            <v>0</v>
          </cell>
          <cell r="O1105">
            <v>0</v>
          </cell>
          <cell r="P1105">
            <v>0</v>
          </cell>
          <cell r="Q1105">
            <v>0</v>
          </cell>
          <cell r="R1105">
            <v>0</v>
          </cell>
          <cell r="S1105">
            <v>0</v>
          </cell>
          <cell r="T1105">
            <v>0</v>
          </cell>
          <cell r="U1105" t="e">
            <v>#N/A</v>
          </cell>
        </row>
        <row r="1106">
          <cell r="A1106">
            <v>1001100</v>
          </cell>
          <cell r="B1106" t="str">
            <v>Inversor140W</v>
          </cell>
          <cell r="D1106">
            <v>7200</v>
          </cell>
          <cell r="E1106">
            <v>1000</v>
          </cell>
          <cell r="F1106" t="str">
            <v>ZALM</v>
          </cell>
          <cell r="G1106" t="str">
            <v>UN</v>
          </cell>
          <cell r="H1106" t="str">
            <v>DOP</v>
          </cell>
          <cell r="I1106">
            <v>0</v>
          </cell>
          <cell r="J1106">
            <v>0</v>
          </cell>
          <cell r="K1106">
            <v>0</v>
          </cell>
          <cell r="L1106">
            <v>0</v>
          </cell>
          <cell r="M1106">
            <v>0</v>
          </cell>
          <cell r="N1106">
            <v>0</v>
          </cell>
          <cell r="O1106">
            <v>0</v>
          </cell>
          <cell r="P1106">
            <v>0</v>
          </cell>
          <cell r="Q1106">
            <v>0</v>
          </cell>
          <cell r="R1106">
            <v>0</v>
          </cell>
          <cell r="S1106">
            <v>0</v>
          </cell>
          <cell r="T1106">
            <v>0</v>
          </cell>
          <cell r="U1106" t="e">
            <v>#N/A</v>
          </cell>
        </row>
        <row r="1107">
          <cell r="A1107">
            <v>1001101</v>
          </cell>
          <cell r="B1107" t="str">
            <v>Juego Acces P/ Medidor Tierra Maniv</v>
          </cell>
          <cell r="D1107">
            <v>7200</v>
          </cell>
          <cell r="E1107">
            <v>1000</v>
          </cell>
          <cell r="F1107" t="str">
            <v>ZALM</v>
          </cell>
          <cell r="G1107" t="str">
            <v>UN</v>
          </cell>
          <cell r="H1107" t="str">
            <v>DOP</v>
          </cell>
          <cell r="I1107">
            <v>0</v>
          </cell>
          <cell r="J1107">
            <v>0</v>
          </cell>
          <cell r="K1107">
            <v>0</v>
          </cell>
          <cell r="L1107">
            <v>0</v>
          </cell>
          <cell r="M1107">
            <v>0</v>
          </cell>
          <cell r="N1107">
            <v>0</v>
          </cell>
          <cell r="O1107">
            <v>0</v>
          </cell>
          <cell r="P1107">
            <v>0</v>
          </cell>
          <cell r="Q1107">
            <v>0</v>
          </cell>
          <cell r="R1107">
            <v>0</v>
          </cell>
          <cell r="S1107">
            <v>0</v>
          </cell>
          <cell r="T1107">
            <v>0</v>
          </cell>
          <cell r="U1107" t="e">
            <v>#N/A</v>
          </cell>
        </row>
        <row r="1108">
          <cell r="A1108">
            <v>1001102</v>
          </cell>
          <cell r="B1108" t="str">
            <v>Juego de Puesta a Tierra (Subterránea)</v>
          </cell>
          <cell r="D1108">
            <v>7200</v>
          </cell>
          <cell r="E1108">
            <v>1000</v>
          </cell>
          <cell r="F1108" t="str">
            <v>ZALM</v>
          </cell>
          <cell r="G1108" t="str">
            <v>UN</v>
          </cell>
          <cell r="H1108" t="str">
            <v>DOP</v>
          </cell>
          <cell r="I1108">
            <v>0</v>
          </cell>
          <cell r="J1108">
            <v>0</v>
          </cell>
          <cell r="K1108">
            <v>0</v>
          </cell>
          <cell r="L1108">
            <v>0</v>
          </cell>
          <cell r="M1108">
            <v>0</v>
          </cell>
          <cell r="N1108">
            <v>0</v>
          </cell>
          <cell r="O1108">
            <v>0</v>
          </cell>
          <cell r="P1108">
            <v>0</v>
          </cell>
          <cell r="Q1108">
            <v>0</v>
          </cell>
          <cell r="R1108">
            <v>0</v>
          </cell>
          <cell r="S1108">
            <v>0</v>
          </cell>
          <cell r="T1108">
            <v>0</v>
          </cell>
          <cell r="U1108" t="e">
            <v>#N/A</v>
          </cell>
        </row>
        <row r="1109">
          <cell r="A1109">
            <v>1001103</v>
          </cell>
          <cell r="B1109" t="str">
            <v>Juego de Rayos</v>
          </cell>
          <cell r="D1109">
            <v>7200</v>
          </cell>
          <cell r="E1109">
            <v>1000</v>
          </cell>
          <cell r="F1109" t="str">
            <v>ZALM</v>
          </cell>
          <cell r="G1109" t="str">
            <v>UN</v>
          </cell>
          <cell r="H1109" t="str">
            <v>DOP</v>
          </cell>
          <cell r="I1109">
            <v>0</v>
          </cell>
          <cell r="J1109">
            <v>0</v>
          </cell>
          <cell r="K1109">
            <v>0</v>
          </cell>
          <cell r="L1109">
            <v>0</v>
          </cell>
          <cell r="M1109">
            <v>0</v>
          </cell>
          <cell r="N1109">
            <v>0</v>
          </cell>
          <cell r="O1109">
            <v>0</v>
          </cell>
          <cell r="P1109">
            <v>0</v>
          </cell>
          <cell r="Q1109">
            <v>0</v>
          </cell>
          <cell r="R1109">
            <v>0</v>
          </cell>
          <cell r="S1109">
            <v>0</v>
          </cell>
          <cell r="T1109">
            <v>0</v>
          </cell>
          <cell r="U1109" t="e">
            <v>#N/A</v>
          </cell>
        </row>
        <row r="1110">
          <cell r="A1110">
            <v>1001104</v>
          </cell>
          <cell r="B1110" t="str">
            <v>Juego Herr P/ Busc Falla Cat. C-40260114</v>
          </cell>
          <cell r="D1110">
            <v>7200</v>
          </cell>
          <cell r="E1110">
            <v>1000</v>
          </cell>
          <cell r="F1110" t="str">
            <v>ZALM</v>
          </cell>
          <cell r="G1110" t="str">
            <v>UN</v>
          </cell>
          <cell r="H1110" t="str">
            <v>DOP</v>
          </cell>
          <cell r="I1110">
            <v>0</v>
          </cell>
          <cell r="J1110">
            <v>0</v>
          </cell>
          <cell r="K1110">
            <v>0</v>
          </cell>
          <cell r="L1110">
            <v>0</v>
          </cell>
          <cell r="M1110">
            <v>0</v>
          </cell>
          <cell r="N1110">
            <v>0</v>
          </cell>
          <cell r="O1110">
            <v>0</v>
          </cell>
          <cell r="P1110">
            <v>0</v>
          </cell>
          <cell r="Q1110">
            <v>0</v>
          </cell>
          <cell r="R1110">
            <v>0</v>
          </cell>
          <cell r="S1110">
            <v>0</v>
          </cell>
          <cell r="T1110">
            <v>0</v>
          </cell>
          <cell r="U1110" t="e">
            <v>#N/A</v>
          </cell>
        </row>
        <row r="1111">
          <cell r="A1111">
            <v>1001105</v>
          </cell>
          <cell r="B1111" t="str">
            <v>Juego Manómetro P/ Equipo Acetileno</v>
          </cell>
          <cell r="D1111">
            <v>7200</v>
          </cell>
          <cell r="E1111">
            <v>1000</v>
          </cell>
          <cell r="F1111" t="str">
            <v>ZALM</v>
          </cell>
          <cell r="G1111" t="str">
            <v>UN</v>
          </cell>
          <cell r="H1111" t="str">
            <v>DOP</v>
          </cell>
          <cell r="I1111">
            <v>0</v>
          </cell>
          <cell r="J1111">
            <v>0</v>
          </cell>
          <cell r="K1111">
            <v>0</v>
          </cell>
          <cell r="L1111">
            <v>0</v>
          </cell>
          <cell r="M1111">
            <v>0</v>
          </cell>
          <cell r="N1111">
            <v>0</v>
          </cell>
          <cell r="O1111">
            <v>0</v>
          </cell>
          <cell r="P1111">
            <v>0</v>
          </cell>
          <cell r="Q1111">
            <v>0</v>
          </cell>
          <cell r="R1111">
            <v>0</v>
          </cell>
          <cell r="S1111">
            <v>0</v>
          </cell>
          <cell r="T1111">
            <v>0</v>
          </cell>
          <cell r="U1111" t="e">
            <v>#N/A</v>
          </cell>
        </row>
        <row r="1112">
          <cell r="A1112">
            <v>1001106</v>
          </cell>
          <cell r="B1112" t="str">
            <v>Juego Puesta Tierra P/ Distribucion</v>
          </cell>
          <cell r="D1112">
            <v>7201</v>
          </cell>
          <cell r="E1112">
            <v>1000</v>
          </cell>
          <cell r="F1112" t="str">
            <v>ZALM</v>
          </cell>
          <cell r="G1112" t="str">
            <v>UN</v>
          </cell>
          <cell r="H1112" t="str">
            <v>DOP</v>
          </cell>
          <cell r="I1112">
            <v>19</v>
          </cell>
          <cell r="J1112">
            <v>981462.67</v>
          </cell>
          <cell r="K1112">
            <v>0</v>
          </cell>
          <cell r="L1112">
            <v>0</v>
          </cell>
          <cell r="M1112">
            <v>0</v>
          </cell>
          <cell r="N1112">
            <v>0</v>
          </cell>
          <cell r="O1112">
            <v>0</v>
          </cell>
          <cell r="P1112">
            <v>0</v>
          </cell>
          <cell r="Q1112">
            <v>0</v>
          </cell>
          <cell r="R1112">
            <v>0</v>
          </cell>
          <cell r="S1112">
            <v>19</v>
          </cell>
          <cell r="T1112">
            <v>981462.67</v>
          </cell>
          <cell r="U1112">
            <v>51655.93</v>
          </cell>
        </row>
        <row r="1113">
          <cell r="A1113">
            <v>1001107</v>
          </cell>
          <cell r="B1113" t="str">
            <v>Juego Puesta Tierra P/ Línea Aér 12.5kV</v>
          </cell>
          <cell r="D1113">
            <v>7200</v>
          </cell>
          <cell r="E1113">
            <v>1000</v>
          </cell>
          <cell r="F1113" t="str">
            <v>ZALM</v>
          </cell>
          <cell r="G1113" t="str">
            <v>UN</v>
          </cell>
          <cell r="H1113" t="str">
            <v>DOP</v>
          </cell>
          <cell r="I1113">
            <v>0</v>
          </cell>
          <cell r="J1113">
            <v>0</v>
          </cell>
          <cell r="K1113">
            <v>0</v>
          </cell>
          <cell r="L1113">
            <v>0</v>
          </cell>
          <cell r="M1113">
            <v>0</v>
          </cell>
          <cell r="N1113">
            <v>0</v>
          </cell>
          <cell r="O1113">
            <v>0</v>
          </cell>
          <cell r="P1113">
            <v>0</v>
          </cell>
          <cell r="Q1113">
            <v>0</v>
          </cell>
          <cell r="R1113">
            <v>0</v>
          </cell>
          <cell r="S1113">
            <v>0</v>
          </cell>
          <cell r="T1113">
            <v>0</v>
          </cell>
          <cell r="U1113" t="e">
            <v>#N/A</v>
          </cell>
        </row>
        <row r="1114">
          <cell r="A1114">
            <v>1001108</v>
          </cell>
          <cell r="B1114" t="str">
            <v>Jumper 1.8Mtr LIAT P/ Puest Tierr PT738E</v>
          </cell>
          <cell r="D1114">
            <v>7200</v>
          </cell>
          <cell r="E1114">
            <v>1000</v>
          </cell>
          <cell r="F1114" t="str">
            <v>ZALM</v>
          </cell>
          <cell r="G1114" t="str">
            <v>UN</v>
          </cell>
          <cell r="H1114" t="str">
            <v>DOP</v>
          </cell>
          <cell r="I1114">
            <v>0</v>
          </cell>
          <cell r="J1114">
            <v>0</v>
          </cell>
          <cell r="K1114">
            <v>0</v>
          </cell>
          <cell r="L1114">
            <v>0</v>
          </cell>
          <cell r="M1114">
            <v>0</v>
          </cell>
          <cell r="N1114">
            <v>0</v>
          </cell>
          <cell r="O1114">
            <v>0</v>
          </cell>
          <cell r="P1114">
            <v>0</v>
          </cell>
          <cell r="Q1114">
            <v>0</v>
          </cell>
          <cell r="R1114">
            <v>0</v>
          </cell>
          <cell r="S1114">
            <v>0</v>
          </cell>
          <cell r="T1114">
            <v>0</v>
          </cell>
          <cell r="U1114" t="e">
            <v>#N/A</v>
          </cell>
        </row>
        <row r="1115">
          <cell r="A1115">
            <v>1001109</v>
          </cell>
          <cell r="B1115" t="str">
            <v>Jumper de Bornera de Tensión</v>
          </cell>
          <cell r="D1115">
            <v>7200</v>
          </cell>
          <cell r="E1115">
            <v>1000</v>
          </cell>
          <cell r="F1115" t="str">
            <v>ZALM</v>
          </cell>
          <cell r="G1115" t="str">
            <v>UN</v>
          </cell>
          <cell r="H1115" t="str">
            <v>DOP</v>
          </cell>
          <cell r="I1115">
            <v>0</v>
          </cell>
          <cell r="J1115">
            <v>0</v>
          </cell>
          <cell r="K1115">
            <v>0</v>
          </cell>
          <cell r="L1115">
            <v>0</v>
          </cell>
          <cell r="M1115">
            <v>0</v>
          </cell>
          <cell r="N1115">
            <v>0</v>
          </cell>
          <cell r="O1115">
            <v>0</v>
          </cell>
          <cell r="P1115">
            <v>0</v>
          </cell>
          <cell r="Q1115">
            <v>0</v>
          </cell>
          <cell r="R1115">
            <v>0</v>
          </cell>
          <cell r="S1115">
            <v>0</v>
          </cell>
          <cell r="T1115">
            <v>0</v>
          </cell>
          <cell r="U1115" t="e">
            <v>#N/A</v>
          </cell>
        </row>
        <row r="1116">
          <cell r="A1116">
            <v>1001110</v>
          </cell>
          <cell r="B1116" t="str">
            <v>Kit Cables y Acces P/ Equipo Prueba Trif</v>
          </cell>
          <cell r="D1116">
            <v>7200</v>
          </cell>
          <cell r="E1116">
            <v>1000</v>
          </cell>
          <cell r="F1116" t="str">
            <v>ZALM</v>
          </cell>
          <cell r="G1116" t="str">
            <v>UN</v>
          </cell>
          <cell r="H1116" t="str">
            <v>DOP</v>
          </cell>
          <cell r="I1116">
            <v>0</v>
          </cell>
          <cell r="J1116">
            <v>0</v>
          </cell>
          <cell r="K1116">
            <v>0</v>
          </cell>
          <cell r="L1116">
            <v>0</v>
          </cell>
          <cell r="M1116">
            <v>0</v>
          </cell>
          <cell r="N1116">
            <v>0</v>
          </cell>
          <cell r="O1116">
            <v>0</v>
          </cell>
          <cell r="P1116">
            <v>0</v>
          </cell>
          <cell r="Q1116">
            <v>0</v>
          </cell>
          <cell r="R1116">
            <v>0</v>
          </cell>
          <cell r="S1116">
            <v>0</v>
          </cell>
          <cell r="T1116">
            <v>0</v>
          </cell>
          <cell r="U1116" t="e">
            <v>#N/A</v>
          </cell>
        </row>
        <row r="1117">
          <cell r="A1117">
            <v>1001111</v>
          </cell>
          <cell r="B1117" t="str">
            <v>Kit de Limpieza para Equipos Aislados</v>
          </cell>
          <cell r="D1117">
            <v>7200</v>
          </cell>
          <cell r="E1117">
            <v>1000</v>
          </cell>
          <cell r="F1117" t="str">
            <v>ZALM</v>
          </cell>
          <cell r="G1117" t="str">
            <v>UN</v>
          </cell>
          <cell r="H1117" t="str">
            <v>DOP</v>
          </cell>
          <cell r="I1117">
            <v>0</v>
          </cell>
          <cell r="J1117">
            <v>0</v>
          </cell>
          <cell r="K1117">
            <v>0</v>
          </cell>
          <cell r="L1117">
            <v>0</v>
          </cell>
          <cell r="M1117">
            <v>0</v>
          </cell>
          <cell r="N1117">
            <v>0</v>
          </cell>
          <cell r="O1117">
            <v>0</v>
          </cell>
          <cell r="P1117">
            <v>0</v>
          </cell>
          <cell r="Q1117">
            <v>0</v>
          </cell>
          <cell r="R1117">
            <v>0</v>
          </cell>
          <cell r="S1117">
            <v>0</v>
          </cell>
          <cell r="T1117">
            <v>0</v>
          </cell>
          <cell r="U1117" t="e">
            <v>#N/A</v>
          </cell>
        </row>
        <row r="1118">
          <cell r="A1118">
            <v>1001112</v>
          </cell>
          <cell r="B1118" t="str">
            <v>Lavadora Presión EVENT 130 TSS 1700PSI</v>
          </cell>
          <cell r="D1118">
            <v>7200</v>
          </cell>
          <cell r="E1118">
            <v>1000</v>
          </cell>
          <cell r="F1118" t="str">
            <v>ZALM</v>
          </cell>
          <cell r="G1118" t="str">
            <v>UN</v>
          </cell>
          <cell r="H1118" t="str">
            <v>DOP</v>
          </cell>
          <cell r="I1118">
            <v>0</v>
          </cell>
          <cell r="J1118">
            <v>0</v>
          </cell>
          <cell r="K1118">
            <v>0</v>
          </cell>
          <cell r="L1118">
            <v>0</v>
          </cell>
          <cell r="M1118">
            <v>0</v>
          </cell>
          <cell r="N1118">
            <v>0</v>
          </cell>
          <cell r="O1118">
            <v>0</v>
          </cell>
          <cell r="P1118">
            <v>0</v>
          </cell>
          <cell r="Q1118">
            <v>0</v>
          </cell>
          <cell r="R1118">
            <v>0</v>
          </cell>
          <cell r="S1118">
            <v>0</v>
          </cell>
          <cell r="T1118">
            <v>0</v>
          </cell>
          <cell r="U1118" t="e">
            <v>#N/A</v>
          </cell>
        </row>
        <row r="1119">
          <cell r="A1119">
            <v>1001113</v>
          </cell>
          <cell r="B1119" t="str">
            <v>Lector de Memoria</v>
          </cell>
          <cell r="D1119">
            <v>7200</v>
          </cell>
          <cell r="E1119">
            <v>1000</v>
          </cell>
          <cell r="F1119" t="str">
            <v>ZALM</v>
          </cell>
          <cell r="G1119" t="str">
            <v>UN</v>
          </cell>
          <cell r="H1119" t="str">
            <v>DOP</v>
          </cell>
          <cell r="I1119">
            <v>0</v>
          </cell>
          <cell r="J1119">
            <v>0</v>
          </cell>
          <cell r="K1119">
            <v>0</v>
          </cell>
          <cell r="L1119">
            <v>0</v>
          </cell>
          <cell r="M1119">
            <v>0</v>
          </cell>
          <cell r="N1119">
            <v>0</v>
          </cell>
          <cell r="O1119">
            <v>0</v>
          </cell>
          <cell r="P1119">
            <v>0</v>
          </cell>
          <cell r="Q1119">
            <v>0</v>
          </cell>
          <cell r="R1119">
            <v>0</v>
          </cell>
          <cell r="S1119">
            <v>0</v>
          </cell>
          <cell r="T1119">
            <v>0</v>
          </cell>
          <cell r="U1119" t="e">
            <v>#N/A</v>
          </cell>
        </row>
        <row r="1120">
          <cell r="A1120">
            <v>1001114</v>
          </cell>
          <cell r="B1120" t="str">
            <v>Manguera P/ Compresor de Aire 50'</v>
          </cell>
          <cell r="D1120">
            <v>7200</v>
          </cell>
          <cell r="E1120">
            <v>1000</v>
          </cell>
          <cell r="F1120" t="str">
            <v>ZALM</v>
          </cell>
          <cell r="G1120" t="str">
            <v>UN</v>
          </cell>
          <cell r="H1120" t="str">
            <v>DOP</v>
          </cell>
          <cell r="I1120">
            <v>2</v>
          </cell>
          <cell r="J1120">
            <v>1554.4</v>
          </cell>
          <cell r="K1120">
            <v>0</v>
          </cell>
          <cell r="L1120">
            <v>0</v>
          </cell>
          <cell r="M1120">
            <v>0</v>
          </cell>
          <cell r="N1120">
            <v>0</v>
          </cell>
          <cell r="O1120">
            <v>0</v>
          </cell>
          <cell r="P1120">
            <v>0</v>
          </cell>
          <cell r="Q1120">
            <v>0</v>
          </cell>
          <cell r="R1120">
            <v>0</v>
          </cell>
          <cell r="S1120">
            <v>2</v>
          </cell>
          <cell r="T1120">
            <v>1554.4</v>
          </cell>
          <cell r="U1120">
            <v>777.2</v>
          </cell>
        </row>
        <row r="1121">
          <cell r="A1121">
            <v>1001115</v>
          </cell>
          <cell r="B1121" t="str">
            <v>Manguera P/ Equipo de Acetileno 50'</v>
          </cell>
          <cell r="D1121">
            <v>7200</v>
          </cell>
          <cell r="E1121">
            <v>1000</v>
          </cell>
          <cell r="F1121" t="str">
            <v>ZALM</v>
          </cell>
          <cell r="G1121" t="str">
            <v>UN</v>
          </cell>
          <cell r="H1121" t="str">
            <v>DOP</v>
          </cell>
          <cell r="I1121">
            <v>0</v>
          </cell>
          <cell r="J1121">
            <v>0</v>
          </cell>
          <cell r="K1121">
            <v>0</v>
          </cell>
          <cell r="L1121">
            <v>0</v>
          </cell>
          <cell r="M1121">
            <v>0</v>
          </cell>
          <cell r="N1121">
            <v>0</v>
          </cell>
          <cell r="O1121">
            <v>0</v>
          </cell>
          <cell r="P1121">
            <v>0</v>
          </cell>
          <cell r="Q1121">
            <v>0</v>
          </cell>
          <cell r="R1121">
            <v>0</v>
          </cell>
          <cell r="S1121">
            <v>0</v>
          </cell>
          <cell r="T1121">
            <v>0</v>
          </cell>
          <cell r="U1121" t="e">
            <v>#N/A</v>
          </cell>
        </row>
        <row r="1122">
          <cell r="A1122">
            <v>1001116</v>
          </cell>
          <cell r="B1122" t="str">
            <v>Manometro P/ 2000 Lbs P/ Presion Aceite</v>
          </cell>
          <cell r="D1122">
            <v>7200</v>
          </cell>
          <cell r="E1122">
            <v>1000</v>
          </cell>
          <cell r="F1122" t="str">
            <v>ZALM</v>
          </cell>
          <cell r="G1122" t="str">
            <v>UN</v>
          </cell>
          <cell r="H1122" t="str">
            <v>DOP</v>
          </cell>
          <cell r="I1122">
            <v>0</v>
          </cell>
          <cell r="J1122">
            <v>0</v>
          </cell>
          <cell r="K1122">
            <v>0</v>
          </cell>
          <cell r="L1122">
            <v>0</v>
          </cell>
          <cell r="M1122">
            <v>0</v>
          </cell>
          <cell r="N1122">
            <v>0</v>
          </cell>
          <cell r="O1122">
            <v>0</v>
          </cell>
          <cell r="P1122">
            <v>0</v>
          </cell>
          <cell r="Q1122">
            <v>0</v>
          </cell>
          <cell r="R1122">
            <v>0</v>
          </cell>
          <cell r="S1122">
            <v>0</v>
          </cell>
          <cell r="T1122">
            <v>0</v>
          </cell>
          <cell r="U1122" t="e">
            <v>#N/A</v>
          </cell>
        </row>
        <row r="1123">
          <cell r="A1123">
            <v>1001117</v>
          </cell>
          <cell r="B1123" t="str">
            <v>Manometro P/ 600 Lbs P/ Presion Aceite</v>
          </cell>
          <cell r="D1123">
            <v>7200</v>
          </cell>
          <cell r="E1123">
            <v>1000</v>
          </cell>
          <cell r="F1123" t="str">
            <v>ZALM</v>
          </cell>
          <cell r="G1123" t="str">
            <v>UN</v>
          </cell>
          <cell r="H1123" t="str">
            <v>DOP</v>
          </cell>
          <cell r="I1123">
            <v>0</v>
          </cell>
          <cell r="J1123">
            <v>0</v>
          </cell>
          <cell r="K1123">
            <v>0</v>
          </cell>
          <cell r="L1123">
            <v>0</v>
          </cell>
          <cell r="M1123">
            <v>0</v>
          </cell>
          <cell r="N1123">
            <v>0</v>
          </cell>
          <cell r="O1123">
            <v>0</v>
          </cell>
          <cell r="P1123">
            <v>0</v>
          </cell>
          <cell r="Q1123">
            <v>0</v>
          </cell>
          <cell r="R1123">
            <v>0</v>
          </cell>
          <cell r="S1123">
            <v>0</v>
          </cell>
          <cell r="T1123">
            <v>0</v>
          </cell>
          <cell r="U1123" t="e">
            <v>#N/A</v>
          </cell>
        </row>
        <row r="1124">
          <cell r="A1124">
            <v>1001118</v>
          </cell>
          <cell r="B1124" t="str">
            <v>Máquina Herramienta Difer 0.20Ton</v>
          </cell>
          <cell r="D1124">
            <v>7200</v>
          </cell>
          <cell r="E1124">
            <v>1000</v>
          </cell>
          <cell r="F1124" t="str">
            <v>ZALM</v>
          </cell>
          <cell r="G1124" t="str">
            <v>UN</v>
          </cell>
          <cell r="H1124" t="str">
            <v>DOP</v>
          </cell>
          <cell r="I1124">
            <v>0</v>
          </cell>
          <cell r="J1124">
            <v>0</v>
          </cell>
          <cell r="K1124">
            <v>0</v>
          </cell>
          <cell r="L1124">
            <v>0</v>
          </cell>
          <cell r="M1124">
            <v>0</v>
          </cell>
          <cell r="N1124">
            <v>0</v>
          </cell>
          <cell r="O1124">
            <v>0</v>
          </cell>
          <cell r="P1124">
            <v>0</v>
          </cell>
          <cell r="Q1124">
            <v>0</v>
          </cell>
          <cell r="R1124">
            <v>0</v>
          </cell>
          <cell r="S1124">
            <v>0</v>
          </cell>
          <cell r="T1124">
            <v>0</v>
          </cell>
          <cell r="U1124" t="e">
            <v>#N/A</v>
          </cell>
        </row>
        <row r="1125">
          <cell r="A1125">
            <v>1001119</v>
          </cell>
          <cell r="B1125" t="str">
            <v>Máquina Herramienta Difer 0.5Ton</v>
          </cell>
          <cell r="D1125">
            <v>7200</v>
          </cell>
          <cell r="E1125">
            <v>1000</v>
          </cell>
          <cell r="F1125" t="str">
            <v>ZALM</v>
          </cell>
          <cell r="G1125" t="str">
            <v>UN</v>
          </cell>
          <cell r="H1125" t="str">
            <v>DOP</v>
          </cell>
          <cell r="I1125">
            <v>0</v>
          </cell>
          <cell r="J1125">
            <v>0</v>
          </cell>
          <cell r="K1125">
            <v>0</v>
          </cell>
          <cell r="L1125">
            <v>0</v>
          </cell>
          <cell r="M1125">
            <v>0</v>
          </cell>
          <cell r="N1125">
            <v>0</v>
          </cell>
          <cell r="O1125">
            <v>0</v>
          </cell>
          <cell r="P1125">
            <v>0</v>
          </cell>
          <cell r="Q1125">
            <v>0</v>
          </cell>
          <cell r="R1125">
            <v>0</v>
          </cell>
          <cell r="S1125">
            <v>0</v>
          </cell>
          <cell r="T1125">
            <v>0</v>
          </cell>
          <cell r="U1125" t="e">
            <v>#N/A</v>
          </cell>
        </row>
        <row r="1126">
          <cell r="A1126">
            <v>1001120</v>
          </cell>
          <cell r="B1126" t="str">
            <v>Máquina Herramienta Difer 0.75Ton</v>
          </cell>
          <cell r="D1126">
            <v>7200</v>
          </cell>
          <cell r="E1126">
            <v>1000</v>
          </cell>
          <cell r="F1126" t="str">
            <v>ZALM</v>
          </cell>
          <cell r="G1126" t="str">
            <v>UN</v>
          </cell>
          <cell r="H1126" t="str">
            <v>DOP</v>
          </cell>
          <cell r="I1126">
            <v>0</v>
          </cell>
          <cell r="J1126">
            <v>0</v>
          </cell>
          <cell r="K1126">
            <v>0</v>
          </cell>
          <cell r="L1126">
            <v>0</v>
          </cell>
          <cell r="M1126">
            <v>0</v>
          </cell>
          <cell r="N1126">
            <v>0</v>
          </cell>
          <cell r="O1126">
            <v>0</v>
          </cell>
          <cell r="P1126">
            <v>0</v>
          </cell>
          <cell r="Q1126">
            <v>0</v>
          </cell>
          <cell r="R1126">
            <v>0</v>
          </cell>
          <cell r="S1126">
            <v>0</v>
          </cell>
          <cell r="T1126">
            <v>0</v>
          </cell>
          <cell r="U1126" t="e">
            <v>#N/A</v>
          </cell>
        </row>
        <row r="1127">
          <cell r="A1127">
            <v>1001121</v>
          </cell>
          <cell r="B1127" t="str">
            <v>Máquina Herramienta Difer 1.5Ton</v>
          </cell>
          <cell r="D1127">
            <v>7200</v>
          </cell>
          <cell r="E1127">
            <v>1000</v>
          </cell>
          <cell r="F1127" t="str">
            <v>ZALM</v>
          </cell>
          <cell r="G1127" t="str">
            <v>UN</v>
          </cell>
          <cell r="H1127" t="str">
            <v>DOP</v>
          </cell>
          <cell r="I1127">
            <v>0</v>
          </cell>
          <cell r="J1127">
            <v>0</v>
          </cell>
          <cell r="K1127">
            <v>0</v>
          </cell>
          <cell r="L1127">
            <v>0</v>
          </cell>
          <cell r="M1127">
            <v>0</v>
          </cell>
          <cell r="N1127">
            <v>0</v>
          </cell>
          <cell r="O1127">
            <v>0</v>
          </cell>
          <cell r="P1127">
            <v>0</v>
          </cell>
          <cell r="Q1127">
            <v>0</v>
          </cell>
          <cell r="R1127">
            <v>0</v>
          </cell>
          <cell r="S1127">
            <v>0</v>
          </cell>
          <cell r="T1127">
            <v>0</v>
          </cell>
          <cell r="U1127" t="e">
            <v>#N/A</v>
          </cell>
        </row>
        <row r="1128">
          <cell r="A1128">
            <v>1001122</v>
          </cell>
          <cell r="B1128" t="str">
            <v>Máquina Herramienta Difer 3/4Ton</v>
          </cell>
          <cell r="D1128">
            <v>7200</v>
          </cell>
          <cell r="E1128">
            <v>1000</v>
          </cell>
          <cell r="F1128" t="str">
            <v>ZALM</v>
          </cell>
          <cell r="G1128" t="str">
            <v>UN</v>
          </cell>
          <cell r="H1128" t="str">
            <v>DOP</v>
          </cell>
          <cell r="I1128">
            <v>0</v>
          </cell>
          <cell r="J1128">
            <v>0</v>
          </cell>
          <cell r="K1128">
            <v>0</v>
          </cell>
          <cell r="L1128">
            <v>0</v>
          </cell>
          <cell r="M1128">
            <v>0</v>
          </cell>
          <cell r="N1128">
            <v>0</v>
          </cell>
          <cell r="O1128">
            <v>0</v>
          </cell>
          <cell r="P1128">
            <v>0</v>
          </cell>
          <cell r="Q1128">
            <v>0</v>
          </cell>
          <cell r="R1128">
            <v>0</v>
          </cell>
          <cell r="S1128">
            <v>0</v>
          </cell>
          <cell r="T1128">
            <v>0</v>
          </cell>
          <cell r="U1128" t="e">
            <v>#N/A</v>
          </cell>
        </row>
        <row r="1129">
          <cell r="A1129">
            <v>1001123</v>
          </cell>
          <cell r="B1129" t="str">
            <v>Maquina P/ Soldar Varilla de Tierra</v>
          </cell>
          <cell r="D1129">
            <v>7200</v>
          </cell>
          <cell r="E1129">
            <v>1000</v>
          </cell>
          <cell r="F1129" t="str">
            <v>ZALM</v>
          </cell>
          <cell r="G1129" t="str">
            <v>UN</v>
          </cell>
          <cell r="H1129" t="str">
            <v>DOP</v>
          </cell>
          <cell r="I1129">
            <v>0</v>
          </cell>
          <cell r="J1129">
            <v>0</v>
          </cell>
          <cell r="K1129">
            <v>0</v>
          </cell>
          <cell r="L1129">
            <v>0</v>
          </cell>
          <cell r="M1129">
            <v>0</v>
          </cell>
          <cell r="N1129">
            <v>0</v>
          </cell>
          <cell r="O1129">
            <v>0</v>
          </cell>
          <cell r="P1129">
            <v>0</v>
          </cell>
          <cell r="Q1129">
            <v>0</v>
          </cell>
          <cell r="R1129">
            <v>0</v>
          </cell>
          <cell r="S1129">
            <v>0</v>
          </cell>
          <cell r="T1129">
            <v>0</v>
          </cell>
          <cell r="U1129" t="e">
            <v>#N/A</v>
          </cell>
        </row>
        <row r="1130">
          <cell r="A1130">
            <v>1001124</v>
          </cell>
          <cell r="B1130" t="str">
            <v>Molde P/ Maquina Soldar Varilla Tierra</v>
          </cell>
          <cell r="D1130">
            <v>7200</v>
          </cell>
          <cell r="E1130">
            <v>1000</v>
          </cell>
          <cell r="F1130" t="str">
            <v>ZALM</v>
          </cell>
          <cell r="G1130" t="str">
            <v>UN</v>
          </cell>
          <cell r="H1130" t="str">
            <v>DOP</v>
          </cell>
          <cell r="I1130">
            <v>0</v>
          </cell>
          <cell r="J1130">
            <v>0</v>
          </cell>
          <cell r="K1130">
            <v>0</v>
          </cell>
          <cell r="L1130">
            <v>0</v>
          </cell>
          <cell r="M1130">
            <v>0</v>
          </cell>
          <cell r="N1130">
            <v>0</v>
          </cell>
          <cell r="O1130">
            <v>0</v>
          </cell>
          <cell r="P1130">
            <v>0</v>
          </cell>
          <cell r="Q1130">
            <v>0</v>
          </cell>
          <cell r="R1130">
            <v>0</v>
          </cell>
          <cell r="S1130">
            <v>0</v>
          </cell>
          <cell r="T1130">
            <v>0</v>
          </cell>
          <cell r="U1130" t="e">
            <v>#N/A</v>
          </cell>
        </row>
        <row r="1131">
          <cell r="A1131">
            <v>1001125</v>
          </cell>
          <cell r="B1131" t="str">
            <v>Montacarga de KRINKER</v>
          </cell>
          <cell r="D1131">
            <v>7200</v>
          </cell>
          <cell r="E1131">
            <v>1000</v>
          </cell>
          <cell r="F1131" t="str">
            <v>ZALM</v>
          </cell>
          <cell r="G1131" t="str">
            <v>UN</v>
          </cell>
          <cell r="H1131" t="str">
            <v>DOP</v>
          </cell>
          <cell r="I1131">
            <v>0</v>
          </cell>
          <cell r="J1131">
            <v>0</v>
          </cell>
          <cell r="K1131">
            <v>0</v>
          </cell>
          <cell r="L1131">
            <v>0</v>
          </cell>
          <cell r="M1131">
            <v>0</v>
          </cell>
          <cell r="N1131">
            <v>0</v>
          </cell>
          <cell r="O1131">
            <v>0</v>
          </cell>
          <cell r="P1131">
            <v>0</v>
          </cell>
          <cell r="Q1131">
            <v>0</v>
          </cell>
          <cell r="R1131">
            <v>0</v>
          </cell>
          <cell r="S1131">
            <v>0</v>
          </cell>
          <cell r="T1131">
            <v>0</v>
          </cell>
          <cell r="U1131" t="e">
            <v>#N/A</v>
          </cell>
        </row>
        <row r="1132">
          <cell r="A1132">
            <v>1001126</v>
          </cell>
          <cell r="B1132" t="str">
            <v>Motor 125V DC para 15kV</v>
          </cell>
          <cell r="D1132">
            <v>7200</v>
          </cell>
          <cell r="E1132">
            <v>1000</v>
          </cell>
          <cell r="F1132" t="str">
            <v>ZALM</v>
          </cell>
          <cell r="G1132" t="str">
            <v>UN</v>
          </cell>
          <cell r="H1132" t="str">
            <v>DOP</v>
          </cell>
          <cell r="I1132">
            <v>5</v>
          </cell>
          <cell r="J1132">
            <v>65298.68</v>
          </cell>
          <cell r="K1132">
            <v>0</v>
          </cell>
          <cell r="L1132">
            <v>0</v>
          </cell>
          <cell r="M1132">
            <v>0</v>
          </cell>
          <cell r="N1132">
            <v>0</v>
          </cell>
          <cell r="O1132">
            <v>0</v>
          </cell>
          <cell r="P1132">
            <v>0</v>
          </cell>
          <cell r="Q1132">
            <v>0</v>
          </cell>
          <cell r="R1132">
            <v>0</v>
          </cell>
          <cell r="S1132">
            <v>5</v>
          </cell>
          <cell r="T1132">
            <v>65298.68</v>
          </cell>
          <cell r="U1132">
            <v>13059.736000000001</v>
          </cell>
        </row>
        <row r="1133">
          <cell r="A1133">
            <v>1001127</v>
          </cell>
          <cell r="B1133" t="str">
            <v>Motor 125V DC para 72.5kV</v>
          </cell>
          <cell r="D1133">
            <v>7200</v>
          </cell>
          <cell r="E1133">
            <v>1000</v>
          </cell>
          <cell r="F1133" t="str">
            <v>ZALM</v>
          </cell>
          <cell r="G1133" t="str">
            <v>UN</v>
          </cell>
          <cell r="H1133" t="str">
            <v>DOP</v>
          </cell>
          <cell r="I1133">
            <v>0</v>
          </cell>
          <cell r="J1133">
            <v>0</v>
          </cell>
          <cell r="K1133">
            <v>0</v>
          </cell>
          <cell r="L1133">
            <v>0</v>
          </cell>
          <cell r="M1133">
            <v>0</v>
          </cell>
          <cell r="N1133">
            <v>0</v>
          </cell>
          <cell r="O1133">
            <v>0</v>
          </cell>
          <cell r="P1133">
            <v>0</v>
          </cell>
          <cell r="Q1133">
            <v>0</v>
          </cell>
          <cell r="R1133">
            <v>0</v>
          </cell>
          <cell r="S1133">
            <v>0</v>
          </cell>
          <cell r="T1133">
            <v>0</v>
          </cell>
          <cell r="U1133" t="e">
            <v>#N/A</v>
          </cell>
        </row>
        <row r="1134">
          <cell r="A1134">
            <v>1001128</v>
          </cell>
          <cell r="B1134" t="str">
            <v>Motor de Carga MLFB: 3AY1511-1E</v>
          </cell>
          <cell r="D1134">
            <v>7200</v>
          </cell>
          <cell r="E1134">
            <v>1000</v>
          </cell>
          <cell r="F1134" t="str">
            <v>ZALM</v>
          </cell>
          <cell r="G1134" t="str">
            <v>UN</v>
          </cell>
          <cell r="H1134" t="str">
            <v>DOP</v>
          </cell>
          <cell r="I1134">
            <v>0</v>
          </cell>
          <cell r="J1134">
            <v>0</v>
          </cell>
          <cell r="K1134">
            <v>0</v>
          </cell>
          <cell r="L1134">
            <v>0</v>
          </cell>
          <cell r="M1134">
            <v>0</v>
          </cell>
          <cell r="N1134">
            <v>0</v>
          </cell>
          <cell r="O1134">
            <v>0</v>
          </cell>
          <cell r="P1134">
            <v>0</v>
          </cell>
          <cell r="Q1134">
            <v>0</v>
          </cell>
          <cell r="R1134">
            <v>0</v>
          </cell>
          <cell r="S1134">
            <v>0</v>
          </cell>
          <cell r="T1134">
            <v>0</v>
          </cell>
          <cell r="U1134" t="e">
            <v>#N/A</v>
          </cell>
        </row>
        <row r="1135">
          <cell r="A1135">
            <v>1001129</v>
          </cell>
          <cell r="B1135" t="str">
            <v>Motosierra de 20 Cuchilla 5.5Hp</v>
          </cell>
          <cell r="D1135">
            <v>7200</v>
          </cell>
          <cell r="E1135">
            <v>1000</v>
          </cell>
          <cell r="F1135" t="str">
            <v>ZALM</v>
          </cell>
          <cell r="G1135" t="str">
            <v>UN</v>
          </cell>
          <cell r="H1135" t="str">
            <v>DOP</v>
          </cell>
          <cell r="I1135">
            <v>0</v>
          </cell>
          <cell r="J1135">
            <v>0</v>
          </cell>
          <cell r="K1135">
            <v>0</v>
          </cell>
          <cell r="L1135">
            <v>0</v>
          </cell>
          <cell r="M1135">
            <v>0</v>
          </cell>
          <cell r="N1135">
            <v>0</v>
          </cell>
          <cell r="O1135">
            <v>0</v>
          </cell>
          <cell r="P1135">
            <v>0</v>
          </cell>
          <cell r="Q1135">
            <v>0</v>
          </cell>
          <cell r="R1135">
            <v>0</v>
          </cell>
          <cell r="S1135">
            <v>0</v>
          </cell>
          <cell r="T1135">
            <v>0</v>
          </cell>
          <cell r="U1135" t="e">
            <v>#N/A</v>
          </cell>
        </row>
        <row r="1136">
          <cell r="A1136">
            <v>1001130</v>
          </cell>
          <cell r="B1136" t="str">
            <v>Nock Out Mecanico Hasta 1"</v>
          </cell>
          <cell r="D1136">
            <v>7200</v>
          </cell>
          <cell r="E1136">
            <v>1000</v>
          </cell>
          <cell r="F1136" t="str">
            <v>ZALM</v>
          </cell>
          <cell r="G1136" t="str">
            <v>UN</v>
          </cell>
          <cell r="H1136" t="str">
            <v>DOP</v>
          </cell>
          <cell r="I1136">
            <v>0</v>
          </cell>
          <cell r="J1136">
            <v>0</v>
          </cell>
          <cell r="K1136">
            <v>0</v>
          </cell>
          <cell r="L1136">
            <v>0</v>
          </cell>
          <cell r="M1136">
            <v>0</v>
          </cell>
          <cell r="N1136">
            <v>0</v>
          </cell>
          <cell r="O1136">
            <v>0</v>
          </cell>
          <cell r="P1136">
            <v>0</v>
          </cell>
          <cell r="Q1136">
            <v>0</v>
          </cell>
          <cell r="R1136">
            <v>0</v>
          </cell>
          <cell r="S1136">
            <v>0</v>
          </cell>
          <cell r="T1136">
            <v>0</v>
          </cell>
          <cell r="U1136" t="e">
            <v>#N/A</v>
          </cell>
        </row>
        <row r="1137">
          <cell r="A1137">
            <v>1001131</v>
          </cell>
          <cell r="B1137" t="str">
            <v>Nock Out Mecánico Hasta 3"</v>
          </cell>
          <cell r="D1137">
            <v>7200</v>
          </cell>
          <cell r="E1137">
            <v>1000</v>
          </cell>
          <cell r="F1137" t="str">
            <v>ZALM</v>
          </cell>
          <cell r="G1137" t="str">
            <v>UN</v>
          </cell>
          <cell r="H1137" t="str">
            <v>DOP</v>
          </cell>
          <cell r="I1137">
            <v>0</v>
          </cell>
          <cell r="J1137">
            <v>0</v>
          </cell>
          <cell r="K1137">
            <v>0</v>
          </cell>
          <cell r="L1137">
            <v>0</v>
          </cell>
          <cell r="M1137">
            <v>0</v>
          </cell>
          <cell r="N1137">
            <v>0</v>
          </cell>
          <cell r="O1137">
            <v>0</v>
          </cell>
          <cell r="P1137">
            <v>0</v>
          </cell>
          <cell r="Q1137">
            <v>0</v>
          </cell>
          <cell r="R1137">
            <v>0</v>
          </cell>
          <cell r="S1137">
            <v>0</v>
          </cell>
          <cell r="T1137">
            <v>0</v>
          </cell>
          <cell r="U1137" t="e">
            <v>#N/A</v>
          </cell>
        </row>
        <row r="1138">
          <cell r="A1138">
            <v>1001132</v>
          </cell>
          <cell r="B1138" t="str">
            <v>Patrón Verif Trif Port Cl 0.2% C/ Acces</v>
          </cell>
          <cell r="D1138">
            <v>7200</v>
          </cell>
          <cell r="E1138">
            <v>1000</v>
          </cell>
          <cell r="F1138" t="str">
            <v>ZALM</v>
          </cell>
          <cell r="G1138" t="str">
            <v>UN</v>
          </cell>
          <cell r="H1138" t="str">
            <v>DOP</v>
          </cell>
          <cell r="I1138">
            <v>0</v>
          </cell>
          <cell r="J1138">
            <v>0</v>
          </cell>
          <cell r="K1138">
            <v>0</v>
          </cell>
          <cell r="L1138">
            <v>0</v>
          </cell>
          <cell r="M1138">
            <v>0</v>
          </cell>
          <cell r="N1138">
            <v>0</v>
          </cell>
          <cell r="O1138">
            <v>0</v>
          </cell>
          <cell r="P1138">
            <v>0</v>
          </cell>
          <cell r="Q1138">
            <v>0</v>
          </cell>
          <cell r="R1138">
            <v>0</v>
          </cell>
          <cell r="S1138">
            <v>0</v>
          </cell>
          <cell r="T1138">
            <v>0</v>
          </cell>
          <cell r="U1138" t="e">
            <v>#N/A</v>
          </cell>
        </row>
        <row r="1139">
          <cell r="A1139">
            <v>1001133</v>
          </cell>
          <cell r="B1139" t="str">
            <v>Pistola P/ Soldar Varilla Tierra Mechero</v>
          </cell>
          <cell r="D1139">
            <v>7200</v>
          </cell>
          <cell r="E1139">
            <v>1000</v>
          </cell>
          <cell r="F1139" t="str">
            <v>ZALM</v>
          </cell>
          <cell r="G1139" t="str">
            <v>UN</v>
          </cell>
          <cell r="H1139" t="str">
            <v>DOP</v>
          </cell>
          <cell r="I1139">
            <v>0</v>
          </cell>
          <cell r="J1139">
            <v>0</v>
          </cell>
          <cell r="K1139">
            <v>0</v>
          </cell>
          <cell r="L1139">
            <v>0</v>
          </cell>
          <cell r="M1139">
            <v>0</v>
          </cell>
          <cell r="N1139">
            <v>0</v>
          </cell>
          <cell r="O1139">
            <v>0</v>
          </cell>
          <cell r="P1139">
            <v>0</v>
          </cell>
          <cell r="Q1139">
            <v>0</v>
          </cell>
          <cell r="R1139">
            <v>0</v>
          </cell>
          <cell r="S1139">
            <v>0</v>
          </cell>
          <cell r="T1139">
            <v>0</v>
          </cell>
          <cell r="U1139" t="e">
            <v>#N/A</v>
          </cell>
        </row>
        <row r="1140">
          <cell r="A1140">
            <v>1001134</v>
          </cell>
          <cell r="B1140" t="str">
            <v>Pistola P/ Sopletear Star 1/4" Recta</v>
          </cell>
          <cell r="D1140">
            <v>7200</v>
          </cell>
          <cell r="E1140">
            <v>1000</v>
          </cell>
          <cell r="F1140" t="str">
            <v>ZALM</v>
          </cell>
          <cell r="G1140" t="str">
            <v>UN</v>
          </cell>
          <cell r="H1140" t="str">
            <v>DOP</v>
          </cell>
          <cell r="I1140">
            <v>0</v>
          </cell>
          <cell r="J1140">
            <v>0</v>
          </cell>
          <cell r="K1140">
            <v>0</v>
          </cell>
          <cell r="L1140">
            <v>0</v>
          </cell>
          <cell r="M1140">
            <v>0</v>
          </cell>
          <cell r="N1140">
            <v>0</v>
          </cell>
          <cell r="O1140">
            <v>0</v>
          </cell>
          <cell r="P1140">
            <v>0</v>
          </cell>
          <cell r="Q1140">
            <v>0</v>
          </cell>
          <cell r="R1140">
            <v>0</v>
          </cell>
          <cell r="S1140">
            <v>0</v>
          </cell>
          <cell r="T1140">
            <v>0</v>
          </cell>
          <cell r="U1140" t="e">
            <v>#N/A</v>
          </cell>
        </row>
        <row r="1141">
          <cell r="A1141">
            <v>1001135</v>
          </cell>
          <cell r="B1141" t="str">
            <v>Planta Elect 75kW</v>
          </cell>
          <cell r="D1141">
            <v>7200</v>
          </cell>
          <cell r="E1141">
            <v>1000</v>
          </cell>
          <cell r="F1141" t="str">
            <v>ZALM</v>
          </cell>
          <cell r="G1141" t="str">
            <v>UN</v>
          </cell>
          <cell r="H1141" t="str">
            <v>DOP</v>
          </cell>
          <cell r="I1141">
            <v>0</v>
          </cell>
          <cell r="J1141">
            <v>0</v>
          </cell>
          <cell r="K1141">
            <v>0</v>
          </cell>
          <cell r="L1141">
            <v>0</v>
          </cell>
          <cell r="M1141">
            <v>0</v>
          </cell>
          <cell r="N1141">
            <v>0</v>
          </cell>
          <cell r="O1141">
            <v>0</v>
          </cell>
          <cell r="P1141">
            <v>0</v>
          </cell>
          <cell r="Q1141">
            <v>0</v>
          </cell>
          <cell r="R1141">
            <v>0</v>
          </cell>
          <cell r="S1141">
            <v>0</v>
          </cell>
          <cell r="T1141">
            <v>0</v>
          </cell>
          <cell r="U1141" t="e">
            <v>#N/A</v>
          </cell>
        </row>
        <row r="1142">
          <cell r="A1142">
            <v>1001136</v>
          </cell>
          <cell r="B1142" t="str">
            <v>Planta Elect Cambel House 3.5kW Gasolina</v>
          </cell>
          <cell r="D1142">
            <v>7200</v>
          </cell>
          <cell r="E1142">
            <v>1000</v>
          </cell>
          <cell r="F1142" t="str">
            <v>ZALM</v>
          </cell>
          <cell r="G1142" t="str">
            <v>UN</v>
          </cell>
          <cell r="H1142" t="str">
            <v>DOP</v>
          </cell>
          <cell r="I1142">
            <v>0</v>
          </cell>
          <cell r="J1142">
            <v>0</v>
          </cell>
          <cell r="K1142">
            <v>0</v>
          </cell>
          <cell r="L1142">
            <v>0</v>
          </cell>
          <cell r="M1142">
            <v>0</v>
          </cell>
          <cell r="N1142">
            <v>0</v>
          </cell>
          <cell r="O1142">
            <v>0</v>
          </cell>
          <cell r="P1142">
            <v>0</v>
          </cell>
          <cell r="Q1142">
            <v>0</v>
          </cell>
          <cell r="R1142">
            <v>0</v>
          </cell>
          <cell r="S1142">
            <v>0</v>
          </cell>
          <cell r="T1142">
            <v>0</v>
          </cell>
          <cell r="U1142" t="e">
            <v>#N/A</v>
          </cell>
        </row>
        <row r="1143">
          <cell r="A1143">
            <v>1001137</v>
          </cell>
          <cell r="B1143" t="str">
            <v>Planta Elect Cambel House 5.5kW Gasolina</v>
          </cell>
          <cell r="D1143">
            <v>7200</v>
          </cell>
          <cell r="E1143">
            <v>1000</v>
          </cell>
          <cell r="F1143" t="str">
            <v>ZALM</v>
          </cell>
          <cell r="G1143" t="str">
            <v>UN</v>
          </cell>
          <cell r="H1143" t="str">
            <v>DOP</v>
          </cell>
          <cell r="I1143">
            <v>0</v>
          </cell>
          <cell r="J1143">
            <v>0</v>
          </cell>
          <cell r="K1143">
            <v>0</v>
          </cell>
          <cell r="L1143">
            <v>0</v>
          </cell>
          <cell r="M1143">
            <v>0</v>
          </cell>
          <cell r="N1143">
            <v>0</v>
          </cell>
          <cell r="O1143">
            <v>0</v>
          </cell>
          <cell r="P1143">
            <v>0</v>
          </cell>
          <cell r="Q1143">
            <v>0</v>
          </cell>
          <cell r="R1143">
            <v>0</v>
          </cell>
          <cell r="S1143">
            <v>0</v>
          </cell>
          <cell r="T1143">
            <v>0</v>
          </cell>
          <cell r="U1143" t="e">
            <v>#N/A</v>
          </cell>
        </row>
        <row r="1144">
          <cell r="A1144">
            <v>1001138</v>
          </cell>
          <cell r="B1144" t="str">
            <v>Planta Generador 5.5kW</v>
          </cell>
          <cell r="D1144">
            <v>7200</v>
          </cell>
          <cell r="E1144">
            <v>1000</v>
          </cell>
          <cell r="F1144" t="str">
            <v>ZALM</v>
          </cell>
          <cell r="G1144" t="str">
            <v>UN</v>
          </cell>
          <cell r="H1144" t="str">
            <v>DOP</v>
          </cell>
          <cell r="I1144">
            <v>0</v>
          </cell>
          <cell r="J1144">
            <v>0</v>
          </cell>
          <cell r="K1144">
            <v>0</v>
          </cell>
          <cell r="L1144">
            <v>0</v>
          </cell>
          <cell r="M1144">
            <v>0</v>
          </cell>
          <cell r="N1144">
            <v>0</v>
          </cell>
          <cell r="O1144">
            <v>0</v>
          </cell>
          <cell r="P1144">
            <v>0</v>
          </cell>
          <cell r="Q1144">
            <v>0</v>
          </cell>
          <cell r="R1144">
            <v>0</v>
          </cell>
          <cell r="S1144">
            <v>0</v>
          </cell>
          <cell r="T1144">
            <v>0</v>
          </cell>
          <cell r="U1144" t="e">
            <v>#N/A</v>
          </cell>
        </row>
        <row r="1145">
          <cell r="A1145">
            <v>1001139</v>
          </cell>
          <cell r="B1145" t="str">
            <v>Plataforma Aislada de 4´C-402-1042</v>
          </cell>
          <cell r="D1145">
            <v>7200</v>
          </cell>
          <cell r="E1145">
            <v>1000</v>
          </cell>
          <cell r="F1145" t="str">
            <v>ZALM</v>
          </cell>
          <cell r="G1145" t="str">
            <v>UN</v>
          </cell>
          <cell r="H1145" t="str">
            <v>DOP</v>
          </cell>
          <cell r="I1145">
            <v>0</v>
          </cell>
          <cell r="J1145">
            <v>0</v>
          </cell>
          <cell r="K1145">
            <v>0</v>
          </cell>
          <cell r="L1145">
            <v>0</v>
          </cell>
          <cell r="M1145">
            <v>0</v>
          </cell>
          <cell r="N1145">
            <v>0</v>
          </cell>
          <cell r="O1145">
            <v>0</v>
          </cell>
          <cell r="P1145">
            <v>0</v>
          </cell>
          <cell r="Q1145">
            <v>0</v>
          </cell>
          <cell r="R1145">
            <v>0</v>
          </cell>
          <cell r="S1145">
            <v>0</v>
          </cell>
          <cell r="T1145">
            <v>0</v>
          </cell>
          <cell r="U1145" t="e">
            <v>#N/A</v>
          </cell>
        </row>
        <row r="1146">
          <cell r="A1146">
            <v>1001140</v>
          </cell>
          <cell r="B1146" t="str">
            <v>Plataforma Aislada de 6´C-402-1043</v>
          </cell>
          <cell r="D1146">
            <v>7200</v>
          </cell>
          <cell r="E1146">
            <v>1000</v>
          </cell>
          <cell r="F1146" t="str">
            <v>ZALM</v>
          </cell>
          <cell r="G1146" t="str">
            <v>UN</v>
          </cell>
          <cell r="H1146" t="str">
            <v>DOP</v>
          </cell>
          <cell r="I1146">
            <v>0</v>
          </cell>
          <cell r="J1146">
            <v>0</v>
          </cell>
          <cell r="K1146">
            <v>0</v>
          </cell>
          <cell r="L1146">
            <v>0</v>
          </cell>
          <cell r="M1146">
            <v>0</v>
          </cell>
          <cell r="N1146">
            <v>0</v>
          </cell>
          <cell r="O1146">
            <v>0</v>
          </cell>
          <cell r="P1146">
            <v>0</v>
          </cell>
          <cell r="Q1146">
            <v>0</v>
          </cell>
          <cell r="R1146">
            <v>0</v>
          </cell>
          <cell r="S1146">
            <v>0</v>
          </cell>
          <cell r="T1146">
            <v>0</v>
          </cell>
          <cell r="U1146" t="e">
            <v>#N/A</v>
          </cell>
        </row>
        <row r="1147">
          <cell r="A1147">
            <v>1001141</v>
          </cell>
          <cell r="B1147" t="str">
            <v>Podadora de Arboles</v>
          </cell>
          <cell r="D1147">
            <v>7201</v>
          </cell>
          <cell r="E1147">
            <v>1000</v>
          </cell>
          <cell r="F1147" t="str">
            <v>ZALM</v>
          </cell>
          <cell r="G1147" t="str">
            <v>UN</v>
          </cell>
          <cell r="H1147" t="str">
            <v>DOP</v>
          </cell>
          <cell r="I1147">
            <v>5</v>
          </cell>
          <cell r="J1147">
            <v>109802.7</v>
          </cell>
          <cell r="K1147">
            <v>0</v>
          </cell>
          <cell r="L1147">
            <v>0</v>
          </cell>
          <cell r="M1147">
            <v>0</v>
          </cell>
          <cell r="N1147">
            <v>0</v>
          </cell>
          <cell r="O1147">
            <v>0</v>
          </cell>
          <cell r="P1147">
            <v>0</v>
          </cell>
          <cell r="Q1147">
            <v>0</v>
          </cell>
          <cell r="R1147">
            <v>0</v>
          </cell>
          <cell r="S1147">
            <v>5</v>
          </cell>
          <cell r="T1147">
            <v>109802.7</v>
          </cell>
          <cell r="U1147">
            <v>21960.54</v>
          </cell>
        </row>
        <row r="1148">
          <cell r="A1148">
            <v>1001142</v>
          </cell>
          <cell r="B1148" t="str">
            <v>Polea (Pateca) Estándar Plastica</v>
          </cell>
          <cell r="D1148">
            <v>7200</v>
          </cell>
          <cell r="E1148">
            <v>1000</v>
          </cell>
          <cell r="F1148" t="str">
            <v>ZALM</v>
          </cell>
          <cell r="G1148" t="str">
            <v>UN</v>
          </cell>
          <cell r="H1148" t="str">
            <v>DOP</v>
          </cell>
          <cell r="I1148">
            <v>0</v>
          </cell>
          <cell r="J1148">
            <v>0</v>
          </cell>
          <cell r="K1148">
            <v>0</v>
          </cell>
          <cell r="L1148">
            <v>0</v>
          </cell>
          <cell r="M1148">
            <v>0</v>
          </cell>
          <cell r="N1148">
            <v>0</v>
          </cell>
          <cell r="O1148">
            <v>0</v>
          </cell>
          <cell r="P1148">
            <v>0</v>
          </cell>
          <cell r="Q1148">
            <v>0</v>
          </cell>
          <cell r="R1148">
            <v>0</v>
          </cell>
          <cell r="S1148">
            <v>0</v>
          </cell>
          <cell r="T1148">
            <v>0</v>
          </cell>
          <cell r="U1148" t="e">
            <v>#N/A</v>
          </cell>
        </row>
        <row r="1149">
          <cell r="A1149">
            <v>1001143</v>
          </cell>
          <cell r="B1149" t="str">
            <v>Polea (Patecas) Standar Aluminio</v>
          </cell>
          <cell r="D1149">
            <v>7200</v>
          </cell>
          <cell r="E1149">
            <v>1000</v>
          </cell>
          <cell r="F1149" t="str">
            <v>ZALM</v>
          </cell>
          <cell r="G1149" t="str">
            <v>UN</v>
          </cell>
          <cell r="H1149" t="str">
            <v>DOP</v>
          </cell>
          <cell r="I1149">
            <v>0</v>
          </cell>
          <cell r="J1149">
            <v>0</v>
          </cell>
          <cell r="K1149">
            <v>0</v>
          </cell>
          <cell r="L1149">
            <v>0</v>
          </cell>
          <cell r="M1149">
            <v>0</v>
          </cell>
          <cell r="N1149">
            <v>0</v>
          </cell>
          <cell r="O1149">
            <v>0</v>
          </cell>
          <cell r="P1149">
            <v>0</v>
          </cell>
          <cell r="Q1149">
            <v>0</v>
          </cell>
          <cell r="R1149">
            <v>0</v>
          </cell>
          <cell r="S1149">
            <v>0</v>
          </cell>
          <cell r="T1149">
            <v>0</v>
          </cell>
          <cell r="U1149" t="e">
            <v>#N/A</v>
          </cell>
        </row>
        <row r="1150">
          <cell r="A1150">
            <v>1001144</v>
          </cell>
          <cell r="B1150" t="str">
            <v>Polea P/ Tendido LAP C/ Sist Ajust Poste</v>
          </cell>
          <cell r="D1150">
            <v>7200</v>
          </cell>
          <cell r="E1150">
            <v>1000</v>
          </cell>
          <cell r="F1150" t="str">
            <v>ZALM</v>
          </cell>
          <cell r="G1150" t="str">
            <v>UN</v>
          </cell>
          <cell r="H1150" t="str">
            <v>DOP</v>
          </cell>
          <cell r="I1150">
            <v>0</v>
          </cell>
          <cell r="J1150">
            <v>0</v>
          </cell>
          <cell r="K1150">
            <v>0</v>
          </cell>
          <cell r="L1150">
            <v>0</v>
          </cell>
          <cell r="M1150">
            <v>0</v>
          </cell>
          <cell r="N1150">
            <v>0</v>
          </cell>
          <cell r="O1150">
            <v>0</v>
          </cell>
          <cell r="P1150">
            <v>0</v>
          </cell>
          <cell r="Q1150">
            <v>0</v>
          </cell>
          <cell r="R1150">
            <v>0</v>
          </cell>
          <cell r="S1150">
            <v>0</v>
          </cell>
          <cell r="T1150">
            <v>0</v>
          </cell>
          <cell r="U1150" t="e">
            <v>#N/A</v>
          </cell>
        </row>
        <row r="1151">
          <cell r="A1151">
            <v>1001145</v>
          </cell>
          <cell r="B1151" t="str">
            <v>Polea Pateca P/ Tend Cable 1/2" 477MCM</v>
          </cell>
          <cell r="D1151">
            <v>7200</v>
          </cell>
          <cell r="E1151">
            <v>1000</v>
          </cell>
          <cell r="F1151" t="str">
            <v>ZALM</v>
          </cell>
          <cell r="G1151" t="str">
            <v>UN</v>
          </cell>
          <cell r="H1151" t="str">
            <v>DOP</v>
          </cell>
          <cell r="I1151">
            <v>0</v>
          </cell>
          <cell r="J1151">
            <v>0</v>
          </cell>
          <cell r="K1151">
            <v>0</v>
          </cell>
          <cell r="L1151">
            <v>0</v>
          </cell>
          <cell r="M1151">
            <v>0</v>
          </cell>
          <cell r="N1151">
            <v>0</v>
          </cell>
          <cell r="O1151">
            <v>0</v>
          </cell>
          <cell r="P1151">
            <v>0</v>
          </cell>
          <cell r="Q1151">
            <v>0</v>
          </cell>
          <cell r="R1151">
            <v>0</v>
          </cell>
          <cell r="S1151">
            <v>0</v>
          </cell>
          <cell r="T1151">
            <v>0</v>
          </cell>
          <cell r="U1151" t="e">
            <v>#N/A</v>
          </cell>
        </row>
        <row r="1152">
          <cell r="A1152">
            <v>1001146</v>
          </cell>
          <cell r="B1152" t="str">
            <v>Polea Univ Fijador a Cruc Ajust Abraz</v>
          </cell>
          <cell r="D1152">
            <v>7200</v>
          </cell>
          <cell r="E1152">
            <v>1000</v>
          </cell>
          <cell r="F1152" t="str">
            <v>ZALM</v>
          </cell>
          <cell r="G1152" t="str">
            <v>UN</v>
          </cell>
          <cell r="H1152" t="str">
            <v>DOP</v>
          </cell>
          <cell r="I1152">
            <v>0</v>
          </cell>
          <cell r="J1152">
            <v>0</v>
          </cell>
          <cell r="K1152">
            <v>0</v>
          </cell>
          <cell r="L1152">
            <v>0</v>
          </cell>
          <cell r="M1152">
            <v>0</v>
          </cell>
          <cell r="N1152">
            <v>0</v>
          </cell>
          <cell r="O1152">
            <v>0</v>
          </cell>
          <cell r="P1152">
            <v>0</v>
          </cell>
          <cell r="Q1152">
            <v>0</v>
          </cell>
          <cell r="R1152">
            <v>0</v>
          </cell>
          <cell r="S1152">
            <v>0</v>
          </cell>
          <cell r="T1152">
            <v>0</v>
          </cell>
          <cell r="U1152" t="e">
            <v>#N/A</v>
          </cell>
        </row>
        <row r="1153">
          <cell r="A1153">
            <v>1001147</v>
          </cell>
          <cell r="B1153" t="str">
            <v>Polo Compl P/ Interr Siemens SPS2-72.5-4</v>
          </cell>
          <cell r="D1153">
            <v>7200</v>
          </cell>
          <cell r="E1153">
            <v>1000</v>
          </cell>
          <cell r="F1153" t="str">
            <v>ZALM</v>
          </cell>
          <cell r="G1153" t="str">
            <v>UN</v>
          </cell>
          <cell r="H1153" t="str">
            <v>DOP</v>
          </cell>
          <cell r="I1153">
            <v>0</v>
          </cell>
          <cell r="J1153">
            <v>0</v>
          </cell>
          <cell r="K1153">
            <v>0</v>
          </cell>
          <cell r="L1153">
            <v>0</v>
          </cell>
          <cell r="M1153">
            <v>0</v>
          </cell>
          <cell r="N1153">
            <v>0</v>
          </cell>
          <cell r="O1153">
            <v>0</v>
          </cell>
          <cell r="P1153">
            <v>0</v>
          </cell>
          <cell r="Q1153">
            <v>0</v>
          </cell>
          <cell r="R1153">
            <v>0</v>
          </cell>
          <cell r="S1153">
            <v>0</v>
          </cell>
          <cell r="T1153">
            <v>0</v>
          </cell>
          <cell r="U1153" t="e">
            <v>#N/A</v>
          </cell>
        </row>
        <row r="1154">
          <cell r="A1154">
            <v>1001148</v>
          </cell>
          <cell r="B1154" t="str">
            <v>Prensa de Laboratorio 10"</v>
          </cell>
          <cell r="D1154">
            <v>7200</v>
          </cell>
          <cell r="E1154">
            <v>1000</v>
          </cell>
          <cell r="F1154" t="str">
            <v>ZALM</v>
          </cell>
          <cell r="G1154" t="str">
            <v>UN</v>
          </cell>
          <cell r="H1154" t="str">
            <v>DOP</v>
          </cell>
          <cell r="I1154">
            <v>0</v>
          </cell>
          <cell r="J1154">
            <v>0</v>
          </cell>
          <cell r="K1154">
            <v>0</v>
          </cell>
          <cell r="L1154">
            <v>0</v>
          </cell>
          <cell r="M1154">
            <v>0</v>
          </cell>
          <cell r="N1154">
            <v>0</v>
          </cell>
          <cell r="O1154">
            <v>0</v>
          </cell>
          <cell r="P1154">
            <v>0</v>
          </cell>
          <cell r="Q1154">
            <v>0</v>
          </cell>
          <cell r="R1154">
            <v>0</v>
          </cell>
          <cell r="S1154">
            <v>0</v>
          </cell>
          <cell r="T1154">
            <v>0</v>
          </cell>
          <cell r="U1154" t="e">
            <v>#N/A</v>
          </cell>
        </row>
        <row r="1155">
          <cell r="A1155">
            <v>1001149</v>
          </cell>
          <cell r="B1155" t="str">
            <v>Prensa Hidr P/ Compr Conector Burd Y-35</v>
          </cell>
          <cell r="D1155">
            <v>7200</v>
          </cell>
          <cell r="E1155">
            <v>1000</v>
          </cell>
          <cell r="F1155" t="str">
            <v>ZALM</v>
          </cell>
          <cell r="G1155" t="str">
            <v>UN</v>
          </cell>
          <cell r="H1155" t="str">
            <v>DOP</v>
          </cell>
          <cell r="I1155">
            <v>1</v>
          </cell>
          <cell r="J1155">
            <v>46561.18</v>
          </cell>
          <cell r="K1155">
            <v>0</v>
          </cell>
          <cell r="L1155">
            <v>0</v>
          </cell>
          <cell r="M1155">
            <v>0</v>
          </cell>
          <cell r="N1155">
            <v>0</v>
          </cell>
          <cell r="O1155">
            <v>0</v>
          </cell>
          <cell r="P1155">
            <v>0</v>
          </cell>
          <cell r="Q1155">
            <v>0</v>
          </cell>
          <cell r="R1155">
            <v>0</v>
          </cell>
          <cell r="S1155">
            <v>1</v>
          </cell>
          <cell r="T1155">
            <v>46561.18</v>
          </cell>
          <cell r="U1155">
            <v>46561.18</v>
          </cell>
        </row>
        <row r="1156">
          <cell r="A1156">
            <v>1001150</v>
          </cell>
          <cell r="B1156" t="str">
            <v>Prensa Mecánica de Banco Fija de 6"</v>
          </cell>
          <cell r="D1156">
            <v>7200</v>
          </cell>
          <cell r="E1156">
            <v>1000</v>
          </cell>
          <cell r="F1156" t="str">
            <v>ZALM</v>
          </cell>
          <cell r="G1156" t="str">
            <v>UN</v>
          </cell>
          <cell r="H1156" t="str">
            <v>DOP</v>
          </cell>
          <cell r="I1156">
            <v>0</v>
          </cell>
          <cell r="J1156">
            <v>0</v>
          </cell>
          <cell r="K1156">
            <v>0</v>
          </cell>
          <cell r="L1156">
            <v>0</v>
          </cell>
          <cell r="M1156">
            <v>0</v>
          </cell>
          <cell r="N1156">
            <v>0</v>
          </cell>
          <cell r="O1156">
            <v>0</v>
          </cell>
          <cell r="P1156">
            <v>0</v>
          </cell>
          <cell r="Q1156">
            <v>0</v>
          </cell>
          <cell r="R1156">
            <v>0</v>
          </cell>
          <cell r="S1156">
            <v>0</v>
          </cell>
          <cell r="T1156">
            <v>0</v>
          </cell>
          <cell r="U1156" t="e">
            <v>#N/A</v>
          </cell>
        </row>
        <row r="1157">
          <cell r="A1157">
            <v>1001151</v>
          </cell>
          <cell r="B1157" t="str">
            <v>Prensa P/ Comp Term Burndy MD 6-8 Manual</v>
          </cell>
          <cell r="D1157">
            <v>7200</v>
          </cell>
          <cell r="E1157">
            <v>1000</v>
          </cell>
          <cell r="F1157" t="str">
            <v>ZALM</v>
          </cell>
          <cell r="G1157" t="str">
            <v>UN</v>
          </cell>
          <cell r="H1157" t="str">
            <v>DOP</v>
          </cell>
          <cell r="I1157">
            <v>0</v>
          </cell>
          <cell r="J1157">
            <v>0</v>
          </cell>
          <cell r="K1157">
            <v>0</v>
          </cell>
          <cell r="L1157">
            <v>0</v>
          </cell>
          <cell r="M1157">
            <v>0</v>
          </cell>
          <cell r="N1157">
            <v>0</v>
          </cell>
          <cell r="O1157">
            <v>0</v>
          </cell>
          <cell r="P1157">
            <v>0</v>
          </cell>
          <cell r="Q1157">
            <v>0</v>
          </cell>
          <cell r="R1157">
            <v>0</v>
          </cell>
          <cell r="S1157">
            <v>0</v>
          </cell>
          <cell r="T1157">
            <v>0</v>
          </cell>
          <cell r="U1157" t="e">
            <v>#N/A</v>
          </cell>
        </row>
        <row r="1158">
          <cell r="A1158">
            <v>1001152</v>
          </cell>
          <cell r="B1158" t="str">
            <v>Prensa P/ Sellos de Plomo Grab y Num</v>
          </cell>
          <cell r="D1158">
            <v>7200</v>
          </cell>
          <cell r="E1158">
            <v>1000</v>
          </cell>
          <cell r="F1158" t="str">
            <v>ZALM</v>
          </cell>
          <cell r="G1158" t="str">
            <v>UN</v>
          </cell>
          <cell r="H1158" t="str">
            <v>DOP</v>
          </cell>
          <cell r="I1158">
            <v>0</v>
          </cell>
          <cell r="J1158">
            <v>0</v>
          </cell>
          <cell r="K1158">
            <v>0</v>
          </cell>
          <cell r="L1158">
            <v>0</v>
          </cell>
          <cell r="M1158">
            <v>0</v>
          </cell>
          <cell r="N1158">
            <v>0</v>
          </cell>
          <cell r="O1158">
            <v>0</v>
          </cell>
          <cell r="P1158">
            <v>0</v>
          </cell>
          <cell r="Q1158">
            <v>0</v>
          </cell>
          <cell r="R1158">
            <v>0</v>
          </cell>
          <cell r="S1158">
            <v>0</v>
          </cell>
          <cell r="T1158">
            <v>0</v>
          </cell>
          <cell r="U1158" t="e">
            <v>#N/A</v>
          </cell>
        </row>
        <row r="1159">
          <cell r="A1159">
            <v>1001153</v>
          </cell>
          <cell r="B1159" t="str">
            <v>Prensa P/ Sellos Roto-Seal Con Dados</v>
          </cell>
          <cell r="D1159">
            <v>7200</v>
          </cell>
          <cell r="E1159">
            <v>1000</v>
          </cell>
          <cell r="F1159" t="str">
            <v>ZALM</v>
          </cell>
          <cell r="G1159" t="str">
            <v>UN</v>
          </cell>
          <cell r="H1159" t="str">
            <v>DOP</v>
          </cell>
          <cell r="I1159">
            <v>0</v>
          </cell>
          <cell r="J1159">
            <v>0</v>
          </cell>
          <cell r="K1159">
            <v>0</v>
          </cell>
          <cell r="L1159">
            <v>0</v>
          </cell>
          <cell r="M1159">
            <v>0</v>
          </cell>
          <cell r="N1159">
            <v>0</v>
          </cell>
          <cell r="O1159">
            <v>0</v>
          </cell>
          <cell r="P1159">
            <v>0</v>
          </cell>
          <cell r="Q1159">
            <v>0</v>
          </cell>
          <cell r="R1159">
            <v>0</v>
          </cell>
          <cell r="S1159">
            <v>0</v>
          </cell>
          <cell r="T1159">
            <v>0</v>
          </cell>
          <cell r="U1159" t="e">
            <v>#N/A</v>
          </cell>
        </row>
        <row r="1160">
          <cell r="A1160">
            <v>1001154</v>
          </cell>
          <cell r="B1160" t="str">
            <v>Prensa P/ Sellos Roto-Seal Sin Dados</v>
          </cell>
          <cell r="D1160">
            <v>7200</v>
          </cell>
          <cell r="E1160">
            <v>1000</v>
          </cell>
          <cell r="F1160" t="str">
            <v>ZALM</v>
          </cell>
          <cell r="G1160" t="str">
            <v>UN</v>
          </cell>
          <cell r="H1160" t="str">
            <v>DOP</v>
          </cell>
          <cell r="I1160">
            <v>0</v>
          </cell>
          <cell r="J1160">
            <v>0</v>
          </cell>
          <cell r="K1160">
            <v>0</v>
          </cell>
          <cell r="L1160">
            <v>0</v>
          </cell>
          <cell r="M1160">
            <v>0</v>
          </cell>
          <cell r="N1160">
            <v>0</v>
          </cell>
          <cell r="O1160">
            <v>0</v>
          </cell>
          <cell r="P1160">
            <v>0</v>
          </cell>
          <cell r="Q1160">
            <v>0</v>
          </cell>
          <cell r="R1160">
            <v>0</v>
          </cell>
          <cell r="S1160">
            <v>0</v>
          </cell>
          <cell r="T1160">
            <v>0</v>
          </cell>
          <cell r="U1160" t="e">
            <v>#N/A</v>
          </cell>
        </row>
        <row r="1161">
          <cell r="A1161">
            <v>1001155</v>
          </cell>
          <cell r="B1161" t="str">
            <v>Prensacable Nylon 1/2" BSP</v>
          </cell>
          <cell r="D1161">
            <v>7200</v>
          </cell>
          <cell r="E1161">
            <v>1000</v>
          </cell>
          <cell r="F1161" t="str">
            <v>ZALM</v>
          </cell>
          <cell r="G1161" t="str">
            <v>UN</v>
          </cell>
          <cell r="H1161" t="str">
            <v>DOP</v>
          </cell>
          <cell r="I1161">
            <v>0</v>
          </cell>
          <cell r="J1161">
            <v>0</v>
          </cell>
          <cell r="K1161">
            <v>0</v>
          </cell>
          <cell r="L1161">
            <v>0</v>
          </cell>
          <cell r="M1161">
            <v>0</v>
          </cell>
          <cell r="N1161">
            <v>0</v>
          </cell>
          <cell r="O1161">
            <v>0</v>
          </cell>
          <cell r="P1161">
            <v>0</v>
          </cell>
          <cell r="Q1161">
            <v>0</v>
          </cell>
          <cell r="R1161">
            <v>0</v>
          </cell>
          <cell r="S1161">
            <v>0</v>
          </cell>
          <cell r="T1161">
            <v>0</v>
          </cell>
          <cell r="U1161" t="e">
            <v>#N/A</v>
          </cell>
        </row>
        <row r="1162">
          <cell r="A1162">
            <v>1001156</v>
          </cell>
          <cell r="B1162" t="str">
            <v>Prensacable Nylon 3/8" BSP</v>
          </cell>
          <cell r="D1162">
            <v>7200</v>
          </cell>
          <cell r="E1162">
            <v>1000</v>
          </cell>
          <cell r="F1162" t="str">
            <v>ZALM</v>
          </cell>
          <cell r="G1162" t="str">
            <v>UN</v>
          </cell>
          <cell r="H1162" t="str">
            <v>DOP</v>
          </cell>
          <cell r="I1162">
            <v>0</v>
          </cell>
          <cell r="J1162">
            <v>0</v>
          </cell>
          <cell r="K1162">
            <v>0</v>
          </cell>
          <cell r="L1162">
            <v>0</v>
          </cell>
          <cell r="M1162">
            <v>0</v>
          </cell>
          <cell r="N1162">
            <v>0</v>
          </cell>
          <cell r="O1162">
            <v>0</v>
          </cell>
          <cell r="P1162">
            <v>0</v>
          </cell>
          <cell r="Q1162">
            <v>0</v>
          </cell>
          <cell r="R1162">
            <v>0</v>
          </cell>
          <cell r="S1162">
            <v>0</v>
          </cell>
          <cell r="T1162">
            <v>0</v>
          </cell>
          <cell r="U1162" t="e">
            <v>#N/A</v>
          </cell>
        </row>
        <row r="1163">
          <cell r="A1163">
            <v>1001157</v>
          </cell>
          <cell r="B1163" t="str">
            <v>Printer de Label 48 3 TPO 3 BDR-001</v>
          </cell>
          <cell r="D1163">
            <v>7200</v>
          </cell>
          <cell r="E1163">
            <v>1000</v>
          </cell>
          <cell r="F1163" t="str">
            <v>ZALM</v>
          </cell>
          <cell r="G1163" t="str">
            <v>UN</v>
          </cell>
          <cell r="H1163" t="str">
            <v>DOP</v>
          </cell>
          <cell r="I1163">
            <v>0</v>
          </cell>
          <cell r="J1163">
            <v>0</v>
          </cell>
          <cell r="K1163">
            <v>0</v>
          </cell>
          <cell r="L1163">
            <v>0</v>
          </cell>
          <cell r="M1163">
            <v>0</v>
          </cell>
          <cell r="N1163">
            <v>0</v>
          </cell>
          <cell r="O1163">
            <v>0</v>
          </cell>
          <cell r="P1163">
            <v>0</v>
          </cell>
          <cell r="Q1163">
            <v>0</v>
          </cell>
          <cell r="R1163">
            <v>0</v>
          </cell>
          <cell r="S1163">
            <v>0</v>
          </cell>
          <cell r="T1163">
            <v>0</v>
          </cell>
          <cell r="U1163" t="e">
            <v>#N/A</v>
          </cell>
        </row>
        <row r="1164">
          <cell r="A1164">
            <v>1001158</v>
          </cell>
          <cell r="B1164" t="str">
            <v>Puente Auxiliar Aislado</v>
          </cell>
          <cell r="D1164">
            <v>7200</v>
          </cell>
          <cell r="E1164">
            <v>1000</v>
          </cell>
          <cell r="F1164" t="str">
            <v>ZALM</v>
          </cell>
          <cell r="G1164" t="str">
            <v>UN</v>
          </cell>
          <cell r="H1164" t="str">
            <v>DOP</v>
          </cell>
          <cell r="I1164">
            <v>0</v>
          </cell>
          <cell r="J1164">
            <v>0</v>
          </cell>
          <cell r="K1164">
            <v>0</v>
          </cell>
          <cell r="L1164">
            <v>0</v>
          </cell>
          <cell r="M1164">
            <v>0</v>
          </cell>
          <cell r="N1164">
            <v>0</v>
          </cell>
          <cell r="O1164">
            <v>0</v>
          </cell>
          <cell r="P1164">
            <v>0</v>
          </cell>
          <cell r="Q1164">
            <v>0</v>
          </cell>
          <cell r="R1164">
            <v>0</v>
          </cell>
          <cell r="S1164">
            <v>0</v>
          </cell>
          <cell r="T1164">
            <v>0</v>
          </cell>
          <cell r="U1164" t="e">
            <v>#N/A</v>
          </cell>
        </row>
        <row r="1165">
          <cell r="A1165">
            <v>1001159</v>
          </cell>
          <cell r="B1165" t="str">
            <v>Puentes Rectificadores T/ SCR 60A</v>
          </cell>
          <cell r="D1165">
            <v>7200</v>
          </cell>
          <cell r="E1165">
            <v>1000</v>
          </cell>
          <cell r="F1165" t="str">
            <v>ZALM</v>
          </cell>
          <cell r="G1165" t="str">
            <v>UN</v>
          </cell>
          <cell r="H1165" t="str">
            <v>DOP</v>
          </cell>
          <cell r="I1165">
            <v>0</v>
          </cell>
          <cell r="J1165">
            <v>0</v>
          </cell>
          <cell r="K1165">
            <v>0</v>
          </cell>
          <cell r="L1165">
            <v>0</v>
          </cell>
          <cell r="M1165">
            <v>0</v>
          </cell>
          <cell r="N1165">
            <v>0</v>
          </cell>
          <cell r="O1165">
            <v>0</v>
          </cell>
          <cell r="P1165">
            <v>0</v>
          </cell>
          <cell r="Q1165">
            <v>0</v>
          </cell>
          <cell r="R1165">
            <v>0</v>
          </cell>
          <cell r="S1165">
            <v>0</v>
          </cell>
          <cell r="T1165">
            <v>0</v>
          </cell>
          <cell r="U1165" t="e">
            <v>#N/A</v>
          </cell>
        </row>
        <row r="1166">
          <cell r="A1166">
            <v>1001160</v>
          </cell>
          <cell r="B1166" t="str">
            <v>Pulidora de 9" 20Amp</v>
          </cell>
          <cell r="D1166">
            <v>7200</v>
          </cell>
          <cell r="E1166">
            <v>1000</v>
          </cell>
          <cell r="F1166" t="str">
            <v>ZALM</v>
          </cell>
          <cell r="G1166" t="str">
            <v>UN</v>
          </cell>
          <cell r="H1166" t="str">
            <v>DOP</v>
          </cell>
          <cell r="I1166">
            <v>0</v>
          </cell>
          <cell r="J1166">
            <v>0</v>
          </cell>
          <cell r="K1166">
            <v>0</v>
          </cell>
          <cell r="L1166">
            <v>0</v>
          </cell>
          <cell r="M1166">
            <v>0</v>
          </cell>
          <cell r="N1166">
            <v>0</v>
          </cell>
          <cell r="O1166">
            <v>0</v>
          </cell>
          <cell r="P1166">
            <v>0</v>
          </cell>
          <cell r="Q1166">
            <v>0</v>
          </cell>
          <cell r="R1166">
            <v>0</v>
          </cell>
          <cell r="S1166">
            <v>0</v>
          </cell>
          <cell r="T1166">
            <v>0</v>
          </cell>
          <cell r="U1166" t="e">
            <v>#N/A</v>
          </cell>
        </row>
        <row r="1167">
          <cell r="A1167">
            <v>1001161</v>
          </cell>
          <cell r="B1167" t="str">
            <v>Rectificador SCRF C/ Contac Alarm 120VAC</v>
          </cell>
          <cell r="D1167">
            <v>7200</v>
          </cell>
          <cell r="E1167">
            <v>1000</v>
          </cell>
          <cell r="F1167" t="str">
            <v>ZALM</v>
          </cell>
          <cell r="G1167" t="str">
            <v>UN</v>
          </cell>
          <cell r="H1167" t="str">
            <v>DOP</v>
          </cell>
          <cell r="I1167">
            <v>0</v>
          </cell>
          <cell r="J1167">
            <v>0</v>
          </cell>
          <cell r="K1167">
            <v>0</v>
          </cell>
          <cell r="L1167">
            <v>0</v>
          </cell>
          <cell r="M1167">
            <v>0</v>
          </cell>
          <cell r="N1167">
            <v>0</v>
          </cell>
          <cell r="O1167">
            <v>0</v>
          </cell>
          <cell r="P1167">
            <v>0</v>
          </cell>
          <cell r="Q1167">
            <v>0</v>
          </cell>
          <cell r="R1167">
            <v>0</v>
          </cell>
          <cell r="S1167">
            <v>0</v>
          </cell>
          <cell r="T1167">
            <v>0</v>
          </cell>
          <cell r="U1167" t="e">
            <v>#N/A</v>
          </cell>
        </row>
        <row r="1168">
          <cell r="A1168">
            <v>1001162</v>
          </cell>
          <cell r="B1168" t="str">
            <v>Red Amortig Doble SEMIKRON SKRC440-2</v>
          </cell>
          <cell r="D1168">
            <v>7200</v>
          </cell>
          <cell r="E1168">
            <v>1000</v>
          </cell>
          <cell r="F1168" t="str">
            <v>ZALM</v>
          </cell>
          <cell r="G1168" t="str">
            <v>UN</v>
          </cell>
          <cell r="H1168" t="str">
            <v>DOP</v>
          </cell>
          <cell r="I1168">
            <v>0</v>
          </cell>
          <cell r="J1168">
            <v>0</v>
          </cell>
          <cell r="K1168">
            <v>0</v>
          </cell>
          <cell r="L1168">
            <v>0</v>
          </cell>
          <cell r="M1168">
            <v>0</v>
          </cell>
          <cell r="N1168">
            <v>0</v>
          </cell>
          <cell r="O1168">
            <v>0</v>
          </cell>
          <cell r="P1168">
            <v>0</v>
          </cell>
          <cell r="Q1168">
            <v>0</v>
          </cell>
          <cell r="R1168">
            <v>0</v>
          </cell>
          <cell r="S1168">
            <v>0</v>
          </cell>
          <cell r="T1168">
            <v>0</v>
          </cell>
          <cell r="U1168" t="e">
            <v>#N/A</v>
          </cell>
        </row>
        <row r="1169">
          <cell r="A1169">
            <v>1001163</v>
          </cell>
          <cell r="B1169" t="str">
            <v>Regul HiQ Redline P/ Gases Esp 0-100Psi</v>
          </cell>
          <cell r="D1169">
            <v>7200</v>
          </cell>
          <cell r="E1169">
            <v>1000</v>
          </cell>
          <cell r="F1169" t="str">
            <v>ZALM</v>
          </cell>
          <cell r="G1169" t="str">
            <v>UN</v>
          </cell>
          <cell r="H1169" t="str">
            <v>DOP</v>
          </cell>
          <cell r="I1169">
            <v>0</v>
          </cell>
          <cell r="J1169">
            <v>0</v>
          </cell>
          <cell r="K1169">
            <v>0</v>
          </cell>
          <cell r="L1169">
            <v>0</v>
          </cell>
          <cell r="M1169">
            <v>0</v>
          </cell>
          <cell r="N1169">
            <v>0</v>
          </cell>
          <cell r="O1169">
            <v>0</v>
          </cell>
          <cell r="P1169">
            <v>0</v>
          </cell>
          <cell r="Q1169">
            <v>0</v>
          </cell>
          <cell r="R1169">
            <v>0</v>
          </cell>
          <cell r="S1169">
            <v>0</v>
          </cell>
          <cell r="T1169">
            <v>0</v>
          </cell>
          <cell r="U1169" t="e">
            <v>#N/A</v>
          </cell>
        </row>
        <row r="1170">
          <cell r="A1170">
            <v>1001164</v>
          </cell>
          <cell r="B1170" t="str">
            <v>Regul HiQ Redline P/ Gases Esp 0-15Psi</v>
          </cell>
          <cell r="D1170">
            <v>7200</v>
          </cell>
          <cell r="E1170">
            <v>1000</v>
          </cell>
          <cell r="F1170" t="str">
            <v>ZALM</v>
          </cell>
          <cell r="G1170" t="str">
            <v>UN</v>
          </cell>
          <cell r="H1170" t="str">
            <v>DOP</v>
          </cell>
          <cell r="I1170">
            <v>0</v>
          </cell>
          <cell r="J1170">
            <v>0</v>
          </cell>
          <cell r="K1170">
            <v>0</v>
          </cell>
          <cell r="L1170">
            <v>0</v>
          </cell>
          <cell r="M1170">
            <v>0</v>
          </cell>
          <cell r="N1170">
            <v>0</v>
          </cell>
          <cell r="O1170">
            <v>0</v>
          </cell>
          <cell r="P1170">
            <v>0</v>
          </cell>
          <cell r="Q1170">
            <v>0</v>
          </cell>
          <cell r="R1170">
            <v>0</v>
          </cell>
          <cell r="S1170">
            <v>0</v>
          </cell>
          <cell r="T1170">
            <v>0</v>
          </cell>
          <cell r="U1170" t="e">
            <v>#N/A</v>
          </cell>
        </row>
        <row r="1171">
          <cell r="A1171">
            <v>1001165</v>
          </cell>
          <cell r="B1171" t="str">
            <v>Sirena de 15-20 Db 125VDC</v>
          </cell>
          <cell r="D1171">
            <v>7200</v>
          </cell>
          <cell r="E1171">
            <v>1000</v>
          </cell>
          <cell r="F1171" t="str">
            <v>ZALM</v>
          </cell>
          <cell r="G1171" t="str">
            <v>UN</v>
          </cell>
          <cell r="H1171" t="str">
            <v>DOP</v>
          </cell>
          <cell r="I1171">
            <v>0</v>
          </cell>
          <cell r="J1171">
            <v>0</v>
          </cell>
          <cell r="K1171">
            <v>0</v>
          </cell>
          <cell r="L1171">
            <v>0</v>
          </cell>
          <cell r="M1171">
            <v>0</v>
          </cell>
          <cell r="N1171">
            <v>0</v>
          </cell>
          <cell r="O1171">
            <v>0</v>
          </cell>
          <cell r="P1171">
            <v>0</v>
          </cell>
          <cell r="Q1171">
            <v>0</v>
          </cell>
          <cell r="R1171">
            <v>0</v>
          </cell>
          <cell r="S1171">
            <v>0</v>
          </cell>
          <cell r="T1171">
            <v>0</v>
          </cell>
          <cell r="U1171" t="e">
            <v>#N/A</v>
          </cell>
        </row>
        <row r="1172">
          <cell r="A1172">
            <v>1001166</v>
          </cell>
          <cell r="B1172" t="str">
            <v>Soldador de 100 Watts</v>
          </cell>
          <cell r="D1172">
            <v>7200</v>
          </cell>
          <cell r="E1172">
            <v>1000</v>
          </cell>
          <cell r="F1172" t="str">
            <v>ZALM</v>
          </cell>
          <cell r="G1172" t="str">
            <v>UN</v>
          </cell>
          <cell r="H1172" t="str">
            <v>DOP</v>
          </cell>
          <cell r="I1172">
            <v>0</v>
          </cell>
          <cell r="J1172">
            <v>0</v>
          </cell>
          <cell r="K1172">
            <v>0</v>
          </cell>
          <cell r="L1172">
            <v>0</v>
          </cell>
          <cell r="M1172">
            <v>0</v>
          </cell>
          <cell r="N1172">
            <v>0</v>
          </cell>
          <cell r="O1172">
            <v>0</v>
          </cell>
          <cell r="P1172">
            <v>0</v>
          </cell>
          <cell r="Q1172">
            <v>0</v>
          </cell>
          <cell r="R1172">
            <v>0</v>
          </cell>
          <cell r="S1172">
            <v>0</v>
          </cell>
          <cell r="T1172">
            <v>0</v>
          </cell>
          <cell r="U1172" t="e">
            <v>#N/A</v>
          </cell>
        </row>
        <row r="1173">
          <cell r="A1173">
            <v>1001167</v>
          </cell>
          <cell r="B1173" t="str">
            <v>Soldador de 30 Watts</v>
          </cell>
          <cell r="D1173">
            <v>7200</v>
          </cell>
          <cell r="E1173">
            <v>1000</v>
          </cell>
          <cell r="F1173" t="str">
            <v>ZALM</v>
          </cell>
          <cell r="G1173" t="str">
            <v>UN</v>
          </cell>
          <cell r="H1173" t="str">
            <v>DOP</v>
          </cell>
          <cell r="I1173">
            <v>0</v>
          </cell>
          <cell r="J1173">
            <v>0</v>
          </cell>
          <cell r="K1173">
            <v>0</v>
          </cell>
          <cell r="L1173">
            <v>0</v>
          </cell>
          <cell r="M1173">
            <v>0</v>
          </cell>
          <cell r="N1173">
            <v>0</v>
          </cell>
          <cell r="O1173">
            <v>0</v>
          </cell>
          <cell r="P1173">
            <v>0</v>
          </cell>
          <cell r="Q1173">
            <v>0</v>
          </cell>
          <cell r="R1173">
            <v>0</v>
          </cell>
          <cell r="S1173">
            <v>0</v>
          </cell>
          <cell r="T1173">
            <v>0</v>
          </cell>
          <cell r="U1173" t="e">
            <v>#N/A</v>
          </cell>
        </row>
        <row r="1174">
          <cell r="A1174">
            <v>1001168</v>
          </cell>
          <cell r="B1174" t="str">
            <v>Soldador de 35 Watts</v>
          </cell>
          <cell r="D1174">
            <v>7200</v>
          </cell>
          <cell r="E1174">
            <v>1000</v>
          </cell>
          <cell r="F1174" t="str">
            <v>ZALM</v>
          </cell>
          <cell r="G1174" t="str">
            <v>UN</v>
          </cell>
          <cell r="H1174" t="str">
            <v>DOP</v>
          </cell>
          <cell r="I1174">
            <v>0</v>
          </cell>
          <cell r="J1174">
            <v>0</v>
          </cell>
          <cell r="K1174">
            <v>0</v>
          </cell>
          <cell r="L1174">
            <v>0</v>
          </cell>
          <cell r="M1174">
            <v>0</v>
          </cell>
          <cell r="N1174">
            <v>0</v>
          </cell>
          <cell r="O1174">
            <v>0</v>
          </cell>
          <cell r="P1174">
            <v>0</v>
          </cell>
          <cell r="Q1174">
            <v>0</v>
          </cell>
          <cell r="R1174">
            <v>0</v>
          </cell>
          <cell r="S1174">
            <v>0</v>
          </cell>
          <cell r="T1174">
            <v>0</v>
          </cell>
          <cell r="U1174" t="e">
            <v>#N/A</v>
          </cell>
        </row>
        <row r="1175">
          <cell r="A1175">
            <v>1001169</v>
          </cell>
          <cell r="B1175" t="str">
            <v>Soldador de 40 Watts</v>
          </cell>
          <cell r="D1175">
            <v>7200</v>
          </cell>
          <cell r="E1175">
            <v>1000</v>
          </cell>
          <cell r="F1175" t="str">
            <v>ZALM</v>
          </cell>
          <cell r="G1175" t="str">
            <v>UN</v>
          </cell>
          <cell r="H1175" t="str">
            <v>DOP</v>
          </cell>
          <cell r="I1175">
            <v>0</v>
          </cell>
          <cell r="J1175">
            <v>0</v>
          </cell>
          <cell r="K1175">
            <v>0</v>
          </cell>
          <cell r="L1175">
            <v>0</v>
          </cell>
          <cell r="M1175">
            <v>0</v>
          </cell>
          <cell r="N1175">
            <v>0</v>
          </cell>
          <cell r="O1175">
            <v>0</v>
          </cell>
          <cell r="P1175">
            <v>0</v>
          </cell>
          <cell r="Q1175">
            <v>0</v>
          </cell>
          <cell r="R1175">
            <v>0</v>
          </cell>
          <cell r="S1175">
            <v>0</v>
          </cell>
          <cell r="T1175">
            <v>0</v>
          </cell>
          <cell r="U1175" t="e">
            <v>#N/A</v>
          </cell>
        </row>
        <row r="1176">
          <cell r="A1176">
            <v>1001170</v>
          </cell>
          <cell r="B1176" t="str">
            <v>Soldador de 80 Watts</v>
          </cell>
          <cell r="D1176">
            <v>7200</v>
          </cell>
          <cell r="E1176">
            <v>1000</v>
          </cell>
          <cell r="F1176" t="str">
            <v>ZALM</v>
          </cell>
          <cell r="G1176" t="str">
            <v>UN</v>
          </cell>
          <cell r="H1176" t="str">
            <v>DOP</v>
          </cell>
          <cell r="I1176">
            <v>0</v>
          </cell>
          <cell r="J1176">
            <v>0</v>
          </cell>
          <cell r="K1176">
            <v>0</v>
          </cell>
          <cell r="L1176">
            <v>0</v>
          </cell>
          <cell r="M1176">
            <v>0</v>
          </cell>
          <cell r="N1176">
            <v>0</v>
          </cell>
          <cell r="O1176">
            <v>0</v>
          </cell>
          <cell r="P1176">
            <v>0</v>
          </cell>
          <cell r="Q1176">
            <v>0</v>
          </cell>
          <cell r="R1176">
            <v>0</v>
          </cell>
          <cell r="S1176">
            <v>0</v>
          </cell>
          <cell r="T1176">
            <v>0</v>
          </cell>
          <cell r="U1176" t="e">
            <v>#N/A</v>
          </cell>
        </row>
        <row r="1177">
          <cell r="A1177">
            <v>1001171</v>
          </cell>
          <cell r="B1177" t="str">
            <v>Spot Light 1000 Candle PWR Bean 12V</v>
          </cell>
          <cell r="D1177">
            <v>7201</v>
          </cell>
          <cell r="E1177">
            <v>1000</v>
          </cell>
          <cell r="F1177" t="str">
            <v>ZALM</v>
          </cell>
          <cell r="G1177" t="str">
            <v>UN</v>
          </cell>
          <cell r="H1177" t="str">
            <v>DOP</v>
          </cell>
          <cell r="I1177">
            <v>0</v>
          </cell>
          <cell r="J1177">
            <v>0</v>
          </cell>
          <cell r="K1177">
            <v>0</v>
          </cell>
          <cell r="L1177">
            <v>0</v>
          </cell>
          <cell r="M1177">
            <v>0</v>
          </cell>
          <cell r="N1177">
            <v>0</v>
          </cell>
          <cell r="O1177">
            <v>0</v>
          </cell>
          <cell r="P1177">
            <v>0</v>
          </cell>
          <cell r="Q1177">
            <v>0</v>
          </cell>
          <cell r="R1177">
            <v>0</v>
          </cell>
          <cell r="S1177">
            <v>0</v>
          </cell>
          <cell r="T1177">
            <v>0</v>
          </cell>
          <cell r="U1177" t="e">
            <v>#N/A</v>
          </cell>
        </row>
        <row r="1178">
          <cell r="A1178">
            <v>1001172</v>
          </cell>
          <cell r="B1178" t="str">
            <v>Taladro 1/2"</v>
          </cell>
          <cell r="D1178">
            <v>7200</v>
          </cell>
          <cell r="E1178">
            <v>1000</v>
          </cell>
          <cell r="F1178" t="str">
            <v>ZALM</v>
          </cell>
          <cell r="G1178" t="str">
            <v>UN</v>
          </cell>
          <cell r="H1178" t="str">
            <v>DOP</v>
          </cell>
          <cell r="I1178">
            <v>0</v>
          </cell>
          <cell r="J1178">
            <v>0</v>
          </cell>
          <cell r="K1178">
            <v>0</v>
          </cell>
          <cell r="L1178">
            <v>0</v>
          </cell>
          <cell r="M1178">
            <v>0</v>
          </cell>
          <cell r="N1178">
            <v>0</v>
          </cell>
          <cell r="O1178">
            <v>0</v>
          </cell>
          <cell r="P1178">
            <v>0</v>
          </cell>
          <cell r="Q1178">
            <v>0</v>
          </cell>
          <cell r="R1178">
            <v>0</v>
          </cell>
          <cell r="S1178">
            <v>0</v>
          </cell>
          <cell r="T1178">
            <v>0</v>
          </cell>
          <cell r="U1178" t="e">
            <v>#N/A</v>
          </cell>
        </row>
        <row r="1179">
          <cell r="A1179">
            <v>1001173</v>
          </cell>
          <cell r="B1179" t="str">
            <v>Taladro 3/8" 5.0 Amp #5392</v>
          </cell>
          <cell r="D1179">
            <v>7200</v>
          </cell>
          <cell r="E1179">
            <v>1000</v>
          </cell>
          <cell r="F1179" t="str">
            <v>ZALM</v>
          </cell>
          <cell r="G1179" t="str">
            <v>UN</v>
          </cell>
          <cell r="H1179" t="str">
            <v>DOP</v>
          </cell>
          <cell r="I1179">
            <v>0</v>
          </cell>
          <cell r="J1179">
            <v>0</v>
          </cell>
          <cell r="K1179">
            <v>0</v>
          </cell>
          <cell r="L1179">
            <v>0</v>
          </cell>
          <cell r="M1179">
            <v>0</v>
          </cell>
          <cell r="N1179">
            <v>0</v>
          </cell>
          <cell r="O1179">
            <v>0</v>
          </cell>
          <cell r="P1179">
            <v>0</v>
          </cell>
          <cell r="Q1179">
            <v>0</v>
          </cell>
          <cell r="R1179">
            <v>0</v>
          </cell>
          <cell r="S1179">
            <v>0</v>
          </cell>
          <cell r="T1179">
            <v>0</v>
          </cell>
          <cell r="U1179" t="e">
            <v>#N/A</v>
          </cell>
        </row>
        <row r="1180">
          <cell r="A1180">
            <v>1001174</v>
          </cell>
          <cell r="B1180" t="str">
            <v>Taladro Inalámbrico de 18 Voltios</v>
          </cell>
          <cell r="D1180">
            <v>7200</v>
          </cell>
          <cell r="E1180">
            <v>1000</v>
          </cell>
          <cell r="F1180" t="str">
            <v>ZALM</v>
          </cell>
          <cell r="G1180" t="str">
            <v>UN</v>
          </cell>
          <cell r="H1180" t="str">
            <v>DOP</v>
          </cell>
          <cell r="I1180">
            <v>0</v>
          </cell>
          <cell r="J1180">
            <v>0</v>
          </cell>
          <cell r="K1180">
            <v>0</v>
          </cell>
          <cell r="L1180">
            <v>0</v>
          </cell>
          <cell r="M1180">
            <v>0</v>
          </cell>
          <cell r="N1180">
            <v>0</v>
          </cell>
          <cell r="O1180">
            <v>0</v>
          </cell>
          <cell r="P1180">
            <v>0</v>
          </cell>
          <cell r="Q1180">
            <v>0</v>
          </cell>
          <cell r="R1180">
            <v>0</v>
          </cell>
          <cell r="S1180">
            <v>0</v>
          </cell>
          <cell r="T1180">
            <v>0</v>
          </cell>
          <cell r="U1180" t="e">
            <v>#N/A</v>
          </cell>
        </row>
        <row r="1181">
          <cell r="A1181">
            <v>1001175</v>
          </cell>
          <cell r="B1181" t="str">
            <v>Taladro Roto Martillo 5/8" Mod TE-6S</v>
          </cell>
          <cell r="D1181">
            <v>7201</v>
          </cell>
          <cell r="E1181">
            <v>1000</v>
          </cell>
          <cell r="F1181" t="str">
            <v>ZALM</v>
          </cell>
          <cell r="G1181" t="str">
            <v>UN</v>
          </cell>
          <cell r="H1181" t="str">
            <v>DOP</v>
          </cell>
          <cell r="I1181">
            <v>0</v>
          </cell>
          <cell r="J1181">
            <v>0</v>
          </cell>
          <cell r="K1181">
            <v>1</v>
          </cell>
          <cell r="L1181">
            <v>25734.6</v>
          </cell>
          <cell r="M1181">
            <v>0</v>
          </cell>
          <cell r="N1181">
            <v>0</v>
          </cell>
          <cell r="O1181">
            <v>0</v>
          </cell>
          <cell r="P1181">
            <v>0</v>
          </cell>
          <cell r="Q1181">
            <v>0</v>
          </cell>
          <cell r="R1181">
            <v>0</v>
          </cell>
          <cell r="S1181">
            <v>1</v>
          </cell>
          <cell r="T1181">
            <v>25734.6</v>
          </cell>
          <cell r="U1181">
            <v>25734.6</v>
          </cell>
        </row>
        <row r="1182">
          <cell r="A1182">
            <v>1001176</v>
          </cell>
          <cell r="B1182" t="str">
            <v>Tensor Criollo P/ Tramos Torre Comunic</v>
          </cell>
          <cell r="D1182">
            <v>7200</v>
          </cell>
          <cell r="E1182">
            <v>1000</v>
          </cell>
          <cell r="F1182" t="str">
            <v>ZALM</v>
          </cell>
          <cell r="G1182" t="str">
            <v>UN</v>
          </cell>
          <cell r="H1182" t="str">
            <v>DOP</v>
          </cell>
          <cell r="I1182">
            <v>0</v>
          </cell>
          <cell r="J1182">
            <v>0</v>
          </cell>
          <cell r="K1182">
            <v>0</v>
          </cell>
          <cell r="L1182">
            <v>0</v>
          </cell>
          <cell r="M1182">
            <v>0</v>
          </cell>
          <cell r="N1182">
            <v>0</v>
          </cell>
          <cell r="O1182">
            <v>0</v>
          </cell>
          <cell r="P1182">
            <v>0</v>
          </cell>
          <cell r="Q1182">
            <v>0</v>
          </cell>
          <cell r="R1182">
            <v>0</v>
          </cell>
          <cell r="S1182">
            <v>0</v>
          </cell>
          <cell r="T1182">
            <v>0</v>
          </cell>
          <cell r="U1182" t="e">
            <v>#N/A</v>
          </cell>
        </row>
        <row r="1183">
          <cell r="A1183">
            <v>1001177</v>
          </cell>
          <cell r="B1183" t="str">
            <v>Tensor Mecanico Ojal-GRILLETE DT</v>
          </cell>
          <cell r="D1183">
            <v>7200</v>
          </cell>
          <cell r="E1183">
            <v>1000</v>
          </cell>
          <cell r="F1183" t="str">
            <v>ZALM</v>
          </cell>
          <cell r="G1183" t="str">
            <v>UN</v>
          </cell>
          <cell r="H1183" t="str">
            <v>DOP</v>
          </cell>
          <cell r="I1183">
            <v>0</v>
          </cell>
          <cell r="J1183">
            <v>0</v>
          </cell>
          <cell r="K1183">
            <v>0</v>
          </cell>
          <cell r="L1183">
            <v>0</v>
          </cell>
          <cell r="M1183">
            <v>0</v>
          </cell>
          <cell r="N1183">
            <v>0</v>
          </cell>
          <cell r="O1183">
            <v>0</v>
          </cell>
          <cell r="P1183">
            <v>0</v>
          </cell>
          <cell r="Q1183">
            <v>0</v>
          </cell>
          <cell r="R1183">
            <v>0</v>
          </cell>
          <cell r="S1183">
            <v>0</v>
          </cell>
          <cell r="T1183">
            <v>0</v>
          </cell>
          <cell r="U1183" t="e">
            <v>#N/A</v>
          </cell>
        </row>
        <row r="1184">
          <cell r="A1184">
            <v>1001178</v>
          </cell>
          <cell r="B1184" t="str">
            <v>Transductor Corr 3F 125VDC M100-AA3PG</v>
          </cell>
          <cell r="D1184">
            <v>7200</v>
          </cell>
          <cell r="E1184">
            <v>1000</v>
          </cell>
          <cell r="F1184" t="str">
            <v>ZALM</v>
          </cell>
          <cell r="G1184" t="str">
            <v>UN</v>
          </cell>
          <cell r="H1184" t="str">
            <v>DOP</v>
          </cell>
          <cell r="I1184">
            <v>5</v>
          </cell>
          <cell r="J1184">
            <v>32053.75</v>
          </cell>
          <cell r="K1184">
            <v>0</v>
          </cell>
          <cell r="L1184">
            <v>0</v>
          </cell>
          <cell r="M1184">
            <v>0</v>
          </cell>
          <cell r="N1184">
            <v>0</v>
          </cell>
          <cell r="O1184">
            <v>0</v>
          </cell>
          <cell r="P1184">
            <v>0</v>
          </cell>
          <cell r="Q1184">
            <v>0</v>
          </cell>
          <cell r="R1184">
            <v>0</v>
          </cell>
          <cell r="S1184">
            <v>5</v>
          </cell>
          <cell r="T1184">
            <v>32053.75</v>
          </cell>
          <cell r="U1184">
            <v>6410.75</v>
          </cell>
        </row>
        <row r="1185">
          <cell r="A1185">
            <v>1001179</v>
          </cell>
          <cell r="B1185" t="str">
            <v>Transductor Volt 1F 125VDC M100-VA1-PG</v>
          </cell>
          <cell r="D1185">
            <v>7200</v>
          </cell>
          <cell r="E1185">
            <v>1000</v>
          </cell>
          <cell r="F1185" t="str">
            <v>ZALM</v>
          </cell>
          <cell r="G1185" t="str">
            <v>UN</v>
          </cell>
          <cell r="H1185" t="str">
            <v>DOP</v>
          </cell>
          <cell r="I1185">
            <v>0</v>
          </cell>
          <cell r="J1185">
            <v>0</v>
          </cell>
          <cell r="K1185">
            <v>0</v>
          </cell>
          <cell r="L1185">
            <v>0</v>
          </cell>
          <cell r="M1185">
            <v>0</v>
          </cell>
          <cell r="N1185">
            <v>0</v>
          </cell>
          <cell r="O1185">
            <v>0</v>
          </cell>
          <cell r="P1185">
            <v>0</v>
          </cell>
          <cell r="Q1185">
            <v>0</v>
          </cell>
          <cell r="R1185">
            <v>0</v>
          </cell>
          <cell r="S1185">
            <v>0</v>
          </cell>
          <cell r="T1185">
            <v>0</v>
          </cell>
          <cell r="U1185" t="e">
            <v>#N/A</v>
          </cell>
        </row>
        <row r="1186">
          <cell r="A1186">
            <v>1001180</v>
          </cell>
          <cell r="B1186" t="str">
            <v>Transf Top Oil ACC-A8615</v>
          </cell>
          <cell r="D1186">
            <v>7200</v>
          </cell>
          <cell r="E1186">
            <v>1000</v>
          </cell>
          <cell r="F1186" t="str">
            <v>ZALM</v>
          </cell>
          <cell r="G1186" t="str">
            <v>UN</v>
          </cell>
          <cell r="H1186" t="str">
            <v>DOP</v>
          </cell>
          <cell r="I1186">
            <v>0</v>
          </cell>
          <cell r="J1186">
            <v>0</v>
          </cell>
          <cell r="K1186">
            <v>0</v>
          </cell>
          <cell r="L1186">
            <v>0</v>
          </cell>
          <cell r="M1186">
            <v>0</v>
          </cell>
          <cell r="N1186">
            <v>0</v>
          </cell>
          <cell r="O1186">
            <v>0</v>
          </cell>
          <cell r="P1186">
            <v>0</v>
          </cell>
          <cell r="Q1186">
            <v>0</v>
          </cell>
          <cell r="R1186">
            <v>0</v>
          </cell>
          <cell r="S1186">
            <v>0</v>
          </cell>
          <cell r="T1186">
            <v>0</v>
          </cell>
          <cell r="U1186" t="e">
            <v>#N/A</v>
          </cell>
        </row>
        <row r="1187">
          <cell r="A1187">
            <v>1001181</v>
          </cell>
          <cell r="B1187" t="str">
            <v>Abrazadera 8-10.5" Acero Galv 4 Pzas</v>
          </cell>
          <cell r="D1187">
            <v>5110</v>
          </cell>
          <cell r="E1187">
            <v>1000</v>
          </cell>
          <cell r="F1187" t="str">
            <v>ZALM</v>
          </cell>
          <cell r="G1187" t="str">
            <v>UN</v>
          </cell>
          <cell r="H1187" t="str">
            <v>DOP</v>
          </cell>
          <cell r="I1187">
            <v>0</v>
          </cell>
          <cell r="J1187">
            <v>0</v>
          </cell>
          <cell r="K1187">
            <v>0</v>
          </cell>
          <cell r="L1187">
            <v>0</v>
          </cell>
          <cell r="M1187">
            <v>0</v>
          </cell>
          <cell r="N1187">
            <v>0</v>
          </cell>
          <cell r="O1187">
            <v>0</v>
          </cell>
          <cell r="P1187">
            <v>0</v>
          </cell>
          <cell r="Q1187">
            <v>0</v>
          </cell>
          <cell r="R1187">
            <v>0</v>
          </cell>
          <cell r="S1187">
            <v>0</v>
          </cell>
          <cell r="T1187">
            <v>0</v>
          </cell>
          <cell r="U1187" t="e">
            <v>#N/A</v>
          </cell>
        </row>
        <row r="1188">
          <cell r="A1188">
            <v>1001182</v>
          </cell>
          <cell r="B1188" t="str">
            <v>Abrazadera Acer Galv Doble 5 1/2-6"</v>
          </cell>
          <cell r="D1188">
            <v>5110</v>
          </cell>
          <cell r="E1188">
            <v>1000</v>
          </cell>
          <cell r="F1188" t="str">
            <v>ZALM</v>
          </cell>
          <cell r="G1188" t="str">
            <v>UN</v>
          </cell>
          <cell r="H1188" t="str">
            <v>DOP</v>
          </cell>
          <cell r="I1188">
            <v>30</v>
          </cell>
          <cell r="J1188">
            <v>37758</v>
          </cell>
          <cell r="K1188">
            <v>0</v>
          </cell>
          <cell r="L1188">
            <v>0</v>
          </cell>
          <cell r="M1188">
            <v>0</v>
          </cell>
          <cell r="N1188">
            <v>0</v>
          </cell>
          <cell r="O1188">
            <v>0</v>
          </cell>
          <cell r="P1188">
            <v>0</v>
          </cell>
          <cell r="Q1188">
            <v>30</v>
          </cell>
          <cell r="R1188">
            <v>37758</v>
          </cell>
          <cell r="S1188">
            <v>60</v>
          </cell>
          <cell r="T1188">
            <v>75516</v>
          </cell>
          <cell r="U1188">
            <v>1258.5999999999999</v>
          </cell>
        </row>
        <row r="1189">
          <cell r="A1189">
            <v>1001183</v>
          </cell>
          <cell r="B1189" t="str">
            <v>Abrazadera Acer Galv Doble 6-7"</v>
          </cell>
          <cell r="D1189">
            <v>5110</v>
          </cell>
          <cell r="E1189">
            <v>1000</v>
          </cell>
          <cell r="F1189" t="str">
            <v>ZALM</v>
          </cell>
          <cell r="G1189" t="str">
            <v>UN</v>
          </cell>
          <cell r="H1189" t="str">
            <v>DOP</v>
          </cell>
          <cell r="I1189">
            <v>0</v>
          </cell>
          <cell r="J1189">
            <v>0</v>
          </cell>
          <cell r="K1189">
            <v>0</v>
          </cell>
          <cell r="L1189">
            <v>0</v>
          </cell>
          <cell r="M1189">
            <v>0</v>
          </cell>
          <cell r="N1189">
            <v>0</v>
          </cell>
          <cell r="O1189">
            <v>0</v>
          </cell>
          <cell r="P1189">
            <v>0</v>
          </cell>
          <cell r="Q1189">
            <v>48</v>
          </cell>
          <cell r="R1189">
            <v>26308.799999999999</v>
          </cell>
          <cell r="S1189">
            <v>48</v>
          </cell>
          <cell r="T1189">
            <v>26308.799999999999</v>
          </cell>
          <cell r="U1189">
            <v>548.1</v>
          </cell>
        </row>
        <row r="1190">
          <cell r="A1190">
            <v>1001184</v>
          </cell>
          <cell r="B1190" t="str">
            <v>Abrazadera Acer Galv Doble 7-8"</v>
          </cell>
          <cell r="D1190">
            <v>5110</v>
          </cell>
          <cell r="E1190">
            <v>1000</v>
          </cell>
          <cell r="F1190" t="str">
            <v>ZALM</v>
          </cell>
          <cell r="G1190" t="str">
            <v>UN</v>
          </cell>
          <cell r="H1190" t="str">
            <v>DOP</v>
          </cell>
          <cell r="I1190">
            <v>0</v>
          </cell>
          <cell r="J1190">
            <v>0</v>
          </cell>
          <cell r="K1190">
            <v>0</v>
          </cell>
          <cell r="L1190">
            <v>0</v>
          </cell>
          <cell r="M1190">
            <v>0</v>
          </cell>
          <cell r="N1190">
            <v>0</v>
          </cell>
          <cell r="O1190">
            <v>0</v>
          </cell>
          <cell r="P1190">
            <v>0</v>
          </cell>
          <cell r="Q1190">
            <v>0</v>
          </cell>
          <cell r="R1190">
            <v>0</v>
          </cell>
          <cell r="S1190">
            <v>0</v>
          </cell>
          <cell r="T1190">
            <v>0</v>
          </cell>
          <cell r="U1190" t="e">
            <v>#N/A</v>
          </cell>
        </row>
        <row r="1191">
          <cell r="A1191">
            <v>1001185</v>
          </cell>
          <cell r="B1191" t="str">
            <v>Abrazadera Acer Galv Doble 7-8" Pata Abi</v>
          </cell>
          <cell r="D1191">
            <v>5110</v>
          </cell>
          <cell r="E1191">
            <v>1000</v>
          </cell>
          <cell r="F1191" t="str">
            <v>ZALM</v>
          </cell>
          <cell r="G1191" t="str">
            <v>UN</v>
          </cell>
          <cell r="H1191" t="str">
            <v>DOP</v>
          </cell>
          <cell r="I1191">
            <v>0</v>
          </cell>
          <cell r="J1191">
            <v>0</v>
          </cell>
          <cell r="K1191">
            <v>0</v>
          </cell>
          <cell r="L1191">
            <v>0</v>
          </cell>
          <cell r="M1191">
            <v>0</v>
          </cell>
          <cell r="N1191">
            <v>0</v>
          </cell>
          <cell r="O1191">
            <v>0</v>
          </cell>
          <cell r="P1191">
            <v>0</v>
          </cell>
          <cell r="Q1191">
            <v>0</v>
          </cell>
          <cell r="R1191">
            <v>0</v>
          </cell>
          <cell r="S1191">
            <v>0</v>
          </cell>
          <cell r="T1191">
            <v>0</v>
          </cell>
          <cell r="U1191" t="e">
            <v>#N/A</v>
          </cell>
        </row>
        <row r="1192">
          <cell r="A1192">
            <v>1001186</v>
          </cell>
          <cell r="B1192" t="str">
            <v>Abrazadera Acer Galv Doble 8-9"</v>
          </cell>
          <cell r="D1192">
            <v>5110</v>
          </cell>
          <cell r="E1192">
            <v>1000</v>
          </cell>
          <cell r="F1192" t="str">
            <v>ZALM</v>
          </cell>
          <cell r="G1192" t="str">
            <v>UN</v>
          </cell>
          <cell r="H1192" t="str">
            <v>DOP</v>
          </cell>
          <cell r="I1192">
            <v>0</v>
          </cell>
          <cell r="J1192">
            <v>0</v>
          </cell>
          <cell r="K1192">
            <v>0</v>
          </cell>
          <cell r="L1192">
            <v>0</v>
          </cell>
          <cell r="M1192">
            <v>0</v>
          </cell>
          <cell r="N1192">
            <v>0</v>
          </cell>
          <cell r="O1192">
            <v>0</v>
          </cell>
          <cell r="P1192">
            <v>0</v>
          </cell>
          <cell r="Q1192">
            <v>0</v>
          </cell>
          <cell r="R1192">
            <v>0</v>
          </cell>
          <cell r="S1192">
            <v>0</v>
          </cell>
          <cell r="T1192">
            <v>0</v>
          </cell>
          <cell r="U1192" t="e">
            <v>#N/A</v>
          </cell>
        </row>
        <row r="1193">
          <cell r="A1193">
            <v>1001187</v>
          </cell>
          <cell r="B1193" t="str">
            <v>Abrazadera Acer Galv Doble 9-10"</v>
          </cell>
          <cell r="D1193">
            <v>5110</v>
          </cell>
          <cell r="E1193">
            <v>1000</v>
          </cell>
          <cell r="F1193" t="str">
            <v>ZALM</v>
          </cell>
          <cell r="G1193" t="str">
            <v>UN</v>
          </cell>
          <cell r="H1193" t="str">
            <v>DOP</v>
          </cell>
          <cell r="I1193">
            <v>0</v>
          </cell>
          <cell r="J1193">
            <v>0</v>
          </cell>
          <cell r="K1193">
            <v>0</v>
          </cell>
          <cell r="L1193">
            <v>0</v>
          </cell>
          <cell r="M1193">
            <v>0</v>
          </cell>
          <cell r="N1193">
            <v>0</v>
          </cell>
          <cell r="O1193">
            <v>0</v>
          </cell>
          <cell r="P1193">
            <v>0</v>
          </cell>
          <cell r="Q1193">
            <v>1</v>
          </cell>
          <cell r="R1193">
            <v>193.31</v>
          </cell>
          <cell r="S1193">
            <v>1</v>
          </cell>
          <cell r="T1193">
            <v>193.31</v>
          </cell>
          <cell r="U1193">
            <v>193.31</v>
          </cell>
        </row>
        <row r="1194">
          <cell r="A1194">
            <v>1001188</v>
          </cell>
          <cell r="B1194" t="str">
            <v>Abrazadera Acer Galv Simple 5 1/2-6"</v>
          </cell>
          <cell r="D1194">
            <v>5110</v>
          </cell>
          <cell r="E1194">
            <v>1000</v>
          </cell>
          <cell r="F1194" t="str">
            <v>ZALM</v>
          </cell>
          <cell r="G1194" t="str">
            <v>UN</v>
          </cell>
          <cell r="H1194" t="str">
            <v>DOP</v>
          </cell>
          <cell r="I1194">
            <v>0</v>
          </cell>
          <cell r="J1194">
            <v>0</v>
          </cell>
          <cell r="K1194">
            <v>0</v>
          </cell>
          <cell r="L1194">
            <v>0</v>
          </cell>
          <cell r="M1194">
            <v>0</v>
          </cell>
          <cell r="N1194">
            <v>0</v>
          </cell>
          <cell r="O1194">
            <v>0</v>
          </cell>
          <cell r="P1194">
            <v>0</v>
          </cell>
          <cell r="Q1194">
            <v>3</v>
          </cell>
          <cell r="R1194">
            <v>399.09</v>
          </cell>
          <cell r="S1194">
            <v>3</v>
          </cell>
          <cell r="T1194">
            <v>399.09</v>
          </cell>
          <cell r="U1194">
            <v>133.03</v>
          </cell>
        </row>
        <row r="1195">
          <cell r="A1195">
            <v>1001189</v>
          </cell>
          <cell r="B1195" t="str">
            <v>Abrazadera Acer Galv Simple 6-6 1/2"</v>
          </cell>
          <cell r="D1195">
            <v>5110</v>
          </cell>
          <cell r="E1195">
            <v>1000</v>
          </cell>
          <cell r="F1195" t="str">
            <v>ZALM</v>
          </cell>
          <cell r="G1195" t="str">
            <v>UN</v>
          </cell>
          <cell r="H1195" t="str">
            <v>DOP</v>
          </cell>
          <cell r="I1195">
            <v>0</v>
          </cell>
          <cell r="J1195">
            <v>0</v>
          </cell>
          <cell r="K1195">
            <v>0</v>
          </cell>
          <cell r="L1195">
            <v>0</v>
          </cell>
          <cell r="M1195">
            <v>0</v>
          </cell>
          <cell r="N1195">
            <v>0</v>
          </cell>
          <cell r="O1195">
            <v>0</v>
          </cell>
          <cell r="P1195">
            <v>0</v>
          </cell>
          <cell r="Q1195">
            <v>0</v>
          </cell>
          <cell r="R1195">
            <v>0</v>
          </cell>
          <cell r="S1195">
            <v>0</v>
          </cell>
          <cell r="T1195">
            <v>0</v>
          </cell>
          <cell r="U1195" t="e">
            <v>#N/A</v>
          </cell>
        </row>
        <row r="1196">
          <cell r="A1196">
            <v>1001190</v>
          </cell>
          <cell r="B1196" t="str">
            <v>Abrazadera Acer Galv Simple 7-8"</v>
          </cell>
          <cell r="D1196">
            <v>5110</v>
          </cell>
          <cell r="E1196">
            <v>1000</v>
          </cell>
          <cell r="F1196" t="str">
            <v>ZALM</v>
          </cell>
          <cell r="G1196" t="str">
            <v>UN</v>
          </cell>
          <cell r="H1196" t="str">
            <v>DOP</v>
          </cell>
          <cell r="I1196">
            <v>0</v>
          </cell>
          <cell r="J1196">
            <v>0</v>
          </cell>
          <cell r="K1196">
            <v>0</v>
          </cell>
          <cell r="L1196">
            <v>0</v>
          </cell>
          <cell r="M1196">
            <v>0</v>
          </cell>
          <cell r="N1196">
            <v>0</v>
          </cell>
          <cell r="O1196">
            <v>0</v>
          </cell>
          <cell r="P1196">
            <v>0</v>
          </cell>
          <cell r="Q1196">
            <v>2</v>
          </cell>
          <cell r="R1196">
            <v>324.26</v>
          </cell>
          <cell r="S1196">
            <v>2</v>
          </cell>
          <cell r="T1196">
            <v>324.26</v>
          </cell>
          <cell r="U1196">
            <v>162.13</v>
          </cell>
        </row>
        <row r="1197">
          <cell r="A1197">
            <v>1001191</v>
          </cell>
          <cell r="B1197" t="str">
            <v>Abrazadera Acer Galv Simple 8-9"</v>
          </cell>
          <cell r="D1197">
            <v>5110</v>
          </cell>
          <cell r="E1197">
            <v>1000</v>
          </cell>
          <cell r="F1197" t="str">
            <v>ZALM</v>
          </cell>
          <cell r="G1197" t="str">
            <v>UN</v>
          </cell>
          <cell r="H1197" t="str">
            <v>DOP</v>
          </cell>
          <cell r="I1197">
            <v>0</v>
          </cell>
          <cell r="J1197">
            <v>0</v>
          </cell>
          <cell r="K1197">
            <v>0</v>
          </cell>
          <cell r="L1197">
            <v>0</v>
          </cell>
          <cell r="M1197">
            <v>0</v>
          </cell>
          <cell r="N1197">
            <v>0</v>
          </cell>
          <cell r="O1197">
            <v>0</v>
          </cell>
          <cell r="P1197">
            <v>0</v>
          </cell>
          <cell r="Q1197">
            <v>31</v>
          </cell>
          <cell r="R1197">
            <v>5541.56</v>
          </cell>
          <cell r="S1197">
            <v>31</v>
          </cell>
          <cell r="T1197">
            <v>5541.56</v>
          </cell>
          <cell r="U1197">
            <v>178.76</v>
          </cell>
        </row>
        <row r="1198">
          <cell r="A1198">
            <v>1001192</v>
          </cell>
          <cell r="B1198" t="str">
            <v>Abrazadera Acer Galv Simple 9-10"</v>
          </cell>
          <cell r="D1198">
            <v>5110</v>
          </cell>
          <cell r="E1198">
            <v>1000</v>
          </cell>
          <cell r="F1198" t="str">
            <v>ZALM</v>
          </cell>
          <cell r="G1198" t="str">
            <v>UN</v>
          </cell>
          <cell r="H1198" t="str">
            <v>DOP</v>
          </cell>
          <cell r="I1198">
            <v>0</v>
          </cell>
          <cell r="J1198">
            <v>0</v>
          </cell>
          <cell r="K1198">
            <v>0</v>
          </cell>
          <cell r="L1198">
            <v>0</v>
          </cell>
          <cell r="M1198">
            <v>0</v>
          </cell>
          <cell r="N1198">
            <v>0</v>
          </cell>
          <cell r="O1198">
            <v>0</v>
          </cell>
          <cell r="P1198">
            <v>0</v>
          </cell>
          <cell r="Q1198">
            <v>0</v>
          </cell>
          <cell r="R1198">
            <v>0</v>
          </cell>
          <cell r="S1198">
            <v>0</v>
          </cell>
          <cell r="T1198">
            <v>0</v>
          </cell>
          <cell r="U1198" t="e">
            <v>#N/A</v>
          </cell>
        </row>
        <row r="1199">
          <cell r="A1199">
            <v>1001193</v>
          </cell>
          <cell r="B1199" t="str">
            <v>Abrazadera Contra Presión P/ Tubo 2 1/2"</v>
          </cell>
          <cell r="D1199">
            <v>5110</v>
          </cell>
          <cell r="E1199">
            <v>1000</v>
          </cell>
          <cell r="F1199" t="str">
            <v>ZALM</v>
          </cell>
          <cell r="G1199" t="str">
            <v>UN</v>
          </cell>
          <cell r="H1199" t="str">
            <v>DOP</v>
          </cell>
          <cell r="I1199">
            <v>0</v>
          </cell>
          <cell r="J1199">
            <v>0</v>
          </cell>
          <cell r="K1199">
            <v>0</v>
          </cell>
          <cell r="L1199">
            <v>0</v>
          </cell>
          <cell r="M1199">
            <v>0</v>
          </cell>
          <cell r="N1199">
            <v>0</v>
          </cell>
          <cell r="O1199">
            <v>0</v>
          </cell>
          <cell r="P1199">
            <v>0</v>
          </cell>
          <cell r="Q1199">
            <v>0</v>
          </cell>
          <cell r="R1199">
            <v>0</v>
          </cell>
          <cell r="S1199">
            <v>0</v>
          </cell>
          <cell r="T1199">
            <v>0</v>
          </cell>
          <cell r="U1199" t="e">
            <v>#N/A</v>
          </cell>
        </row>
        <row r="1200">
          <cell r="A1200">
            <v>1001194</v>
          </cell>
          <cell r="B1200" t="str">
            <v>Abrazadera Contra Presión P/ Tubo 2"</v>
          </cell>
          <cell r="D1200">
            <v>5110</v>
          </cell>
          <cell r="E1200">
            <v>1000</v>
          </cell>
          <cell r="F1200" t="str">
            <v>ZALM</v>
          </cell>
          <cell r="G1200" t="str">
            <v>UN</v>
          </cell>
          <cell r="H1200" t="str">
            <v>DOP</v>
          </cell>
          <cell r="I1200">
            <v>990</v>
          </cell>
          <cell r="J1200">
            <v>399426.92</v>
          </cell>
          <cell r="K1200">
            <v>0</v>
          </cell>
          <cell r="L1200">
            <v>0</v>
          </cell>
          <cell r="M1200">
            <v>0</v>
          </cell>
          <cell r="N1200">
            <v>0</v>
          </cell>
          <cell r="O1200">
            <v>0</v>
          </cell>
          <cell r="P1200">
            <v>0</v>
          </cell>
          <cell r="Q1200">
            <v>648</v>
          </cell>
          <cell r="R1200">
            <v>261443.07</v>
          </cell>
          <cell r="S1200">
            <v>1638</v>
          </cell>
          <cell r="T1200">
            <v>660869.99</v>
          </cell>
          <cell r="U1200">
            <v>403.46153235653202</v>
          </cell>
        </row>
        <row r="1201">
          <cell r="A1201">
            <v>1001195</v>
          </cell>
          <cell r="B1201" t="str">
            <v>Abrazadera EMT P/ Tubo 1/2"</v>
          </cell>
          <cell r="D1201">
            <v>5110</v>
          </cell>
          <cell r="E1201">
            <v>1000</v>
          </cell>
          <cell r="F1201" t="str">
            <v>ZALM</v>
          </cell>
          <cell r="G1201" t="str">
            <v>UN</v>
          </cell>
          <cell r="H1201" t="str">
            <v>DOP</v>
          </cell>
          <cell r="I1201">
            <v>0</v>
          </cell>
          <cell r="J1201">
            <v>0</v>
          </cell>
          <cell r="K1201">
            <v>0</v>
          </cell>
          <cell r="L1201">
            <v>0</v>
          </cell>
          <cell r="M1201">
            <v>0</v>
          </cell>
          <cell r="N1201">
            <v>0</v>
          </cell>
          <cell r="O1201">
            <v>0</v>
          </cell>
          <cell r="P1201">
            <v>0</v>
          </cell>
          <cell r="Q1201">
            <v>0</v>
          </cell>
          <cell r="R1201">
            <v>0</v>
          </cell>
          <cell r="S1201">
            <v>0</v>
          </cell>
          <cell r="T1201">
            <v>0</v>
          </cell>
          <cell r="U1201" t="e">
            <v>#N/A</v>
          </cell>
        </row>
        <row r="1202">
          <cell r="A1202">
            <v>1001196</v>
          </cell>
          <cell r="B1202" t="str">
            <v>Abrazadera Galv 1"</v>
          </cell>
          <cell r="D1202">
            <v>5110</v>
          </cell>
          <cell r="E1202">
            <v>1000</v>
          </cell>
          <cell r="F1202" t="str">
            <v>ZALM</v>
          </cell>
          <cell r="G1202" t="str">
            <v>UN</v>
          </cell>
          <cell r="H1202" t="str">
            <v>DOP</v>
          </cell>
          <cell r="I1202">
            <v>3063</v>
          </cell>
          <cell r="J1202">
            <v>8361.99</v>
          </cell>
          <cell r="K1202">
            <v>0</v>
          </cell>
          <cell r="L1202">
            <v>0</v>
          </cell>
          <cell r="M1202">
            <v>0</v>
          </cell>
          <cell r="N1202">
            <v>0</v>
          </cell>
          <cell r="O1202">
            <v>0</v>
          </cell>
          <cell r="P1202">
            <v>0</v>
          </cell>
          <cell r="Q1202">
            <v>0</v>
          </cell>
          <cell r="R1202">
            <v>0</v>
          </cell>
          <cell r="S1202">
            <v>3063</v>
          </cell>
          <cell r="T1202">
            <v>8361.99</v>
          </cell>
          <cell r="U1202">
            <v>2.73</v>
          </cell>
        </row>
        <row r="1203">
          <cell r="A1203">
            <v>1001197</v>
          </cell>
          <cell r="B1203" t="str">
            <v>Abrazadera Galv 1/2" EMT</v>
          </cell>
          <cell r="D1203">
            <v>5110</v>
          </cell>
          <cell r="E1203">
            <v>1000</v>
          </cell>
          <cell r="F1203" t="str">
            <v>ZALM</v>
          </cell>
          <cell r="G1203" t="str">
            <v>UN</v>
          </cell>
          <cell r="H1203" t="str">
            <v>DOP</v>
          </cell>
          <cell r="I1203">
            <v>1110</v>
          </cell>
          <cell r="J1203">
            <v>2120.1</v>
          </cell>
          <cell r="K1203">
            <v>0</v>
          </cell>
          <cell r="L1203">
            <v>0</v>
          </cell>
          <cell r="M1203">
            <v>0</v>
          </cell>
          <cell r="N1203">
            <v>0</v>
          </cell>
          <cell r="O1203">
            <v>0</v>
          </cell>
          <cell r="P1203">
            <v>0</v>
          </cell>
          <cell r="Q1203">
            <v>0</v>
          </cell>
          <cell r="R1203">
            <v>0</v>
          </cell>
          <cell r="S1203">
            <v>1110</v>
          </cell>
          <cell r="T1203">
            <v>2120.1</v>
          </cell>
          <cell r="U1203">
            <v>1.91</v>
          </cell>
        </row>
        <row r="1204">
          <cell r="A1204">
            <v>1001198</v>
          </cell>
          <cell r="B1204" t="str">
            <v>Abrazadera Galv 2"</v>
          </cell>
          <cell r="D1204">
            <v>5110</v>
          </cell>
          <cell r="E1204">
            <v>1000</v>
          </cell>
          <cell r="F1204" t="str">
            <v>ZALM</v>
          </cell>
          <cell r="G1204" t="str">
            <v>UN</v>
          </cell>
          <cell r="H1204" t="str">
            <v>DOP</v>
          </cell>
          <cell r="I1204">
            <v>3100</v>
          </cell>
          <cell r="J1204">
            <v>28241</v>
          </cell>
          <cell r="K1204">
            <v>0</v>
          </cell>
          <cell r="L1204">
            <v>0</v>
          </cell>
          <cell r="M1204">
            <v>0</v>
          </cell>
          <cell r="N1204">
            <v>0</v>
          </cell>
          <cell r="O1204">
            <v>0</v>
          </cell>
          <cell r="P1204">
            <v>0</v>
          </cell>
          <cell r="Q1204">
            <v>0</v>
          </cell>
          <cell r="R1204">
            <v>0</v>
          </cell>
          <cell r="S1204">
            <v>3100</v>
          </cell>
          <cell r="T1204">
            <v>28241</v>
          </cell>
          <cell r="U1204">
            <v>9.11</v>
          </cell>
        </row>
        <row r="1205">
          <cell r="A1205">
            <v>1001199</v>
          </cell>
          <cell r="B1205" t="str">
            <v>Abrazadera Galv 3"</v>
          </cell>
          <cell r="D1205">
            <v>5110</v>
          </cell>
          <cell r="E1205">
            <v>1000</v>
          </cell>
          <cell r="F1205" t="str">
            <v>ZALM</v>
          </cell>
          <cell r="G1205" t="str">
            <v>UN</v>
          </cell>
          <cell r="H1205" t="str">
            <v>DOP</v>
          </cell>
          <cell r="I1205">
            <v>0</v>
          </cell>
          <cell r="J1205">
            <v>0</v>
          </cell>
          <cell r="K1205">
            <v>0</v>
          </cell>
          <cell r="L1205">
            <v>0</v>
          </cell>
          <cell r="M1205">
            <v>0</v>
          </cell>
          <cell r="N1205">
            <v>0</v>
          </cell>
          <cell r="O1205">
            <v>0</v>
          </cell>
          <cell r="P1205">
            <v>0</v>
          </cell>
          <cell r="Q1205">
            <v>0</v>
          </cell>
          <cell r="R1205">
            <v>0</v>
          </cell>
          <cell r="S1205">
            <v>0</v>
          </cell>
          <cell r="T1205">
            <v>0</v>
          </cell>
          <cell r="U1205" t="e">
            <v>#N/A</v>
          </cell>
        </row>
        <row r="1206">
          <cell r="A1206">
            <v>1001200</v>
          </cell>
          <cell r="B1206" t="str">
            <v>Abrazadera Galv 3/8" TW</v>
          </cell>
          <cell r="D1206">
            <v>5110</v>
          </cell>
          <cell r="E1206">
            <v>1000</v>
          </cell>
          <cell r="F1206" t="str">
            <v>ZALM</v>
          </cell>
          <cell r="G1206" t="str">
            <v>UN</v>
          </cell>
          <cell r="H1206" t="str">
            <v>DOP</v>
          </cell>
          <cell r="I1206">
            <v>0</v>
          </cell>
          <cell r="J1206">
            <v>0</v>
          </cell>
          <cell r="K1206">
            <v>0</v>
          </cell>
          <cell r="L1206">
            <v>0</v>
          </cell>
          <cell r="M1206">
            <v>0</v>
          </cell>
          <cell r="N1206">
            <v>0</v>
          </cell>
          <cell r="O1206">
            <v>0</v>
          </cell>
          <cell r="P1206">
            <v>0</v>
          </cell>
          <cell r="Q1206">
            <v>0</v>
          </cell>
          <cell r="R1206">
            <v>0</v>
          </cell>
          <cell r="S1206">
            <v>0</v>
          </cell>
          <cell r="T1206">
            <v>0</v>
          </cell>
          <cell r="U1206" t="e">
            <v>#N/A</v>
          </cell>
        </row>
        <row r="1207">
          <cell r="A1207">
            <v>1001201</v>
          </cell>
          <cell r="B1207" t="str">
            <v>Abrazadera Galv OMEGA P/ Tubo 2 1/2"</v>
          </cell>
          <cell r="D1207">
            <v>5110</v>
          </cell>
          <cell r="E1207">
            <v>1000</v>
          </cell>
          <cell r="F1207" t="str">
            <v>ZALM</v>
          </cell>
          <cell r="G1207" t="str">
            <v>UN</v>
          </cell>
          <cell r="H1207" t="str">
            <v>DOP</v>
          </cell>
          <cell r="I1207">
            <v>3944</v>
          </cell>
          <cell r="J1207">
            <v>31118.16</v>
          </cell>
          <cell r="K1207">
            <v>0</v>
          </cell>
          <cell r="L1207">
            <v>0</v>
          </cell>
          <cell r="M1207">
            <v>0</v>
          </cell>
          <cell r="N1207">
            <v>0</v>
          </cell>
          <cell r="O1207">
            <v>0</v>
          </cell>
          <cell r="P1207">
            <v>0</v>
          </cell>
          <cell r="Q1207">
            <v>0</v>
          </cell>
          <cell r="R1207">
            <v>0</v>
          </cell>
          <cell r="S1207">
            <v>3944</v>
          </cell>
          <cell r="T1207">
            <v>31118.16</v>
          </cell>
          <cell r="U1207">
            <v>7.89</v>
          </cell>
        </row>
        <row r="1208">
          <cell r="A1208">
            <v>1001202</v>
          </cell>
          <cell r="B1208" t="str">
            <v>Abrazadera Galv P/ Tuberia 4" Reforz</v>
          </cell>
          <cell r="D1208">
            <v>5110</v>
          </cell>
          <cell r="E1208">
            <v>1000</v>
          </cell>
          <cell r="F1208" t="str">
            <v>ZALM</v>
          </cell>
          <cell r="G1208" t="str">
            <v>UN</v>
          </cell>
          <cell r="H1208" t="str">
            <v>DOP</v>
          </cell>
          <cell r="I1208">
            <v>0</v>
          </cell>
          <cell r="J1208">
            <v>0</v>
          </cell>
          <cell r="K1208">
            <v>0</v>
          </cell>
          <cell r="L1208">
            <v>0</v>
          </cell>
          <cell r="M1208">
            <v>0</v>
          </cell>
          <cell r="N1208">
            <v>0</v>
          </cell>
          <cell r="O1208">
            <v>0</v>
          </cell>
          <cell r="P1208">
            <v>0</v>
          </cell>
          <cell r="Q1208">
            <v>0</v>
          </cell>
          <cell r="R1208">
            <v>0</v>
          </cell>
          <cell r="S1208">
            <v>0</v>
          </cell>
          <cell r="T1208">
            <v>0</v>
          </cell>
          <cell r="U1208" t="e">
            <v>#N/A</v>
          </cell>
        </row>
        <row r="1209">
          <cell r="A1209">
            <v>1001203</v>
          </cell>
          <cell r="B1209" t="str">
            <v>Abrazadera P/ Cable Tipo Platillo</v>
          </cell>
          <cell r="D1209">
            <v>5110</v>
          </cell>
          <cell r="E1209">
            <v>1000</v>
          </cell>
          <cell r="F1209" t="str">
            <v>ZALM</v>
          </cell>
          <cell r="G1209" t="str">
            <v>UN</v>
          </cell>
          <cell r="H1209" t="str">
            <v>DOP</v>
          </cell>
          <cell r="I1209">
            <v>6</v>
          </cell>
          <cell r="J1209">
            <v>6</v>
          </cell>
          <cell r="K1209">
            <v>0</v>
          </cell>
          <cell r="L1209">
            <v>0</v>
          </cell>
          <cell r="M1209">
            <v>0</v>
          </cell>
          <cell r="N1209">
            <v>0</v>
          </cell>
          <cell r="O1209">
            <v>0</v>
          </cell>
          <cell r="P1209">
            <v>0</v>
          </cell>
          <cell r="Q1209">
            <v>0</v>
          </cell>
          <cell r="R1209">
            <v>0</v>
          </cell>
          <cell r="S1209">
            <v>6</v>
          </cell>
          <cell r="T1209">
            <v>6</v>
          </cell>
          <cell r="U1209">
            <v>1</v>
          </cell>
        </row>
        <row r="1210">
          <cell r="A1210">
            <v>1001204</v>
          </cell>
          <cell r="B1210" t="str">
            <v>Abrazadera P/ Perno T/ Clv 5/8" 16mm</v>
          </cell>
          <cell r="D1210">
            <v>5110</v>
          </cell>
          <cell r="E1210">
            <v>1000</v>
          </cell>
          <cell r="F1210" t="str">
            <v>ZALM</v>
          </cell>
          <cell r="G1210" t="str">
            <v>UN</v>
          </cell>
          <cell r="H1210" t="str">
            <v>DOP</v>
          </cell>
          <cell r="I1210">
            <v>0</v>
          </cell>
          <cell r="J1210">
            <v>0</v>
          </cell>
          <cell r="K1210">
            <v>0</v>
          </cell>
          <cell r="L1210">
            <v>0</v>
          </cell>
          <cell r="M1210">
            <v>30</v>
          </cell>
          <cell r="N1210">
            <v>10448.120000000001</v>
          </cell>
          <cell r="O1210">
            <v>0</v>
          </cell>
          <cell r="P1210">
            <v>0</v>
          </cell>
          <cell r="Q1210">
            <v>0</v>
          </cell>
          <cell r="R1210">
            <v>0</v>
          </cell>
          <cell r="S1210">
            <v>30</v>
          </cell>
          <cell r="T1210">
            <v>10448.120000000001</v>
          </cell>
          <cell r="U1210">
            <v>348.27066666666701</v>
          </cell>
        </row>
        <row r="1211">
          <cell r="A1211">
            <v>1001205</v>
          </cell>
          <cell r="B1211" t="str">
            <v>Abrazadera P/ Tubo</v>
          </cell>
          <cell r="D1211">
            <v>5110</v>
          </cell>
          <cell r="E1211">
            <v>1000</v>
          </cell>
          <cell r="F1211" t="str">
            <v>ZALM</v>
          </cell>
          <cell r="G1211" t="str">
            <v>UN</v>
          </cell>
          <cell r="H1211" t="str">
            <v>DOP</v>
          </cell>
          <cell r="I1211">
            <v>32</v>
          </cell>
          <cell r="J1211">
            <v>32</v>
          </cell>
          <cell r="K1211">
            <v>0</v>
          </cell>
          <cell r="L1211">
            <v>0</v>
          </cell>
          <cell r="M1211">
            <v>0</v>
          </cell>
          <cell r="N1211">
            <v>0</v>
          </cell>
          <cell r="O1211">
            <v>0</v>
          </cell>
          <cell r="P1211">
            <v>0</v>
          </cell>
          <cell r="Q1211">
            <v>0</v>
          </cell>
          <cell r="R1211">
            <v>0</v>
          </cell>
          <cell r="S1211">
            <v>32</v>
          </cell>
          <cell r="T1211">
            <v>32</v>
          </cell>
          <cell r="U1211">
            <v>1</v>
          </cell>
        </row>
        <row r="1212">
          <cell r="A1212">
            <v>1001206</v>
          </cell>
          <cell r="B1212" t="str">
            <v>Abrazadera UNITRI 1"</v>
          </cell>
          <cell r="D1212">
            <v>5110</v>
          </cell>
          <cell r="E1212">
            <v>1000</v>
          </cell>
          <cell r="F1212" t="str">
            <v>ZALM</v>
          </cell>
          <cell r="G1212" t="str">
            <v>UN</v>
          </cell>
          <cell r="H1212" t="str">
            <v>DOP</v>
          </cell>
          <cell r="I1212">
            <v>0</v>
          </cell>
          <cell r="J1212">
            <v>0</v>
          </cell>
          <cell r="K1212">
            <v>0</v>
          </cell>
          <cell r="L1212">
            <v>0</v>
          </cell>
          <cell r="M1212">
            <v>0</v>
          </cell>
          <cell r="N1212">
            <v>0</v>
          </cell>
          <cell r="O1212">
            <v>0</v>
          </cell>
          <cell r="P1212">
            <v>0</v>
          </cell>
          <cell r="Q1212">
            <v>0</v>
          </cell>
          <cell r="R1212">
            <v>0</v>
          </cell>
          <cell r="S1212">
            <v>0</v>
          </cell>
          <cell r="T1212">
            <v>0</v>
          </cell>
          <cell r="U1212" t="e">
            <v>#N/A</v>
          </cell>
        </row>
        <row r="1213">
          <cell r="A1213">
            <v>1001207</v>
          </cell>
          <cell r="B1213" t="str">
            <v>Accesorios Montaje Banco de Baterias</v>
          </cell>
          <cell r="D1213">
            <v>5110</v>
          </cell>
          <cell r="E1213">
            <v>1000</v>
          </cell>
          <cell r="F1213" t="str">
            <v>ZALM</v>
          </cell>
          <cell r="G1213" t="str">
            <v>UN</v>
          </cell>
          <cell r="H1213" t="str">
            <v>DOP</v>
          </cell>
          <cell r="I1213">
            <v>0</v>
          </cell>
          <cell r="J1213">
            <v>0</v>
          </cell>
          <cell r="K1213">
            <v>0</v>
          </cell>
          <cell r="L1213">
            <v>0</v>
          </cell>
          <cell r="M1213">
            <v>0</v>
          </cell>
          <cell r="N1213">
            <v>0</v>
          </cell>
          <cell r="O1213">
            <v>0</v>
          </cell>
          <cell r="P1213">
            <v>0</v>
          </cell>
          <cell r="Q1213">
            <v>0</v>
          </cell>
          <cell r="R1213">
            <v>0</v>
          </cell>
          <cell r="S1213">
            <v>0</v>
          </cell>
          <cell r="T1213">
            <v>0</v>
          </cell>
          <cell r="U1213" t="e">
            <v>#N/A</v>
          </cell>
        </row>
        <row r="1214">
          <cell r="A1214">
            <v>1001208</v>
          </cell>
          <cell r="B1214" t="str">
            <v>Angular 1 1/2"x3/16"</v>
          </cell>
          <cell r="D1214">
            <v>5110</v>
          </cell>
          <cell r="E1214">
            <v>1000</v>
          </cell>
          <cell r="F1214" t="str">
            <v>ZALM</v>
          </cell>
          <cell r="G1214" t="str">
            <v>UN</v>
          </cell>
          <cell r="H1214" t="str">
            <v>DOP</v>
          </cell>
          <cell r="I1214">
            <v>0</v>
          </cell>
          <cell r="J1214">
            <v>0</v>
          </cell>
          <cell r="K1214">
            <v>0</v>
          </cell>
          <cell r="L1214">
            <v>0</v>
          </cell>
          <cell r="M1214">
            <v>0</v>
          </cell>
          <cell r="N1214">
            <v>0</v>
          </cell>
          <cell r="O1214">
            <v>0</v>
          </cell>
          <cell r="P1214">
            <v>0</v>
          </cell>
          <cell r="Q1214">
            <v>0</v>
          </cell>
          <cell r="R1214">
            <v>0</v>
          </cell>
          <cell r="S1214">
            <v>0</v>
          </cell>
          <cell r="T1214">
            <v>0</v>
          </cell>
          <cell r="U1214" t="e">
            <v>#N/A</v>
          </cell>
        </row>
        <row r="1215">
          <cell r="A1215">
            <v>1001209</v>
          </cell>
          <cell r="B1215" t="str">
            <v>Angular Al 4"x4"x1/4" 16 P.L. (Barra)</v>
          </cell>
          <cell r="D1215">
            <v>5110</v>
          </cell>
          <cell r="E1215">
            <v>1000</v>
          </cell>
          <cell r="F1215" t="str">
            <v>ZALM</v>
          </cell>
          <cell r="G1215" t="str">
            <v>UN</v>
          </cell>
          <cell r="H1215" t="str">
            <v>DOP</v>
          </cell>
          <cell r="I1215">
            <v>0</v>
          </cell>
          <cell r="J1215">
            <v>0</v>
          </cell>
          <cell r="K1215">
            <v>0</v>
          </cell>
          <cell r="L1215">
            <v>0</v>
          </cell>
          <cell r="M1215">
            <v>0</v>
          </cell>
          <cell r="N1215">
            <v>0</v>
          </cell>
          <cell r="O1215">
            <v>0</v>
          </cell>
          <cell r="P1215">
            <v>0</v>
          </cell>
          <cell r="Q1215">
            <v>0</v>
          </cell>
          <cell r="R1215">
            <v>0</v>
          </cell>
          <cell r="S1215">
            <v>0</v>
          </cell>
          <cell r="T1215">
            <v>0</v>
          </cell>
          <cell r="U1215" t="e">
            <v>#N/A</v>
          </cell>
        </row>
        <row r="1216">
          <cell r="A1216">
            <v>1001210</v>
          </cell>
          <cell r="B1216" t="str">
            <v>Angulo Ranurado 2"x2"x2.5"</v>
          </cell>
          <cell r="D1216">
            <v>5110</v>
          </cell>
          <cell r="E1216">
            <v>1000</v>
          </cell>
          <cell r="F1216" t="str">
            <v>ZALM</v>
          </cell>
          <cell r="G1216" t="str">
            <v>UN</v>
          </cell>
          <cell r="H1216" t="str">
            <v>DOP</v>
          </cell>
          <cell r="I1216">
            <v>0</v>
          </cell>
          <cell r="J1216">
            <v>0</v>
          </cell>
          <cell r="K1216">
            <v>0</v>
          </cell>
          <cell r="L1216">
            <v>0</v>
          </cell>
          <cell r="M1216">
            <v>0</v>
          </cell>
          <cell r="N1216">
            <v>0</v>
          </cell>
          <cell r="O1216">
            <v>0</v>
          </cell>
          <cell r="P1216">
            <v>0</v>
          </cell>
          <cell r="Q1216">
            <v>0</v>
          </cell>
          <cell r="R1216">
            <v>0</v>
          </cell>
          <cell r="S1216">
            <v>0</v>
          </cell>
          <cell r="T1216">
            <v>0</v>
          </cell>
          <cell r="U1216" t="e">
            <v>#N/A</v>
          </cell>
        </row>
        <row r="1217">
          <cell r="A1217">
            <v>1001211</v>
          </cell>
          <cell r="B1217" t="str">
            <v>Barra Channel UNITRUST 41.3mm 20.65mm</v>
          </cell>
          <cell r="D1217">
            <v>5110</v>
          </cell>
          <cell r="E1217">
            <v>1000</v>
          </cell>
          <cell r="F1217" t="str">
            <v>ZALM</v>
          </cell>
          <cell r="G1217" t="str">
            <v>UN</v>
          </cell>
          <cell r="H1217" t="str">
            <v>DOP</v>
          </cell>
          <cell r="I1217">
            <v>0</v>
          </cell>
          <cell r="J1217">
            <v>0</v>
          </cell>
          <cell r="K1217">
            <v>0</v>
          </cell>
          <cell r="L1217">
            <v>0</v>
          </cell>
          <cell r="M1217">
            <v>0</v>
          </cell>
          <cell r="N1217">
            <v>0</v>
          </cell>
          <cell r="O1217">
            <v>0</v>
          </cell>
          <cell r="P1217">
            <v>0</v>
          </cell>
          <cell r="Q1217">
            <v>0</v>
          </cell>
          <cell r="R1217">
            <v>0</v>
          </cell>
          <cell r="S1217">
            <v>0</v>
          </cell>
          <cell r="T1217">
            <v>0</v>
          </cell>
          <cell r="U1217" t="e">
            <v>#N/A</v>
          </cell>
        </row>
        <row r="1218">
          <cell r="A1218">
            <v>1001212</v>
          </cell>
          <cell r="B1218" t="str">
            <v>Barrena de Metal 3/32"</v>
          </cell>
          <cell r="D1218">
            <v>5110</v>
          </cell>
          <cell r="E1218">
            <v>1000</v>
          </cell>
          <cell r="F1218" t="str">
            <v>ZALM</v>
          </cell>
          <cell r="G1218" t="str">
            <v>UN</v>
          </cell>
          <cell r="H1218" t="str">
            <v>DOP</v>
          </cell>
          <cell r="I1218">
            <v>6</v>
          </cell>
          <cell r="J1218">
            <v>0</v>
          </cell>
          <cell r="K1218">
            <v>0</v>
          </cell>
          <cell r="L1218">
            <v>0</v>
          </cell>
          <cell r="M1218">
            <v>0</v>
          </cell>
          <cell r="N1218">
            <v>0</v>
          </cell>
          <cell r="O1218">
            <v>0</v>
          </cell>
          <cell r="P1218">
            <v>0</v>
          </cell>
          <cell r="Q1218">
            <v>0</v>
          </cell>
          <cell r="R1218">
            <v>0</v>
          </cell>
          <cell r="S1218">
            <v>6</v>
          </cell>
          <cell r="T1218">
            <v>0</v>
          </cell>
          <cell r="U1218">
            <v>0</v>
          </cell>
        </row>
        <row r="1219">
          <cell r="A1219">
            <v>1001213</v>
          </cell>
          <cell r="B1219" t="str">
            <v>Blocks Teminal EB-2</v>
          </cell>
          <cell r="D1219">
            <v>5110</v>
          </cell>
          <cell r="E1219">
            <v>1000</v>
          </cell>
          <cell r="F1219" t="str">
            <v>ZALM</v>
          </cell>
          <cell r="G1219" t="str">
            <v>UN</v>
          </cell>
          <cell r="H1219" t="str">
            <v>DOP</v>
          </cell>
          <cell r="I1219">
            <v>0</v>
          </cell>
          <cell r="J1219">
            <v>0</v>
          </cell>
          <cell r="K1219">
            <v>0</v>
          </cell>
          <cell r="L1219">
            <v>0</v>
          </cell>
          <cell r="M1219">
            <v>0</v>
          </cell>
          <cell r="N1219">
            <v>0</v>
          </cell>
          <cell r="O1219">
            <v>0</v>
          </cell>
          <cell r="P1219">
            <v>0</v>
          </cell>
          <cell r="Q1219">
            <v>0</v>
          </cell>
          <cell r="R1219">
            <v>0</v>
          </cell>
          <cell r="S1219">
            <v>0</v>
          </cell>
          <cell r="T1219">
            <v>0</v>
          </cell>
          <cell r="U1219" t="e">
            <v>#N/A</v>
          </cell>
        </row>
        <row r="1220">
          <cell r="A1220">
            <v>1001214</v>
          </cell>
          <cell r="B1220" t="str">
            <v>Blocks Teminal EB-27</v>
          </cell>
          <cell r="D1220">
            <v>5110</v>
          </cell>
          <cell r="E1220">
            <v>1000</v>
          </cell>
          <cell r="F1220" t="str">
            <v>ZALM</v>
          </cell>
          <cell r="G1220" t="str">
            <v>UN</v>
          </cell>
          <cell r="H1220" t="str">
            <v>DOP</v>
          </cell>
          <cell r="I1220">
            <v>0</v>
          </cell>
          <cell r="J1220">
            <v>0</v>
          </cell>
          <cell r="K1220">
            <v>0</v>
          </cell>
          <cell r="L1220">
            <v>0</v>
          </cell>
          <cell r="M1220">
            <v>0</v>
          </cell>
          <cell r="N1220">
            <v>0</v>
          </cell>
          <cell r="O1220">
            <v>0</v>
          </cell>
          <cell r="P1220">
            <v>0</v>
          </cell>
          <cell r="Q1220">
            <v>0</v>
          </cell>
          <cell r="R1220">
            <v>0</v>
          </cell>
          <cell r="S1220">
            <v>0</v>
          </cell>
          <cell r="T1220">
            <v>0</v>
          </cell>
          <cell r="U1220" t="e">
            <v>#N/A</v>
          </cell>
        </row>
        <row r="1221">
          <cell r="A1221">
            <v>1001215</v>
          </cell>
          <cell r="B1221" t="str">
            <v>Blocks Teminal S/ Covertor</v>
          </cell>
          <cell r="D1221">
            <v>5110</v>
          </cell>
          <cell r="E1221">
            <v>1000</v>
          </cell>
          <cell r="F1221" t="str">
            <v>ZALM</v>
          </cell>
          <cell r="G1221" t="str">
            <v>UN</v>
          </cell>
          <cell r="H1221" t="str">
            <v>DOP</v>
          </cell>
          <cell r="I1221">
            <v>0</v>
          </cell>
          <cell r="J1221">
            <v>0</v>
          </cell>
          <cell r="K1221">
            <v>0</v>
          </cell>
          <cell r="L1221">
            <v>0</v>
          </cell>
          <cell r="M1221">
            <v>0</v>
          </cell>
          <cell r="N1221">
            <v>0</v>
          </cell>
          <cell r="O1221">
            <v>0</v>
          </cell>
          <cell r="P1221">
            <v>0</v>
          </cell>
          <cell r="Q1221">
            <v>0</v>
          </cell>
          <cell r="R1221">
            <v>0</v>
          </cell>
          <cell r="S1221">
            <v>0</v>
          </cell>
          <cell r="T1221">
            <v>0</v>
          </cell>
          <cell r="U1221" t="e">
            <v>#N/A</v>
          </cell>
        </row>
        <row r="1222">
          <cell r="A1222">
            <v>1001216</v>
          </cell>
          <cell r="B1222" t="str">
            <v>Cerradura P/ Caja Metal C/ Cil P/ Perno</v>
          </cell>
          <cell r="D1222">
            <v>5110</v>
          </cell>
          <cell r="E1222">
            <v>1000</v>
          </cell>
          <cell r="F1222" t="str">
            <v>ZALM</v>
          </cell>
          <cell r="G1222" t="str">
            <v>UN</v>
          </cell>
          <cell r="H1222" t="str">
            <v>DOP</v>
          </cell>
          <cell r="I1222">
            <v>0</v>
          </cell>
          <cell r="J1222">
            <v>0</v>
          </cell>
          <cell r="K1222">
            <v>0</v>
          </cell>
          <cell r="L1222">
            <v>0</v>
          </cell>
          <cell r="M1222">
            <v>0</v>
          </cell>
          <cell r="N1222">
            <v>0</v>
          </cell>
          <cell r="O1222">
            <v>0</v>
          </cell>
          <cell r="P1222">
            <v>0</v>
          </cell>
          <cell r="Q1222">
            <v>0</v>
          </cell>
          <cell r="R1222">
            <v>0</v>
          </cell>
          <cell r="S1222">
            <v>0</v>
          </cell>
          <cell r="T1222">
            <v>0</v>
          </cell>
          <cell r="U1222" t="e">
            <v>#N/A</v>
          </cell>
        </row>
        <row r="1223">
          <cell r="A1223">
            <v>1001217</v>
          </cell>
          <cell r="B1223" t="str">
            <v>Cinta Plast P/ Hebillas TB Heavy Duty</v>
          </cell>
          <cell r="D1223">
            <v>5110</v>
          </cell>
          <cell r="E1223">
            <v>1000</v>
          </cell>
          <cell r="F1223" t="str">
            <v>ZALM</v>
          </cell>
          <cell r="G1223" t="str">
            <v>UN</v>
          </cell>
          <cell r="H1223" t="str">
            <v>DOP</v>
          </cell>
          <cell r="I1223">
            <v>205</v>
          </cell>
          <cell r="J1223">
            <v>49782.2</v>
          </cell>
          <cell r="K1223">
            <v>0</v>
          </cell>
          <cell r="L1223">
            <v>0</v>
          </cell>
          <cell r="M1223">
            <v>0</v>
          </cell>
          <cell r="N1223">
            <v>0</v>
          </cell>
          <cell r="O1223">
            <v>0</v>
          </cell>
          <cell r="P1223">
            <v>0</v>
          </cell>
          <cell r="Q1223">
            <v>0</v>
          </cell>
          <cell r="R1223">
            <v>0</v>
          </cell>
          <cell r="S1223">
            <v>205</v>
          </cell>
          <cell r="T1223">
            <v>49782.2</v>
          </cell>
          <cell r="U1223">
            <v>242.84</v>
          </cell>
        </row>
        <row r="1224">
          <cell r="A1224">
            <v>1001218</v>
          </cell>
          <cell r="B1224" t="str">
            <v>Curva Electrica Galv 4"</v>
          </cell>
          <cell r="D1224">
            <v>5110</v>
          </cell>
          <cell r="E1224">
            <v>1000</v>
          </cell>
          <cell r="F1224" t="str">
            <v>ZALM</v>
          </cell>
          <cell r="G1224" t="str">
            <v>UN</v>
          </cell>
          <cell r="H1224" t="str">
            <v>DOP</v>
          </cell>
          <cell r="I1224">
            <v>0</v>
          </cell>
          <cell r="J1224">
            <v>0</v>
          </cell>
          <cell r="K1224">
            <v>0</v>
          </cell>
          <cell r="L1224">
            <v>0</v>
          </cell>
          <cell r="M1224">
            <v>0</v>
          </cell>
          <cell r="N1224">
            <v>0</v>
          </cell>
          <cell r="O1224">
            <v>0</v>
          </cell>
          <cell r="P1224">
            <v>0</v>
          </cell>
          <cell r="Q1224">
            <v>0</v>
          </cell>
          <cell r="R1224">
            <v>0</v>
          </cell>
          <cell r="S1224">
            <v>0</v>
          </cell>
          <cell r="T1224">
            <v>0</v>
          </cell>
          <cell r="U1224" t="e">
            <v>#N/A</v>
          </cell>
        </row>
        <row r="1225">
          <cell r="A1225">
            <v>1001219</v>
          </cell>
          <cell r="B1225" t="str">
            <v>Curva Galv 1''</v>
          </cell>
          <cell r="D1225">
            <v>5110</v>
          </cell>
          <cell r="E1225">
            <v>1000</v>
          </cell>
          <cell r="F1225" t="str">
            <v>ZALM</v>
          </cell>
          <cell r="G1225" t="str">
            <v>UN</v>
          </cell>
          <cell r="H1225" t="str">
            <v>DOP</v>
          </cell>
          <cell r="I1225">
            <v>363</v>
          </cell>
          <cell r="J1225">
            <v>1978.35</v>
          </cell>
          <cell r="K1225">
            <v>0</v>
          </cell>
          <cell r="L1225">
            <v>0</v>
          </cell>
          <cell r="M1225">
            <v>0</v>
          </cell>
          <cell r="N1225">
            <v>0</v>
          </cell>
          <cell r="O1225">
            <v>0</v>
          </cell>
          <cell r="P1225">
            <v>0</v>
          </cell>
          <cell r="Q1225">
            <v>0</v>
          </cell>
          <cell r="R1225">
            <v>0</v>
          </cell>
          <cell r="S1225">
            <v>363</v>
          </cell>
          <cell r="T1225">
            <v>1978.35</v>
          </cell>
          <cell r="U1225">
            <v>5.45</v>
          </cell>
        </row>
        <row r="1226">
          <cell r="A1226">
            <v>1001220</v>
          </cell>
          <cell r="B1226" t="str">
            <v>Eslabón en Ocho</v>
          </cell>
          <cell r="D1226">
            <v>5110</v>
          </cell>
          <cell r="E1226">
            <v>1000</v>
          </cell>
          <cell r="F1226" t="str">
            <v>ZALM</v>
          </cell>
          <cell r="G1226" t="str">
            <v>UN</v>
          </cell>
          <cell r="H1226" t="str">
            <v>DOP</v>
          </cell>
          <cell r="I1226">
            <v>1394</v>
          </cell>
          <cell r="J1226">
            <v>96534.5</v>
          </cell>
          <cell r="K1226">
            <v>0</v>
          </cell>
          <cell r="L1226">
            <v>0</v>
          </cell>
          <cell r="M1226">
            <v>0</v>
          </cell>
          <cell r="N1226">
            <v>0</v>
          </cell>
          <cell r="O1226">
            <v>0</v>
          </cell>
          <cell r="P1226">
            <v>0</v>
          </cell>
          <cell r="Q1226">
            <v>0</v>
          </cell>
          <cell r="R1226">
            <v>0</v>
          </cell>
          <cell r="S1226">
            <v>1394</v>
          </cell>
          <cell r="T1226">
            <v>96534.5</v>
          </cell>
          <cell r="U1226">
            <v>69.25</v>
          </cell>
        </row>
        <row r="1227">
          <cell r="A1227">
            <v>1001221</v>
          </cell>
          <cell r="B1227" t="str">
            <v>Espiga Acero 3/4"x12.5" P/ Cruc Madera</v>
          </cell>
          <cell r="D1227">
            <v>5110</v>
          </cell>
          <cell r="E1227">
            <v>1000</v>
          </cell>
          <cell r="F1227" t="str">
            <v>ZALM</v>
          </cell>
          <cell r="G1227" t="str">
            <v>UN</v>
          </cell>
          <cell r="H1227" t="str">
            <v>DOP</v>
          </cell>
          <cell r="I1227">
            <v>572</v>
          </cell>
          <cell r="J1227">
            <v>229963.74</v>
          </cell>
          <cell r="K1227">
            <v>0</v>
          </cell>
          <cell r="L1227">
            <v>0</v>
          </cell>
          <cell r="M1227">
            <v>0</v>
          </cell>
          <cell r="N1227">
            <v>0</v>
          </cell>
          <cell r="O1227">
            <v>0</v>
          </cell>
          <cell r="P1227">
            <v>0</v>
          </cell>
          <cell r="Q1227">
            <v>327</v>
          </cell>
          <cell r="R1227">
            <v>131465.28</v>
          </cell>
          <cell r="S1227">
            <v>899</v>
          </cell>
          <cell r="T1227">
            <v>361429.02</v>
          </cell>
          <cell r="U1227">
            <v>402.03450500556198</v>
          </cell>
        </row>
        <row r="1228">
          <cell r="A1228">
            <v>1001222</v>
          </cell>
          <cell r="B1228" t="str">
            <v>Espiga Acero 3/4"x15" Cab 1-3/8" 34.5kV</v>
          </cell>
          <cell r="D1228">
            <v>5110</v>
          </cell>
          <cell r="E1228">
            <v>1000</v>
          </cell>
          <cell r="F1228" t="str">
            <v>ZALM</v>
          </cell>
          <cell r="G1228" t="str">
            <v>UN</v>
          </cell>
          <cell r="H1228" t="str">
            <v>DOP</v>
          </cell>
          <cell r="I1228">
            <v>655</v>
          </cell>
          <cell r="J1228">
            <v>499928.75</v>
          </cell>
          <cell r="K1228">
            <v>0</v>
          </cell>
          <cell r="L1228">
            <v>0</v>
          </cell>
          <cell r="M1228">
            <v>0</v>
          </cell>
          <cell r="N1228">
            <v>0</v>
          </cell>
          <cell r="O1228">
            <v>0</v>
          </cell>
          <cell r="P1228">
            <v>0</v>
          </cell>
          <cell r="Q1228">
            <v>0</v>
          </cell>
          <cell r="R1228">
            <v>0</v>
          </cell>
          <cell r="S1228">
            <v>655</v>
          </cell>
          <cell r="T1228">
            <v>499928.75</v>
          </cell>
          <cell r="U1228">
            <v>763.25</v>
          </cell>
        </row>
        <row r="1229">
          <cell r="A1229">
            <v>1001223</v>
          </cell>
          <cell r="B1229" t="str">
            <v>Espiga Acero 3/4"x7 3/4"</v>
          </cell>
          <cell r="D1229">
            <v>5110</v>
          </cell>
          <cell r="E1229">
            <v>1000</v>
          </cell>
          <cell r="F1229" t="str">
            <v>ZALM</v>
          </cell>
          <cell r="G1229" t="str">
            <v>UN</v>
          </cell>
          <cell r="H1229" t="str">
            <v>DOP</v>
          </cell>
          <cell r="I1229">
            <v>42</v>
          </cell>
          <cell r="J1229">
            <v>3972.78</v>
          </cell>
          <cell r="K1229">
            <v>0</v>
          </cell>
          <cell r="L1229">
            <v>0</v>
          </cell>
          <cell r="M1229">
            <v>0</v>
          </cell>
          <cell r="N1229">
            <v>0</v>
          </cell>
          <cell r="O1229">
            <v>0</v>
          </cell>
          <cell r="P1229">
            <v>0</v>
          </cell>
          <cell r="Q1229">
            <v>0</v>
          </cell>
          <cell r="R1229">
            <v>0</v>
          </cell>
          <cell r="S1229">
            <v>42</v>
          </cell>
          <cell r="T1229">
            <v>3972.78</v>
          </cell>
          <cell r="U1229">
            <v>94.59</v>
          </cell>
        </row>
        <row r="1230">
          <cell r="A1230">
            <v>1001224</v>
          </cell>
          <cell r="B1230" t="str">
            <v>Espiga Acero 5/8"x 6.5"</v>
          </cell>
          <cell r="D1230">
            <v>5110</v>
          </cell>
          <cell r="E1230">
            <v>1000</v>
          </cell>
          <cell r="F1230" t="str">
            <v>ZALM</v>
          </cell>
          <cell r="G1230" t="str">
            <v>UN</v>
          </cell>
          <cell r="H1230" t="str">
            <v>DOP</v>
          </cell>
          <cell r="I1230">
            <v>0</v>
          </cell>
          <cell r="J1230">
            <v>0</v>
          </cell>
          <cell r="K1230">
            <v>0</v>
          </cell>
          <cell r="L1230">
            <v>0</v>
          </cell>
          <cell r="M1230">
            <v>0</v>
          </cell>
          <cell r="N1230">
            <v>0</v>
          </cell>
          <cell r="O1230">
            <v>0</v>
          </cell>
          <cell r="P1230">
            <v>0</v>
          </cell>
          <cell r="Q1230">
            <v>0</v>
          </cell>
          <cell r="R1230">
            <v>0</v>
          </cell>
          <cell r="S1230">
            <v>0</v>
          </cell>
          <cell r="T1230">
            <v>0</v>
          </cell>
          <cell r="U1230" t="e">
            <v>#N/A</v>
          </cell>
        </row>
        <row r="1231">
          <cell r="A1231">
            <v>1001225</v>
          </cell>
          <cell r="B1231" t="str">
            <v>Espiga Acero Galv P/Cruc Mad 8 7/8"x3/4"</v>
          </cell>
          <cell r="D1231">
            <v>5110</v>
          </cell>
          <cell r="E1231">
            <v>1000</v>
          </cell>
          <cell r="F1231" t="str">
            <v>ZALM</v>
          </cell>
          <cell r="G1231" t="str">
            <v>UN</v>
          </cell>
          <cell r="H1231" t="str">
            <v>DOP</v>
          </cell>
          <cell r="I1231">
            <v>189</v>
          </cell>
          <cell r="J1231">
            <v>39068.57</v>
          </cell>
          <cell r="K1231">
            <v>0</v>
          </cell>
          <cell r="L1231">
            <v>0</v>
          </cell>
          <cell r="M1231">
            <v>0</v>
          </cell>
          <cell r="N1231">
            <v>0</v>
          </cell>
          <cell r="O1231">
            <v>0</v>
          </cell>
          <cell r="P1231">
            <v>0</v>
          </cell>
          <cell r="Q1231">
            <v>0</v>
          </cell>
          <cell r="R1231">
            <v>0</v>
          </cell>
          <cell r="S1231">
            <v>189</v>
          </cell>
          <cell r="T1231">
            <v>39068.57</v>
          </cell>
          <cell r="U1231">
            <v>206.712010582011</v>
          </cell>
        </row>
        <row r="1232">
          <cell r="A1232">
            <v>1001226</v>
          </cell>
          <cell r="B1232" t="str">
            <v>Espiga Manguito C/ Adapt P/ Torn 5/8"</v>
          </cell>
          <cell r="D1232">
            <v>5110</v>
          </cell>
          <cell r="E1232">
            <v>1000</v>
          </cell>
          <cell r="F1232" t="str">
            <v>ZALM</v>
          </cell>
          <cell r="G1232" t="str">
            <v>UN</v>
          </cell>
          <cell r="H1232" t="str">
            <v>DOP</v>
          </cell>
          <cell r="I1232">
            <v>164</v>
          </cell>
          <cell r="J1232">
            <v>48633.19</v>
          </cell>
          <cell r="K1232">
            <v>0</v>
          </cell>
          <cell r="L1232">
            <v>0</v>
          </cell>
          <cell r="M1232">
            <v>0</v>
          </cell>
          <cell r="N1232">
            <v>0</v>
          </cell>
          <cell r="O1232">
            <v>0</v>
          </cell>
          <cell r="P1232">
            <v>0</v>
          </cell>
          <cell r="Q1232">
            <v>0</v>
          </cell>
          <cell r="R1232">
            <v>0</v>
          </cell>
          <cell r="S1232">
            <v>164</v>
          </cell>
          <cell r="T1232">
            <v>48633.19</v>
          </cell>
          <cell r="U1232">
            <v>296.54384146341499</v>
          </cell>
        </row>
        <row r="1233">
          <cell r="A1233">
            <v>1001227</v>
          </cell>
          <cell r="B1233" t="str">
            <v>Espiga Manguito C/ Torn 5/8" S/ Adapt</v>
          </cell>
          <cell r="D1233">
            <v>5110</v>
          </cell>
          <cell r="E1233">
            <v>1000</v>
          </cell>
          <cell r="F1233" t="str">
            <v>ZALM</v>
          </cell>
          <cell r="G1233" t="str">
            <v>UN</v>
          </cell>
          <cell r="H1233" t="str">
            <v>DOP</v>
          </cell>
          <cell r="I1233">
            <v>650</v>
          </cell>
          <cell r="J1233">
            <v>33150</v>
          </cell>
          <cell r="K1233">
            <v>0</v>
          </cell>
          <cell r="L1233">
            <v>0</v>
          </cell>
          <cell r="M1233">
            <v>0</v>
          </cell>
          <cell r="N1233">
            <v>0</v>
          </cell>
          <cell r="O1233">
            <v>0</v>
          </cell>
          <cell r="P1233">
            <v>0</v>
          </cell>
          <cell r="Q1233">
            <v>0</v>
          </cell>
          <cell r="R1233">
            <v>0</v>
          </cell>
          <cell r="S1233">
            <v>650</v>
          </cell>
          <cell r="T1233">
            <v>33150</v>
          </cell>
          <cell r="U1233">
            <v>51</v>
          </cell>
        </row>
        <row r="1234">
          <cell r="A1234">
            <v>1001228</v>
          </cell>
          <cell r="B1234" t="str">
            <v>Espiga P/ Aisl Cab Poste 15"x1"</v>
          </cell>
          <cell r="D1234">
            <v>5110</v>
          </cell>
          <cell r="E1234">
            <v>1000</v>
          </cell>
          <cell r="F1234" t="str">
            <v>ZALM</v>
          </cell>
          <cell r="G1234" t="str">
            <v>UN</v>
          </cell>
          <cell r="H1234" t="str">
            <v>DOP</v>
          </cell>
          <cell r="I1234">
            <v>0</v>
          </cell>
          <cell r="J1234">
            <v>0</v>
          </cell>
          <cell r="K1234">
            <v>0</v>
          </cell>
          <cell r="L1234">
            <v>0</v>
          </cell>
          <cell r="M1234">
            <v>0</v>
          </cell>
          <cell r="N1234">
            <v>0</v>
          </cell>
          <cell r="O1234">
            <v>0</v>
          </cell>
          <cell r="P1234">
            <v>0</v>
          </cell>
          <cell r="Q1234">
            <v>0</v>
          </cell>
          <cell r="R1234">
            <v>0</v>
          </cell>
          <cell r="S1234">
            <v>0</v>
          </cell>
          <cell r="T1234">
            <v>0</v>
          </cell>
          <cell r="U1234" t="e">
            <v>#N/A</v>
          </cell>
        </row>
        <row r="1235">
          <cell r="A1235">
            <v>1001229</v>
          </cell>
          <cell r="B1235" t="str">
            <v>Espiga P/ Aisl Cab Poste 18"x1"</v>
          </cell>
          <cell r="D1235">
            <v>5110</v>
          </cell>
          <cell r="E1235">
            <v>1000</v>
          </cell>
          <cell r="F1235" t="str">
            <v>ZALM</v>
          </cell>
          <cell r="G1235" t="str">
            <v>UN</v>
          </cell>
          <cell r="H1235" t="str">
            <v>DOP</v>
          </cell>
          <cell r="I1235">
            <v>0</v>
          </cell>
          <cell r="J1235">
            <v>0</v>
          </cell>
          <cell r="K1235">
            <v>0</v>
          </cell>
          <cell r="L1235">
            <v>0</v>
          </cell>
          <cell r="M1235">
            <v>0</v>
          </cell>
          <cell r="N1235">
            <v>0</v>
          </cell>
          <cell r="O1235">
            <v>0</v>
          </cell>
          <cell r="P1235">
            <v>0</v>
          </cell>
          <cell r="Q1235">
            <v>0</v>
          </cell>
          <cell r="R1235">
            <v>0</v>
          </cell>
          <cell r="S1235">
            <v>0</v>
          </cell>
          <cell r="T1235">
            <v>0</v>
          </cell>
          <cell r="U1235" t="e">
            <v>#N/A</v>
          </cell>
        </row>
        <row r="1236">
          <cell r="A1236">
            <v>1001230</v>
          </cell>
          <cell r="B1236" t="str">
            <v>Espiga P/ Aisl Cab Poste 20"x1"</v>
          </cell>
          <cell r="D1236">
            <v>5110</v>
          </cell>
          <cell r="E1236">
            <v>1000</v>
          </cell>
          <cell r="F1236" t="str">
            <v>ZALM</v>
          </cell>
          <cell r="G1236" t="str">
            <v>UN</v>
          </cell>
          <cell r="H1236" t="str">
            <v>DOP</v>
          </cell>
          <cell r="I1236">
            <v>0</v>
          </cell>
          <cell r="J1236">
            <v>0</v>
          </cell>
          <cell r="K1236">
            <v>0</v>
          </cell>
          <cell r="L1236">
            <v>0</v>
          </cell>
          <cell r="M1236">
            <v>0</v>
          </cell>
          <cell r="N1236">
            <v>0</v>
          </cell>
          <cell r="O1236">
            <v>0</v>
          </cell>
          <cell r="P1236">
            <v>0</v>
          </cell>
          <cell r="Q1236">
            <v>0</v>
          </cell>
          <cell r="R1236">
            <v>0</v>
          </cell>
          <cell r="S1236">
            <v>0</v>
          </cell>
          <cell r="T1236">
            <v>0</v>
          </cell>
          <cell r="U1236" t="e">
            <v>#N/A</v>
          </cell>
        </row>
        <row r="1237">
          <cell r="A1237">
            <v>1001231</v>
          </cell>
          <cell r="B1237" t="str">
            <v>Espiga P/ Aisl Cab Poste 24"1-3/8"34.5kV</v>
          </cell>
          <cell r="D1237">
            <v>5110</v>
          </cell>
          <cell r="E1237">
            <v>1000</v>
          </cell>
          <cell r="F1237" t="str">
            <v>ZALM</v>
          </cell>
          <cell r="G1237" t="str">
            <v>UN</v>
          </cell>
          <cell r="H1237" t="str">
            <v>DOP</v>
          </cell>
          <cell r="I1237">
            <v>0</v>
          </cell>
          <cell r="J1237">
            <v>0</v>
          </cell>
          <cell r="K1237">
            <v>0</v>
          </cell>
          <cell r="L1237">
            <v>0</v>
          </cell>
          <cell r="M1237">
            <v>0</v>
          </cell>
          <cell r="N1237">
            <v>0</v>
          </cell>
          <cell r="O1237">
            <v>0</v>
          </cell>
          <cell r="P1237">
            <v>0</v>
          </cell>
          <cell r="Q1237">
            <v>0</v>
          </cell>
          <cell r="R1237">
            <v>0</v>
          </cell>
          <cell r="S1237">
            <v>0</v>
          </cell>
          <cell r="T1237">
            <v>0</v>
          </cell>
          <cell r="U1237" t="e">
            <v>#N/A</v>
          </cell>
        </row>
        <row r="1238">
          <cell r="A1238">
            <v>1001232</v>
          </cell>
          <cell r="B1238" t="str">
            <v>Espiga P/ Aisl Cab Poste 24"x1"</v>
          </cell>
          <cell r="D1238">
            <v>5110</v>
          </cell>
          <cell r="E1238">
            <v>1000</v>
          </cell>
          <cell r="F1238" t="str">
            <v>ZALM</v>
          </cell>
          <cell r="G1238" t="str">
            <v>UN</v>
          </cell>
          <cell r="H1238" t="str">
            <v>DOP</v>
          </cell>
          <cell r="I1238">
            <v>0</v>
          </cell>
          <cell r="J1238">
            <v>0</v>
          </cell>
          <cell r="K1238">
            <v>0</v>
          </cell>
          <cell r="L1238">
            <v>0</v>
          </cell>
          <cell r="M1238">
            <v>0</v>
          </cell>
          <cell r="N1238">
            <v>0</v>
          </cell>
          <cell r="O1238">
            <v>0</v>
          </cell>
          <cell r="P1238">
            <v>0</v>
          </cell>
          <cell r="Q1238">
            <v>0</v>
          </cell>
          <cell r="R1238">
            <v>0</v>
          </cell>
          <cell r="S1238">
            <v>0</v>
          </cell>
          <cell r="T1238">
            <v>0</v>
          </cell>
          <cell r="U1238" t="e">
            <v>#N/A</v>
          </cell>
        </row>
        <row r="1239">
          <cell r="A1239">
            <v>1001233</v>
          </cell>
          <cell r="B1239" t="str">
            <v>Estructura Metálica Montaje Regulador</v>
          </cell>
          <cell r="D1239">
            <v>5110</v>
          </cell>
          <cell r="E1239">
            <v>1000</v>
          </cell>
          <cell r="F1239" t="str">
            <v>ZALM</v>
          </cell>
          <cell r="G1239" t="str">
            <v>UN</v>
          </cell>
          <cell r="H1239" t="str">
            <v>DOP</v>
          </cell>
          <cell r="I1239">
            <v>5</v>
          </cell>
          <cell r="J1239">
            <v>45423.65</v>
          </cell>
          <cell r="K1239">
            <v>0</v>
          </cell>
          <cell r="L1239">
            <v>0</v>
          </cell>
          <cell r="M1239">
            <v>0</v>
          </cell>
          <cell r="N1239">
            <v>0</v>
          </cell>
          <cell r="O1239">
            <v>0</v>
          </cell>
          <cell r="P1239">
            <v>0</v>
          </cell>
          <cell r="Q1239">
            <v>0</v>
          </cell>
          <cell r="R1239">
            <v>0</v>
          </cell>
          <cell r="S1239">
            <v>5</v>
          </cell>
          <cell r="T1239">
            <v>45423.65</v>
          </cell>
          <cell r="U1239">
            <v>9084.73</v>
          </cell>
        </row>
        <row r="1240">
          <cell r="A1240">
            <v>1001234</v>
          </cell>
          <cell r="B1240" t="str">
            <v>Fleje Acero Galv Diagonal 120"</v>
          </cell>
          <cell r="D1240">
            <v>5110</v>
          </cell>
          <cell r="E1240">
            <v>1000</v>
          </cell>
          <cell r="F1240" t="str">
            <v>ZALM</v>
          </cell>
          <cell r="G1240" t="str">
            <v>UN</v>
          </cell>
          <cell r="H1240" t="str">
            <v>DOP</v>
          </cell>
          <cell r="I1240">
            <v>237</v>
          </cell>
          <cell r="J1240">
            <v>428866.77</v>
          </cell>
          <cell r="K1240">
            <v>0</v>
          </cell>
          <cell r="L1240">
            <v>0</v>
          </cell>
          <cell r="M1240">
            <v>0</v>
          </cell>
          <cell r="N1240">
            <v>0</v>
          </cell>
          <cell r="O1240">
            <v>0</v>
          </cell>
          <cell r="P1240">
            <v>0</v>
          </cell>
          <cell r="Q1240">
            <v>0</v>
          </cell>
          <cell r="R1240">
            <v>0</v>
          </cell>
          <cell r="S1240">
            <v>237</v>
          </cell>
          <cell r="T1240">
            <v>428866.77</v>
          </cell>
          <cell r="U1240">
            <v>1809.5644303797501</v>
          </cell>
        </row>
        <row r="1241">
          <cell r="A1241">
            <v>1001235</v>
          </cell>
          <cell r="B1241" t="str">
            <v>Fleje Acero Galv Diagonal 84"</v>
          </cell>
          <cell r="D1241">
            <v>5110</v>
          </cell>
          <cell r="E1241">
            <v>1000</v>
          </cell>
          <cell r="F1241" t="str">
            <v>ZALM</v>
          </cell>
          <cell r="G1241" t="str">
            <v>UN</v>
          </cell>
          <cell r="H1241" t="str">
            <v>DOP</v>
          </cell>
          <cell r="I1241">
            <v>54</v>
          </cell>
          <cell r="J1241">
            <v>66100.11</v>
          </cell>
          <cell r="K1241">
            <v>0</v>
          </cell>
          <cell r="L1241">
            <v>0</v>
          </cell>
          <cell r="M1241">
            <v>284</v>
          </cell>
          <cell r="N1241">
            <v>347637.62</v>
          </cell>
          <cell r="O1241">
            <v>0</v>
          </cell>
          <cell r="P1241">
            <v>0</v>
          </cell>
          <cell r="Q1241">
            <v>859</v>
          </cell>
          <cell r="R1241">
            <v>1051481.3999999999</v>
          </cell>
          <cell r="S1241">
            <v>1197</v>
          </cell>
          <cell r="T1241">
            <v>1465219.13</v>
          </cell>
          <cell r="U1241">
            <v>1224.07613199666</v>
          </cell>
        </row>
        <row r="1242">
          <cell r="A1242">
            <v>1001236</v>
          </cell>
          <cell r="B1242" t="str">
            <v>Fleje Acero Inox 0.7 x 20mm</v>
          </cell>
          <cell r="D1242">
            <v>5110</v>
          </cell>
          <cell r="E1242">
            <v>1000</v>
          </cell>
          <cell r="F1242" t="str">
            <v>ZALM</v>
          </cell>
          <cell r="G1242" t="str">
            <v>M</v>
          </cell>
          <cell r="H1242" t="str">
            <v>DOP</v>
          </cell>
          <cell r="I1242">
            <v>2</v>
          </cell>
          <cell r="J1242">
            <v>83.52</v>
          </cell>
          <cell r="K1242">
            <v>0</v>
          </cell>
          <cell r="L1242">
            <v>0</v>
          </cell>
          <cell r="M1242">
            <v>2920</v>
          </cell>
          <cell r="N1242">
            <v>121939.2</v>
          </cell>
          <cell r="O1242">
            <v>0</v>
          </cell>
          <cell r="P1242">
            <v>0</v>
          </cell>
          <cell r="Q1242">
            <v>39250</v>
          </cell>
          <cell r="R1242">
            <v>1639080</v>
          </cell>
          <cell r="S1242">
            <v>42172</v>
          </cell>
          <cell r="T1242">
            <v>1761102.72</v>
          </cell>
          <cell r="U1242">
            <v>41.76</v>
          </cell>
        </row>
        <row r="1243">
          <cell r="A1243">
            <v>1001237</v>
          </cell>
          <cell r="B1243" t="str">
            <v>Fleje Angular 1 1/2x1" 1/2"x3 1/16"x39"</v>
          </cell>
          <cell r="D1243">
            <v>5110</v>
          </cell>
          <cell r="E1243">
            <v>1000</v>
          </cell>
          <cell r="F1243" t="str">
            <v>ZALM</v>
          </cell>
          <cell r="G1243" t="str">
            <v>UN</v>
          </cell>
          <cell r="H1243" t="str">
            <v>DOP</v>
          </cell>
          <cell r="I1243">
            <v>0</v>
          </cell>
          <cell r="J1243">
            <v>0</v>
          </cell>
          <cell r="K1243">
            <v>0</v>
          </cell>
          <cell r="L1243">
            <v>0</v>
          </cell>
          <cell r="M1243">
            <v>0</v>
          </cell>
          <cell r="N1243">
            <v>0</v>
          </cell>
          <cell r="O1243">
            <v>0</v>
          </cell>
          <cell r="P1243">
            <v>0</v>
          </cell>
          <cell r="Q1243">
            <v>0</v>
          </cell>
          <cell r="R1243">
            <v>0</v>
          </cell>
          <cell r="S1243">
            <v>0</v>
          </cell>
          <cell r="T1243">
            <v>0</v>
          </cell>
          <cell r="U1243" t="e">
            <v>#N/A</v>
          </cell>
        </row>
        <row r="1244">
          <cell r="A1244">
            <v>1001238</v>
          </cell>
          <cell r="B1244" t="str">
            <v>Fleje Diag AcerGalv1 3/4x1 3/4x3/16"x60"</v>
          </cell>
          <cell r="D1244">
            <v>5110</v>
          </cell>
          <cell r="E1244">
            <v>1000</v>
          </cell>
          <cell r="F1244" t="str">
            <v>ZALM</v>
          </cell>
          <cell r="G1244" t="str">
            <v>UN</v>
          </cell>
          <cell r="H1244" t="str">
            <v>DOP</v>
          </cell>
          <cell r="I1244">
            <v>0</v>
          </cell>
          <cell r="J1244">
            <v>0</v>
          </cell>
          <cell r="K1244">
            <v>0</v>
          </cell>
          <cell r="L1244">
            <v>0</v>
          </cell>
          <cell r="M1244">
            <v>0</v>
          </cell>
          <cell r="N1244">
            <v>0</v>
          </cell>
          <cell r="O1244">
            <v>0</v>
          </cell>
          <cell r="P1244">
            <v>0</v>
          </cell>
          <cell r="Q1244">
            <v>36</v>
          </cell>
          <cell r="R1244">
            <v>36023.96</v>
          </cell>
          <cell r="S1244">
            <v>36</v>
          </cell>
          <cell r="T1244">
            <v>36023.96</v>
          </cell>
          <cell r="U1244">
            <v>1000.66555555556</v>
          </cell>
        </row>
        <row r="1245">
          <cell r="A1245">
            <v>1001239</v>
          </cell>
          <cell r="B1245" t="str">
            <v>Fleje Galv 1-7/32"x7/32"x2"</v>
          </cell>
          <cell r="D1245">
            <v>5110</v>
          </cell>
          <cell r="E1245">
            <v>1000</v>
          </cell>
          <cell r="F1245" t="str">
            <v>ZALM</v>
          </cell>
          <cell r="G1245" t="str">
            <v>UN</v>
          </cell>
          <cell r="H1245" t="str">
            <v>DOP</v>
          </cell>
          <cell r="I1245">
            <v>0</v>
          </cell>
          <cell r="J1245">
            <v>0</v>
          </cell>
          <cell r="K1245">
            <v>0</v>
          </cell>
          <cell r="L1245">
            <v>0</v>
          </cell>
          <cell r="M1245">
            <v>0</v>
          </cell>
          <cell r="N1245">
            <v>0</v>
          </cell>
          <cell r="O1245">
            <v>0</v>
          </cell>
          <cell r="P1245">
            <v>0</v>
          </cell>
          <cell r="Q1245">
            <v>0</v>
          </cell>
          <cell r="R1245">
            <v>0</v>
          </cell>
          <cell r="S1245">
            <v>0</v>
          </cell>
          <cell r="T1245">
            <v>0</v>
          </cell>
          <cell r="U1245" t="e">
            <v>#N/A</v>
          </cell>
        </row>
        <row r="1246">
          <cell r="A1246">
            <v>1001240</v>
          </cell>
          <cell r="B1246" t="str">
            <v>Fleje Galv 1-7/32"x7/32"x24"</v>
          </cell>
          <cell r="D1246">
            <v>5110</v>
          </cell>
          <cell r="E1246">
            <v>1000</v>
          </cell>
          <cell r="F1246" t="str">
            <v>ZALM</v>
          </cell>
          <cell r="G1246" t="str">
            <v>UN</v>
          </cell>
          <cell r="H1246" t="str">
            <v>DOP</v>
          </cell>
          <cell r="I1246">
            <v>0</v>
          </cell>
          <cell r="J1246">
            <v>0</v>
          </cell>
          <cell r="K1246">
            <v>0</v>
          </cell>
          <cell r="L1246">
            <v>0</v>
          </cell>
          <cell r="M1246">
            <v>0</v>
          </cell>
          <cell r="N1246">
            <v>0</v>
          </cell>
          <cell r="O1246">
            <v>0</v>
          </cell>
          <cell r="P1246">
            <v>0</v>
          </cell>
          <cell r="Q1246">
            <v>0</v>
          </cell>
          <cell r="R1246">
            <v>0</v>
          </cell>
          <cell r="S1246">
            <v>0</v>
          </cell>
          <cell r="T1246">
            <v>0</v>
          </cell>
          <cell r="U1246" t="e">
            <v>#N/A</v>
          </cell>
        </row>
        <row r="1247">
          <cell r="A1247">
            <v>1001241</v>
          </cell>
          <cell r="B1247" t="str">
            <v>Fleje Galv 1-7/32"x7/32"x28"</v>
          </cell>
          <cell r="D1247">
            <v>5110</v>
          </cell>
          <cell r="E1247">
            <v>1000</v>
          </cell>
          <cell r="F1247" t="str">
            <v>ZALM</v>
          </cell>
          <cell r="G1247" t="str">
            <v>UN</v>
          </cell>
          <cell r="H1247" t="str">
            <v>DOP</v>
          </cell>
          <cell r="I1247">
            <v>0</v>
          </cell>
          <cell r="J1247">
            <v>0</v>
          </cell>
          <cell r="K1247">
            <v>0</v>
          </cell>
          <cell r="L1247">
            <v>0</v>
          </cell>
          <cell r="M1247">
            <v>0</v>
          </cell>
          <cell r="N1247">
            <v>0</v>
          </cell>
          <cell r="O1247">
            <v>0</v>
          </cell>
          <cell r="P1247">
            <v>0</v>
          </cell>
          <cell r="Q1247">
            <v>255</v>
          </cell>
          <cell r="R1247">
            <v>32925.599999999999</v>
          </cell>
          <cell r="S1247">
            <v>255</v>
          </cell>
          <cell r="T1247">
            <v>32925.599999999999</v>
          </cell>
          <cell r="U1247">
            <v>129.12</v>
          </cell>
        </row>
        <row r="1248">
          <cell r="A1248">
            <v>1001242</v>
          </cell>
          <cell r="B1248" t="str">
            <v>Fleje Plancha Acero 1 1/4x1/4"x28"</v>
          </cell>
          <cell r="D1248">
            <v>5110</v>
          </cell>
          <cell r="E1248">
            <v>1000</v>
          </cell>
          <cell r="F1248" t="str">
            <v>ZALM</v>
          </cell>
          <cell r="G1248" t="str">
            <v>UN</v>
          </cell>
          <cell r="H1248" t="str">
            <v>DOP</v>
          </cell>
          <cell r="I1248">
            <v>0</v>
          </cell>
          <cell r="J1248">
            <v>0</v>
          </cell>
          <cell r="K1248">
            <v>0</v>
          </cell>
          <cell r="L1248">
            <v>0</v>
          </cell>
          <cell r="M1248">
            <v>4</v>
          </cell>
          <cell r="N1248">
            <v>516.47</v>
          </cell>
          <cell r="O1248">
            <v>0</v>
          </cell>
          <cell r="P1248">
            <v>0</v>
          </cell>
          <cell r="Q1248">
            <v>13</v>
          </cell>
          <cell r="R1248">
            <v>1678.51</v>
          </cell>
          <cell r="S1248">
            <v>17</v>
          </cell>
          <cell r="T1248">
            <v>2194.98</v>
          </cell>
          <cell r="U1248">
            <v>129.11647058823499</v>
          </cell>
        </row>
        <row r="1249">
          <cell r="A1249">
            <v>1001243</v>
          </cell>
          <cell r="B1249" t="str">
            <v>Fleje Vert Acer Galv Perfíl L-75" (1.9m)</v>
          </cell>
          <cell r="D1249">
            <v>5110</v>
          </cell>
          <cell r="E1249">
            <v>1000</v>
          </cell>
          <cell r="F1249" t="str">
            <v>ZALM</v>
          </cell>
          <cell r="G1249" t="str">
            <v>UN</v>
          </cell>
          <cell r="H1249" t="str">
            <v>DOP</v>
          </cell>
          <cell r="I1249">
            <v>111</v>
          </cell>
          <cell r="J1249">
            <v>147430.20000000001</v>
          </cell>
          <cell r="K1249">
            <v>0</v>
          </cell>
          <cell r="L1249">
            <v>0</v>
          </cell>
          <cell r="M1249">
            <v>0</v>
          </cell>
          <cell r="N1249">
            <v>0</v>
          </cell>
          <cell r="O1249">
            <v>0</v>
          </cell>
          <cell r="P1249">
            <v>0</v>
          </cell>
          <cell r="Q1249">
            <v>0</v>
          </cell>
          <cell r="R1249">
            <v>0</v>
          </cell>
          <cell r="S1249">
            <v>111</v>
          </cell>
          <cell r="T1249">
            <v>147430.20000000001</v>
          </cell>
          <cell r="U1249">
            <v>1328.2</v>
          </cell>
        </row>
        <row r="1250">
          <cell r="A1250">
            <v>1001244</v>
          </cell>
          <cell r="B1250" t="str">
            <v>Fleje Vertical 54" 51 Entre Orif</v>
          </cell>
          <cell r="D1250">
            <v>5110</v>
          </cell>
          <cell r="E1250">
            <v>1000</v>
          </cell>
          <cell r="F1250" t="str">
            <v>ZALM</v>
          </cell>
          <cell r="G1250" t="str">
            <v>UN</v>
          </cell>
          <cell r="H1250" t="str">
            <v>DOP</v>
          </cell>
          <cell r="I1250">
            <v>0</v>
          </cell>
          <cell r="J1250">
            <v>0</v>
          </cell>
          <cell r="K1250">
            <v>0</v>
          </cell>
          <cell r="L1250">
            <v>0</v>
          </cell>
          <cell r="M1250">
            <v>0</v>
          </cell>
          <cell r="N1250">
            <v>0</v>
          </cell>
          <cell r="O1250">
            <v>0</v>
          </cell>
          <cell r="P1250">
            <v>0</v>
          </cell>
          <cell r="Q1250">
            <v>4</v>
          </cell>
          <cell r="R1250">
            <v>7248.4</v>
          </cell>
          <cell r="S1250">
            <v>4</v>
          </cell>
          <cell r="T1250">
            <v>7248.4</v>
          </cell>
          <cell r="U1250">
            <v>1812.1</v>
          </cell>
        </row>
        <row r="1251">
          <cell r="A1251">
            <v>1001245</v>
          </cell>
          <cell r="B1251" t="str">
            <v>Fleje Vertical Acer Galv 39" 1½x1½x3/16"</v>
          </cell>
          <cell r="D1251">
            <v>5110</v>
          </cell>
          <cell r="E1251">
            <v>1000</v>
          </cell>
          <cell r="F1251" t="str">
            <v>ZALM</v>
          </cell>
          <cell r="G1251" t="str">
            <v>UN</v>
          </cell>
          <cell r="H1251" t="str">
            <v>DOP</v>
          </cell>
          <cell r="I1251">
            <v>215</v>
          </cell>
          <cell r="J1251">
            <v>162110</v>
          </cell>
          <cell r="K1251">
            <v>0</v>
          </cell>
          <cell r="L1251">
            <v>0</v>
          </cell>
          <cell r="M1251">
            <v>0</v>
          </cell>
          <cell r="N1251">
            <v>0</v>
          </cell>
          <cell r="O1251">
            <v>0</v>
          </cell>
          <cell r="P1251">
            <v>0</v>
          </cell>
          <cell r="Q1251">
            <v>172</v>
          </cell>
          <cell r="R1251">
            <v>129688</v>
          </cell>
          <cell r="S1251">
            <v>387</v>
          </cell>
          <cell r="T1251">
            <v>291798</v>
          </cell>
          <cell r="U1251">
            <v>754</v>
          </cell>
        </row>
        <row r="1252">
          <cell r="A1252">
            <v>1001246</v>
          </cell>
          <cell r="B1252" t="str">
            <v>Fleje Vertical Acer Galv Perfil L-120"</v>
          </cell>
          <cell r="D1252">
            <v>5110</v>
          </cell>
          <cell r="E1252">
            <v>1000</v>
          </cell>
          <cell r="F1252" t="str">
            <v>ZALM</v>
          </cell>
          <cell r="G1252" t="str">
            <v>UN</v>
          </cell>
          <cell r="H1252" t="str">
            <v>DOP</v>
          </cell>
          <cell r="I1252">
            <v>83</v>
          </cell>
          <cell r="J1252">
            <v>253601.52</v>
          </cell>
          <cell r="K1252">
            <v>0</v>
          </cell>
          <cell r="L1252">
            <v>0</v>
          </cell>
          <cell r="M1252">
            <v>0</v>
          </cell>
          <cell r="N1252">
            <v>0</v>
          </cell>
          <cell r="O1252">
            <v>0</v>
          </cell>
          <cell r="P1252">
            <v>0</v>
          </cell>
          <cell r="Q1252">
            <v>0</v>
          </cell>
          <cell r="R1252">
            <v>0</v>
          </cell>
          <cell r="S1252">
            <v>83</v>
          </cell>
          <cell r="T1252">
            <v>253601.52</v>
          </cell>
          <cell r="U1252">
            <v>3055.44</v>
          </cell>
        </row>
        <row r="1253">
          <cell r="A1253">
            <v>1001247</v>
          </cell>
          <cell r="B1253" t="str">
            <v>Fleje Vertical Acer Galv Perfil L-26"</v>
          </cell>
          <cell r="D1253">
            <v>5110</v>
          </cell>
          <cell r="E1253">
            <v>1000</v>
          </cell>
          <cell r="F1253" t="str">
            <v>ZALM</v>
          </cell>
          <cell r="G1253" t="str">
            <v>UN</v>
          </cell>
          <cell r="H1253" t="str">
            <v>DOP</v>
          </cell>
          <cell r="I1253">
            <v>0</v>
          </cell>
          <cell r="J1253">
            <v>0</v>
          </cell>
          <cell r="K1253">
            <v>0</v>
          </cell>
          <cell r="L1253">
            <v>0</v>
          </cell>
          <cell r="M1253">
            <v>0</v>
          </cell>
          <cell r="N1253">
            <v>0</v>
          </cell>
          <cell r="O1253">
            <v>0</v>
          </cell>
          <cell r="P1253">
            <v>0</v>
          </cell>
          <cell r="Q1253">
            <v>0</v>
          </cell>
          <cell r="R1253">
            <v>0</v>
          </cell>
          <cell r="S1253">
            <v>0</v>
          </cell>
          <cell r="T1253">
            <v>0</v>
          </cell>
          <cell r="U1253" t="e">
            <v>#N/A</v>
          </cell>
        </row>
        <row r="1254">
          <cell r="A1254">
            <v>1001248</v>
          </cell>
          <cell r="B1254" t="str">
            <v>Fleje Vertical Acer Galv Perfil L-64"</v>
          </cell>
          <cell r="D1254">
            <v>5110</v>
          </cell>
          <cell r="E1254">
            <v>1000</v>
          </cell>
          <cell r="F1254" t="str">
            <v>ZALM</v>
          </cell>
          <cell r="G1254" t="str">
            <v>UN</v>
          </cell>
          <cell r="H1254" t="str">
            <v>DOP</v>
          </cell>
          <cell r="I1254">
            <v>0</v>
          </cell>
          <cell r="J1254">
            <v>0</v>
          </cell>
          <cell r="K1254">
            <v>0</v>
          </cell>
          <cell r="L1254">
            <v>0</v>
          </cell>
          <cell r="M1254">
            <v>0</v>
          </cell>
          <cell r="N1254">
            <v>0</v>
          </cell>
          <cell r="O1254">
            <v>0</v>
          </cell>
          <cell r="P1254">
            <v>0</v>
          </cell>
          <cell r="Q1254">
            <v>0</v>
          </cell>
          <cell r="R1254">
            <v>0</v>
          </cell>
          <cell r="S1254">
            <v>0</v>
          </cell>
          <cell r="T1254">
            <v>0</v>
          </cell>
          <cell r="U1254" t="e">
            <v>#N/A</v>
          </cell>
        </row>
        <row r="1255">
          <cell r="A1255">
            <v>1001249</v>
          </cell>
          <cell r="B1255" t="str">
            <v>Fleje Voladizo 90"</v>
          </cell>
          <cell r="D1255">
            <v>5110</v>
          </cell>
          <cell r="E1255">
            <v>1000</v>
          </cell>
          <cell r="F1255" t="str">
            <v>ZALM</v>
          </cell>
          <cell r="G1255" t="str">
            <v>UN</v>
          </cell>
          <cell r="H1255" t="str">
            <v>DOP</v>
          </cell>
          <cell r="I1255">
            <v>0</v>
          </cell>
          <cell r="J1255">
            <v>0</v>
          </cell>
          <cell r="K1255">
            <v>0</v>
          </cell>
          <cell r="L1255">
            <v>0</v>
          </cell>
          <cell r="M1255">
            <v>0</v>
          </cell>
          <cell r="N1255">
            <v>0</v>
          </cell>
          <cell r="O1255">
            <v>0</v>
          </cell>
          <cell r="P1255">
            <v>0</v>
          </cell>
          <cell r="Q1255">
            <v>0</v>
          </cell>
          <cell r="R1255">
            <v>0</v>
          </cell>
          <cell r="S1255">
            <v>0</v>
          </cell>
          <cell r="T1255">
            <v>0</v>
          </cell>
          <cell r="U1255" t="e">
            <v>#N/A</v>
          </cell>
        </row>
        <row r="1256">
          <cell r="A1256">
            <v>1001250</v>
          </cell>
          <cell r="B1256" t="str">
            <v>Guardacabo Lata Rest P/ Retenid Aereas</v>
          </cell>
          <cell r="D1256">
            <v>5110</v>
          </cell>
          <cell r="E1256">
            <v>1000</v>
          </cell>
          <cell r="F1256" t="str">
            <v>ZALM</v>
          </cell>
          <cell r="G1256" t="str">
            <v>UN</v>
          </cell>
          <cell r="H1256" t="str">
            <v>DOP</v>
          </cell>
          <cell r="I1256">
            <v>0</v>
          </cell>
          <cell r="J1256">
            <v>0</v>
          </cell>
          <cell r="K1256">
            <v>0</v>
          </cell>
          <cell r="L1256">
            <v>0</v>
          </cell>
          <cell r="M1256">
            <v>0</v>
          </cell>
          <cell r="N1256">
            <v>0</v>
          </cell>
          <cell r="O1256">
            <v>0</v>
          </cell>
          <cell r="P1256">
            <v>0</v>
          </cell>
          <cell r="Q1256">
            <v>0</v>
          </cell>
          <cell r="R1256">
            <v>0</v>
          </cell>
          <cell r="S1256">
            <v>0</v>
          </cell>
          <cell r="T1256">
            <v>0</v>
          </cell>
          <cell r="U1256" t="e">
            <v>#N/A</v>
          </cell>
        </row>
        <row r="1257">
          <cell r="A1257">
            <v>1001251</v>
          </cell>
          <cell r="B1257" t="str">
            <v>Horquilla Clevis C/ Ojo 5/8"</v>
          </cell>
          <cell r="D1257">
            <v>5110</v>
          </cell>
          <cell r="E1257">
            <v>1000</v>
          </cell>
          <cell r="F1257" t="str">
            <v>ZALM</v>
          </cell>
          <cell r="G1257" t="str">
            <v>UN</v>
          </cell>
          <cell r="H1257" t="str">
            <v>DOP</v>
          </cell>
          <cell r="I1257">
            <v>0</v>
          </cell>
          <cell r="J1257">
            <v>0</v>
          </cell>
          <cell r="K1257">
            <v>0</v>
          </cell>
          <cell r="L1257">
            <v>0</v>
          </cell>
          <cell r="M1257">
            <v>0</v>
          </cell>
          <cell r="N1257">
            <v>0</v>
          </cell>
          <cell r="O1257">
            <v>0</v>
          </cell>
          <cell r="P1257">
            <v>0</v>
          </cell>
          <cell r="Q1257">
            <v>0</v>
          </cell>
          <cell r="R1257">
            <v>0</v>
          </cell>
          <cell r="S1257">
            <v>0</v>
          </cell>
          <cell r="T1257">
            <v>0</v>
          </cell>
          <cell r="U1257" t="e">
            <v>#N/A</v>
          </cell>
        </row>
        <row r="1258">
          <cell r="A1258">
            <v>1001252</v>
          </cell>
          <cell r="B1258" t="str">
            <v>Kit de herrajes de acometidas KA-04</v>
          </cell>
          <cell r="D1258">
            <v>5110</v>
          </cell>
          <cell r="E1258">
            <v>1000</v>
          </cell>
          <cell r="F1258" t="str">
            <v>ZALM</v>
          </cell>
          <cell r="G1258" t="str">
            <v>UN</v>
          </cell>
          <cell r="H1258" t="str">
            <v>DOP</v>
          </cell>
          <cell r="I1258">
            <v>0</v>
          </cell>
          <cell r="J1258">
            <v>0</v>
          </cell>
          <cell r="K1258">
            <v>0</v>
          </cell>
          <cell r="L1258">
            <v>0</v>
          </cell>
          <cell r="M1258">
            <v>0</v>
          </cell>
          <cell r="N1258">
            <v>0</v>
          </cell>
          <cell r="O1258">
            <v>0</v>
          </cell>
          <cell r="P1258">
            <v>0</v>
          </cell>
          <cell r="Q1258">
            <v>0</v>
          </cell>
          <cell r="R1258">
            <v>0</v>
          </cell>
          <cell r="S1258">
            <v>0</v>
          </cell>
          <cell r="T1258">
            <v>0</v>
          </cell>
          <cell r="U1258" t="e">
            <v>#N/A</v>
          </cell>
        </row>
        <row r="1259">
          <cell r="A1259">
            <v>1001253</v>
          </cell>
          <cell r="B1259" t="str">
            <v>Kit Retención P/ Fijación C/ Zuncho KR03</v>
          </cell>
          <cell r="D1259">
            <v>5110</v>
          </cell>
          <cell r="E1259">
            <v>1000</v>
          </cell>
          <cell r="F1259" t="str">
            <v>ZALM</v>
          </cell>
          <cell r="G1259" t="str">
            <v>UN</v>
          </cell>
          <cell r="H1259" t="str">
            <v>DOP</v>
          </cell>
          <cell r="I1259">
            <v>2256</v>
          </cell>
          <cell r="J1259">
            <v>232503.36</v>
          </cell>
          <cell r="K1259">
            <v>0</v>
          </cell>
          <cell r="L1259">
            <v>0</v>
          </cell>
          <cell r="M1259">
            <v>0</v>
          </cell>
          <cell r="N1259">
            <v>0</v>
          </cell>
          <cell r="O1259">
            <v>0</v>
          </cell>
          <cell r="P1259">
            <v>0</v>
          </cell>
          <cell r="Q1259">
            <v>0</v>
          </cell>
          <cell r="R1259">
            <v>0</v>
          </cell>
          <cell r="S1259">
            <v>2256</v>
          </cell>
          <cell r="T1259">
            <v>232503.36</v>
          </cell>
          <cell r="U1259">
            <v>103.06</v>
          </cell>
        </row>
        <row r="1260">
          <cell r="A1260">
            <v>1001254</v>
          </cell>
          <cell r="B1260" t="str">
            <v>Kit Suspensión LABT Prensacable KS1</v>
          </cell>
          <cell r="D1260">
            <v>5110</v>
          </cell>
          <cell r="E1260">
            <v>1000</v>
          </cell>
          <cell r="F1260" t="str">
            <v>ZALM</v>
          </cell>
          <cell r="G1260" t="str">
            <v>UN</v>
          </cell>
          <cell r="H1260" t="str">
            <v>DOP</v>
          </cell>
          <cell r="I1260">
            <v>11953</v>
          </cell>
          <cell r="J1260">
            <v>696771.59</v>
          </cell>
          <cell r="K1260">
            <v>0</v>
          </cell>
          <cell r="L1260">
            <v>0</v>
          </cell>
          <cell r="M1260">
            <v>0</v>
          </cell>
          <cell r="N1260">
            <v>0</v>
          </cell>
          <cell r="O1260">
            <v>0</v>
          </cell>
          <cell r="P1260">
            <v>0</v>
          </cell>
          <cell r="Q1260">
            <v>0</v>
          </cell>
          <cell r="R1260">
            <v>0</v>
          </cell>
          <cell r="S1260">
            <v>11953</v>
          </cell>
          <cell r="T1260">
            <v>696771.59</v>
          </cell>
          <cell r="U1260">
            <v>58.292611896594998</v>
          </cell>
        </row>
        <row r="1261">
          <cell r="A1261">
            <v>1001255</v>
          </cell>
          <cell r="B1261" t="str">
            <v>Letra T de 6x1" Registro IMC Rosca 1"</v>
          </cell>
          <cell r="D1261">
            <v>5110</v>
          </cell>
          <cell r="E1261">
            <v>1000</v>
          </cell>
          <cell r="F1261" t="str">
            <v>ZALM</v>
          </cell>
          <cell r="G1261" t="str">
            <v>UN</v>
          </cell>
          <cell r="H1261" t="str">
            <v>DOP</v>
          </cell>
          <cell r="I1261">
            <v>0</v>
          </cell>
          <cell r="J1261">
            <v>0</v>
          </cell>
          <cell r="K1261">
            <v>0</v>
          </cell>
          <cell r="L1261">
            <v>0</v>
          </cell>
          <cell r="M1261">
            <v>0</v>
          </cell>
          <cell r="N1261">
            <v>0</v>
          </cell>
          <cell r="O1261">
            <v>0</v>
          </cell>
          <cell r="P1261">
            <v>0</v>
          </cell>
          <cell r="Q1261">
            <v>0</v>
          </cell>
          <cell r="R1261">
            <v>0</v>
          </cell>
          <cell r="S1261">
            <v>0</v>
          </cell>
          <cell r="T1261">
            <v>0</v>
          </cell>
          <cell r="U1261" t="e">
            <v>#N/A</v>
          </cell>
        </row>
        <row r="1262">
          <cell r="A1262">
            <v>1001256</v>
          </cell>
          <cell r="B1262" t="str">
            <v>Llavín P/ Panel Blind Torp (Strap Lock)</v>
          </cell>
          <cell r="D1262">
            <v>5110</v>
          </cell>
          <cell r="E1262">
            <v>1000</v>
          </cell>
          <cell r="F1262" t="str">
            <v>ZALM</v>
          </cell>
          <cell r="G1262" t="str">
            <v>UN</v>
          </cell>
          <cell r="H1262" t="str">
            <v>DOP</v>
          </cell>
          <cell r="I1262">
            <v>0</v>
          </cell>
          <cell r="J1262">
            <v>0</v>
          </cell>
          <cell r="K1262">
            <v>0</v>
          </cell>
          <cell r="L1262">
            <v>0</v>
          </cell>
          <cell r="M1262">
            <v>1070</v>
          </cell>
          <cell r="N1262">
            <v>600197.31999999995</v>
          </cell>
          <cell r="O1262">
            <v>0</v>
          </cell>
          <cell r="P1262">
            <v>0</v>
          </cell>
          <cell r="Q1262">
            <v>3511</v>
          </cell>
          <cell r="R1262">
            <v>1969432.5</v>
          </cell>
          <cell r="S1262">
            <v>4581</v>
          </cell>
          <cell r="T1262">
            <v>2569629.8199999998</v>
          </cell>
          <cell r="U1262">
            <v>560.93207160008706</v>
          </cell>
        </row>
        <row r="1263">
          <cell r="A1263">
            <v>1001257</v>
          </cell>
          <cell r="B1263" t="str">
            <v>Ojal Cerrada C/ Agujero Roscado 5/8"</v>
          </cell>
          <cell r="D1263">
            <v>5110</v>
          </cell>
          <cell r="E1263">
            <v>1000</v>
          </cell>
          <cell r="F1263" t="str">
            <v>ZALM</v>
          </cell>
          <cell r="G1263" t="str">
            <v>UN</v>
          </cell>
          <cell r="H1263" t="str">
            <v>DOP</v>
          </cell>
          <cell r="I1263">
            <v>3531</v>
          </cell>
          <cell r="J1263">
            <v>79995.429999999993</v>
          </cell>
          <cell r="K1263">
            <v>0</v>
          </cell>
          <cell r="L1263">
            <v>0</v>
          </cell>
          <cell r="M1263">
            <v>0</v>
          </cell>
          <cell r="N1263">
            <v>0</v>
          </cell>
          <cell r="O1263">
            <v>0</v>
          </cell>
          <cell r="P1263">
            <v>0</v>
          </cell>
          <cell r="Q1263">
            <v>24</v>
          </cell>
          <cell r="R1263">
            <v>543.72</v>
          </cell>
          <cell r="S1263">
            <v>3555</v>
          </cell>
          <cell r="T1263">
            <v>80539.149999999994</v>
          </cell>
          <cell r="U1263">
            <v>22.655175808720099</v>
          </cell>
        </row>
        <row r="1264">
          <cell r="A1264">
            <v>1001258</v>
          </cell>
          <cell r="B1264" t="str">
            <v>Placa Vertical P/ Soporte Transf</v>
          </cell>
          <cell r="D1264">
            <v>5110</v>
          </cell>
          <cell r="E1264">
            <v>1000</v>
          </cell>
          <cell r="F1264" t="str">
            <v>ZALM</v>
          </cell>
          <cell r="G1264" t="str">
            <v>UN</v>
          </cell>
          <cell r="H1264" t="str">
            <v>DOP</v>
          </cell>
          <cell r="I1264">
            <v>0</v>
          </cell>
          <cell r="J1264">
            <v>0</v>
          </cell>
          <cell r="K1264">
            <v>0</v>
          </cell>
          <cell r="L1264">
            <v>0</v>
          </cell>
          <cell r="M1264">
            <v>0</v>
          </cell>
          <cell r="N1264">
            <v>0</v>
          </cell>
          <cell r="O1264">
            <v>0</v>
          </cell>
          <cell r="P1264">
            <v>0</v>
          </cell>
          <cell r="Q1264">
            <v>0</v>
          </cell>
          <cell r="R1264">
            <v>0</v>
          </cell>
          <cell r="S1264">
            <v>0</v>
          </cell>
          <cell r="T1264">
            <v>0</v>
          </cell>
          <cell r="U1264" t="e">
            <v>#N/A</v>
          </cell>
        </row>
        <row r="1265">
          <cell r="A1265">
            <v>1001259</v>
          </cell>
          <cell r="B1265" t="str">
            <v>Planchuela Acer Galv 4x1/2"x24" Barr7/8"</v>
          </cell>
          <cell r="D1265">
            <v>5110</v>
          </cell>
          <cell r="E1265">
            <v>1000</v>
          </cell>
          <cell r="F1265" t="str">
            <v>ZALM</v>
          </cell>
          <cell r="G1265" t="str">
            <v>UN</v>
          </cell>
          <cell r="H1265" t="str">
            <v>DOP</v>
          </cell>
          <cell r="I1265">
            <v>586</v>
          </cell>
          <cell r="J1265">
            <v>849700</v>
          </cell>
          <cell r="K1265">
            <v>0</v>
          </cell>
          <cell r="L1265">
            <v>0</v>
          </cell>
          <cell r="M1265">
            <v>0</v>
          </cell>
          <cell r="N1265">
            <v>0</v>
          </cell>
          <cell r="O1265">
            <v>0</v>
          </cell>
          <cell r="P1265">
            <v>0</v>
          </cell>
          <cell r="Q1265">
            <v>0</v>
          </cell>
          <cell r="R1265">
            <v>0</v>
          </cell>
          <cell r="S1265">
            <v>586</v>
          </cell>
          <cell r="T1265">
            <v>849700</v>
          </cell>
          <cell r="U1265">
            <v>1450</v>
          </cell>
        </row>
        <row r="1266">
          <cell r="A1266">
            <v>1001260</v>
          </cell>
          <cell r="B1266" t="str">
            <v>Planchuela Cuadrada 2 Aguj Bimet</v>
          </cell>
          <cell r="D1266">
            <v>5110</v>
          </cell>
          <cell r="E1266">
            <v>1000</v>
          </cell>
          <cell r="F1266" t="str">
            <v>ZALM</v>
          </cell>
          <cell r="G1266" t="str">
            <v>UN</v>
          </cell>
          <cell r="H1266" t="str">
            <v>DOP</v>
          </cell>
          <cell r="I1266">
            <v>0</v>
          </cell>
          <cell r="J1266">
            <v>0</v>
          </cell>
          <cell r="K1266">
            <v>0</v>
          </cell>
          <cell r="L1266">
            <v>0</v>
          </cell>
          <cell r="M1266">
            <v>0</v>
          </cell>
          <cell r="N1266">
            <v>0</v>
          </cell>
          <cell r="O1266">
            <v>0</v>
          </cell>
          <cell r="P1266">
            <v>0</v>
          </cell>
          <cell r="Q1266">
            <v>0</v>
          </cell>
          <cell r="R1266">
            <v>0</v>
          </cell>
          <cell r="S1266">
            <v>0</v>
          </cell>
          <cell r="T1266">
            <v>0</v>
          </cell>
          <cell r="U1266" t="e">
            <v>#N/A</v>
          </cell>
        </row>
        <row r="1267">
          <cell r="A1267">
            <v>1001261</v>
          </cell>
          <cell r="B1267" t="str">
            <v>Planchuela Cuadrada 4 Aguj Bimet</v>
          </cell>
          <cell r="D1267">
            <v>5110</v>
          </cell>
          <cell r="E1267">
            <v>1000</v>
          </cell>
          <cell r="F1267" t="str">
            <v>ZALM</v>
          </cell>
          <cell r="G1267" t="str">
            <v>UN</v>
          </cell>
          <cell r="H1267" t="str">
            <v>DOP</v>
          </cell>
          <cell r="I1267">
            <v>0</v>
          </cell>
          <cell r="J1267">
            <v>0</v>
          </cell>
          <cell r="K1267">
            <v>0</v>
          </cell>
          <cell r="L1267">
            <v>0</v>
          </cell>
          <cell r="M1267">
            <v>0</v>
          </cell>
          <cell r="N1267">
            <v>0</v>
          </cell>
          <cell r="O1267">
            <v>0</v>
          </cell>
          <cell r="P1267">
            <v>0</v>
          </cell>
          <cell r="Q1267">
            <v>0</v>
          </cell>
          <cell r="R1267">
            <v>0</v>
          </cell>
          <cell r="S1267">
            <v>0</v>
          </cell>
          <cell r="T1267">
            <v>0</v>
          </cell>
          <cell r="U1267" t="e">
            <v>#N/A</v>
          </cell>
        </row>
        <row r="1268">
          <cell r="A1268">
            <v>1001262</v>
          </cell>
          <cell r="B1268" t="str">
            <v>Porta Aisl T/ Carrete</v>
          </cell>
          <cell r="D1268">
            <v>5110</v>
          </cell>
          <cell r="E1268">
            <v>1000</v>
          </cell>
          <cell r="F1268" t="str">
            <v>ZALM</v>
          </cell>
          <cell r="G1268" t="str">
            <v>UN</v>
          </cell>
          <cell r="H1268" t="str">
            <v>DOP</v>
          </cell>
          <cell r="I1268">
            <v>0</v>
          </cell>
          <cell r="J1268">
            <v>0</v>
          </cell>
          <cell r="K1268">
            <v>0</v>
          </cell>
          <cell r="L1268">
            <v>0</v>
          </cell>
          <cell r="M1268">
            <v>0</v>
          </cell>
          <cell r="N1268">
            <v>0</v>
          </cell>
          <cell r="O1268">
            <v>0</v>
          </cell>
          <cell r="P1268">
            <v>0</v>
          </cell>
          <cell r="Q1268">
            <v>0</v>
          </cell>
          <cell r="R1268">
            <v>0</v>
          </cell>
          <cell r="S1268">
            <v>0</v>
          </cell>
          <cell r="T1268">
            <v>0</v>
          </cell>
          <cell r="U1268" t="e">
            <v>#N/A</v>
          </cell>
        </row>
        <row r="1269">
          <cell r="A1269">
            <v>1001263</v>
          </cell>
          <cell r="B1269" t="str">
            <v>Porta Aisl U:1 1/2x1/2"x1/8" Orif 11/16"</v>
          </cell>
          <cell r="D1269">
            <v>5110</v>
          </cell>
          <cell r="E1269">
            <v>1000</v>
          </cell>
          <cell r="F1269" t="str">
            <v>ZALM</v>
          </cell>
          <cell r="G1269" t="str">
            <v>UN</v>
          </cell>
          <cell r="H1269" t="str">
            <v>DOP</v>
          </cell>
          <cell r="I1269">
            <v>0</v>
          </cell>
          <cell r="J1269">
            <v>0</v>
          </cell>
          <cell r="K1269">
            <v>0</v>
          </cell>
          <cell r="L1269">
            <v>0</v>
          </cell>
          <cell r="M1269">
            <v>0</v>
          </cell>
          <cell r="N1269">
            <v>0</v>
          </cell>
          <cell r="O1269">
            <v>0</v>
          </cell>
          <cell r="P1269">
            <v>0</v>
          </cell>
          <cell r="Q1269">
            <v>5</v>
          </cell>
          <cell r="R1269">
            <v>1071.8</v>
          </cell>
          <cell r="S1269">
            <v>5</v>
          </cell>
          <cell r="T1269">
            <v>1071.8</v>
          </cell>
          <cell r="U1269">
            <v>214.36</v>
          </cell>
        </row>
        <row r="1270">
          <cell r="A1270">
            <v>1001264</v>
          </cell>
          <cell r="B1270" t="str">
            <v>Porta Aisl U:2 1/2x2 1/4"x3/16'' Codillo</v>
          </cell>
          <cell r="D1270">
            <v>5110</v>
          </cell>
          <cell r="E1270">
            <v>1000</v>
          </cell>
          <cell r="F1270" t="str">
            <v>ZALM</v>
          </cell>
          <cell r="G1270" t="str">
            <v>UN</v>
          </cell>
          <cell r="H1270" t="str">
            <v>DOP</v>
          </cell>
          <cell r="I1270">
            <v>8</v>
          </cell>
          <cell r="J1270">
            <v>928</v>
          </cell>
          <cell r="K1270">
            <v>0</v>
          </cell>
          <cell r="L1270">
            <v>0</v>
          </cell>
          <cell r="M1270">
            <v>0</v>
          </cell>
          <cell r="N1270">
            <v>0</v>
          </cell>
          <cell r="O1270">
            <v>0</v>
          </cell>
          <cell r="P1270">
            <v>0</v>
          </cell>
          <cell r="Q1270">
            <v>0</v>
          </cell>
          <cell r="R1270">
            <v>0</v>
          </cell>
          <cell r="S1270">
            <v>8</v>
          </cell>
          <cell r="T1270">
            <v>928</v>
          </cell>
          <cell r="U1270">
            <v>116</v>
          </cell>
        </row>
        <row r="1271">
          <cell r="A1271">
            <v>1001265</v>
          </cell>
          <cell r="B1271" t="str">
            <v>Porta Aisl U:3/16x3/4" Orif 11/16" Abier</v>
          </cell>
          <cell r="D1271">
            <v>5110</v>
          </cell>
          <cell r="E1271">
            <v>1000</v>
          </cell>
          <cell r="F1271" t="str">
            <v>ZALM</v>
          </cell>
          <cell r="G1271" t="str">
            <v>UN</v>
          </cell>
          <cell r="H1271" t="str">
            <v>DOP</v>
          </cell>
          <cell r="I1271">
            <v>4633</v>
          </cell>
          <cell r="J1271">
            <v>610907.38</v>
          </cell>
          <cell r="K1271">
            <v>0</v>
          </cell>
          <cell r="L1271">
            <v>0</v>
          </cell>
          <cell r="M1271">
            <v>3</v>
          </cell>
          <cell r="N1271">
            <v>395.58</v>
          </cell>
          <cell r="O1271">
            <v>0</v>
          </cell>
          <cell r="P1271">
            <v>0</v>
          </cell>
          <cell r="Q1271">
            <v>103</v>
          </cell>
          <cell r="R1271">
            <v>13581.58</v>
          </cell>
          <cell r="S1271">
            <v>4739</v>
          </cell>
          <cell r="T1271">
            <v>624884.54</v>
          </cell>
          <cell r="U1271">
            <v>131.86000000000001</v>
          </cell>
        </row>
        <row r="1272">
          <cell r="A1272">
            <v>1001266</v>
          </cell>
          <cell r="B1272" t="str">
            <v>Soporte Aisl P/ Cab y Tub T/ ASR-200-3</v>
          </cell>
          <cell r="D1272">
            <v>5110</v>
          </cell>
          <cell r="E1272">
            <v>1000</v>
          </cell>
          <cell r="F1272" t="str">
            <v>ZALM</v>
          </cell>
          <cell r="G1272" t="str">
            <v>UN</v>
          </cell>
          <cell r="H1272" t="str">
            <v>DOP</v>
          </cell>
          <cell r="I1272">
            <v>18</v>
          </cell>
          <cell r="J1272">
            <v>42044.28</v>
          </cell>
          <cell r="K1272">
            <v>0</v>
          </cell>
          <cell r="L1272">
            <v>0</v>
          </cell>
          <cell r="M1272">
            <v>0</v>
          </cell>
          <cell r="N1272">
            <v>0</v>
          </cell>
          <cell r="O1272">
            <v>0</v>
          </cell>
          <cell r="P1272">
            <v>0</v>
          </cell>
          <cell r="Q1272">
            <v>0</v>
          </cell>
          <cell r="R1272">
            <v>0</v>
          </cell>
          <cell r="S1272">
            <v>18</v>
          </cell>
          <cell r="T1272">
            <v>42044.28</v>
          </cell>
          <cell r="U1272">
            <v>2335.7933333333299</v>
          </cell>
        </row>
        <row r="1273">
          <cell r="A1273">
            <v>1001267</v>
          </cell>
          <cell r="B1273" t="str">
            <v>Soporte Aisl P/ Cables T/ ACS-14</v>
          </cell>
          <cell r="D1273">
            <v>5110</v>
          </cell>
          <cell r="E1273">
            <v>1000</v>
          </cell>
          <cell r="F1273" t="str">
            <v>ZALM</v>
          </cell>
          <cell r="G1273" t="str">
            <v>UN</v>
          </cell>
          <cell r="H1273" t="str">
            <v>DOP</v>
          </cell>
          <cell r="I1273">
            <v>10</v>
          </cell>
          <cell r="J1273">
            <v>24378.76</v>
          </cell>
          <cell r="K1273">
            <v>0</v>
          </cell>
          <cell r="L1273">
            <v>0</v>
          </cell>
          <cell r="M1273">
            <v>0</v>
          </cell>
          <cell r="N1273">
            <v>0</v>
          </cell>
          <cell r="O1273">
            <v>0</v>
          </cell>
          <cell r="P1273">
            <v>0</v>
          </cell>
          <cell r="Q1273">
            <v>0</v>
          </cell>
          <cell r="R1273">
            <v>0</v>
          </cell>
          <cell r="S1273">
            <v>10</v>
          </cell>
          <cell r="T1273">
            <v>24378.76</v>
          </cell>
          <cell r="U1273">
            <v>2437.8760000000002</v>
          </cell>
        </row>
        <row r="1274">
          <cell r="A1274">
            <v>1001268</v>
          </cell>
          <cell r="B1274" t="str">
            <v>Soporte Banco Capacitor Ac. Galv. 75-95</v>
          </cell>
          <cell r="D1274">
            <v>5110</v>
          </cell>
          <cell r="E1274">
            <v>1000</v>
          </cell>
          <cell r="F1274" t="str">
            <v>ZALM</v>
          </cell>
          <cell r="G1274" t="str">
            <v>UN</v>
          </cell>
          <cell r="H1274" t="str">
            <v>DOP</v>
          </cell>
          <cell r="I1274">
            <v>32</v>
          </cell>
          <cell r="J1274">
            <v>286657.59999999998</v>
          </cell>
          <cell r="K1274">
            <v>0</v>
          </cell>
          <cell r="L1274">
            <v>0</v>
          </cell>
          <cell r="M1274">
            <v>0</v>
          </cell>
          <cell r="N1274">
            <v>0</v>
          </cell>
          <cell r="O1274">
            <v>0</v>
          </cell>
          <cell r="P1274">
            <v>0</v>
          </cell>
          <cell r="Q1274">
            <v>0</v>
          </cell>
          <cell r="R1274">
            <v>0</v>
          </cell>
          <cell r="S1274">
            <v>32</v>
          </cell>
          <cell r="T1274">
            <v>286657.59999999998</v>
          </cell>
          <cell r="U1274">
            <v>8958.0499999999993</v>
          </cell>
        </row>
        <row r="1275">
          <cell r="A1275">
            <v>1001269</v>
          </cell>
          <cell r="B1275" t="str">
            <v>Soporte de Cable Monof P/ Cable URD</v>
          </cell>
          <cell r="D1275">
            <v>5110</v>
          </cell>
          <cell r="E1275">
            <v>1000</v>
          </cell>
          <cell r="F1275" t="str">
            <v>ZALM</v>
          </cell>
          <cell r="G1275" t="str">
            <v>UN</v>
          </cell>
          <cell r="H1275" t="str">
            <v>DOP</v>
          </cell>
          <cell r="I1275">
            <v>86</v>
          </cell>
          <cell r="J1275">
            <v>37934.6</v>
          </cell>
          <cell r="K1275">
            <v>0</v>
          </cell>
          <cell r="L1275">
            <v>0</v>
          </cell>
          <cell r="M1275">
            <v>0</v>
          </cell>
          <cell r="N1275">
            <v>0</v>
          </cell>
          <cell r="O1275">
            <v>0</v>
          </cell>
          <cell r="P1275">
            <v>0</v>
          </cell>
          <cell r="Q1275">
            <v>0</v>
          </cell>
          <cell r="R1275">
            <v>0</v>
          </cell>
          <cell r="S1275">
            <v>86</v>
          </cell>
          <cell r="T1275">
            <v>37934.6</v>
          </cell>
          <cell r="U1275">
            <v>441.1</v>
          </cell>
        </row>
        <row r="1276">
          <cell r="A1276">
            <v>1001270</v>
          </cell>
          <cell r="B1276" t="str">
            <v>Soporte de Cable Trif P/ Cable URD</v>
          </cell>
          <cell r="D1276">
            <v>5110</v>
          </cell>
          <cell r="E1276">
            <v>1000</v>
          </cell>
          <cell r="F1276" t="str">
            <v>ZALM</v>
          </cell>
          <cell r="G1276" t="str">
            <v>UN</v>
          </cell>
          <cell r="H1276" t="str">
            <v>DOP</v>
          </cell>
          <cell r="I1276">
            <v>30</v>
          </cell>
          <cell r="J1276">
            <v>32037.9</v>
          </cell>
          <cell r="K1276">
            <v>0</v>
          </cell>
          <cell r="L1276">
            <v>0</v>
          </cell>
          <cell r="M1276">
            <v>0</v>
          </cell>
          <cell r="N1276">
            <v>0</v>
          </cell>
          <cell r="O1276">
            <v>0</v>
          </cell>
          <cell r="P1276">
            <v>0</v>
          </cell>
          <cell r="Q1276">
            <v>0</v>
          </cell>
          <cell r="R1276">
            <v>0</v>
          </cell>
          <cell r="S1276">
            <v>30</v>
          </cell>
          <cell r="T1276">
            <v>32037.9</v>
          </cell>
          <cell r="U1276">
            <v>1067.93</v>
          </cell>
        </row>
        <row r="1277">
          <cell r="A1277">
            <v>1001271</v>
          </cell>
          <cell r="B1277" t="str">
            <v>Soporte de Doble Unidad con 2 Pernos ½"</v>
          </cell>
          <cell r="D1277">
            <v>5110</v>
          </cell>
          <cell r="E1277">
            <v>1000</v>
          </cell>
          <cell r="F1277" t="str">
            <v>ZALM</v>
          </cell>
          <cell r="G1277" t="str">
            <v>UN</v>
          </cell>
          <cell r="H1277" t="str">
            <v>DOP</v>
          </cell>
          <cell r="I1277">
            <v>2936</v>
          </cell>
          <cell r="J1277">
            <v>188549.92</v>
          </cell>
          <cell r="K1277">
            <v>0</v>
          </cell>
          <cell r="L1277">
            <v>0</v>
          </cell>
          <cell r="M1277">
            <v>0</v>
          </cell>
          <cell r="N1277">
            <v>0</v>
          </cell>
          <cell r="O1277">
            <v>0</v>
          </cell>
          <cell r="P1277">
            <v>0</v>
          </cell>
          <cell r="Q1277">
            <v>346</v>
          </cell>
          <cell r="R1277">
            <v>22220.12</v>
          </cell>
          <cell r="S1277">
            <v>3282</v>
          </cell>
          <cell r="T1277">
            <v>210770.04</v>
          </cell>
          <cell r="U1277">
            <v>64.22</v>
          </cell>
        </row>
        <row r="1278">
          <cell r="A1278">
            <v>1001272</v>
          </cell>
          <cell r="B1278" t="str">
            <v>Soporte de Luminarias 12' P/ Poste Conc</v>
          </cell>
          <cell r="D1278">
            <v>5110</v>
          </cell>
          <cell r="E1278">
            <v>1000</v>
          </cell>
          <cell r="F1278" t="str">
            <v>ZALM</v>
          </cell>
          <cell r="G1278" t="str">
            <v>UN</v>
          </cell>
          <cell r="H1278" t="str">
            <v>DOP</v>
          </cell>
          <cell r="I1278">
            <v>0</v>
          </cell>
          <cell r="J1278">
            <v>0</v>
          </cell>
          <cell r="K1278">
            <v>0</v>
          </cell>
          <cell r="L1278">
            <v>0</v>
          </cell>
          <cell r="M1278">
            <v>0</v>
          </cell>
          <cell r="N1278">
            <v>0</v>
          </cell>
          <cell r="O1278">
            <v>0</v>
          </cell>
          <cell r="P1278">
            <v>0</v>
          </cell>
          <cell r="Q1278">
            <v>0</v>
          </cell>
          <cell r="R1278">
            <v>0</v>
          </cell>
          <cell r="S1278">
            <v>0</v>
          </cell>
          <cell r="T1278">
            <v>0</v>
          </cell>
          <cell r="U1278" t="e">
            <v>#N/A</v>
          </cell>
        </row>
        <row r="1279">
          <cell r="A1279">
            <v>1001273</v>
          </cell>
          <cell r="B1279" t="str">
            <v>Soporte de Luminarias 12' P/ Poste Mad</v>
          </cell>
          <cell r="D1279">
            <v>5110</v>
          </cell>
          <cell r="E1279">
            <v>1000</v>
          </cell>
          <cell r="F1279" t="str">
            <v>ZALM</v>
          </cell>
          <cell r="G1279" t="str">
            <v>UN</v>
          </cell>
          <cell r="H1279" t="str">
            <v>DOP</v>
          </cell>
          <cell r="I1279">
            <v>0</v>
          </cell>
          <cell r="J1279">
            <v>0</v>
          </cell>
          <cell r="K1279">
            <v>0</v>
          </cell>
          <cell r="L1279">
            <v>0</v>
          </cell>
          <cell r="M1279">
            <v>0</v>
          </cell>
          <cell r="N1279">
            <v>0</v>
          </cell>
          <cell r="O1279">
            <v>0</v>
          </cell>
          <cell r="P1279">
            <v>0</v>
          </cell>
          <cell r="Q1279">
            <v>0</v>
          </cell>
          <cell r="R1279">
            <v>0</v>
          </cell>
          <cell r="S1279">
            <v>0</v>
          </cell>
          <cell r="T1279">
            <v>0</v>
          </cell>
          <cell r="U1279" t="e">
            <v>#N/A</v>
          </cell>
        </row>
        <row r="1280">
          <cell r="A1280">
            <v>1001274</v>
          </cell>
          <cell r="B1280" t="str">
            <v>Soporte de Luminarias 6' P/ Poste Conc</v>
          </cell>
          <cell r="D1280">
            <v>5110</v>
          </cell>
          <cell r="E1280">
            <v>1000</v>
          </cell>
          <cell r="F1280" t="str">
            <v>ZALM</v>
          </cell>
          <cell r="G1280" t="str">
            <v>UN</v>
          </cell>
          <cell r="H1280" t="str">
            <v>DOP</v>
          </cell>
          <cell r="I1280">
            <v>0</v>
          </cell>
          <cell r="J1280">
            <v>0</v>
          </cell>
          <cell r="K1280">
            <v>0</v>
          </cell>
          <cell r="L1280">
            <v>0</v>
          </cell>
          <cell r="M1280">
            <v>0</v>
          </cell>
          <cell r="N1280">
            <v>0</v>
          </cell>
          <cell r="O1280">
            <v>0</v>
          </cell>
          <cell r="P1280">
            <v>0</v>
          </cell>
          <cell r="Q1280">
            <v>0</v>
          </cell>
          <cell r="R1280">
            <v>0</v>
          </cell>
          <cell r="S1280">
            <v>0</v>
          </cell>
          <cell r="T1280">
            <v>0</v>
          </cell>
          <cell r="U1280" t="e">
            <v>#N/A</v>
          </cell>
        </row>
        <row r="1281">
          <cell r="A1281">
            <v>1001275</v>
          </cell>
          <cell r="B1281" t="str">
            <v>Soporte de Sujección de Esquinas</v>
          </cell>
          <cell r="D1281">
            <v>5110</v>
          </cell>
          <cell r="E1281">
            <v>1000</v>
          </cell>
          <cell r="F1281" t="str">
            <v>ZALM</v>
          </cell>
          <cell r="G1281" t="str">
            <v>UN</v>
          </cell>
          <cell r="H1281" t="str">
            <v>DOP</v>
          </cell>
          <cell r="I1281">
            <v>1</v>
          </cell>
          <cell r="J1281">
            <v>12601.4</v>
          </cell>
          <cell r="K1281">
            <v>0</v>
          </cell>
          <cell r="L1281">
            <v>0</v>
          </cell>
          <cell r="M1281">
            <v>0</v>
          </cell>
          <cell r="N1281">
            <v>0</v>
          </cell>
          <cell r="O1281">
            <v>0</v>
          </cell>
          <cell r="P1281">
            <v>0</v>
          </cell>
          <cell r="Q1281">
            <v>0</v>
          </cell>
          <cell r="R1281">
            <v>0</v>
          </cell>
          <cell r="S1281">
            <v>1</v>
          </cell>
          <cell r="T1281">
            <v>12601.4</v>
          </cell>
          <cell r="U1281">
            <v>12601.4</v>
          </cell>
        </row>
        <row r="1282">
          <cell r="A1282">
            <v>1001276</v>
          </cell>
          <cell r="B1282" t="str">
            <v>Soporte de Transf P/ Banco 15-45kVA 12"</v>
          </cell>
          <cell r="D1282">
            <v>5110</v>
          </cell>
          <cell r="E1282">
            <v>1000</v>
          </cell>
          <cell r="F1282" t="str">
            <v>ZALM</v>
          </cell>
          <cell r="G1282" t="str">
            <v>UN</v>
          </cell>
          <cell r="H1282" t="str">
            <v>DOP</v>
          </cell>
          <cell r="I1282">
            <v>105</v>
          </cell>
          <cell r="J1282">
            <v>74804.100000000006</v>
          </cell>
          <cell r="K1282">
            <v>0</v>
          </cell>
          <cell r="L1282">
            <v>0</v>
          </cell>
          <cell r="M1282">
            <v>0</v>
          </cell>
          <cell r="N1282">
            <v>0</v>
          </cell>
          <cell r="O1282">
            <v>0</v>
          </cell>
          <cell r="P1282">
            <v>0</v>
          </cell>
          <cell r="Q1282">
            <v>0</v>
          </cell>
          <cell r="R1282">
            <v>0</v>
          </cell>
          <cell r="S1282">
            <v>105</v>
          </cell>
          <cell r="T1282">
            <v>74804.100000000006</v>
          </cell>
          <cell r="U1282">
            <v>712.42</v>
          </cell>
        </row>
        <row r="1283">
          <cell r="A1283">
            <v>1001277</v>
          </cell>
          <cell r="B1283" t="str">
            <v>Soporte de Transf P/ Banco 5-75 kVA 24"</v>
          </cell>
          <cell r="D1283">
            <v>5110</v>
          </cell>
          <cell r="E1283">
            <v>1000</v>
          </cell>
          <cell r="F1283" t="str">
            <v>ZALM</v>
          </cell>
          <cell r="G1283" t="str">
            <v>UN</v>
          </cell>
          <cell r="H1283" t="str">
            <v>DOP</v>
          </cell>
          <cell r="I1283">
            <v>2706</v>
          </cell>
          <cell r="J1283">
            <v>2930570.94</v>
          </cell>
          <cell r="K1283">
            <v>0</v>
          </cell>
          <cell r="L1283">
            <v>0</v>
          </cell>
          <cell r="M1283">
            <v>0</v>
          </cell>
          <cell r="N1283">
            <v>0</v>
          </cell>
          <cell r="O1283">
            <v>0</v>
          </cell>
          <cell r="P1283">
            <v>0</v>
          </cell>
          <cell r="Q1283">
            <v>0</v>
          </cell>
          <cell r="R1283">
            <v>0</v>
          </cell>
          <cell r="S1283">
            <v>2706</v>
          </cell>
          <cell r="T1283">
            <v>2930570.94</v>
          </cell>
          <cell r="U1283">
            <v>1082.99</v>
          </cell>
        </row>
        <row r="1284">
          <cell r="A1284">
            <v>1001278</v>
          </cell>
          <cell r="B1284" t="str">
            <v>Soporte en  L P/ Pararrayo</v>
          </cell>
          <cell r="D1284">
            <v>5110</v>
          </cell>
          <cell r="E1284">
            <v>1000</v>
          </cell>
          <cell r="F1284" t="str">
            <v>ZALM</v>
          </cell>
          <cell r="G1284" t="str">
            <v>UN</v>
          </cell>
          <cell r="H1284" t="str">
            <v>DOP</v>
          </cell>
          <cell r="I1284">
            <v>7240</v>
          </cell>
          <cell r="J1284">
            <v>262459.21000000002</v>
          </cell>
          <cell r="K1284">
            <v>0</v>
          </cell>
          <cell r="L1284">
            <v>0</v>
          </cell>
          <cell r="M1284">
            <v>0</v>
          </cell>
          <cell r="N1284">
            <v>0</v>
          </cell>
          <cell r="O1284">
            <v>0</v>
          </cell>
          <cell r="P1284">
            <v>0</v>
          </cell>
          <cell r="Q1284">
            <v>240</v>
          </cell>
          <cell r="R1284">
            <v>8700.31</v>
          </cell>
          <cell r="S1284">
            <v>7480</v>
          </cell>
          <cell r="T1284">
            <v>271159.52</v>
          </cell>
          <cell r="U1284">
            <v>36.251272727272699</v>
          </cell>
        </row>
        <row r="1285">
          <cell r="A1285">
            <v>1001279</v>
          </cell>
          <cell r="B1285" t="str">
            <v>Soporte en Cruceta C/ Accesorios</v>
          </cell>
          <cell r="D1285">
            <v>5110</v>
          </cell>
          <cell r="E1285">
            <v>1000</v>
          </cell>
          <cell r="F1285" t="str">
            <v>ZALM</v>
          </cell>
          <cell r="G1285" t="str">
            <v>UN</v>
          </cell>
          <cell r="H1285" t="str">
            <v>DOP</v>
          </cell>
          <cell r="I1285">
            <v>0</v>
          </cell>
          <cell r="J1285">
            <v>0</v>
          </cell>
          <cell r="K1285">
            <v>0</v>
          </cell>
          <cell r="L1285">
            <v>0</v>
          </cell>
          <cell r="M1285">
            <v>0</v>
          </cell>
          <cell r="N1285">
            <v>0</v>
          </cell>
          <cell r="O1285">
            <v>0</v>
          </cell>
          <cell r="P1285">
            <v>0</v>
          </cell>
          <cell r="Q1285">
            <v>0</v>
          </cell>
          <cell r="R1285">
            <v>0</v>
          </cell>
          <cell r="S1285">
            <v>0</v>
          </cell>
          <cell r="T1285">
            <v>0</v>
          </cell>
          <cell r="U1285" t="e">
            <v>#N/A</v>
          </cell>
        </row>
        <row r="1286">
          <cell r="A1286">
            <v>1001280</v>
          </cell>
          <cell r="B1286" t="str">
            <v>Soporte en T Aluminio P/ Eléctrica</v>
          </cell>
          <cell r="D1286">
            <v>5110</v>
          </cell>
          <cell r="E1286">
            <v>1000</v>
          </cell>
          <cell r="F1286" t="str">
            <v>ZALM</v>
          </cell>
          <cell r="G1286" t="str">
            <v>UN</v>
          </cell>
          <cell r="H1286" t="str">
            <v>DOP</v>
          </cell>
          <cell r="I1286">
            <v>0</v>
          </cell>
          <cell r="J1286">
            <v>0</v>
          </cell>
          <cell r="K1286">
            <v>0</v>
          </cell>
          <cell r="L1286">
            <v>0</v>
          </cell>
          <cell r="M1286">
            <v>0</v>
          </cell>
          <cell r="N1286">
            <v>0</v>
          </cell>
          <cell r="O1286">
            <v>0</v>
          </cell>
          <cell r="P1286">
            <v>0</v>
          </cell>
          <cell r="Q1286">
            <v>0</v>
          </cell>
          <cell r="R1286">
            <v>0</v>
          </cell>
          <cell r="S1286">
            <v>0</v>
          </cell>
          <cell r="T1286">
            <v>0</v>
          </cell>
          <cell r="U1286" t="e">
            <v>#N/A</v>
          </cell>
        </row>
        <row r="1287">
          <cell r="A1287">
            <v>1001281</v>
          </cell>
          <cell r="B1287" t="str">
            <v>Soporte Fij P/ Equipo Med ECU1520A 22CM</v>
          </cell>
          <cell r="D1287">
            <v>5110</v>
          </cell>
          <cell r="E1287">
            <v>1000</v>
          </cell>
          <cell r="F1287" t="str">
            <v>ZALM</v>
          </cell>
          <cell r="G1287" t="str">
            <v>UN</v>
          </cell>
          <cell r="H1287" t="str">
            <v>DOP</v>
          </cell>
          <cell r="I1287">
            <v>0</v>
          </cell>
          <cell r="J1287">
            <v>0</v>
          </cell>
          <cell r="K1287">
            <v>0</v>
          </cell>
          <cell r="L1287">
            <v>0</v>
          </cell>
          <cell r="M1287">
            <v>0</v>
          </cell>
          <cell r="N1287">
            <v>0</v>
          </cell>
          <cell r="O1287">
            <v>0</v>
          </cell>
          <cell r="P1287">
            <v>0</v>
          </cell>
          <cell r="Q1287">
            <v>0</v>
          </cell>
          <cell r="R1287">
            <v>0</v>
          </cell>
          <cell r="S1287">
            <v>0</v>
          </cell>
          <cell r="T1287">
            <v>0</v>
          </cell>
          <cell r="U1287" t="e">
            <v>#N/A</v>
          </cell>
        </row>
        <row r="1288">
          <cell r="A1288">
            <v>1001282</v>
          </cell>
          <cell r="B1288" t="str">
            <v>Soporte P/ Breaker QC</v>
          </cell>
          <cell r="D1288">
            <v>5110</v>
          </cell>
          <cell r="E1288">
            <v>1000</v>
          </cell>
          <cell r="F1288" t="str">
            <v>ZALM</v>
          </cell>
          <cell r="G1288" t="str">
            <v>UN</v>
          </cell>
          <cell r="H1288" t="str">
            <v>DOP</v>
          </cell>
          <cell r="I1288">
            <v>763</v>
          </cell>
          <cell r="J1288">
            <v>190750</v>
          </cell>
          <cell r="K1288">
            <v>0</v>
          </cell>
          <cell r="L1288">
            <v>0</v>
          </cell>
          <cell r="M1288">
            <v>0</v>
          </cell>
          <cell r="N1288">
            <v>0</v>
          </cell>
          <cell r="O1288">
            <v>0</v>
          </cell>
          <cell r="P1288">
            <v>0</v>
          </cell>
          <cell r="Q1288">
            <v>0</v>
          </cell>
          <cell r="R1288">
            <v>0</v>
          </cell>
          <cell r="S1288">
            <v>763</v>
          </cell>
          <cell r="T1288">
            <v>190750</v>
          </cell>
          <cell r="U1288">
            <v>250</v>
          </cell>
        </row>
        <row r="1289">
          <cell r="A1289">
            <v>1001283</v>
          </cell>
          <cell r="B1289" t="str">
            <v>Soporte P/ Fijac Trip 2 APR630 a Poste</v>
          </cell>
          <cell r="D1289">
            <v>5110</v>
          </cell>
          <cell r="E1289">
            <v>1000</v>
          </cell>
          <cell r="F1289" t="str">
            <v>ZALM</v>
          </cell>
          <cell r="G1289" t="str">
            <v>UN</v>
          </cell>
          <cell r="H1289" t="str">
            <v>DOP</v>
          </cell>
          <cell r="I1289">
            <v>0</v>
          </cell>
          <cell r="J1289">
            <v>0</v>
          </cell>
          <cell r="K1289">
            <v>0</v>
          </cell>
          <cell r="L1289">
            <v>0</v>
          </cell>
          <cell r="M1289">
            <v>0</v>
          </cell>
          <cell r="N1289">
            <v>0</v>
          </cell>
          <cell r="O1289">
            <v>0</v>
          </cell>
          <cell r="P1289">
            <v>0</v>
          </cell>
          <cell r="Q1289">
            <v>0</v>
          </cell>
          <cell r="R1289">
            <v>0</v>
          </cell>
          <cell r="S1289">
            <v>0</v>
          </cell>
          <cell r="T1289">
            <v>0</v>
          </cell>
          <cell r="U1289" t="e">
            <v>#N/A</v>
          </cell>
        </row>
        <row r="1290">
          <cell r="A1290">
            <v>1001284</v>
          </cell>
          <cell r="B1290" t="str">
            <v>Soporte P/ Pararrayos Acero Galv</v>
          </cell>
          <cell r="D1290">
            <v>5110</v>
          </cell>
          <cell r="E1290">
            <v>1000</v>
          </cell>
          <cell r="F1290" t="str">
            <v>ZALM</v>
          </cell>
          <cell r="G1290" t="str">
            <v>UN</v>
          </cell>
          <cell r="H1290" t="str">
            <v>DOP</v>
          </cell>
          <cell r="I1290">
            <v>0</v>
          </cell>
          <cell r="J1290">
            <v>0</v>
          </cell>
          <cell r="K1290">
            <v>0</v>
          </cell>
          <cell r="L1290">
            <v>0</v>
          </cell>
          <cell r="M1290">
            <v>0</v>
          </cell>
          <cell r="N1290">
            <v>0</v>
          </cell>
          <cell r="O1290">
            <v>0</v>
          </cell>
          <cell r="P1290">
            <v>0</v>
          </cell>
          <cell r="Q1290">
            <v>0</v>
          </cell>
          <cell r="R1290">
            <v>0</v>
          </cell>
          <cell r="S1290">
            <v>0</v>
          </cell>
          <cell r="T1290">
            <v>0</v>
          </cell>
          <cell r="U1290" t="e">
            <v>#N/A</v>
          </cell>
        </row>
        <row r="1291">
          <cell r="A1291">
            <v>1001285</v>
          </cell>
          <cell r="B1291" t="str">
            <v>Soporte P/ Tubo de Anclaje (2 1/2" Ø)</v>
          </cell>
          <cell r="D1291">
            <v>5110</v>
          </cell>
          <cell r="E1291">
            <v>1000</v>
          </cell>
          <cell r="F1291" t="str">
            <v>ZALM</v>
          </cell>
          <cell r="G1291" t="str">
            <v>UN</v>
          </cell>
          <cell r="H1291" t="str">
            <v>DOP</v>
          </cell>
          <cell r="I1291">
            <v>713</v>
          </cell>
          <cell r="J1291">
            <v>142600</v>
          </cell>
          <cell r="K1291">
            <v>0</v>
          </cell>
          <cell r="L1291">
            <v>0</v>
          </cell>
          <cell r="M1291">
            <v>0</v>
          </cell>
          <cell r="N1291">
            <v>0</v>
          </cell>
          <cell r="O1291">
            <v>0</v>
          </cell>
          <cell r="P1291">
            <v>0</v>
          </cell>
          <cell r="Q1291">
            <v>0</v>
          </cell>
          <cell r="R1291">
            <v>0</v>
          </cell>
          <cell r="S1291">
            <v>713</v>
          </cell>
          <cell r="T1291">
            <v>142600</v>
          </cell>
          <cell r="U1291">
            <v>200</v>
          </cell>
        </row>
        <row r="1292">
          <cell r="A1292">
            <v>1001286</v>
          </cell>
          <cell r="B1292" t="str">
            <v>Soporte P/ Tubo de Anclaje (2'' Ø)</v>
          </cell>
          <cell r="D1292">
            <v>5110</v>
          </cell>
          <cell r="E1292">
            <v>1000</v>
          </cell>
          <cell r="F1292" t="str">
            <v>ZALM</v>
          </cell>
          <cell r="G1292" t="str">
            <v>UN</v>
          </cell>
          <cell r="H1292" t="str">
            <v>DOP</v>
          </cell>
          <cell r="I1292">
            <v>0</v>
          </cell>
          <cell r="J1292">
            <v>0</v>
          </cell>
          <cell r="K1292">
            <v>0</v>
          </cell>
          <cell r="L1292">
            <v>0</v>
          </cell>
          <cell r="M1292">
            <v>0</v>
          </cell>
          <cell r="N1292">
            <v>0</v>
          </cell>
          <cell r="O1292">
            <v>0</v>
          </cell>
          <cell r="P1292">
            <v>0</v>
          </cell>
          <cell r="Q1292">
            <v>0</v>
          </cell>
          <cell r="R1292">
            <v>0</v>
          </cell>
          <cell r="S1292">
            <v>0</v>
          </cell>
          <cell r="T1292">
            <v>0</v>
          </cell>
          <cell r="U1292" t="e">
            <v>#N/A</v>
          </cell>
        </row>
        <row r="1293">
          <cell r="A1293">
            <v>1001287</v>
          </cell>
          <cell r="B1293" t="str">
            <v>Soporte Poste Simple Unid 10.5" Dist 12"</v>
          </cell>
          <cell r="D1293">
            <v>5110</v>
          </cell>
          <cell r="E1293">
            <v>1000</v>
          </cell>
          <cell r="F1293" t="str">
            <v>ZALM</v>
          </cell>
          <cell r="G1293" t="str">
            <v>UN</v>
          </cell>
          <cell r="H1293" t="str">
            <v>DOP</v>
          </cell>
          <cell r="I1293">
            <v>0</v>
          </cell>
          <cell r="J1293">
            <v>0</v>
          </cell>
          <cell r="K1293">
            <v>0</v>
          </cell>
          <cell r="L1293">
            <v>0</v>
          </cell>
          <cell r="M1293">
            <v>0</v>
          </cell>
          <cell r="N1293">
            <v>0</v>
          </cell>
          <cell r="O1293">
            <v>0</v>
          </cell>
          <cell r="P1293">
            <v>0</v>
          </cell>
          <cell r="Q1293">
            <v>0</v>
          </cell>
          <cell r="R1293">
            <v>0</v>
          </cell>
          <cell r="S1293">
            <v>0</v>
          </cell>
          <cell r="T1293">
            <v>0</v>
          </cell>
          <cell r="U1293" t="e">
            <v>#N/A</v>
          </cell>
        </row>
        <row r="1294">
          <cell r="A1294">
            <v>1001288</v>
          </cell>
          <cell r="B1294" t="str">
            <v>Tapa P/ Letra T de 6"x1</v>
          </cell>
          <cell r="D1294">
            <v>5110</v>
          </cell>
          <cell r="E1294">
            <v>1000</v>
          </cell>
          <cell r="F1294" t="str">
            <v>ZALM</v>
          </cell>
          <cell r="G1294" t="str">
            <v>UN</v>
          </cell>
          <cell r="H1294" t="str">
            <v>DOP</v>
          </cell>
          <cell r="I1294">
            <v>0</v>
          </cell>
          <cell r="J1294">
            <v>0</v>
          </cell>
          <cell r="K1294">
            <v>0</v>
          </cell>
          <cell r="L1294">
            <v>0</v>
          </cell>
          <cell r="M1294">
            <v>0</v>
          </cell>
          <cell r="N1294">
            <v>0</v>
          </cell>
          <cell r="O1294">
            <v>0</v>
          </cell>
          <cell r="P1294">
            <v>0</v>
          </cell>
          <cell r="Q1294">
            <v>0</v>
          </cell>
          <cell r="R1294">
            <v>0</v>
          </cell>
          <cell r="S1294">
            <v>0</v>
          </cell>
          <cell r="T1294">
            <v>0</v>
          </cell>
          <cell r="U1294" t="e">
            <v>#N/A</v>
          </cell>
        </row>
        <row r="1295">
          <cell r="A1295">
            <v>1001289</v>
          </cell>
          <cell r="B1295" t="str">
            <v>Tapon Macho Galv de 1 1/4"</v>
          </cell>
          <cell r="D1295">
            <v>5110</v>
          </cell>
          <cell r="E1295">
            <v>1000</v>
          </cell>
          <cell r="F1295" t="str">
            <v>ZALM</v>
          </cell>
          <cell r="G1295" t="str">
            <v>UN</v>
          </cell>
          <cell r="H1295" t="str">
            <v>DOP</v>
          </cell>
          <cell r="I1295">
            <v>0</v>
          </cell>
          <cell r="J1295">
            <v>0</v>
          </cell>
          <cell r="K1295">
            <v>0</v>
          </cell>
          <cell r="L1295">
            <v>0</v>
          </cell>
          <cell r="M1295">
            <v>0</v>
          </cell>
          <cell r="N1295">
            <v>0</v>
          </cell>
          <cell r="O1295">
            <v>0</v>
          </cell>
          <cell r="P1295">
            <v>0</v>
          </cell>
          <cell r="Q1295">
            <v>0</v>
          </cell>
          <cell r="R1295">
            <v>0</v>
          </cell>
          <cell r="S1295">
            <v>0</v>
          </cell>
          <cell r="T1295">
            <v>0</v>
          </cell>
          <cell r="U1295" t="e">
            <v>#N/A</v>
          </cell>
        </row>
        <row r="1296">
          <cell r="A1296">
            <v>1001290</v>
          </cell>
          <cell r="B1296" t="str">
            <v>Tapon Macho Galv de 1"</v>
          </cell>
          <cell r="D1296">
            <v>5110</v>
          </cell>
          <cell r="E1296">
            <v>1000</v>
          </cell>
          <cell r="F1296" t="str">
            <v>ZALM</v>
          </cell>
          <cell r="G1296" t="str">
            <v>UN</v>
          </cell>
          <cell r="H1296" t="str">
            <v>DOP</v>
          </cell>
          <cell r="I1296">
            <v>0</v>
          </cell>
          <cell r="J1296">
            <v>0</v>
          </cell>
          <cell r="K1296">
            <v>0</v>
          </cell>
          <cell r="L1296">
            <v>0</v>
          </cell>
          <cell r="M1296">
            <v>0</v>
          </cell>
          <cell r="N1296">
            <v>0</v>
          </cell>
          <cell r="O1296">
            <v>0</v>
          </cell>
          <cell r="P1296">
            <v>0</v>
          </cell>
          <cell r="Q1296">
            <v>0</v>
          </cell>
          <cell r="R1296">
            <v>0</v>
          </cell>
          <cell r="S1296">
            <v>0</v>
          </cell>
          <cell r="T1296">
            <v>0</v>
          </cell>
          <cell r="U1296" t="e">
            <v>#N/A</v>
          </cell>
        </row>
        <row r="1297">
          <cell r="A1297">
            <v>1001291</v>
          </cell>
          <cell r="B1297" t="str">
            <v>Tilla Retenc Ojal Cerrado 5/8" DTR</v>
          </cell>
          <cell r="D1297">
            <v>5110</v>
          </cell>
          <cell r="E1297">
            <v>1000</v>
          </cell>
          <cell r="F1297" t="str">
            <v>ZALM</v>
          </cell>
          <cell r="G1297" t="str">
            <v>UN</v>
          </cell>
          <cell r="H1297" t="str">
            <v>DOP</v>
          </cell>
          <cell r="I1297">
            <v>6284</v>
          </cell>
          <cell r="J1297">
            <v>220166.98</v>
          </cell>
          <cell r="K1297">
            <v>0</v>
          </cell>
          <cell r="L1297">
            <v>0</v>
          </cell>
          <cell r="M1297">
            <v>0</v>
          </cell>
          <cell r="N1297">
            <v>0</v>
          </cell>
          <cell r="O1297">
            <v>0</v>
          </cell>
          <cell r="P1297">
            <v>0</v>
          </cell>
          <cell r="Q1297">
            <v>121</v>
          </cell>
          <cell r="R1297">
            <v>4239.37</v>
          </cell>
          <cell r="S1297">
            <v>6405</v>
          </cell>
          <cell r="T1297">
            <v>224406.35</v>
          </cell>
          <cell r="U1297">
            <v>35.0361202185792</v>
          </cell>
        </row>
        <row r="1298">
          <cell r="A1298">
            <v>1001292</v>
          </cell>
          <cell r="B1298" t="str">
            <v>Tilla Suspens Ojal Espiralado 5/8" DTS</v>
          </cell>
          <cell r="D1298">
            <v>5110</v>
          </cell>
          <cell r="E1298">
            <v>1000</v>
          </cell>
          <cell r="F1298" t="str">
            <v>ZALM</v>
          </cell>
          <cell r="G1298" t="str">
            <v>UN</v>
          </cell>
          <cell r="H1298" t="str">
            <v>DOP</v>
          </cell>
          <cell r="I1298">
            <v>20046</v>
          </cell>
          <cell r="J1298">
            <v>718957.21</v>
          </cell>
          <cell r="K1298">
            <v>0</v>
          </cell>
          <cell r="L1298">
            <v>0</v>
          </cell>
          <cell r="M1298">
            <v>0</v>
          </cell>
          <cell r="N1298">
            <v>0</v>
          </cell>
          <cell r="O1298">
            <v>0</v>
          </cell>
          <cell r="P1298">
            <v>0</v>
          </cell>
          <cell r="Q1298">
            <v>0</v>
          </cell>
          <cell r="R1298">
            <v>0</v>
          </cell>
          <cell r="S1298">
            <v>20046</v>
          </cell>
          <cell r="T1298">
            <v>718957.21</v>
          </cell>
          <cell r="U1298">
            <v>35.865370148658101</v>
          </cell>
        </row>
        <row r="1299">
          <cell r="A1299">
            <v>1001293</v>
          </cell>
          <cell r="B1299" t="str">
            <v>Tuberia Galvanizada de 4"</v>
          </cell>
          <cell r="D1299">
            <v>5110</v>
          </cell>
          <cell r="E1299">
            <v>1000</v>
          </cell>
          <cell r="F1299" t="str">
            <v>ZALM</v>
          </cell>
          <cell r="G1299" t="str">
            <v>UN</v>
          </cell>
          <cell r="H1299" t="str">
            <v>DOP</v>
          </cell>
          <cell r="I1299">
            <v>0</v>
          </cell>
          <cell r="J1299">
            <v>0</v>
          </cell>
          <cell r="K1299">
            <v>0</v>
          </cell>
          <cell r="L1299">
            <v>0</v>
          </cell>
          <cell r="M1299">
            <v>0</v>
          </cell>
          <cell r="N1299">
            <v>0</v>
          </cell>
          <cell r="O1299">
            <v>0</v>
          </cell>
          <cell r="P1299">
            <v>0</v>
          </cell>
          <cell r="Q1299">
            <v>0</v>
          </cell>
          <cell r="R1299">
            <v>0</v>
          </cell>
          <cell r="S1299">
            <v>0</v>
          </cell>
          <cell r="T1299">
            <v>0</v>
          </cell>
          <cell r="U1299" t="e">
            <v>#N/A</v>
          </cell>
        </row>
        <row r="1300">
          <cell r="A1300">
            <v>1001294</v>
          </cell>
          <cell r="B1300" t="str">
            <v>Tuberia Liquid Tight de 1/2"</v>
          </cell>
          <cell r="D1300">
            <v>5110</v>
          </cell>
          <cell r="E1300">
            <v>1000</v>
          </cell>
          <cell r="F1300" t="str">
            <v>ZALM</v>
          </cell>
          <cell r="G1300" t="str">
            <v>M</v>
          </cell>
          <cell r="H1300" t="str">
            <v>DOP</v>
          </cell>
          <cell r="I1300">
            <v>0</v>
          </cell>
          <cell r="J1300">
            <v>0</v>
          </cell>
          <cell r="K1300">
            <v>0</v>
          </cell>
          <cell r="L1300">
            <v>0</v>
          </cell>
          <cell r="M1300">
            <v>0</v>
          </cell>
          <cell r="N1300">
            <v>0</v>
          </cell>
          <cell r="O1300">
            <v>0</v>
          </cell>
          <cell r="P1300">
            <v>0</v>
          </cell>
          <cell r="Q1300">
            <v>0</v>
          </cell>
          <cell r="R1300">
            <v>0</v>
          </cell>
          <cell r="S1300">
            <v>0</v>
          </cell>
          <cell r="T1300">
            <v>0</v>
          </cell>
          <cell r="U1300" t="e">
            <v>#N/A</v>
          </cell>
        </row>
        <row r="1301">
          <cell r="A1301">
            <v>1001295</v>
          </cell>
          <cell r="B1301" t="str">
            <v>Tuberia Liquid Tight de 3"</v>
          </cell>
          <cell r="D1301">
            <v>5110</v>
          </cell>
          <cell r="E1301">
            <v>1000</v>
          </cell>
          <cell r="F1301" t="str">
            <v>ZALM</v>
          </cell>
          <cell r="G1301" t="str">
            <v>M</v>
          </cell>
          <cell r="H1301" t="str">
            <v>DOP</v>
          </cell>
          <cell r="I1301">
            <v>0</v>
          </cell>
          <cell r="J1301">
            <v>0</v>
          </cell>
          <cell r="K1301">
            <v>0</v>
          </cell>
          <cell r="L1301">
            <v>0</v>
          </cell>
          <cell r="M1301">
            <v>0</v>
          </cell>
          <cell r="N1301">
            <v>0</v>
          </cell>
          <cell r="O1301">
            <v>0</v>
          </cell>
          <cell r="P1301">
            <v>0</v>
          </cell>
          <cell r="Q1301">
            <v>0</v>
          </cell>
          <cell r="R1301">
            <v>0</v>
          </cell>
          <cell r="S1301">
            <v>0</v>
          </cell>
          <cell r="T1301">
            <v>0</v>
          </cell>
          <cell r="U1301" t="e">
            <v>#N/A</v>
          </cell>
        </row>
        <row r="1302">
          <cell r="A1302">
            <v>1001296</v>
          </cell>
          <cell r="B1302" t="str">
            <v>Tubo Anclaje 1"x10' Sched 80</v>
          </cell>
          <cell r="D1302">
            <v>5110</v>
          </cell>
          <cell r="E1302">
            <v>1000</v>
          </cell>
          <cell r="F1302" t="str">
            <v>ZALM</v>
          </cell>
          <cell r="G1302" t="str">
            <v>UN</v>
          </cell>
          <cell r="H1302" t="str">
            <v>DOP</v>
          </cell>
          <cell r="I1302">
            <v>0</v>
          </cell>
          <cell r="J1302">
            <v>0</v>
          </cell>
          <cell r="K1302">
            <v>0</v>
          </cell>
          <cell r="L1302">
            <v>0</v>
          </cell>
          <cell r="M1302">
            <v>0</v>
          </cell>
          <cell r="N1302">
            <v>0</v>
          </cell>
          <cell r="O1302">
            <v>0</v>
          </cell>
          <cell r="P1302">
            <v>0</v>
          </cell>
          <cell r="Q1302">
            <v>0</v>
          </cell>
          <cell r="R1302">
            <v>0</v>
          </cell>
          <cell r="S1302">
            <v>0</v>
          </cell>
          <cell r="T1302">
            <v>0</v>
          </cell>
          <cell r="U1302" t="e">
            <v>#N/A</v>
          </cell>
        </row>
        <row r="1303">
          <cell r="A1303">
            <v>1001297</v>
          </cell>
          <cell r="B1303" t="str">
            <v>Tubo Anclaje 2 1/2"x10"</v>
          </cell>
          <cell r="D1303">
            <v>5110</v>
          </cell>
          <cell r="E1303">
            <v>1000</v>
          </cell>
          <cell r="F1303" t="str">
            <v>ZALM</v>
          </cell>
          <cell r="G1303" t="str">
            <v>UN</v>
          </cell>
          <cell r="H1303" t="str">
            <v>DOP</v>
          </cell>
          <cell r="I1303">
            <v>0</v>
          </cell>
          <cell r="J1303">
            <v>0</v>
          </cell>
          <cell r="K1303">
            <v>0</v>
          </cell>
          <cell r="L1303">
            <v>0</v>
          </cell>
          <cell r="M1303">
            <v>0</v>
          </cell>
          <cell r="N1303">
            <v>0</v>
          </cell>
          <cell r="O1303">
            <v>0</v>
          </cell>
          <cell r="P1303">
            <v>0</v>
          </cell>
          <cell r="Q1303">
            <v>0</v>
          </cell>
          <cell r="R1303">
            <v>0</v>
          </cell>
          <cell r="S1303">
            <v>0</v>
          </cell>
          <cell r="T1303">
            <v>0</v>
          </cell>
          <cell r="U1303" t="e">
            <v>#N/A</v>
          </cell>
        </row>
        <row r="1304">
          <cell r="A1304">
            <v>1001298</v>
          </cell>
          <cell r="B1304" t="str">
            <v>Tubo Anclaje 2"x10' Sched 80</v>
          </cell>
          <cell r="D1304">
            <v>5110</v>
          </cell>
          <cell r="E1304">
            <v>1000</v>
          </cell>
          <cell r="F1304" t="str">
            <v>ZALM</v>
          </cell>
          <cell r="G1304" t="str">
            <v>UN</v>
          </cell>
          <cell r="H1304" t="str">
            <v>DOP</v>
          </cell>
          <cell r="I1304">
            <v>587</v>
          </cell>
          <cell r="J1304">
            <v>313621.28999999998</v>
          </cell>
          <cell r="K1304">
            <v>0</v>
          </cell>
          <cell r="L1304">
            <v>0</v>
          </cell>
          <cell r="M1304">
            <v>0</v>
          </cell>
          <cell r="N1304">
            <v>0</v>
          </cell>
          <cell r="O1304">
            <v>0</v>
          </cell>
          <cell r="P1304">
            <v>0</v>
          </cell>
          <cell r="Q1304">
            <v>0</v>
          </cell>
          <cell r="R1304">
            <v>0</v>
          </cell>
          <cell r="S1304">
            <v>587</v>
          </cell>
          <cell r="T1304">
            <v>313621.28999999998</v>
          </cell>
          <cell r="U1304">
            <v>534.27817717206096</v>
          </cell>
        </row>
        <row r="1305">
          <cell r="A1305">
            <v>1001299</v>
          </cell>
          <cell r="B1305" t="str">
            <v>Tubo BMX 1"</v>
          </cell>
          <cell r="D1305">
            <v>5110</v>
          </cell>
          <cell r="E1305">
            <v>1000</v>
          </cell>
          <cell r="F1305" t="str">
            <v>ZALM</v>
          </cell>
          <cell r="G1305" t="str">
            <v>UN</v>
          </cell>
          <cell r="H1305" t="str">
            <v>DOP</v>
          </cell>
          <cell r="I1305">
            <v>0</v>
          </cell>
          <cell r="J1305">
            <v>0</v>
          </cell>
          <cell r="K1305">
            <v>0</v>
          </cell>
          <cell r="L1305">
            <v>0</v>
          </cell>
          <cell r="M1305">
            <v>0</v>
          </cell>
          <cell r="N1305">
            <v>0</v>
          </cell>
          <cell r="O1305">
            <v>0</v>
          </cell>
          <cell r="P1305">
            <v>0</v>
          </cell>
          <cell r="Q1305">
            <v>0</v>
          </cell>
          <cell r="R1305">
            <v>0</v>
          </cell>
          <cell r="S1305">
            <v>0</v>
          </cell>
          <cell r="T1305">
            <v>0</v>
          </cell>
          <cell r="U1305" t="e">
            <v>#N/A</v>
          </cell>
        </row>
        <row r="1306">
          <cell r="A1306">
            <v>1001300</v>
          </cell>
          <cell r="B1306" t="str">
            <v>Tubo Cuadr Acer Galv 1"x1"x1/16" 20'</v>
          </cell>
          <cell r="D1306">
            <v>5110</v>
          </cell>
          <cell r="E1306">
            <v>1000</v>
          </cell>
          <cell r="F1306" t="str">
            <v>ZALM</v>
          </cell>
          <cell r="G1306" t="str">
            <v>UN</v>
          </cell>
          <cell r="H1306" t="str">
            <v>DOP</v>
          </cell>
          <cell r="I1306">
            <v>0</v>
          </cell>
          <cell r="J1306">
            <v>0</v>
          </cell>
          <cell r="K1306">
            <v>0</v>
          </cell>
          <cell r="L1306">
            <v>0</v>
          </cell>
          <cell r="M1306">
            <v>0</v>
          </cell>
          <cell r="N1306">
            <v>0</v>
          </cell>
          <cell r="O1306">
            <v>0</v>
          </cell>
          <cell r="P1306">
            <v>0</v>
          </cell>
          <cell r="Q1306">
            <v>53</v>
          </cell>
          <cell r="R1306">
            <v>25206.799999999999</v>
          </cell>
          <cell r="S1306">
            <v>53</v>
          </cell>
          <cell r="T1306">
            <v>25206.799999999999</v>
          </cell>
          <cell r="U1306">
            <v>475.6</v>
          </cell>
        </row>
        <row r="1307">
          <cell r="A1307">
            <v>1001301</v>
          </cell>
          <cell r="B1307" t="str">
            <v>Tubo EMT 1 1/2"x10'</v>
          </cell>
          <cell r="D1307">
            <v>5110</v>
          </cell>
          <cell r="E1307">
            <v>1000</v>
          </cell>
          <cell r="F1307" t="str">
            <v>ZALM</v>
          </cell>
          <cell r="G1307" t="str">
            <v>UN</v>
          </cell>
          <cell r="H1307" t="str">
            <v>DOP</v>
          </cell>
          <cell r="I1307">
            <v>0</v>
          </cell>
          <cell r="J1307">
            <v>0</v>
          </cell>
          <cell r="K1307">
            <v>0</v>
          </cell>
          <cell r="L1307">
            <v>0</v>
          </cell>
          <cell r="M1307">
            <v>0</v>
          </cell>
          <cell r="N1307">
            <v>0</v>
          </cell>
          <cell r="O1307">
            <v>0</v>
          </cell>
          <cell r="P1307">
            <v>0</v>
          </cell>
          <cell r="Q1307">
            <v>0</v>
          </cell>
          <cell r="R1307">
            <v>0</v>
          </cell>
          <cell r="S1307">
            <v>0</v>
          </cell>
          <cell r="T1307">
            <v>0</v>
          </cell>
          <cell r="U1307" t="e">
            <v>#N/A</v>
          </cell>
        </row>
        <row r="1308">
          <cell r="A1308">
            <v>1001302</v>
          </cell>
          <cell r="B1308" t="str">
            <v>Tubo EMT 4"</v>
          </cell>
          <cell r="D1308">
            <v>5110</v>
          </cell>
          <cell r="E1308">
            <v>1000</v>
          </cell>
          <cell r="F1308" t="str">
            <v>ZALM</v>
          </cell>
          <cell r="G1308" t="str">
            <v>UN</v>
          </cell>
          <cell r="H1308" t="str">
            <v>DOP</v>
          </cell>
          <cell r="I1308">
            <v>0</v>
          </cell>
          <cell r="J1308">
            <v>0</v>
          </cell>
          <cell r="K1308">
            <v>0</v>
          </cell>
          <cell r="L1308">
            <v>0</v>
          </cell>
          <cell r="M1308">
            <v>0</v>
          </cell>
          <cell r="N1308">
            <v>0</v>
          </cell>
          <cell r="O1308">
            <v>0</v>
          </cell>
          <cell r="P1308">
            <v>0</v>
          </cell>
          <cell r="Q1308">
            <v>0</v>
          </cell>
          <cell r="R1308">
            <v>0</v>
          </cell>
          <cell r="S1308">
            <v>0</v>
          </cell>
          <cell r="T1308">
            <v>0</v>
          </cell>
          <cell r="U1308" t="e">
            <v>#N/A</v>
          </cell>
        </row>
        <row r="1309">
          <cell r="A1309">
            <v>1001303</v>
          </cell>
          <cell r="B1309" t="str">
            <v>Tubo Galv 1"x10'</v>
          </cell>
          <cell r="D1309">
            <v>5110</v>
          </cell>
          <cell r="E1309">
            <v>1000</v>
          </cell>
          <cell r="F1309" t="str">
            <v>ZALM</v>
          </cell>
          <cell r="G1309" t="str">
            <v>UN</v>
          </cell>
          <cell r="H1309" t="str">
            <v>DOP</v>
          </cell>
          <cell r="I1309">
            <v>171</v>
          </cell>
          <cell r="J1309">
            <v>2069.1</v>
          </cell>
          <cell r="K1309">
            <v>0</v>
          </cell>
          <cell r="L1309">
            <v>0</v>
          </cell>
          <cell r="M1309">
            <v>0</v>
          </cell>
          <cell r="N1309">
            <v>0</v>
          </cell>
          <cell r="O1309">
            <v>0</v>
          </cell>
          <cell r="P1309">
            <v>0</v>
          </cell>
          <cell r="Q1309">
            <v>0</v>
          </cell>
          <cell r="R1309">
            <v>0</v>
          </cell>
          <cell r="S1309">
            <v>171</v>
          </cell>
          <cell r="T1309">
            <v>2069.1</v>
          </cell>
          <cell r="U1309">
            <v>12.1</v>
          </cell>
        </row>
        <row r="1310">
          <cell r="A1310">
            <v>1001304</v>
          </cell>
          <cell r="B1310" t="str">
            <v>Tubo Galv 1"x20'</v>
          </cell>
          <cell r="D1310">
            <v>5110</v>
          </cell>
          <cell r="E1310">
            <v>1000</v>
          </cell>
          <cell r="F1310" t="str">
            <v>ZALM</v>
          </cell>
          <cell r="G1310" t="str">
            <v>UN</v>
          </cell>
          <cell r="H1310" t="str">
            <v>DOP</v>
          </cell>
          <cell r="I1310">
            <v>0</v>
          </cell>
          <cell r="J1310">
            <v>0</v>
          </cell>
          <cell r="K1310">
            <v>0</v>
          </cell>
          <cell r="L1310">
            <v>0</v>
          </cell>
          <cell r="M1310">
            <v>0</v>
          </cell>
          <cell r="N1310">
            <v>0</v>
          </cell>
          <cell r="O1310">
            <v>0</v>
          </cell>
          <cell r="P1310">
            <v>0</v>
          </cell>
          <cell r="Q1310">
            <v>0</v>
          </cell>
          <cell r="R1310">
            <v>0</v>
          </cell>
          <cell r="S1310">
            <v>0</v>
          </cell>
          <cell r="T1310">
            <v>0</v>
          </cell>
          <cell r="U1310" t="e">
            <v>#N/A</v>
          </cell>
        </row>
        <row r="1311">
          <cell r="A1311">
            <v>1001305</v>
          </cell>
          <cell r="B1311" t="str">
            <v>Tubo Galv 2"x20'</v>
          </cell>
          <cell r="D1311">
            <v>5110</v>
          </cell>
          <cell r="E1311">
            <v>1000</v>
          </cell>
          <cell r="F1311" t="str">
            <v>ZALM</v>
          </cell>
          <cell r="G1311" t="str">
            <v>UN</v>
          </cell>
          <cell r="H1311" t="str">
            <v>DOP</v>
          </cell>
          <cell r="I1311">
            <v>4</v>
          </cell>
          <cell r="J1311">
            <v>2854.66</v>
          </cell>
          <cell r="K1311">
            <v>0</v>
          </cell>
          <cell r="L1311">
            <v>0</v>
          </cell>
          <cell r="M1311">
            <v>5</v>
          </cell>
          <cell r="N1311">
            <v>3568.32</v>
          </cell>
          <cell r="O1311">
            <v>0</v>
          </cell>
          <cell r="P1311">
            <v>0</v>
          </cell>
          <cell r="Q1311">
            <v>0</v>
          </cell>
          <cell r="R1311">
            <v>0</v>
          </cell>
          <cell r="S1311">
            <v>9</v>
          </cell>
          <cell r="T1311">
            <v>6422.98</v>
          </cell>
          <cell r="U1311">
            <v>713.66444444444403</v>
          </cell>
        </row>
        <row r="1312">
          <cell r="A1312">
            <v>1001306</v>
          </cell>
          <cell r="B1312" t="str">
            <v>Tubo Galv 3"x20'</v>
          </cell>
          <cell r="D1312">
            <v>5110</v>
          </cell>
          <cell r="E1312">
            <v>1000</v>
          </cell>
          <cell r="F1312" t="str">
            <v>ZALM</v>
          </cell>
          <cell r="G1312" t="str">
            <v>UN</v>
          </cell>
          <cell r="H1312" t="str">
            <v>DOP</v>
          </cell>
          <cell r="I1312">
            <v>0</v>
          </cell>
          <cell r="J1312">
            <v>0</v>
          </cell>
          <cell r="K1312">
            <v>0</v>
          </cell>
          <cell r="L1312">
            <v>0</v>
          </cell>
          <cell r="M1312">
            <v>0</v>
          </cell>
          <cell r="N1312">
            <v>0</v>
          </cell>
          <cell r="O1312">
            <v>0</v>
          </cell>
          <cell r="P1312">
            <v>0</v>
          </cell>
          <cell r="Q1312">
            <v>0</v>
          </cell>
          <cell r="R1312">
            <v>0</v>
          </cell>
          <cell r="S1312">
            <v>0</v>
          </cell>
          <cell r="T1312">
            <v>0</v>
          </cell>
          <cell r="U1312" t="e">
            <v>#N/A</v>
          </cell>
        </row>
        <row r="1313">
          <cell r="A1313">
            <v>1001307</v>
          </cell>
          <cell r="B1313" t="str">
            <v>Tubo Hierro Galv 2 1/2"x20'</v>
          </cell>
          <cell r="D1313">
            <v>5110</v>
          </cell>
          <cell r="E1313">
            <v>1000</v>
          </cell>
          <cell r="F1313" t="str">
            <v>ZALM</v>
          </cell>
          <cell r="G1313" t="str">
            <v>UN</v>
          </cell>
          <cell r="H1313" t="str">
            <v>DOP</v>
          </cell>
          <cell r="I1313">
            <v>721</v>
          </cell>
          <cell r="J1313">
            <v>738880.8</v>
          </cell>
          <cell r="K1313">
            <v>0</v>
          </cell>
          <cell r="L1313">
            <v>0</v>
          </cell>
          <cell r="M1313">
            <v>0</v>
          </cell>
          <cell r="N1313">
            <v>0</v>
          </cell>
          <cell r="O1313">
            <v>0</v>
          </cell>
          <cell r="P1313">
            <v>0</v>
          </cell>
          <cell r="Q1313">
            <v>0</v>
          </cell>
          <cell r="R1313">
            <v>0</v>
          </cell>
          <cell r="S1313">
            <v>721</v>
          </cell>
          <cell r="T1313">
            <v>738880.8</v>
          </cell>
          <cell r="U1313">
            <v>1024.8</v>
          </cell>
        </row>
        <row r="1314">
          <cell r="A1314">
            <v>1001308</v>
          </cell>
          <cell r="B1314" t="str">
            <v>Tubo Liquid Tight 1"</v>
          </cell>
          <cell r="D1314">
            <v>5110</v>
          </cell>
          <cell r="E1314">
            <v>1000</v>
          </cell>
          <cell r="F1314" t="str">
            <v>ZALM</v>
          </cell>
          <cell r="G1314" t="str">
            <v>M</v>
          </cell>
          <cell r="H1314" t="str">
            <v>DOP</v>
          </cell>
          <cell r="I1314">
            <v>7095</v>
          </cell>
          <cell r="J1314">
            <v>806559.6</v>
          </cell>
          <cell r="K1314">
            <v>0</v>
          </cell>
          <cell r="L1314">
            <v>0</v>
          </cell>
          <cell r="M1314">
            <v>0</v>
          </cell>
          <cell r="N1314">
            <v>0</v>
          </cell>
          <cell r="O1314">
            <v>0</v>
          </cell>
          <cell r="P1314">
            <v>0</v>
          </cell>
          <cell r="Q1314">
            <v>0</v>
          </cell>
          <cell r="R1314">
            <v>0</v>
          </cell>
          <cell r="S1314">
            <v>7095</v>
          </cell>
          <cell r="T1314">
            <v>806559.6</v>
          </cell>
          <cell r="U1314">
            <v>113.68</v>
          </cell>
        </row>
        <row r="1315">
          <cell r="A1315">
            <v>1001309</v>
          </cell>
          <cell r="B1315" t="str">
            <v>Tubo Liquid Tight 2"</v>
          </cell>
          <cell r="D1315">
            <v>5110</v>
          </cell>
          <cell r="E1315">
            <v>1000</v>
          </cell>
          <cell r="F1315" t="str">
            <v>ZALM</v>
          </cell>
          <cell r="G1315" t="str">
            <v>UN</v>
          </cell>
          <cell r="H1315" t="str">
            <v>DOP</v>
          </cell>
          <cell r="I1315">
            <v>106</v>
          </cell>
          <cell r="J1315">
            <v>11804.16</v>
          </cell>
          <cell r="K1315">
            <v>0</v>
          </cell>
          <cell r="L1315">
            <v>0</v>
          </cell>
          <cell r="M1315">
            <v>0</v>
          </cell>
          <cell r="N1315">
            <v>0</v>
          </cell>
          <cell r="O1315">
            <v>0</v>
          </cell>
          <cell r="P1315">
            <v>0</v>
          </cell>
          <cell r="Q1315">
            <v>0</v>
          </cell>
          <cell r="R1315">
            <v>0</v>
          </cell>
          <cell r="S1315">
            <v>106</v>
          </cell>
          <cell r="T1315">
            <v>11804.16</v>
          </cell>
          <cell r="U1315">
            <v>111.36</v>
          </cell>
        </row>
        <row r="1316">
          <cell r="A1316">
            <v>1001310</v>
          </cell>
          <cell r="B1316" t="str">
            <v>Varilla de Anclaje 1"x10'</v>
          </cell>
          <cell r="D1316">
            <v>5110</v>
          </cell>
          <cell r="E1316">
            <v>1000</v>
          </cell>
          <cell r="F1316" t="str">
            <v>ZALM</v>
          </cell>
          <cell r="G1316" t="str">
            <v>UN</v>
          </cell>
          <cell r="H1316" t="str">
            <v>DOP</v>
          </cell>
          <cell r="I1316">
            <v>0</v>
          </cell>
          <cell r="J1316">
            <v>0</v>
          </cell>
          <cell r="K1316">
            <v>0</v>
          </cell>
          <cell r="L1316">
            <v>0</v>
          </cell>
          <cell r="M1316">
            <v>0</v>
          </cell>
          <cell r="N1316">
            <v>0</v>
          </cell>
          <cell r="O1316">
            <v>0</v>
          </cell>
          <cell r="P1316">
            <v>0</v>
          </cell>
          <cell r="Q1316">
            <v>0</v>
          </cell>
          <cell r="R1316">
            <v>0</v>
          </cell>
          <cell r="S1316">
            <v>0</v>
          </cell>
          <cell r="T1316">
            <v>0</v>
          </cell>
          <cell r="U1316" t="e">
            <v>#N/A</v>
          </cell>
        </row>
        <row r="1317">
          <cell r="A1317">
            <v>1001311</v>
          </cell>
          <cell r="B1317" t="str">
            <v>Varilla de Anclaje Doble Ojo 3/4"x8'</v>
          </cell>
          <cell r="D1317">
            <v>5110</v>
          </cell>
          <cell r="E1317">
            <v>1000</v>
          </cell>
          <cell r="F1317" t="str">
            <v>ZALM</v>
          </cell>
          <cell r="G1317" t="str">
            <v>UN</v>
          </cell>
          <cell r="H1317" t="str">
            <v>DOP</v>
          </cell>
          <cell r="I1317">
            <v>343</v>
          </cell>
          <cell r="J1317">
            <v>267809.82</v>
          </cell>
          <cell r="K1317">
            <v>0</v>
          </cell>
          <cell r="L1317">
            <v>0</v>
          </cell>
          <cell r="M1317">
            <v>120</v>
          </cell>
          <cell r="N1317">
            <v>93694.399999999994</v>
          </cell>
          <cell r="O1317">
            <v>0</v>
          </cell>
          <cell r="P1317">
            <v>0</v>
          </cell>
          <cell r="Q1317">
            <v>47</v>
          </cell>
          <cell r="R1317">
            <v>36696.97</v>
          </cell>
          <cell r="S1317">
            <v>510</v>
          </cell>
          <cell r="T1317">
            <v>398201.19</v>
          </cell>
          <cell r="U1317">
            <v>780.78664705882295</v>
          </cell>
        </row>
        <row r="1318">
          <cell r="A1318">
            <v>1001312</v>
          </cell>
          <cell r="B1318" t="str">
            <v>Varilla de Anclaje Un Ojo 5/8"x8'</v>
          </cell>
          <cell r="D1318">
            <v>5110</v>
          </cell>
          <cell r="E1318">
            <v>1000</v>
          </cell>
          <cell r="F1318" t="str">
            <v>ZALM</v>
          </cell>
          <cell r="G1318" t="str">
            <v>UN</v>
          </cell>
          <cell r="H1318" t="str">
            <v>DOP</v>
          </cell>
          <cell r="I1318">
            <v>266</v>
          </cell>
          <cell r="J1318">
            <v>122844.67</v>
          </cell>
          <cell r="K1318">
            <v>0</v>
          </cell>
          <cell r="L1318">
            <v>0</v>
          </cell>
          <cell r="M1318">
            <v>0</v>
          </cell>
          <cell r="N1318">
            <v>0</v>
          </cell>
          <cell r="O1318">
            <v>0</v>
          </cell>
          <cell r="P1318">
            <v>0</v>
          </cell>
          <cell r="Q1318">
            <v>454</v>
          </cell>
          <cell r="R1318">
            <v>209667.23</v>
          </cell>
          <cell r="S1318">
            <v>720</v>
          </cell>
          <cell r="T1318">
            <v>332511.90000000002</v>
          </cell>
          <cell r="U1318">
            <v>461.82208333333301</v>
          </cell>
        </row>
        <row r="1319">
          <cell r="A1319">
            <v>1001313</v>
          </cell>
          <cell r="B1319" t="str">
            <v>Varilla de Aterrizaje 5/8"x6'</v>
          </cell>
          <cell r="D1319">
            <v>5110</v>
          </cell>
          <cell r="E1319">
            <v>1000</v>
          </cell>
          <cell r="F1319" t="str">
            <v>ZALM</v>
          </cell>
          <cell r="G1319" t="str">
            <v>UN</v>
          </cell>
          <cell r="H1319" t="str">
            <v>DOP</v>
          </cell>
          <cell r="I1319">
            <v>0</v>
          </cell>
          <cell r="J1319">
            <v>0</v>
          </cell>
          <cell r="K1319">
            <v>0</v>
          </cell>
          <cell r="L1319">
            <v>0</v>
          </cell>
          <cell r="M1319">
            <v>0</v>
          </cell>
          <cell r="N1319">
            <v>0</v>
          </cell>
          <cell r="O1319">
            <v>0</v>
          </cell>
          <cell r="P1319">
            <v>0</v>
          </cell>
          <cell r="Q1319">
            <v>0</v>
          </cell>
          <cell r="R1319">
            <v>0</v>
          </cell>
          <cell r="S1319">
            <v>0</v>
          </cell>
          <cell r="T1319">
            <v>0</v>
          </cell>
          <cell r="U1319" t="e">
            <v>#N/A</v>
          </cell>
        </row>
        <row r="1320">
          <cell r="A1320">
            <v>1001314</v>
          </cell>
          <cell r="B1320" t="str">
            <v>Varilla de Aterrizaje Cobre 5/8"x8'</v>
          </cell>
          <cell r="D1320">
            <v>5110</v>
          </cell>
          <cell r="E1320">
            <v>1000</v>
          </cell>
          <cell r="F1320" t="str">
            <v>ZALM</v>
          </cell>
          <cell r="G1320" t="str">
            <v>UN</v>
          </cell>
          <cell r="H1320" t="str">
            <v>DOP</v>
          </cell>
          <cell r="I1320">
            <v>16</v>
          </cell>
          <cell r="J1320">
            <v>9812.1299999999992</v>
          </cell>
          <cell r="K1320">
            <v>0</v>
          </cell>
          <cell r="L1320">
            <v>0</v>
          </cell>
          <cell r="M1320">
            <v>218</v>
          </cell>
          <cell r="N1320">
            <v>133690.26999999999</v>
          </cell>
          <cell r="O1320">
            <v>0</v>
          </cell>
          <cell r="P1320">
            <v>0</v>
          </cell>
          <cell r="Q1320">
            <v>35322</v>
          </cell>
          <cell r="R1320">
            <v>21661503.920000002</v>
          </cell>
          <cell r="S1320">
            <v>35556</v>
          </cell>
          <cell r="T1320">
            <v>21805006.32</v>
          </cell>
          <cell r="U1320">
            <v>613.25813702328696</v>
          </cell>
        </row>
        <row r="1321">
          <cell r="A1321">
            <v>1001315</v>
          </cell>
          <cell r="B1321" t="str">
            <v>Varilla de Puesta Tierra 3/4"x8'</v>
          </cell>
          <cell r="D1321">
            <v>5110</v>
          </cell>
          <cell r="E1321">
            <v>1000</v>
          </cell>
          <cell r="F1321" t="str">
            <v>ZALM</v>
          </cell>
          <cell r="G1321" t="str">
            <v>UN</v>
          </cell>
          <cell r="H1321" t="str">
            <v>DOP</v>
          </cell>
          <cell r="I1321">
            <v>323</v>
          </cell>
          <cell r="J1321">
            <v>114112.67</v>
          </cell>
          <cell r="K1321">
            <v>0</v>
          </cell>
          <cell r="L1321">
            <v>0</v>
          </cell>
          <cell r="M1321">
            <v>0</v>
          </cell>
          <cell r="N1321">
            <v>0</v>
          </cell>
          <cell r="O1321">
            <v>0</v>
          </cell>
          <cell r="P1321">
            <v>0</v>
          </cell>
          <cell r="Q1321">
            <v>11</v>
          </cell>
          <cell r="R1321">
            <v>3886.19</v>
          </cell>
          <cell r="S1321">
            <v>334</v>
          </cell>
          <cell r="T1321">
            <v>117998.86</v>
          </cell>
          <cell r="U1321">
            <v>353.29</v>
          </cell>
        </row>
        <row r="1322">
          <cell r="A1322">
            <v>1001316</v>
          </cell>
          <cell r="B1322" t="str">
            <v>Varilla Preformada P/155.4 (2/0)</v>
          </cell>
          <cell r="D1322">
            <v>5110</v>
          </cell>
          <cell r="E1322">
            <v>1000</v>
          </cell>
          <cell r="F1322" t="str">
            <v>ZALM</v>
          </cell>
          <cell r="G1322" t="str">
            <v>UN</v>
          </cell>
          <cell r="H1322" t="str">
            <v>DOP</v>
          </cell>
          <cell r="I1322">
            <v>0</v>
          </cell>
          <cell r="J1322">
            <v>0</v>
          </cell>
          <cell r="K1322">
            <v>0</v>
          </cell>
          <cell r="L1322">
            <v>0</v>
          </cell>
          <cell r="M1322">
            <v>0</v>
          </cell>
          <cell r="N1322">
            <v>0</v>
          </cell>
          <cell r="O1322">
            <v>0</v>
          </cell>
          <cell r="P1322">
            <v>0</v>
          </cell>
          <cell r="Q1322">
            <v>0</v>
          </cell>
          <cell r="R1322">
            <v>0</v>
          </cell>
          <cell r="S1322">
            <v>0</v>
          </cell>
          <cell r="T1322">
            <v>0</v>
          </cell>
          <cell r="U1322" t="e">
            <v>#N/A</v>
          </cell>
        </row>
        <row r="1323">
          <cell r="A1323">
            <v>1001317</v>
          </cell>
          <cell r="B1323" t="str">
            <v>Varilla Preformada P/246.8 (4/0)</v>
          </cell>
          <cell r="D1323">
            <v>5110</v>
          </cell>
          <cell r="E1323">
            <v>1000</v>
          </cell>
          <cell r="F1323" t="str">
            <v>ZALM</v>
          </cell>
          <cell r="G1323" t="str">
            <v>UN</v>
          </cell>
          <cell r="H1323" t="str">
            <v>DOP</v>
          </cell>
          <cell r="I1323">
            <v>0</v>
          </cell>
          <cell r="J1323">
            <v>0</v>
          </cell>
          <cell r="K1323">
            <v>0</v>
          </cell>
          <cell r="L1323">
            <v>0</v>
          </cell>
          <cell r="M1323">
            <v>0</v>
          </cell>
          <cell r="N1323">
            <v>0</v>
          </cell>
          <cell r="O1323">
            <v>0</v>
          </cell>
          <cell r="P1323">
            <v>0</v>
          </cell>
          <cell r="Q1323">
            <v>0</v>
          </cell>
          <cell r="R1323">
            <v>0</v>
          </cell>
          <cell r="S1323">
            <v>0</v>
          </cell>
          <cell r="T1323">
            <v>0</v>
          </cell>
          <cell r="U1323" t="e">
            <v>#N/A</v>
          </cell>
        </row>
        <row r="1324">
          <cell r="A1324">
            <v>1001318</v>
          </cell>
          <cell r="B1324" t="str">
            <v>Varilla Puesta Tierra de Cobre 1/2"x6'</v>
          </cell>
          <cell r="D1324">
            <v>5110</v>
          </cell>
          <cell r="E1324">
            <v>1000</v>
          </cell>
          <cell r="F1324" t="str">
            <v>ZALM</v>
          </cell>
          <cell r="G1324" t="str">
            <v>UN</v>
          </cell>
          <cell r="H1324" t="str">
            <v>DOP</v>
          </cell>
          <cell r="I1324">
            <v>21491</v>
          </cell>
          <cell r="J1324">
            <v>1133976.92</v>
          </cell>
          <cell r="K1324">
            <v>0</v>
          </cell>
          <cell r="L1324">
            <v>0</v>
          </cell>
          <cell r="M1324">
            <v>0</v>
          </cell>
          <cell r="N1324">
            <v>0</v>
          </cell>
          <cell r="O1324">
            <v>0</v>
          </cell>
          <cell r="P1324">
            <v>0</v>
          </cell>
          <cell r="Q1324">
            <v>12</v>
          </cell>
          <cell r="R1324">
            <v>633.17999999999995</v>
          </cell>
          <cell r="S1324">
            <v>21503</v>
          </cell>
          <cell r="T1324">
            <v>1134610.1000000001</v>
          </cell>
          <cell r="U1324">
            <v>52.765200204622602</v>
          </cell>
        </row>
        <row r="1325">
          <cell r="A1325">
            <v>1001319</v>
          </cell>
          <cell r="B1325" t="str">
            <v>Varilla Puesta Tierra de Cobre 5/8"x8'</v>
          </cell>
          <cell r="D1325">
            <v>5110</v>
          </cell>
          <cell r="E1325">
            <v>1000</v>
          </cell>
          <cell r="F1325" t="str">
            <v>ZALM</v>
          </cell>
          <cell r="G1325" t="str">
            <v>UN</v>
          </cell>
          <cell r="H1325" t="str">
            <v>DOP</v>
          </cell>
          <cell r="I1325">
            <v>0</v>
          </cell>
          <cell r="J1325">
            <v>0</v>
          </cell>
          <cell r="K1325">
            <v>0</v>
          </cell>
          <cell r="L1325">
            <v>0</v>
          </cell>
          <cell r="M1325">
            <v>0</v>
          </cell>
          <cell r="N1325">
            <v>0</v>
          </cell>
          <cell r="O1325">
            <v>0</v>
          </cell>
          <cell r="P1325">
            <v>0</v>
          </cell>
          <cell r="Q1325">
            <v>0</v>
          </cell>
          <cell r="R1325">
            <v>0</v>
          </cell>
          <cell r="S1325">
            <v>0</v>
          </cell>
          <cell r="T1325">
            <v>0</v>
          </cell>
          <cell r="U1325" t="e">
            <v>#N/A</v>
          </cell>
        </row>
        <row r="1326">
          <cell r="A1326">
            <v>1001320</v>
          </cell>
          <cell r="B1326" t="str">
            <v>Varilla Puesta Tierra Galv 1/2"x 6'</v>
          </cell>
          <cell r="D1326">
            <v>5110</v>
          </cell>
          <cell r="E1326">
            <v>1000</v>
          </cell>
          <cell r="F1326" t="str">
            <v>ZALM</v>
          </cell>
          <cell r="G1326" t="str">
            <v>UN</v>
          </cell>
          <cell r="H1326" t="str">
            <v>DOP</v>
          </cell>
          <cell r="I1326">
            <v>1818</v>
          </cell>
          <cell r="J1326">
            <v>468828.68</v>
          </cell>
          <cell r="K1326">
            <v>0</v>
          </cell>
          <cell r="L1326">
            <v>0</v>
          </cell>
          <cell r="M1326">
            <v>0</v>
          </cell>
          <cell r="N1326">
            <v>0</v>
          </cell>
          <cell r="O1326">
            <v>0</v>
          </cell>
          <cell r="P1326">
            <v>0</v>
          </cell>
          <cell r="Q1326">
            <v>0</v>
          </cell>
          <cell r="R1326">
            <v>0</v>
          </cell>
          <cell r="S1326">
            <v>1818</v>
          </cell>
          <cell r="T1326">
            <v>468828.68</v>
          </cell>
          <cell r="U1326">
            <v>257.88156215621598</v>
          </cell>
        </row>
        <row r="1327">
          <cell r="A1327">
            <v>1001321</v>
          </cell>
          <cell r="B1327" t="str">
            <v>Varilla Roscada 3/4"x6'</v>
          </cell>
          <cell r="D1327">
            <v>5110</v>
          </cell>
          <cell r="E1327">
            <v>1000</v>
          </cell>
          <cell r="F1327" t="str">
            <v>ZALM</v>
          </cell>
          <cell r="G1327" t="str">
            <v>UN</v>
          </cell>
          <cell r="H1327" t="str">
            <v>DOP</v>
          </cell>
          <cell r="I1327">
            <v>0</v>
          </cell>
          <cell r="J1327">
            <v>0</v>
          </cell>
          <cell r="K1327">
            <v>0</v>
          </cell>
          <cell r="L1327">
            <v>0</v>
          </cell>
          <cell r="M1327">
            <v>0</v>
          </cell>
          <cell r="N1327">
            <v>0</v>
          </cell>
          <cell r="O1327">
            <v>0</v>
          </cell>
          <cell r="P1327">
            <v>0</v>
          </cell>
          <cell r="Q1327">
            <v>0</v>
          </cell>
          <cell r="R1327">
            <v>0</v>
          </cell>
          <cell r="S1327">
            <v>0</v>
          </cell>
          <cell r="T1327">
            <v>0</v>
          </cell>
          <cell r="U1327" t="e">
            <v>#N/A</v>
          </cell>
        </row>
        <row r="1328">
          <cell r="A1328">
            <v>1001322</v>
          </cell>
          <cell r="B1328" t="str">
            <v>Alicate 9 1/4" 235mm Univ Aisl 1000V</v>
          </cell>
          <cell r="D1328">
            <v>7201</v>
          </cell>
          <cell r="E1328">
            <v>1000</v>
          </cell>
          <cell r="F1328" t="str">
            <v>ZALM</v>
          </cell>
          <cell r="G1328" t="str">
            <v>UN</v>
          </cell>
          <cell r="H1328" t="str">
            <v>DOP</v>
          </cell>
          <cell r="I1328">
            <v>0</v>
          </cell>
          <cell r="J1328">
            <v>0</v>
          </cell>
          <cell r="K1328">
            <v>0</v>
          </cell>
          <cell r="L1328">
            <v>0</v>
          </cell>
          <cell r="M1328">
            <v>0</v>
          </cell>
          <cell r="N1328">
            <v>0</v>
          </cell>
          <cell r="O1328">
            <v>0</v>
          </cell>
          <cell r="P1328">
            <v>0</v>
          </cell>
          <cell r="Q1328">
            <v>0</v>
          </cell>
          <cell r="R1328">
            <v>0</v>
          </cell>
          <cell r="S1328">
            <v>0</v>
          </cell>
          <cell r="T1328">
            <v>0</v>
          </cell>
          <cell r="U1328" t="e">
            <v>#N/A</v>
          </cell>
        </row>
        <row r="1329">
          <cell r="A1329">
            <v>1001323</v>
          </cell>
          <cell r="B1329" t="str">
            <v>Alicate Boca Plana Aisl 1000V MO-66302</v>
          </cell>
          <cell r="D1329">
            <v>7201</v>
          </cell>
          <cell r="E1329">
            <v>1000</v>
          </cell>
          <cell r="F1329" t="str">
            <v>ZALM</v>
          </cell>
          <cell r="G1329" t="str">
            <v>UN</v>
          </cell>
          <cell r="H1329" t="str">
            <v>DOP</v>
          </cell>
          <cell r="I1329">
            <v>38</v>
          </cell>
          <cell r="J1329">
            <v>73745</v>
          </cell>
          <cell r="K1329">
            <v>0</v>
          </cell>
          <cell r="L1329">
            <v>0</v>
          </cell>
          <cell r="M1329">
            <v>0</v>
          </cell>
          <cell r="N1329">
            <v>0</v>
          </cell>
          <cell r="O1329">
            <v>0</v>
          </cell>
          <cell r="P1329">
            <v>0</v>
          </cell>
          <cell r="Q1329">
            <v>0</v>
          </cell>
          <cell r="R1329">
            <v>0</v>
          </cell>
          <cell r="S1329">
            <v>38</v>
          </cell>
          <cell r="T1329">
            <v>73745</v>
          </cell>
          <cell r="U1329">
            <v>1940.65789473684</v>
          </cell>
        </row>
        <row r="1330">
          <cell r="A1330">
            <v>1001324</v>
          </cell>
          <cell r="B1330" t="str">
            <v>Alicate Boca Plana Aislada (1000V)</v>
          </cell>
          <cell r="D1330">
            <v>7201</v>
          </cell>
          <cell r="E1330">
            <v>1000</v>
          </cell>
          <cell r="F1330" t="str">
            <v>ZALM</v>
          </cell>
          <cell r="G1330" t="str">
            <v>UN</v>
          </cell>
          <cell r="H1330" t="str">
            <v>DOP</v>
          </cell>
          <cell r="I1330">
            <v>0</v>
          </cell>
          <cell r="J1330">
            <v>0</v>
          </cell>
          <cell r="K1330">
            <v>0</v>
          </cell>
          <cell r="L1330">
            <v>0</v>
          </cell>
          <cell r="M1330">
            <v>0</v>
          </cell>
          <cell r="N1330">
            <v>0</v>
          </cell>
          <cell r="O1330">
            <v>0</v>
          </cell>
          <cell r="P1330">
            <v>0</v>
          </cell>
          <cell r="Q1330">
            <v>0</v>
          </cell>
          <cell r="R1330">
            <v>0</v>
          </cell>
          <cell r="S1330">
            <v>0</v>
          </cell>
          <cell r="T1330">
            <v>0</v>
          </cell>
          <cell r="U1330" t="e">
            <v>#N/A</v>
          </cell>
        </row>
        <row r="1331">
          <cell r="A1331">
            <v>1001325</v>
          </cell>
          <cell r="B1331" t="str">
            <v>Alicate Compresor de Terminales</v>
          </cell>
          <cell r="D1331">
            <v>7201</v>
          </cell>
          <cell r="E1331">
            <v>1000</v>
          </cell>
          <cell r="F1331" t="str">
            <v>ZALM</v>
          </cell>
          <cell r="G1331" t="str">
            <v>UN</v>
          </cell>
          <cell r="H1331" t="str">
            <v>DOP</v>
          </cell>
          <cell r="I1331">
            <v>0</v>
          </cell>
          <cell r="J1331">
            <v>0</v>
          </cell>
          <cell r="K1331">
            <v>0</v>
          </cell>
          <cell r="L1331">
            <v>0</v>
          </cell>
          <cell r="M1331">
            <v>0</v>
          </cell>
          <cell r="N1331">
            <v>0</v>
          </cell>
          <cell r="O1331">
            <v>0</v>
          </cell>
          <cell r="P1331">
            <v>0</v>
          </cell>
          <cell r="Q1331">
            <v>0</v>
          </cell>
          <cell r="R1331">
            <v>0</v>
          </cell>
          <cell r="S1331">
            <v>0</v>
          </cell>
          <cell r="T1331">
            <v>0</v>
          </cell>
          <cell r="U1331" t="e">
            <v>#N/A</v>
          </cell>
        </row>
        <row r="1332">
          <cell r="A1332">
            <v>1001326</v>
          </cell>
          <cell r="B1332" t="str">
            <v>Alicate Corte Diag Aisl 1000V MO-67103</v>
          </cell>
          <cell r="D1332">
            <v>7201</v>
          </cell>
          <cell r="E1332">
            <v>1000</v>
          </cell>
          <cell r="F1332" t="str">
            <v>ZALM</v>
          </cell>
          <cell r="G1332" t="str">
            <v>UN</v>
          </cell>
          <cell r="H1332" t="str">
            <v>DOP</v>
          </cell>
          <cell r="I1332">
            <v>0</v>
          </cell>
          <cell r="J1332">
            <v>0</v>
          </cell>
          <cell r="K1332">
            <v>0</v>
          </cell>
          <cell r="L1332">
            <v>0</v>
          </cell>
          <cell r="M1332">
            <v>0</v>
          </cell>
          <cell r="N1332">
            <v>0</v>
          </cell>
          <cell r="O1332">
            <v>0</v>
          </cell>
          <cell r="P1332">
            <v>0</v>
          </cell>
          <cell r="Q1332">
            <v>0</v>
          </cell>
          <cell r="R1332">
            <v>0</v>
          </cell>
          <cell r="S1332">
            <v>0</v>
          </cell>
          <cell r="T1332">
            <v>0</v>
          </cell>
          <cell r="U1332" t="e">
            <v>#N/A</v>
          </cell>
        </row>
        <row r="1333">
          <cell r="A1333">
            <v>1001327</v>
          </cell>
          <cell r="B1333" t="str">
            <v>Alicate Corte Diagonal 6"</v>
          </cell>
          <cell r="D1333">
            <v>7201</v>
          </cell>
          <cell r="E1333">
            <v>1000</v>
          </cell>
          <cell r="F1333" t="str">
            <v>ZALM</v>
          </cell>
          <cell r="G1333" t="str">
            <v>UN</v>
          </cell>
          <cell r="H1333" t="str">
            <v>DOP</v>
          </cell>
          <cell r="I1333">
            <v>0</v>
          </cell>
          <cell r="J1333">
            <v>0</v>
          </cell>
          <cell r="K1333">
            <v>0</v>
          </cell>
          <cell r="L1333">
            <v>0</v>
          </cell>
          <cell r="M1333">
            <v>0</v>
          </cell>
          <cell r="N1333">
            <v>0</v>
          </cell>
          <cell r="O1333">
            <v>0</v>
          </cell>
          <cell r="P1333">
            <v>0</v>
          </cell>
          <cell r="Q1333">
            <v>0</v>
          </cell>
          <cell r="R1333">
            <v>0</v>
          </cell>
          <cell r="S1333">
            <v>0</v>
          </cell>
          <cell r="T1333">
            <v>0</v>
          </cell>
          <cell r="U1333" t="e">
            <v>#N/A</v>
          </cell>
        </row>
        <row r="1334">
          <cell r="A1334">
            <v>1001328</v>
          </cell>
          <cell r="B1334" t="str">
            <v>Alicate Corte diagonal ST. 6"</v>
          </cell>
          <cell r="D1334">
            <v>7201</v>
          </cell>
          <cell r="E1334">
            <v>1000</v>
          </cell>
          <cell r="F1334" t="str">
            <v>ZALM</v>
          </cell>
          <cell r="G1334" t="str">
            <v>UN</v>
          </cell>
          <cell r="H1334" t="str">
            <v>DOP</v>
          </cell>
          <cell r="I1334">
            <v>0</v>
          </cell>
          <cell r="J1334">
            <v>0</v>
          </cell>
          <cell r="K1334">
            <v>0</v>
          </cell>
          <cell r="L1334">
            <v>0</v>
          </cell>
          <cell r="M1334">
            <v>0</v>
          </cell>
          <cell r="N1334">
            <v>0</v>
          </cell>
          <cell r="O1334">
            <v>0</v>
          </cell>
          <cell r="P1334">
            <v>0</v>
          </cell>
          <cell r="Q1334">
            <v>0</v>
          </cell>
          <cell r="R1334">
            <v>0</v>
          </cell>
          <cell r="S1334">
            <v>0</v>
          </cell>
          <cell r="T1334">
            <v>0</v>
          </cell>
          <cell r="U1334" t="e">
            <v>#N/A</v>
          </cell>
        </row>
        <row r="1335">
          <cell r="A1335">
            <v>1001329</v>
          </cell>
          <cell r="B1335" t="str">
            <v>Alicate de 9" Aislado a 1000 Voltios</v>
          </cell>
          <cell r="D1335">
            <v>7201</v>
          </cell>
          <cell r="E1335">
            <v>1000</v>
          </cell>
          <cell r="F1335" t="str">
            <v>ZALM</v>
          </cell>
          <cell r="G1335" t="str">
            <v>UN</v>
          </cell>
          <cell r="H1335" t="str">
            <v>DOP</v>
          </cell>
          <cell r="I1335">
            <v>20</v>
          </cell>
          <cell r="J1335">
            <v>88879.2</v>
          </cell>
          <cell r="K1335">
            <v>0</v>
          </cell>
          <cell r="L1335">
            <v>0</v>
          </cell>
          <cell r="M1335">
            <v>0</v>
          </cell>
          <cell r="N1335">
            <v>0</v>
          </cell>
          <cell r="O1335">
            <v>0</v>
          </cell>
          <cell r="P1335">
            <v>0</v>
          </cell>
          <cell r="Q1335">
            <v>0</v>
          </cell>
          <cell r="R1335">
            <v>0</v>
          </cell>
          <cell r="S1335">
            <v>20</v>
          </cell>
          <cell r="T1335">
            <v>88879.2</v>
          </cell>
          <cell r="U1335">
            <v>4443.96</v>
          </cell>
        </row>
        <row r="1336">
          <cell r="A1336">
            <v>1001330</v>
          </cell>
          <cell r="B1336" t="str">
            <v>Alicate de Presión</v>
          </cell>
          <cell r="D1336">
            <v>7201</v>
          </cell>
          <cell r="E1336">
            <v>1000</v>
          </cell>
          <cell r="F1336" t="str">
            <v>ZALM</v>
          </cell>
          <cell r="G1336" t="str">
            <v>UN</v>
          </cell>
          <cell r="H1336" t="str">
            <v>DOP</v>
          </cell>
          <cell r="I1336">
            <v>0</v>
          </cell>
          <cell r="J1336">
            <v>0</v>
          </cell>
          <cell r="K1336">
            <v>0</v>
          </cell>
          <cell r="L1336">
            <v>0</v>
          </cell>
          <cell r="M1336">
            <v>0</v>
          </cell>
          <cell r="N1336">
            <v>0</v>
          </cell>
          <cell r="O1336">
            <v>0</v>
          </cell>
          <cell r="P1336">
            <v>0</v>
          </cell>
          <cell r="Q1336">
            <v>0</v>
          </cell>
          <cell r="R1336">
            <v>0</v>
          </cell>
          <cell r="S1336">
            <v>0</v>
          </cell>
          <cell r="T1336">
            <v>0</v>
          </cell>
          <cell r="U1336" t="e">
            <v>#N/A</v>
          </cell>
        </row>
        <row r="1337">
          <cell r="A1337">
            <v>1001331</v>
          </cell>
          <cell r="B1337" t="str">
            <v>Alicate Eléctrico Klein D-213-9NE</v>
          </cell>
          <cell r="D1337">
            <v>7201</v>
          </cell>
          <cell r="E1337">
            <v>1000</v>
          </cell>
          <cell r="F1337" t="str">
            <v>ZALM</v>
          </cell>
          <cell r="G1337" t="str">
            <v>UN</v>
          </cell>
          <cell r="H1337" t="str">
            <v>DOP</v>
          </cell>
          <cell r="I1337">
            <v>0</v>
          </cell>
          <cell r="J1337">
            <v>0</v>
          </cell>
          <cell r="K1337">
            <v>0</v>
          </cell>
          <cell r="L1337">
            <v>0</v>
          </cell>
          <cell r="M1337">
            <v>0</v>
          </cell>
          <cell r="N1337">
            <v>0</v>
          </cell>
          <cell r="O1337">
            <v>0</v>
          </cell>
          <cell r="P1337">
            <v>0</v>
          </cell>
          <cell r="Q1337">
            <v>0</v>
          </cell>
          <cell r="R1337">
            <v>0</v>
          </cell>
          <cell r="S1337">
            <v>0</v>
          </cell>
          <cell r="T1337">
            <v>0</v>
          </cell>
          <cell r="U1337" t="e">
            <v>#N/A</v>
          </cell>
        </row>
        <row r="1338">
          <cell r="A1338">
            <v>1001332</v>
          </cell>
          <cell r="B1338" t="str">
            <v>Alicate HD213-9NE</v>
          </cell>
          <cell r="D1338">
            <v>7201</v>
          </cell>
          <cell r="E1338">
            <v>1000</v>
          </cell>
          <cell r="F1338" t="str">
            <v>ZALM</v>
          </cell>
          <cell r="G1338" t="str">
            <v>UN</v>
          </cell>
          <cell r="H1338" t="str">
            <v>DOP</v>
          </cell>
          <cell r="I1338">
            <v>0</v>
          </cell>
          <cell r="J1338">
            <v>0</v>
          </cell>
          <cell r="K1338">
            <v>0</v>
          </cell>
          <cell r="L1338">
            <v>0</v>
          </cell>
          <cell r="M1338">
            <v>0</v>
          </cell>
          <cell r="N1338">
            <v>0</v>
          </cell>
          <cell r="O1338">
            <v>0</v>
          </cell>
          <cell r="P1338">
            <v>0</v>
          </cell>
          <cell r="Q1338">
            <v>0</v>
          </cell>
          <cell r="R1338">
            <v>0</v>
          </cell>
          <cell r="S1338">
            <v>0</v>
          </cell>
          <cell r="T1338">
            <v>0</v>
          </cell>
          <cell r="U1338" t="e">
            <v>#N/A</v>
          </cell>
        </row>
        <row r="1339">
          <cell r="A1339">
            <v>1001333</v>
          </cell>
          <cell r="B1339" t="str">
            <v>Alicate Mecánico 10"</v>
          </cell>
          <cell r="D1339">
            <v>7201</v>
          </cell>
          <cell r="E1339">
            <v>1000</v>
          </cell>
          <cell r="F1339" t="str">
            <v>ZALM</v>
          </cell>
          <cell r="G1339" t="str">
            <v>UN</v>
          </cell>
          <cell r="H1339" t="str">
            <v>DOP</v>
          </cell>
          <cell r="I1339">
            <v>0</v>
          </cell>
          <cell r="J1339">
            <v>0</v>
          </cell>
          <cell r="K1339">
            <v>1</v>
          </cell>
          <cell r="L1339">
            <v>301.60000000000002</v>
          </cell>
          <cell r="M1339">
            <v>0</v>
          </cell>
          <cell r="N1339">
            <v>0</v>
          </cell>
          <cell r="O1339">
            <v>0</v>
          </cell>
          <cell r="P1339">
            <v>0</v>
          </cell>
          <cell r="Q1339">
            <v>0</v>
          </cell>
          <cell r="R1339">
            <v>0</v>
          </cell>
          <cell r="S1339">
            <v>1</v>
          </cell>
          <cell r="T1339">
            <v>301.60000000000002</v>
          </cell>
          <cell r="U1339">
            <v>301.60000000000002</v>
          </cell>
        </row>
        <row r="1340">
          <cell r="A1340">
            <v>1001334</v>
          </cell>
          <cell r="B1340" t="str">
            <v>Alicate P/ Plug Mini UHF</v>
          </cell>
          <cell r="D1340">
            <v>5501</v>
          </cell>
          <cell r="E1340">
            <v>1000</v>
          </cell>
          <cell r="F1340" t="str">
            <v>ZALM</v>
          </cell>
          <cell r="G1340" t="str">
            <v>UN</v>
          </cell>
          <cell r="H1340" t="str">
            <v>DOP</v>
          </cell>
          <cell r="I1340">
            <v>0</v>
          </cell>
          <cell r="J1340">
            <v>0</v>
          </cell>
          <cell r="K1340">
            <v>0</v>
          </cell>
          <cell r="L1340">
            <v>0</v>
          </cell>
          <cell r="M1340">
            <v>0</v>
          </cell>
          <cell r="N1340">
            <v>0</v>
          </cell>
          <cell r="O1340">
            <v>0</v>
          </cell>
          <cell r="P1340">
            <v>0</v>
          </cell>
          <cell r="Q1340">
            <v>0</v>
          </cell>
          <cell r="R1340">
            <v>0</v>
          </cell>
          <cell r="S1340">
            <v>0</v>
          </cell>
          <cell r="T1340">
            <v>0</v>
          </cell>
          <cell r="U1340" t="e">
            <v>#N/A</v>
          </cell>
        </row>
        <row r="1341">
          <cell r="A1341">
            <v>1001335</v>
          </cell>
          <cell r="B1341" t="str">
            <v>Alicate Universal Mango Aislado (1000V)</v>
          </cell>
          <cell r="D1341">
            <v>7201</v>
          </cell>
          <cell r="E1341">
            <v>1000</v>
          </cell>
          <cell r="F1341" t="str">
            <v>ZALM</v>
          </cell>
          <cell r="G1341" t="str">
            <v>UN</v>
          </cell>
          <cell r="H1341" t="str">
            <v>DOP</v>
          </cell>
          <cell r="I1341">
            <v>0</v>
          </cell>
          <cell r="J1341">
            <v>0</v>
          </cell>
          <cell r="K1341">
            <v>0</v>
          </cell>
          <cell r="L1341">
            <v>0</v>
          </cell>
          <cell r="M1341">
            <v>0</v>
          </cell>
          <cell r="N1341">
            <v>0</v>
          </cell>
          <cell r="O1341">
            <v>0</v>
          </cell>
          <cell r="P1341">
            <v>0</v>
          </cell>
          <cell r="Q1341">
            <v>0</v>
          </cell>
          <cell r="R1341">
            <v>0</v>
          </cell>
          <cell r="S1341">
            <v>0</v>
          </cell>
          <cell r="T1341">
            <v>0</v>
          </cell>
          <cell r="U1341" t="e">
            <v>#N/A</v>
          </cell>
        </row>
        <row r="1342">
          <cell r="A1342">
            <v>1001336</v>
          </cell>
          <cell r="B1342" t="str">
            <v>Arco de Sierra M-4455-23</v>
          </cell>
          <cell r="D1342">
            <v>5501</v>
          </cell>
          <cell r="E1342">
            <v>1000</v>
          </cell>
          <cell r="F1342" t="str">
            <v>ZALM</v>
          </cell>
          <cell r="G1342" t="str">
            <v>UN</v>
          </cell>
          <cell r="H1342" t="str">
            <v>DOP</v>
          </cell>
          <cell r="I1342">
            <v>0</v>
          </cell>
          <cell r="J1342">
            <v>0</v>
          </cell>
          <cell r="K1342">
            <v>0</v>
          </cell>
          <cell r="L1342">
            <v>0</v>
          </cell>
          <cell r="M1342">
            <v>0</v>
          </cell>
          <cell r="N1342">
            <v>0</v>
          </cell>
          <cell r="O1342">
            <v>0</v>
          </cell>
          <cell r="P1342">
            <v>0</v>
          </cell>
          <cell r="Q1342">
            <v>0</v>
          </cell>
          <cell r="R1342">
            <v>0</v>
          </cell>
          <cell r="S1342">
            <v>0</v>
          </cell>
          <cell r="T1342">
            <v>0</v>
          </cell>
          <cell r="U1342" t="e">
            <v>#N/A</v>
          </cell>
        </row>
        <row r="1343">
          <cell r="A1343">
            <v>1001337</v>
          </cell>
          <cell r="B1343" t="str">
            <v>Banda P/ Tenazas 2 1/2"</v>
          </cell>
          <cell r="D1343">
            <v>5501</v>
          </cell>
          <cell r="E1343">
            <v>1000</v>
          </cell>
          <cell r="F1343" t="str">
            <v>ZALM</v>
          </cell>
          <cell r="G1343" t="str">
            <v>UN</v>
          </cell>
          <cell r="H1343" t="str">
            <v>DOP</v>
          </cell>
          <cell r="I1343">
            <v>0</v>
          </cell>
          <cell r="J1343">
            <v>0</v>
          </cell>
          <cell r="K1343">
            <v>0</v>
          </cell>
          <cell r="L1343">
            <v>0</v>
          </cell>
          <cell r="M1343">
            <v>0</v>
          </cell>
          <cell r="N1343">
            <v>0</v>
          </cell>
          <cell r="O1343">
            <v>0</v>
          </cell>
          <cell r="P1343">
            <v>0</v>
          </cell>
          <cell r="Q1343">
            <v>0</v>
          </cell>
          <cell r="R1343">
            <v>0</v>
          </cell>
          <cell r="S1343">
            <v>0</v>
          </cell>
          <cell r="T1343">
            <v>0</v>
          </cell>
          <cell r="U1343" t="e">
            <v>#N/A</v>
          </cell>
        </row>
        <row r="1344">
          <cell r="A1344">
            <v>1001338</v>
          </cell>
          <cell r="B1344" t="str">
            <v>Barra P/ Hoyar Stanley 6 largo</v>
          </cell>
          <cell r="D1344">
            <v>5501</v>
          </cell>
          <cell r="E1344">
            <v>1000</v>
          </cell>
          <cell r="F1344" t="str">
            <v>ZALM</v>
          </cell>
          <cell r="G1344" t="str">
            <v>UN</v>
          </cell>
          <cell r="H1344" t="str">
            <v>DOP</v>
          </cell>
          <cell r="I1344">
            <v>0</v>
          </cell>
          <cell r="J1344">
            <v>0</v>
          </cell>
          <cell r="K1344">
            <v>0</v>
          </cell>
          <cell r="L1344">
            <v>0</v>
          </cell>
          <cell r="M1344">
            <v>0</v>
          </cell>
          <cell r="N1344">
            <v>0</v>
          </cell>
          <cell r="O1344">
            <v>0</v>
          </cell>
          <cell r="P1344">
            <v>0</v>
          </cell>
          <cell r="Q1344">
            <v>0</v>
          </cell>
          <cell r="R1344">
            <v>0</v>
          </cell>
          <cell r="S1344">
            <v>0</v>
          </cell>
          <cell r="T1344">
            <v>0</v>
          </cell>
          <cell r="U1344" t="e">
            <v>#N/A</v>
          </cell>
        </row>
        <row r="1345">
          <cell r="A1345">
            <v>1001339</v>
          </cell>
          <cell r="B1345" t="str">
            <v>Barra Perforada 10´x2" T/ Riel</v>
          </cell>
          <cell r="D1345">
            <v>5501</v>
          </cell>
          <cell r="E1345">
            <v>1000</v>
          </cell>
          <cell r="F1345" t="str">
            <v>ZALM</v>
          </cell>
          <cell r="G1345" t="str">
            <v>UN</v>
          </cell>
          <cell r="H1345" t="str">
            <v>DOP</v>
          </cell>
          <cell r="I1345">
            <v>0</v>
          </cell>
          <cell r="J1345">
            <v>0</v>
          </cell>
          <cell r="K1345">
            <v>0</v>
          </cell>
          <cell r="L1345">
            <v>0</v>
          </cell>
          <cell r="M1345">
            <v>0</v>
          </cell>
          <cell r="N1345">
            <v>0</v>
          </cell>
          <cell r="O1345">
            <v>0</v>
          </cell>
          <cell r="P1345">
            <v>0</v>
          </cell>
          <cell r="Q1345">
            <v>0</v>
          </cell>
          <cell r="R1345">
            <v>0</v>
          </cell>
          <cell r="S1345">
            <v>0</v>
          </cell>
          <cell r="T1345">
            <v>0</v>
          </cell>
          <cell r="U1345" t="e">
            <v>#N/A</v>
          </cell>
        </row>
        <row r="1346">
          <cell r="A1346">
            <v>1001340</v>
          </cell>
          <cell r="B1346" t="str">
            <v>Barrena 1" Cobalto Estándar P/ Metal</v>
          </cell>
          <cell r="D1346">
            <v>5501</v>
          </cell>
          <cell r="E1346">
            <v>1000</v>
          </cell>
          <cell r="F1346" t="str">
            <v>ZALM</v>
          </cell>
          <cell r="G1346" t="str">
            <v>UN</v>
          </cell>
          <cell r="H1346" t="str">
            <v>DOP</v>
          </cell>
          <cell r="I1346">
            <v>0</v>
          </cell>
          <cell r="J1346">
            <v>0</v>
          </cell>
          <cell r="K1346">
            <v>0</v>
          </cell>
          <cell r="L1346">
            <v>0</v>
          </cell>
          <cell r="M1346">
            <v>0</v>
          </cell>
          <cell r="N1346">
            <v>0</v>
          </cell>
          <cell r="O1346">
            <v>0</v>
          </cell>
          <cell r="P1346">
            <v>0</v>
          </cell>
          <cell r="Q1346">
            <v>0</v>
          </cell>
          <cell r="R1346">
            <v>0</v>
          </cell>
          <cell r="S1346">
            <v>0</v>
          </cell>
          <cell r="T1346">
            <v>0</v>
          </cell>
          <cell r="U1346" t="e">
            <v>#N/A</v>
          </cell>
        </row>
        <row r="1347">
          <cell r="A1347">
            <v>1001341</v>
          </cell>
          <cell r="B1347" t="str">
            <v>Barrena 1/2" Cobalto Estándar P/ Metal</v>
          </cell>
          <cell r="D1347">
            <v>5501</v>
          </cell>
          <cell r="E1347">
            <v>1000</v>
          </cell>
          <cell r="F1347" t="str">
            <v>ZALM</v>
          </cell>
          <cell r="G1347" t="str">
            <v>UN</v>
          </cell>
          <cell r="H1347" t="str">
            <v>DOP</v>
          </cell>
          <cell r="I1347">
            <v>4</v>
          </cell>
          <cell r="J1347">
            <v>1461.6</v>
          </cell>
          <cell r="K1347">
            <v>0</v>
          </cell>
          <cell r="L1347">
            <v>0</v>
          </cell>
          <cell r="M1347">
            <v>0</v>
          </cell>
          <cell r="N1347">
            <v>0</v>
          </cell>
          <cell r="O1347">
            <v>0</v>
          </cell>
          <cell r="P1347">
            <v>0</v>
          </cell>
          <cell r="Q1347">
            <v>0</v>
          </cell>
          <cell r="R1347">
            <v>0</v>
          </cell>
          <cell r="S1347">
            <v>4</v>
          </cell>
          <cell r="T1347">
            <v>1461.6</v>
          </cell>
          <cell r="U1347">
            <v>365.4</v>
          </cell>
        </row>
        <row r="1348">
          <cell r="A1348">
            <v>1001342</v>
          </cell>
          <cell r="B1348" t="str">
            <v>Barrena 1/2" x 12" P/ Postes Concreto</v>
          </cell>
          <cell r="D1348">
            <v>5501</v>
          </cell>
          <cell r="E1348">
            <v>1000</v>
          </cell>
          <cell r="F1348" t="str">
            <v>ZALM</v>
          </cell>
          <cell r="G1348" t="str">
            <v>UN</v>
          </cell>
          <cell r="H1348" t="str">
            <v>DOP</v>
          </cell>
          <cell r="I1348">
            <v>0</v>
          </cell>
          <cell r="J1348">
            <v>0</v>
          </cell>
          <cell r="K1348">
            <v>0</v>
          </cell>
          <cell r="L1348">
            <v>0</v>
          </cell>
          <cell r="M1348">
            <v>0</v>
          </cell>
          <cell r="N1348">
            <v>0</v>
          </cell>
          <cell r="O1348">
            <v>0</v>
          </cell>
          <cell r="P1348">
            <v>0</v>
          </cell>
          <cell r="Q1348">
            <v>0</v>
          </cell>
          <cell r="R1348">
            <v>0</v>
          </cell>
          <cell r="S1348">
            <v>0</v>
          </cell>
          <cell r="T1348">
            <v>0</v>
          </cell>
          <cell r="U1348" t="e">
            <v>#N/A</v>
          </cell>
        </row>
        <row r="1349">
          <cell r="A1349">
            <v>1001343</v>
          </cell>
          <cell r="B1349" t="str">
            <v>Barrena 1/2"x12" P/ Poste Concreto</v>
          </cell>
          <cell r="D1349">
            <v>5501</v>
          </cell>
          <cell r="E1349">
            <v>1000</v>
          </cell>
          <cell r="F1349" t="str">
            <v>ZALM</v>
          </cell>
          <cell r="G1349" t="str">
            <v>UN</v>
          </cell>
          <cell r="H1349" t="str">
            <v>DOP</v>
          </cell>
          <cell r="I1349">
            <v>0</v>
          </cell>
          <cell r="J1349">
            <v>0</v>
          </cell>
          <cell r="K1349">
            <v>0</v>
          </cell>
          <cell r="L1349">
            <v>0</v>
          </cell>
          <cell r="M1349">
            <v>0</v>
          </cell>
          <cell r="N1349">
            <v>0</v>
          </cell>
          <cell r="O1349">
            <v>0</v>
          </cell>
          <cell r="P1349">
            <v>0</v>
          </cell>
          <cell r="Q1349">
            <v>0</v>
          </cell>
          <cell r="R1349">
            <v>0</v>
          </cell>
          <cell r="S1349">
            <v>0</v>
          </cell>
          <cell r="T1349">
            <v>0</v>
          </cell>
          <cell r="U1349" t="e">
            <v>#N/A</v>
          </cell>
        </row>
        <row r="1350">
          <cell r="A1350">
            <v>1001344</v>
          </cell>
          <cell r="B1350" t="str">
            <v>Barrena 1/4" Cobalto Estándar P/ Metal</v>
          </cell>
          <cell r="D1350">
            <v>5501</v>
          </cell>
          <cell r="E1350">
            <v>1000</v>
          </cell>
          <cell r="F1350" t="str">
            <v>ZALM</v>
          </cell>
          <cell r="G1350" t="str">
            <v>UN</v>
          </cell>
          <cell r="H1350" t="str">
            <v>DOP</v>
          </cell>
          <cell r="I1350">
            <v>0</v>
          </cell>
          <cell r="J1350">
            <v>0</v>
          </cell>
          <cell r="K1350">
            <v>0</v>
          </cell>
          <cell r="L1350">
            <v>0</v>
          </cell>
          <cell r="M1350">
            <v>0</v>
          </cell>
          <cell r="N1350">
            <v>0</v>
          </cell>
          <cell r="O1350">
            <v>0</v>
          </cell>
          <cell r="P1350">
            <v>0</v>
          </cell>
          <cell r="Q1350">
            <v>0</v>
          </cell>
          <cell r="R1350">
            <v>0</v>
          </cell>
          <cell r="S1350">
            <v>0</v>
          </cell>
          <cell r="T1350">
            <v>0</v>
          </cell>
          <cell r="U1350" t="e">
            <v>#N/A</v>
          </cell>
        </row>
        <row r="1351">
          <cell r="A1351">
            <v>1001345</v>
          </cell>
          <cell r="B1351" t="str">
            <v>Barrena 1/8" Cobalto Estándar P/ Metal</v>
          </cell>
          <cell r="D1351">
            <v>5501</v>
          </cell>
          <cell r="E1351">
            <v>1000</v>
          </cell>
          <cell r="F1351" t="str">
            <v>ZALM</v>
          </cell>
          <cell r="G1351" t="str">
            <v>UN</v>
          </cell>
          <cell r="H1351" t="str">
            <v>DOP</v>
          </cell>
          <cell r="I1351">
            <v>0</v>
          </cell>
          <cell r="J1351">
            <v>0</v>
          </cell>
          <cell r="K1351">
            <v>0</v>
          </cell>
          <cell r="L1351">
            <v>0</v>
          </cell>
          <cell r="M1351">
            <v>0</v>
          </cell>
          <cell r="N1351">
            <v>0</v>
          </cell>
          <cell r="O1351">
            <v>0</v>
          </cell>
          <cell r="P1351">
            <v>0</v>
          </cell>
          <cell r="Q1351">
            <v>0</v>
          </cell>
          <cell r="R1351">
            <v>0</v>
          </cell>
          <cell r="S1351">
            <v>0</v>
          </cell>
          <cell r="T1351">
            <v>0</v>
          </cell>
          <cell r="U1351" t="e">
            <v>#N/A</v>
          </cell>
        </row>
        <row r="1352">
          <cell r="A1352">
            <v>1001346</v>
          </cell>
          <cell r="B1352" t="str">
            <v>Barrena 3/13" Cobalto Estándar P/ Metal</v>
          </cell>
          <cell r="D1352">
            <v>5501</v>
          </cell>
          <cell r="E1352">
            <v>1000</v>
          </cell>
          <cell r="F1352" t="str">
            <v>ZALM</v>
          </cell>
          <cell r="G1352" t="str">
            <v>UN</v>
          </cell>
          <cell r="H1352" t="str">
            <v>DOP</v>
          </cell>
          <cell r="I1352">
            <v>0</v>
          </cell>
          <cell r="J1352">
            <v>0</v>
          </cell>
          <cell r="K1352">
            <v>0</v>
          </cell>
          <cell r="L1352">
            <v>0</v>
          </cell>
          <cell r="M1352">
            <v>0</v>
          </cell>
          <cell r="N1352">
            <v>0</v>
          </cell>
          <cell r="O1352">
            <v>0</v>
          </cell>
          <cell r="P1352">
            <v>0</v>
          </cell>
          <cell r="Q1352">
            <v>0</v>
          </cell>
          <cell r="R1352">
            <v>0</v>
          </cell>
          <cell r="S1352">
            <v>0</v>
          </cell>
          <cell r="T1352">
            <v>0</v>
          </cell>
          <cell r="U1352" t="e">
            <v>#N/A</v>
          </cell>
        </row>
        <row r="1353">
          <cell r="A1353">
            <v>1001347</v>
          </cell>
          <cell r="B1353" t="str">
            <v>Barrena 3/4" Cobalto Estándar P/ Metal</v>
          </cell>
          <cell r="D1353">
            <v>5501</v>
          </cell>
          <cell r="E1353">
            <v>1000</v>
          </cell>
          <cell r="F1353" t="str">
            <v>ZALM</v>
          </cell>
          <cell r="G1353" t="str">
            <v>UN</v>
          </cell>
          <cell r="H1353" t="str">
            <v>DOP</v>
          </cell>
          <cell r="I1353">
            <v>0</v>
          </cell>
          <cell r="J1353">
            <v>0</v>
          </cell>
          <cell r="K1353">
            <v>0</v>
          </cell>
          <cell r="L1353">
            <v>0</v>
          </cell>
          <cell r="M1353">
            <v>0</v>
          </cell>
          <cell r="N1353">
            <v>0</v>
          </cell>
          <cell r="O1353">
            <v>0</v>
          </cell>
          <cell r="P1353">
            <v>0</v>
          </cell>
          <cell r="Q1353">
            <v>0</v>
          </cell>
          <cell r="R1353">
            <v>0</v>
          </cell>
          <cell r="S1353">
            <v>0</v>
          </cell>
          <cell r="T1353">
            <v>0</v>
          </cell>
          <cell r="U1353" t="e">
            <v>#N/A</v>
          </cell>
        </row>
        <row r="1354">
          <cell r="A1354">
            <v>1001348</v>
          </cell>
          <cell r="B1354" t="str">
            <v>Barrena 3/4"x12" P/ Poste Concreto</v>
          </cell>
          <cell r="D1354">
            <v>5501</v>
          </cell>
          <cell r="E1354">
            <v>1000</v>
          </cell>
          <cell r="F1354" t="str">
            <v>ZALM</v>
          </cell>
          <cell r="G1354" t="str">
            <v>UN</v>
          </cell>
          <cell r="H1354" t="str">
            <v>DOP</v>
          </cell>
          <cell r="I1354">
            <v>0</v>
          </cell>
          <cell r="J1354">
            <v>0</v>
          </cell>
          <cell r="K1354">
            <v>0</v>
          </cell>
          <cell r="L1354">
            <v>0</v>
          </cell>
          <cell r="M1354">
            <v>0</v>
          </cell>
          <cell r="N1354">
            <v>0</v>
          </cell>
          <cell r="O1354">
            <v>0</v>
          </cell>
          <cell r="P1354">
            <v>0</v>
          </cell>
          <cell r="Q1354">
            <v>0</v>
          </cell>
          <cell r="R1354">
            <v>0</v>
          </cell>
          <cell r="S1354">
            <v>0</v>
          </cell>
          <cell r="T1354">
            <v>0</v>
          </cell>
          <cell r="U1354" t="e">
            <v>#N/A</v>
          </cell>
        </row>
        <row r="1355">
          <cell r="A1355">
            <v>1001349</v>
          </cell>
          <cell r="B1355" t="str">
            <v>Barrena 3/8" Cobalto Estándar P/ Metal</v>
          </cell>
          <cell r="D1355">
            <v>5501</v>
          </cell>
          <cell r="E1355">
            <v>1000</v>
          </cell>
          <cell r="F1355" t="str">
            <v>ZALM</v>
          </cell>
          <cell r="G1355" t="str">
            <v>UN</v>
          </cell>
          <cell r="H1355" t="str">
            <v>DOP</v>
          </cell>
          <cell r="I1355">
            <v>0</v>
          </cell>
          <cell r="J1355">
            <v>0</v>
          </cell>
          <cell r="K1355">
            <v>0</v>
          </cell>
          <cell r="L1355">
            <v>0</v>
          </cell>
          <cell r="M1355">
            <v>0</v>
          </cell>
          <cell r="N1355">
            <v>0</v>
          </cell>
          <cell r="O1355">
            <v>0</v>
          </cell>
          <cell r="P1355">
            <v>0</v>
          </cell>
          <cell r="Q1355">
            <v>0</v>
          </cell>
          <cell r="R1355">
            <v>0</v>
          </cell>
          <cell r="S1355">
            <v>0</v>
          </cell>
          <cell r="T1355">
            <v>0</v>
          </cell>
          <cell r="U1355" t="e">
            <v>#N/A</v>
          </cell>
        </row>
        <row r="1356">
          <cell r="A1356">
            <v>1001350</v>
          </cell>
          <cell r="B1356" t="str">
            <v>Barrena 5/16" Cobalto Estándar P/ Metal</v>
          </cell>
          <cell r="D1356">
            <v>5501</v>
          </cell>
          <cell r="E1356">
            <v>1000</v>
          </cell>
          <cell r="F1356" t="str">
            <v>ZALM</v>
          </cell>
          <cell r="G1356" t="str">
            <v>UN</v>
          </cell>
          <cell r="H1356" t="str">
            <v>DOP</v>
          </cell>
          <cell r="I1356">
            <v>0</v>
          </cell>
          <cell r="J1356">
            <v>0</v>
          </cell>
          <cell r="K1356">
            <v>0</v>
          </cell>
          <cell r="L1356">
            <v>0</v>
          </cell>
          <cell r="M1356">
            <v>0</v>
          </cell>
          <cell r="N1356">
            <v>0</v>
          </cell>
          <cell r="O1356">
            <v>0</v>
          </cell>
          <cell r="P1356">
            <v>0</v>
          </cell>
          <cell r="Q1356">
            <v>0</v>
          </cell>
          <cell r="R1356">
            <v>0</v>
          </cell>
          <cell r="S1356">
            <v>0</v>
          </cell>
          <cell r="T1356">
            <v>0</v>
          </cell>
          <cell r="U1356" t="e">
            <v>#N/A</v>
          </cell>
        </row>
        <row r="1357">
          <cell r="A1357">
            <v>1001351</v>
          </cell>
          <cell r="B1357" t="str">
            <v>Barrena 5/8" Cobalto Estándar P/ Metal</v>
          </cell>
          <cell r="D1357">
            <v>5501</v>
          </cell>
          <cell r="E1357">
            <v>1000</v>
          </cell>
          <cell r="F1357" t="str">
            <v>ZALM</v>
          </cell>
          <cell r="G1357" t="str">
            <v>UN</v>
          </cell>
          <cell r="H1357" t="str">
            <v>DOP</v>
          </cell>
          <cell r="I1357">
            <v>0</v>
          </cell>
          <cell r="J1357">
            <v>0</v>
          </cell>
          <cell r="K1357">
            <v>0</v>
          </cell>
          <cell r="L1357">
            <v>0</v>
          </cell>
          <cell r="M1357">
            <v>0</v>
          </cell>
          <cell r="N1357">
            <v>0</v>
          </cell>
          <cell r="O1357">
            <v>0</v>
          </cell>
          <cell r="P1357">
            <v>0</v>
          </cell>
          <cell r="Q1357">
            <v>0</v>
          </cell>
          <cell r="R1357">
            <v>0</v>
          </cell>
          <cell r="S1357">
            <v>0</v>
          </cell>
          <cell r="T1357">
            <v>0</v>
          </cell>
          <cell r="U1357" t="e">
            <v>#N/A</v>
          </cell>
        </row>
        <row r="1358">
          <cell r="A1358">
            <v>1001352</v>
          </cell>
          <cell r="B1358" t="str">
            <v>Barrena 5/8"x12" P/ Poste Concreto</v>
          </cell>
          <cell r="D1358">
            <v>5501</v>
          </cell>
          <cell r="E1358">
            <v>1000</v>
          </cell>
          <cell r="F1358" t="str">
            <v>ZALM</v>
          </cell>
          <cell r="G1358" t="str">
            <v>UN</v>
          </cell>
          <cell r="H1358" t="str">
            <v>DOP</v>
          </cell>
          <cell r="I1358">
            <v>0</v>
          </cell>
          <cell r="J1358">
            <v>0</v>
          </cell>
          <cell r="K1358">
            <v>0</v>
          </cell>
          <cell r="L1358">
            <v>0</v>
          </cell>
          <cell r="M1358">
            <v>0</v>
          </cell>
          <cell r="N1358">
            <v>0</v>
          </cell>
          <cell r="O1358">
            <v>0</v>
          </cell>
          <cell r="P1358">
            <v>0</v>
          </cell>
          <cell r="Q1358">
            <v>0</v>
          </cell>
          <cell r="R1358">
            <v>0</v>
          </cell>
          <cell r="S1358">
            <v>0</v>
          </cell>
          <cell r="T1358">
            <v>0</v>
          </cell>
          <cell r="U1358" t="e">
            <v>#N/A</v>
          </cell>
        </row>
        <row r="1359">
          <cell r="A1359">
            <v>1001353</v>
          </cell>
          <cell r="B1359" t="str">
            <v>Barrena 5/8"x12" P/ Postes Concreto</v>
          </cell>
          <cell r="D1359">
            <v>5501</v>
          </cell>
          <cell r="E1359">
            <v>1000</v>
          </cell>
          <cell r="F1359" t="str">
            <v>ZALM</v>
          </cell>
          <cell r="G1359" t="str">
            <v>UN</v>
          </cell>
          <cell r="H1359" t="str">
            <v>DOP</v>
          </cell>
          <cell r="I1359">
            <v>0</v>
          </cell>
          <cell r="J1359">
            <v>0</v>
          </cell>
          <cell r="K1359">
            <v>0</v>
          </cell>
          <cell r="L1359">
            <v>0</v>
          </cell>
          <cell r="M1359">
            <v>0</v>
          </cell>
          <cell r="N1359">
            <v>0</v>
          </cell>
          <cell r="O1359">
            <v>0</v>
          </cell>
          <cell r="P1359">
            <v>0</v>
          </cell>
          <cell r="Q1359">
            <v>0</v>
          </cell>
          <cell r="R1359">
            <v>0</v>
          </cell>
          <cell r="S1359">
            <v>0</v>
          </cell>
          <cell r="T1359">
            <v>0</v>
          </cell>
          <cell r="U1359" t="e">
            <v>#N/A</v>
          </cell>
        </row>
        <row r="1360">
          <cell r="A1360">
            <v>1001354</v>
          </cell>
          <cell r="B1360" t="str">
            <v>Barrena 7/16" Cobalto Estándar P/ Metal</v>
          </cell>
          <cell r="D1360">
            <v>5501</v>
          </cell>
          <cell r="E1360">
            <v>1000</v>
          </cell>
          <cell r="F1360" t="str">
            <v>ZALM</v>
          </cell>
          <cell r="G1360" t="str">
            <v>UN</v>
          </cell>
          <cell r="H1360" t="str">
            <v>DOP</v>
          </cell>
          <cell r="I1360">
            <v>0</v>
          </cell>
          <cell r="J1360">
            <v>0</v>
          </cell>
          <cell r="K1360">
            <v>0</v>
          </cell>
          <cell r="L1360">
            <v>0</v>
          </cell>
          <cell r="M1360">
            <v>0</v>
          </cell>
          <cell r="N1360">
            <v>0</v>
          </cell>
          <cell r="O1360">
            <v>0</v>
          </cell>
          <cell r="P1360">
            <v>0</v>
          </cell>
          <cell r="Q1360">
            <v>0</v>
          </cell>
          <cell r="R1360">
            <v>0</v>
          </cell>
          <cell r="S1360">
            <v>0</v>
          </cell>
          <cell r="T1360">
            <v>0</v>
          </cell>
          <cell r="U1360" t="e">
            <v>#N/A</v>
          </cell>
        </row>
        <row r="1361">
          <cell r="A1361">
            <v>1001355</v>
          </cell>
          <cell r="B1361" t="str">
            <v>Barrena 9/16" Cobalto Estándar P/ Metal</v>
          </cell>
          <cell r="D1361">
            <v>5501</v>
          </cell>
          <cell r="E1361">
            <v>1000</v>
          </cell>
          <cell r="F1361" t="str">
            <v>ZALM</v>
          </cell>
          <cell r="G1361" t="str">
            <v>UN</v>
          </cell>
          <cell r="H1361" t="str">
            <v>DOP</v>
          </cell>
          <cell r="I1361">
            <v>0</v>
          </cell>
          <cell r="J1361">
            <v>0</v>
          </cell>
          <cell r="K1361">
            <v>0</v>
          </cell>
          <cell r="L1361">
            <v>0</v>
          </cell>
          <cell r="M1361">
            <v>0</v>
          </cell>
          <cell r="N1361">
            <v>0</v>
          </cell>
          <cell r="O1361">
            <v>0</v>
          </cell>
          <cell r="P1361">
            <v>0</v>
          </cell>
          <cell r="Q1361">
            <v>0</v>
          </cell>
          <cell r="R1361">
            <v>0</v>
          </cell>
          <cell r="S1361">
            <v>0</v>
          </cell>
          <cell r="T1361">
            <v>0</v>
          </cell>
          <cell r="U1361" t="e">
            <v>#N/A</v>
          </cell>
        </row>
        <row r="1362">
          <cell r="A1362">
            <v>1001356</v>
          </cell>
          <cell r="B1362" t="str">
            <v>Barrena P/ Taladro HILTI 3/4"x18"</v>
          </cell>
          <cell r="D1362">
            <v>5501</v>
          </cell>
          <cell r="E1362">
            <v>1000</v>
          </cell>
          <cell r="F1362" t="str">
            <v>ZALM</v>
          </cell>
          <cell r="G1362" t="str">
            <v>UN</v>
          </cell>
          <cell r="H1362" t="str">
            <v>DOP</v>
          </cell>
          <cell r="I1362">
            <v>0</v>
          </cell>
          <cell r="J1362">
            <v>0</v>
          </cell>
          <cell r="K1362">
            <v>0</v>
          </cell>
          <cell r="L1362">
            <v>0</v>
          </cell>
          <cell r="M1362">
            <v>0</v>
          </cell>
          <cell r="N1362">
            <v>0</v>
          </cell>
          <cell r="O1362">
            <v>0</v>
          </cell>
          <cell r="P1362">
            <v>0</v>
          </cell>
          <cell r="Q1362">
            <v>0</v>
          </cell>
          <cell r="R1362">
            <v>0</v>
          </cell>
          <cell r="S1362">
            <v>0</v>
          </cell>
          <cell r="T1362">
            <v>0</v>
          </cell>
          <cell r="U1362" t="e">
            <v>#N/A</v>
          </cell>
        </row>
        <row r="1363">
          <cell r="A1363">
            <v>1001357</v>
          </cell>
          <cell r="B1363" t="str">
            <v>Barrena P/ Taladro HILTI 5/8"x18"</v>
          </cell>
          <cell r="D1363">
            <v>5501</v>
          </cell>
          <cell r="E1363">
            <v>1000</v>
          </cell>
          <cell r="F1363" t="str">
            <v>ZALM</v>
          </cell>
          <cell r="G1363" t="str">
            <v>UN</v>
          </cell>
          <cell r="H1363" t="str">
            <v>DOP</v>
          </cell>
          <cell r="I1363">
            <v>0</v>
          </cell>
          <cell r="J1363">
            <v>0</v>
          </cell>
          <cell r="K1363">
            <v>0</v>
          </cell>
          <cell r="L1363">
            <v>0</v>
          </cell>
          <cell r="M1363">
            <v>0</v>
          </cell>
          <cell r="N1363">
            <v>0</v>
          </cell>
          <cell r="O1363">
            <v>0</v>
          </cell>
          <cell r="P1363">
            <v>0</v>
          </cell>
          <cell r="Q1363">
            <v>0</v>
          </cell>
          <cell r="R1363">
            <v>0</v>
          </cell>
          <cell r="S1363">
            <v>0</v>
          </cell>
          <cell r="T1363">
            <v>0</v>
          </cell>
          <cell r="U1363" t="e">
            <v>#N/A</v>
          </cell>
        </row>
        <row r="1364">
          <cell r="A1364">
            <v>1001358</v>
          </cell>
          <cell r="B1364" t="str">
            <v>Barrena Salomónica 3/4"x14" P/ Poste Mad</v>
          </cell>
          <cell r="D1364">
            <v>5501</v>
          </cell>
          <cell r="E1364">
            <v>1000</v>
          </cell>
          <cell r="F1364" t="str">
            <v>ZALM</v>
          </cell>
          <cell r="G1364" t="str">
            <v>UN</v>
          </cell>
          <cell r="H1364" t="str">
            <v>DOP</v>
          </cell>
          <cell r="I1364">
            <v>7</v>
          </cell>
          <cell r="J1364">
            <v>602.35</v>
          </cell>
          <cell r="K1364">
            <v>0</v>
          </cell>
          <cell r="L1364">
            <v>0</v>
          </cell>
          <cell r="M1364">
            <v>0</v>
          </cell>
          <cell r="N1364">
            <v>0</v>
          </cell>
          <cell r="O1364">
            <v>0</v>
          </cell>
          <cell r="P1364">
            <v>0</v>
          </cell>
          <cell r="Q1364">
            <v>0</v>
          </cell>
          <cell r="R1364">
            <v>0</v>
          </cell>
          <cell r="S1364">
            <v>7</v>
          </cell>
          <cell r="T1364">
            <v>602.35</v>
          </cell>
          <cell r="U1364">
            <v>86.05</v>
          </cell>
        </row>
        <row r="1365">
          <cell r="A1365">
            <v>1001359</v>
          </cell>
          <cell r="B1365" t="str">
            <v>Barrena SDS Plus 3/4"x10"x12" P/ Tal DW</v>
          </cell>
          <cell r="D1365">
            <v>5501</v>
          </cell>
          <cell r="E1365">
            <v>1000</v>
          </cell>
          <cell r="F1365" t="str">
            <v>ZALM</v>
          </cell>
          <cell r="G1365" t="str">
            <v>UN</v>
          </cell>
          <cell r="H1365" t="str">
            <v>DOP</v>
          </cell>
          <cell r="I1365">
            <v>0</v>
          </cell>
          <cell r="J1365">
            <v>0</v>
          </cell>
          <cell r="K1365">
            <v>0</v>
          </cell>
          <cell r="L1365">
            <v>0</v>
          </cell>
          <cell r="M1365">
            <v>0</v>
          </cell>
          <cell r="N1365">
            <v>0</v>
          </cell>
          <cell r="O1365">
            <v>0</v>
          </cell>
          <cell r="P1365">
            <v>0</v>
          </cell>
          <cell r="Q1365">
            <v>0</v>
          </cell>
          <cell r="R1365">
            <v>0</v>
          </cell>
          <cell r="S1365">
            <v>0</v>
          </cell>
          <cell r="T1365">
            <v>0</v>
          </cell>
          <cell r="U1365" t="e">
            <v>#N/A</v>
          </cell>
        </row>
        <row r="1366">
          <cell r="A1366">
            <v>1001360</v>
          </cell>
          <cell r="B1366" t="str">
            <v>Barrena SDS Plus 5/8"x10"x12" P/ Tal DW</v>
          </cell>
          <cell r="D1366">
            <v>5501</v>
          </cell>
          <cell r="E1366">
            <v>1000</v>
          </cell>
          <cell r="F1366" t="str">
            <v>ZALM</v>
          </cell>
          <cell r="G1366" t="str">
            <v>UN</v>
          </cell>
          <cell r="H1366" t="str">
            <v>DOP</v>
          </cell>
          <cell r="I1366">
            <v>0</v>
          </cell>
          <cell r="J1366">
            <v>0</v>
          </cell>
          <cell r="K1366">
            <v>0</v>
          </cell>
          <cell r="L1366">
            <v>0</v>
          </cell>
          <cell r="M1366">
            <v>0</v>
          </cell>
          <cell r="N1366">
            <v>0</v>
          </cell>
          <cell r="O1366">
            <v>0</v>
          </cell>
          <cell r="P1366">
            <v>0</v>
          </cell>
          <cell r="Q1366">
            <v>0</v>
          </cell>
          <cell r="R1366">
            <v>0</v>
          </cell>
          <cell r="S1366">
            <v>0</v>
          </cell>
          <cell r="T1366">
            <v>0</v>
          </cell>
          <cell r="U1366" t="e">
            <v>#N/A</v>
          </cell>
        </row>
        <row r="1367">
          <cell r="A1367">
            <v>1001361</v>
          </cell>
          <cell r="B1367" t="str">
            <v>Binocular 10 x 25</v>
          </cell>
          <cell r="D1367">
            <v>7201</v>
          </cell>
          <cell r="E1367">
            <v>1000</v>
          </cell>
          <cell r="F1367" t="str">
            <v>ZALM</v>
          </cell>
          <cell r="G1367" t="str">
            <v>UN</v>
          </cell>
          <cell r="H1367" t="str">
            <v>DOP</v>
          </cell>
          <cell r="I1367">
            <v>0</v>
          </cell>
          <cell r="J1367">
            <v>0</v>
          </cell>
          <cell r="K1367">
            <v>0</v>
          </cell>
          <cell r="L1367">
            <v>0</v>
          </cell>
          <cell r="M1367">
            <v>0</v>
          </cell>
          <cell r="N1367">
            <v>0</v>
          </cell>
          <cell r="O1367">
            <v>0</v>
          </cell>
          <cell r="P1367">
            <v>0</v>
          </cell>
          <cell r="Q1367">
            <v>0</v>
          </cell>
          <cell r="R1367">
            <v>0</v>
          </cell>
          <cell r="S1367">
            <v>0</v>
          </cell>
          <cell r="T1367">
            <v>0</v>
          </cell>
          <cell r="U1367" t="e">
            <v>#N/A</v>
          </cell>
        </row>
        <row r="1368">
          <cell r="A1368">
            <v>1001362</v>
          </cell>
          <cell r="B1368" t="str">
            <v>Binocular 12 x 25</v>
          </cell>
          <cell r="D1368">
            <v>7201</v>
          </cell>
          <cell r="E1368">
            <v>1000</v>
          </cell>
          <cell r="F1368" t="str">
            <v>ZALM</v>
          </cell>
          <cell r="G1368" t="str">
            <v>UN</v>
          </cell>
          <cell r="H1368" t="str">
            <v>DOP</v>
          </cell>
          <cell r="I1368">
            <v>0</v>
          </cell>
          <cell r="J1368">
            <v>0</v>
          </cell>
          <cell r="K1368">
            <v>0</v>
          </cell>
          <cell r="L1368">
            <v>0</v>
          </cell>
          <cell r="M1368">
            <v>0</v>
          </cell>
          <cell r="N1368">
            <v>0</v>
          </cell>
          <cell r="O1368">
            <v>0</v>
          </cell>
          <cell r="P1368">
            <v>0</v>
          </cell>
          <cell r="Q1368">
            <v>0</v>
          </cell>
          <cell r="R1368">
            <v>0</v>
          </cell>
          <cell r="S1368">
            <v>0</v>
          </cell>
          <cell r="T1368">
            <v>0</v>
          </cell>
          <cell r="U1368" t="e">
            <v>#N/A</v>
          </cell>
        </row>
        <row r="1369">
          <cell r="A1369">
            <v>1001363</v>
          </cell>
          <cell r="B1369" t="str">
            <v>Binocular P/ Lectura de Medidores</v>
          </cell>
          <cell r="D1369">
            <v>7201</v>
          </cell>
          <cell r="E1369">
            <v>1000</v>
          </cell>
          <cell r="F1369" t="str">
            <v>ZALM</v>
          </cell>
          <cell r="G1369" t="str">
            <v>UN</v>
          </cell>
          <cell r="H1369" t="str">
            <v>DOP</v>
          </cell>
          <cell r="I1369">
            <v>0</v>
          </cell>
          <cell r="J1369">
            <v>0</v>
          </cell>
          <cell r="K1369">
            <v>0</v>
          </cell>
          <cell r="L1369">
            <v>0</v>
          </cell>
          <cell r="M1369">
            <v>0</v>
          </cell>
          <cell r="N1369">
            <v>0</v>
          </cell>
          <cell r="O1369">
            <v>0</v>
          </cell>
          <cell r="P1369">
            <v>0</v>
          </cell>
          <cell r="Q1369">
            <v>0</v>
          </cell>
          <cell r="R1369">
            <v>0</v>
          </cell>
          <cell r="S1369">
            <v>0</v>
          </cell>
          <cell r="T1369">
            <v>0</v>
          </cell>
          <cell r="U1369" t="e">
            <v>#N/A</v>
          </cell>
        </row>
        <row r="1370">
          <cell r="A1370">
            <v>1001364</v>
          </cell>
          <cell r="B1370" t="str">
            <v>Bolsa P/ Guantes Clase 0</v>
          </cell>
          <cell r="D1370">
            <v>7201</v>
          </cell>
          <cell r="E1370">
            <v>1000</v>
          </cell>
          <cell r="F1370" t="str">
            <v>ZALM</v>
          </cell>
          <cell r="G1370" t="str">
            <v>UN</v>
          </cell>
          <cell r="H1370" t="str">
            <v>DOP</v>
          </cell>
          <cell r="I1370">
            <v>0</v>
          </cell>
          <cell r="J1370">
            <v>0</v>
          </cell>
          <cell r="K1370">
            <v>0</v>
          </cell>
          <cell r="L1370">
            <v>0</v>
          </cell>
          <cell r="M1370">
            <v>0</v>
          </cell>
          <cell r="N1370">
            <v>0</v>
          </cell>
          <cell r="O1370">
            <v>0</v>
          </cell>
          <cell r="P1370">
            <v>0</v>
          </cell>
          <cell r="Q1370">
            <v>0</v>
          </cell>
          <cell r="R1370">
            <v>0</v>
          </cell>
          <cell r="S1370">
            <v>0</v>
          </cell>
          <cell r="T1370">
            <v>0</v>
          </cell>
          <cell r="U1370" t="e">
            <v>#N/A</v>
          </cell>
        </row>
        <row r="1371">
          <cell r="A1371">
            <v>1001365</v>
          </cell>
          <cell r="B1371" t="str">
            <v>Bolsa P/ Guantes Clase 2</v>
          </cell>
          <cell r="D1371">
            <v>7201</v>
          </cell>
          <cell r="E1371">
            <v>1000</v>
          </cell>
          <cell r="F1371" t="str">
            <v>ZALM</v>
          </cell>
          <cell r="G1371" t="str">
            <v>UN</v>
          </cell>
          <cell r="H1371" t="str">
            <v>DOP</v>
          </cell>
          <cell r="I1371">
            <v>0</v>
          </cell>
          <cell r="J1371">
            <v>0</v>
          </cell>
          <cell r="K1371">
            <v>0</v>
          </cell>
          <cell r="L1371">
            <v>0</v>
          </cell>
          <cell r="M1371">
            <v>0</v>
          </cell>
          <cell r="N1371">
            <v>0</v>
          </cell>
          <cell r="O1371">
            <v>0</v>
          </cell>
          <cell r="P1371">
            <v>0</v>
          </cell>
          <cell r="Q1371">
            <v>0</v>
          </cell>
          <cell r="R1371">
            <v>0</v>
          </cell>
          <cell r="S1371">
            <v>0</v>
          </cell>
          <cell r="T1371">
            <v>0</v>
          </cell>
          <cell r="U1371" t="e">
            <v>#N/A</v>
          </cell>
        </row>
        <row r="1372">
          <cell r="A1372">
            <v>1001366</v>
          </cell>
          <cell r="B1372" t="str">
            <v>Bolsa P/ Herramientas</v>
          </cell>
          <cell r="D1372">
            <v>7201</v>
          </cell>
          <cell r="E1372">
            <v>1000</v>
          </cell>
          <cell r="F1372" t="str">
            <v>ZALM</v>
          </cell>
          <cell r="G1372" t="str">
            <v>UN</v>
          </cell>
          <cell r="H1372" t="str">
            <v>DOP</v>
          </cell>
          <cell r="I1372">
            <v>2</v>
          </cell>
          <cell r="J1372">
            <v>2969.68</v>
          </cell>
          <cell r="K1372">
            <v>0</v>
          </cell>
          <cell r="L1372">
            <v>0</v>
          </cell>
          <cell r="M1372">
            <v>0</v>
          </cell>
          <cell r="N1372">
            <v>0</v>
          </cell>
          <cell r="O1372">
            <v>0</v>
          </cell>
          <cell r="P1372">
            <v>0</v>
          </cell>
          <cell r="Q1372">
            <v>0</v>
          </cell>
          <cell r="R1372">
            <v>0</v>
          </cell>
          <cell r="S1372">
            <v>2</v>
          </cell>
          <cell r="T1372">
            <v>2969.68</v>
          </cell>
          <cell r="U1372">
            <v>1484.84</v>
          </cell>
        </row>
        <row r="1373">
          <cell r="A1373">
            <v>1001367</v>
          </cell>
          <cell r="B1373" t="str">
            <v>Bolsa P/ Mangas C-417-0149</v>
          </cell>
          <cell r="D1373">
            <v>7201</v>
          </cell>
          <cell r="E1373">
            <v>1000</v>
          </cell>
          <cell r="F1373" t="str">
            <v>ZALM</v>
          </cell>
          <cell r="G1373" t="str">
            <v>UN</v>
          </cell>
          <cell r="H1373" t="str">
            <v>DOP</v>
          </cell>
          <cell r="I1373">
            <v>0</v>
          </cell>
          <cell r="J1373">
            <v>0</v>
          </cell>
          <cell r="K1373">
            <v>0</v>
          </cell>
          <cell r="L1373">
            <v>0</v>
          </cell>
          <cell r="M1373">
            <v>0</v>
          </cell>
          <cell r="N1373">
            <v>0</v>
          </cell>
          <cell r="O1373">
            <v>0</v>
          </cell>
          <cell r="P1373">
            <v>0</v>
          </cell>
          <cell r="Q1373">
            <v>0</v>
          </cell>
          <cell r="R1373">
            <v>0</v>
          </cell>
          <cell r="S1373">
            <v>0</v>
          </cell>
          <cell r="T1373">
            <v>0</v>
          </cell>
          <cell r="U1373" t="e">
            <v>#N/A</v>
          </cell>
        </row>
        <row r="1374">
          <cell r="A1374">
            <v>1001368</v>
          </cell>
          <cell r="B1374" t="str">
            <v>Bolsa P/ Mangas Dieléctricas Clase 2</v>
          </cell>
          <cell r="D1374">
            <v>7201</v>
          </cell>
          <cell r="E1374">
            <v>1000</v>
          </cell>
          <cell r="F1374" t="str">
            <v>ZALM</v>
          </cell>
          <cell r="G1374" t="str">
            <v>UN</v>
          </cell>
          <cell r="H1374" t="str">
            <v>DOP</v>
          </cell>
          <cell r="I1374">
            <v>0</v>
          </cell>
          <cell r="J1374">
            <v>0</v>
          </cell>
          <cell r="K1374">
            <v>0</v>
          </cell>
          <cell r="L1374">
            <v>0</v>
          </cell>
          <cell r="M1374">
            <v>0</v>
          </cell>
          <cell r="N1374">
            <v>0</v>
          </cell>
          <cell r="O1374">
            <v>0</v>
          </cell>
          <cell r="P1374">
            <v>0</v>
          </cell>
          <cell r="Q1374">
            <v>0</v>
          </cell>
          <cell r="R1374">
            <v>0</v>
          </cell>
          <cell r="S1374">
            <v>0</v>
          </cell>
          <cell r="T1374">
            <v>0</v>
          </cell>
          <cell r="U1374" t="e">
            <v>#N/A</v>
          </cell>
        </row>
        <row r="1375">
          <cell r="A1375">
            <v>1001369</v>
          </cell>
          <cell r="B1375" t="str">
            <v>Bolsa P/ vainas de Coma C-417-0151</v>
          </cell>
          <cell r="D1375">
            <v>7201</v>
          </cell>
          <cell r="E1375">
            <v>1000</v>
          </cell>
          <cell r="F1375" t="str">
            <v>ZALM</v>
          </cell>
          <cell r="G1375" t="str">
            <v>UN</v>
          </cell>
          <cell r="H1375" t="str">
            <v>DOP</v>
          </cell>
          <cell r="I1375">
            <v>0</v>
          </cell>
          <cell r="J1375">
            <v>0</v>
          </cell>
          <cell r="K1375">
            <v>0</v>
          </cell>
          <cell r="L1375">
            <v>0</v>
          </cell>
          <cell r="M1375">
            <v>0</v>
          </cell>
          <cell r="N1375">
            <v>0</v>
          </cell>
          <cell r="O1375">
            <v>0</v>
          </cell>
          <cell r="P1375">
            <v>0</v>
          </cell>
          <cell r="Q1375">
            <v>0</v>
          </cell>
          <cell r="R1375">
            <v>0</v>
          </cell>
          <cell r="S1375">
            <v>0</v>
          </cell>
          <cell r="T1375">
            <v>0</v>
          </cell>
          <cell r="U1375" t="e">
            <v>#N/A</v>
          </cell>
        </row>
        <row r="1376">
          <cell r="A1376">
            <v>1001370</v>
          </cell>
          <cell r="B1376" t="str">
            <v>Bolso P/ Portar Puesta a Tierra</v>
          </cell>
          <cell r="D1376">
            <v>5501</v>
          </cell>
          <cell r="E1376">
            <v>1000</v>
          </cell>
          <cell r="F1376" t="str">
            <v>ZALM</v>
          </cell>
          <cell r="G1376" t="str">
            <v>UN</v>
          </cell>
          <cell r="H1376" t="str">
            <v>DOP</v>
          </cell>
          <cell r="I1376">
            <v>0</v>
          </cell>
          <cell r="J1376">
            <v>0</v>
          </cell>
          <cell r="K1376">
            <v>0</v>
          </cell>
          <cell r="L1376">
            <v>0</v>
          </cell>
          <cell r="M1376">
            <v>0</v>
          </cell>
          <cell r="N1376">
            <v>0</v>
          </cell>
          <cell r="O1376">
            <v>0</v>
          </cell>
          <cell r="P1376">
            <v>0</v>
          </cell>
          <cell r="Q1376">
            <v>0</v>
          </cell>
          <cell r="R1376">
            <v>0</v>
          </cell>
          <cell r="S1376">
            <v>0</v>
          </cell>
          <cell r="T1376">
            <v>0</v>
          </cell>
          <cell r="U1376" t="e">
            <v>#N/A</v>
          </cell>
        </row>
        <row r="1377">
          <cell r="A1377">
            <v>1001371</v>
          </cell>
          <cell r="B1377" t="str">
            <v>Brazo Auxiliar Completo</v>
          </cell>
          <cell r="D1377">
            <v>5501</v>
          </cell>
          <cell r="E1377">
            <v>1000</v>
          </cell>
          <cell r="F1377" t="str">
            <v>ZALM</v>
          </cell>
          <cell r="G1377" t="str">
            <v>UN</v>
          </cell>
          <cell r="H1377" t="str">
            <v>DOP</v>
          </cell>
          <cell r="I1377">
            <v>0</v>
          </cell>
          <cell r="J1377">
            <v>0</v>
          </cell>
          <cell r="K1377">
            <v>0</v>
          </cell>
          <cell r="L1377">
            <v>0</v>
          </cell>
          <cell r="M1377">
            <v>0</v>
          </cell>
          <cell r="N1377">
            <v>0</v>
          </cell>
          <cell r="O1377">
            <v>0</v>
          </cell>
          <cell r="P1377">
            <v>0</v>
          </cell>
          <cell r="Q1377">
            <v>0</v>
          </cell>
          <cell r="R1377">
            <v>0</v>
          </cell>
          <cell r="S1377">
            <v>0</v>
          </cell>
          <cell r="T1377">
            <v>0</v>
          </cell>
          <cell r="U1377" t="e">
            <v>#N/A</v>
          </cell>
        </row>
        <row r="1378">
          <cell r="A1378">
            <v>1001372</v>
          </cell>
          <cell r="B1378" t="str">
            <v>Brazo de Extensión 3" x 6'</v>
          </cell>
          <cell r="D1378">
            <v>5501</v>
          </cell>
          <cell r="E1378">
            <v>1000</v>
          </cell>
          <cell r="F1378" t="str">
            <v>ZALM</v>
          </cell>
          <cell r="G1378" t="str">
            <v>UN</v>
          </cell>
          <cell r="H1378" t="str">
            <v>DOP</v>
          </cell>
          <cell r="I1378">
            <v>0</v>
          </cell>
          <cell r="J1378">
            <v>0</v>
          </cell>
          <cell r="K1378">
            <v>0</v>
          </cell>
          <cell r="L1378">
            <v>0</v>
          </cell>
          <cell r="M1378">
            <v>0</v>
          </cell>
          <cell r="N1378">
            <v>0</v>
          </cell>
          <cell r="O1378">
            <v>0</v>
          </cell>
          <cell r="P1378">
            <v>0</v>
          </cell>
          <cell r="Q1378">
            <v>0</v>
          </cell>
          <cell r="R1378">
            <v>0</v>
          </cell>
          <cell r="S1378">
            <v>0</v>
          </cell>
          <cell r="T1378">
            <v>0</v>
          </cell>
          <cell r="U1378" t="e">
            <v>#N/A</v>
          </cell>
        </row>
        <row r="1379">
          <cell r="A1379">
            <v>1001373</v>
          </cell>
          <cell r="B1379" t="str">
            <v>Brazo Doble Aux Similar Change C400-0075</v>
          </cell>
          <cell r="D1379">
            <v>5501</v>
          </cell>
          <cell r="E1379">
            <v>1000</v>
          </cell>
          <cell r="F1379" t="str">
            <v>ZALM</v>
          </cell>
          <cell r="G1379" t="str">
            <v>UN</v>
          </cell>
          <cell r="H1379" t="str">
            <v>DOP</v>
          </cell>
          <cell r="I1379">
            <v>0</v>
          </cell>
          <cell r="J1379">
            <v>0</v>
          </cell>
          <cell r="K1379">
            <v>0</v>
          </cell>
          <cell r="L1379">
            <v>0</v>
          </cell>
          <cell r="M1379">
            <v>0</v>
          </cell>
          <cell r="N1379">
            <v>0</v>
          </cell>
          <cell r="O1379">
            <v>0</v>
          </cell>
          <cell r="P1379">
            <v>0</v>
          </cell>
          <cell r="Q1379">
            <v>0</v>
          </cell>
          <cell r="R1379">
            <v>0</v>
          </cell>
          <cell r="S1379">
            <v>0</v>
          </cell>
          <cell r="T1379">
            <v>0</v>
          </cell>
          <cell r="U1379" t="e">
            <v>#N/A</v>
          </cell>
        </row>
        <row r="1380">
          <cell r="A1380">
            <v>1001374</v>
          </cell>
          <cell r="B1380" t="str">
            <v>Bulto Porta Herramientas P/ Linieros</v>
          </cell>
          <cell r="D1380">
            <v>7201</v>
          </cell>
          <cell r="E1380">
            <v>1000</v>
          </cell>
          <cell r="F1380" t="str">
            <v>ZALM</v>
          </cell>
          <cell r="G1380" t="str">
            <v>UN</v>
          </cell>
          <cell r="H1380" t="str">
            <v>DOP</v>
          </cell>
          <cell r="I1380">
            <v>77</v>
          </cell>
          <cell r="J1380">
            <v>68174.13</v>
          </cell>
          <cell r="K1380">
            <v>0</v>
          </cell>
          <cell r="L1380">
            <v>0</v>
          </cell>
          <cell r="M1380">
            <v>0</v>
          </cell>
          <cell r="N1380">
            <v>0</v>
          </cell>
          <cell r="O1380">
            <v>0</v>
          </cell>
          <cell r="P1380">
            <v>0</v>
          </cell>
          <cell r="Q1380">
            <v>0</v>
          </cell>
          <cell r="R1380">
            <v>0</v>
          </cell>
          <cell r="S1380">
            <v>77</v>
          </cell>
          <cell r="T1380">
            <v>68174.13</v>
          </cell>
          <cell r="U1380">
            <v>885.37831168831201</v>
          </cell>
        </row>
        <row r="1381">
          <cell r="A1381">
            <v>1001375</v>
          </cell>
          <cell r="B1381" t="str">
            <v>Burro P/ Mecanico 12 Ton (Torres)</v>
          </cell>
          <cell r="D1381">
            <v>5501</v>
          </cell>
          <cell r="E1381">
            <v>1000</v>
          </cell>
          <cell r="F1381" t="str">
            <v>ZALM</v>
          </cell>
          <cell r="G1381" t="str">
            <v>UN</v>
          </cell>
          <cell r="H1381" t="str">
            <v>DOP</v>
          </cell>
          <cell r="I1381">
            <v>0</v>
          </cell>
          <cell r="J1381">
            <v>0</v>
          </cell>
          <cell r="K1381">
            <v>0</v>
          </cell>
          <cell r="L1381">
            <v>0</v>
          </cell>
          <cell r="M1381">
            <v>0</v>
          </cell>
          <cell r="N1381">
            <v>0</v>
          </cell>
          <cell r="O1381">
            <v>0</v>
          </cell>
          <cell r="P1381">
            <v>0</v>
          </cell>
          <cell r="Q1381">
            <v>0</v>
          </cell>
          <cell r="R1381">
            <v>0</v>
          </cell>
          <cell r="S1381">
            <v>0</v>
          </cell>
          <cell r="T1381">
            <v>0</v>
          </cell>
          <cell r="U1381" t="e">
            <v>#N/A</v>
          </cell>
        </row>
        <row r="1382">
          <cell r="A1382">
            <v>1001376</v>
          </cell>
          <cell r="B1382" t="str">
            <v>Cabesote P/ Equipos Comp</v>
          </cell>
          <cell r="D1382">
            <v>5501</v>
          </cell>
          <cell r="E1382">
            <v>1000</v>
          </cell>
          <cell r="F1382" t="str">
            <v>ZALM</v>
          </cell>
          <cell r="G1382" t="str">
            <v>UN</v>
          </cell>
          <cell r="H1382" t="str">
            <v>DOP</v>
          </cell>
          <cell r="I1382">
            <v>0</v>
          </cell>
          <cell r="J1382">
            <v>0</v>
          </cell>
          <cell r="K1382">
            <v>0</v>
          </cell>
          <cell r="L1382">
            <v>0</v>
          </cell>
          <cell r="M1382">
            <v>0</v>
          </cell>
          <cell r="N1382">
            <v>0</v>
          </cell>
          <cell r="O1382">
            <v>0</v>
          </cell>
          <cell r="P1382">
            <v>0</v>
          </cell>
          <cell r="Q1382">
            <v>0</v>
          </cell>
          <cell r="R1382">
            <v>0</v>
          </cell>
          <cell r="S1382">
            <v>0</v>
          </cell>
          <cell r="T1382">
            <v>0</v>
          </cell>
          <cell r="U1382" t="e">
            <v>#N/A</v>
          </cell>
        </row>
        <row r="1383">
          <cell r="A1383">
            <v>1001377</v>
          </cell>
          <cell r="B1383" t="str">
            <v>Cabezote Equip Comp P/ Conect Term</v>
          </cell>
          <cell r="D1383">
            <v>5501</v>
          </cell>
          <cell r="E1383">
            <v>1000</v>
          </cell>
          <cell r="F1383" t="str">
            <v>ZALM</v>
          </cell>
          <cell r="G1383" t="str">
            <v>UN</v>
          </cell>
          <cell r="H1383" t="str">
            <v>DOP</v>
          </cell>
          <cell r="I1383">
            <v>0</v>
          </cell>
          <cell r="J1383">
            <v>0</v>
          </cell>
          <cell r="K1383">
            <v>0</v>
          </cell>
          <cell r="L1383">
            <v>0</v>
          </cell>
          <cell r="M1383">
            <v>0</v>
          </cell>
          <cell r="N1383">
            <v>0</v>
          </cell>
          <cell r="O1383">
            <v>0</v>
          </cell>
          <cell r="P1383">
            <v>0</v>
          </cell>
          <cell r="Q1383">
            <v>0</v>
          </cell>
          <cell r="R1383">
            <v>0</v>
          </cell>
          <cell r="S1383">
            <v>0</v>
          </cell>
          <cell r="T1383">
            <v>0</v>
          </cell>
          <cell r="U1383" t="e">
            <v>#N/A</v>
          </cell>
        </row>
        <row r="1384">
          <cell r="A1384">
            <v>1001378</v>
          </cell>
          <cell r="B1384" t="str">
            <v>Cadena 1/2" de Diámetro</v>
          </cell>
          <cell r="D1384">
            <v>5501</v>
          </cell>
          <cell r="E1384">
            <v>1000</v>
          </cell>
          <cell r="F1384" t="str">
            <v>ZALM</v>
          </cell>
          <cell r="G1384" t="str">
            <v>UN</v>
          </cell>
          <cell r="H1384" t="str">
            <v>DOP</v>
          </cell>
          <cell r="I1384">
            <v>1215</v>
          </cell>
          <cell r="J1384">
            <v>77517</v>
          </cell>
          <cell r="K1384">
            <v>0</v>
          </cell>
          <cell r="L1384">
            <v>0</v>
          </cell>
          <cell r="M1384">
            <v>0</v>
          </cell>
          <cell r="N1384">
            <v>0</v>
          </cell>
          <cell r="O1384">
            <v>0</v>
          </cell>
          <cell r="P1384">
            <v>0</v>
          </cell>
          <cell r="Q1384">
            <v>0</v>
          </cell>
          <cell r="R1384">
            <v>0</v>
          </cell>
          <cell r="S1384">
            <v>1215</v>
          </cell>
          <cell r="T1384">
            <v>77517</v>
          </cell>
          <cell r="U1384">
            <v>63.8</v>
          </cell>
        </row>
        <row r="1385">
          <cell r="A1385">
            <v>1001379</v>
          </cell>
          <cell r="B1385" t="str">
            <v>Cadena Eslabon Corto 1/4 6mm</v>
          </cell>
          <cell r="D1385">
            <v>5501</v>
          </cell>
          <cell r="E1385">
            <v>1000</v>
          </cell>
          <cell r="F1385" t="str">
            <v>ZALM</v>
          </cell>
          <cell r="G1385" t="str">
            <v>UN</v>
          </cell>
          <cell r="H1385" t="str">
            <v>DOP</v>
          </cell>
          <cell r="I1385">
            <v>0</v>
          </cell>
          <cell r="J1385">
            <v>0</v>
          </cell>
          <cell r="K1385">
            <v>0</v>
          </cell>
          <cell r="L1385">
            <v>0</v>
          </cell>
          <cell r="M1385">
            <v>0</v>
          </cell>
          <cell r="N1385">
            <v>0</v>
          </cell>
          <cell r="O1385">
            <v>0</v>
          </cell>
          <cell r="P1385">
            <v>0</v>
          </cell>
          <cell r="Q1385">
            <v>0</v>
          </cell>
          <cell r="R1385">
            <v>0</v>
          </cell>
          <cell r="S1385">
            <v>0</v>
          </cell>
          <cell r="T1385">
            <v>0</v>
          </cell>
          <cell r="U1385" t="e">
            <v>#N/A</v>
          </cell>
        </row>
        <row r="1386">
          <cell r="A1386">
            <v>1001380</v>
          </cell>
          <cell r="B1386" t="str">
            <v>Caja Herramientas 12 Gavetas kleim</v>
          </cell>
          <cell r="D1386">
            <v>5501</v>
          </cell>
          <cell r="E1386">
            <v>1000</v>
          </cell>
          <cell r="F1386" t="str">
            <v>ZALM</v>
          </cell>
          <cell r="G1386" t="str">
            <v>UN</v>
          </cell>
          <cell r="H1386" t="str">
            <v>DOP</v>
          </cell>
          <cell r="I1386">
            <v>0</v>
          </cell>
          <cell r="J1386">
            <v>0</v>
          </cell>
          <cell r="K1386">
            <v>0</v>
          </cell>
          <cell r="L1386">
            <v>0</v>
          </cell>
          <cell r="M1386">
            <v>0</v>
          </cell>
          <cell r="N1386">
            <v>0</v>
          </cell>
          <cell r="O1386">
            <v>0</v>
          </cell>
          <cell r="P1386">
            <v>0</v>
          </cell>
          <cell r="Q1386">
            <v>0</v>
          </cell>
          <cell r="R1386">
            <v>0</v>
          </cell>
          <cell r="S1386">
            <v>0</v>
          </cell>
          <cell r="T1386">
            <v>0</v>
          </cell>
          <cell r="U1386" t="e">
            <v>#N/A</v>
          </cell>
        </row>
        <row r="1387">
          <cell r="A1387">
            <v>1001381</v>
          </cell>
          <cell r="B1387" t="str">
            <v>Caja Herramientas 9 Gavetas kleim 54302</v>
          </cell>
          <cell r="D1387">
            <v>5501</v>
          </cell>
          <cell r="E1387">
            <v>1000</v>
          </cell>
          <cell r="F1387" t="str">
            <v>ZALM</v>
          </cell>
          <cell r="G1387" t="str">
            <v>UN</v>
          </cell>
          <cell r="H1387" t="str">
            <v>DOP</v>
          </cell>
          <cell r="I1387">
            <v>0</v>
          </cell>
          <cell r="J1387">
            <v>0</v>
          </cell>
          <cell r="K1387">
            <v>0</v>
          </cell>
          <cell r="L1387">
            <v>0</v>
          </cell>
          <cell r="M1387">
            <v>0</v>
          </cell>
          <cell r="N1387">
            <v>0</v>
          </cell>
          <cell r="O1387">
            <v>0</v>
          </cell>
          <cell r="P1387">
            <v>0</v>
          </cell>
          <cell r="Q1387">
            <v>0</v>
          </cell>
          <cell r="R1387">
            <v>0</v>
          </cell>
          <cell r="S1387">
            <v>0</v>
          </cell>
          <cell r="T1387">
            <v>0</v>
          </cell>
          <cell r="U1387" t="e">
            <v>#N/A</v>
          </cell>
        </row>
        <row r="1388">
          <cell r="A1388">
            <v>1001382</v>
          </cell>
          <cell r="B1388" t="str">
            <v>Caja Herramientas Aprox 46.5Cmx17Cm</v>
          </cell>
          <cell r="D1388">
            <v>5501</v>
          </cell>
          <cell r="E1388">
            <v>1000</v>
          </cell>
          <cell r="F1388" t="str">
            <v>ZALM</v>
          </cell>
          <cell r="G1388" t="str">
            <v>UN</v>
          </cell>
          <cell r="H1388" t="str">
            <v>DOP</v>
          </cell>
          <cell r="I1388">
            <v>0</v>
          </cell>
          <cell r="J1388">
            <v>0</v>
          </cell>
          <cell r="K1388">
            <v>0</v>
          </cell>
          <cell r="L1388">
            <v>0</v>
          </cell>
          <cell r="M1388">
            <v>0</v>
          </cell>
          <cell r="N1388">
            <v>0</v>
          </cell>
          <cell r="O1388">
            <v>0</v>
          </cell>
          <cell r="P1388">
            <v>0</v>
          </cell>
          <cell r="Q1388">
            <v>0</v>
          </cell>
          <cell r="R1388">
            <v>0</v>
          </cell>
          <cell r="S1388">
            <v>0</v>
          </cell>
          <cell r="T1388">
            <v>0</v>
          </cell>
          <cell r="U1388" t="e">
            <v>#N/A</v>
          </cell>
        </row>
        <row r="1389">
          <cell r="A1389">
            <v>1001383</v>
          </cell>
          <cell r="B1389" t="str">
            <v>Caja Porta Herramienta Vacía</v>
          </cell>
          <cell r="D1389">
            <v>5501</v>
          </cell>
          <cell r="E1389">
            <v>1000</v>
          </cell>
          <cell r="F1389" t="str">
            <v>ZALM</v>
          </cell>
          <cell r="G1389" t="str">
            <v>UN</v>
          </cell>
          <cell r="H1389" t="str">
            <v>DOP</v>
          </cell>
          <cell r="I1389">
            <v>0</v>
          </cell>
          <cell r="J1389">
            <v>0</v>
          </cell>
          <cell r="K1389">
            <v>1</v>
          </cell>
          <cell r="L1389">
            <v>610.01</v>
          </cell>
          <cell r="M1389">
            <v>0</v>
          </cell>
          <cell r="N1389">
            <v>0</v>
          </cell>
          <cell r="O1389">
            <v>0</v>
          </cell>
          <cell r="P1389">
            <v>0</v>
          </cell>
          <cell r="Q1389">
            <v>0</v>
          </cell>
          <cell r="R1389">
            <v>0</v>
          </cell>
          <cell r="S1389">
            <v>1</v>
          </cell>
          <cell r="T1389">
            <v>610.01</v>
          </cell>
          <cell r="U1389">
            <v>610.01</v>
          </cell>
        </row>
        <row r="1390">
          <cell r="A1390">
            <v>1001384</v>
          </cell>
          <cell r="B1390" t="str">
            <v>Cajon de Herramientas P/ Camioneta</v>
          </cell>
          <cell r="D1390">
            <v>5501</v>
          </cell>
          <cell r="E1390">
            <v>1000</v>
          </cell>
          <cell r="F1390" t="str">
            <v>ZALM</v>
          </cell>
          <cell r="G1390" t="str">
            <v>UN</v>
          </cell>
          <cell r="H1390" t="str">
            <v>DOP</v>
          </cell>
          <cell r="I1390">
            <v>0</v>
          </cell>
          <cell r="J1390">
            <v>0</v>
          </cell>
          <cell r="K1390">
            <v>0</v>
          </cell>
          <cell r="L1390">
            <v>0</v>
          </cell>
          <cell r="M1390">
            <v>0</v>
          </cell>
          <cell r="N1390">
            <v>0</v>
          </cell>
          <cell r="O1390">
            <v>0</v>
          </cell>
          <cell r="P1390">
            <v>0</v>
          </cell>
          <cell r="Q1390">
            <v>0</v>
          </cell>
          <cell r="R1390">
            <v>0</v>
          </cell>
          <cell r="S1390">
            <v>0</v>
          </cell>
          <cell r="T1390">
            <v>0</v>
          </cell>
          <cell r="U1390" t="e">
            <v>#N/A</v>
          </cell>
        </row>
        <row r="1391">
          <cell r="A1391">
            <v>1001385</v>
          </cell>
          <cell r="B1391" t="str">
            <v>Canasta P/ Mantas</v>
          </cell>
          <cell r="D1391">
            <v>5501</v>
          </cell>
          <cell r="E1391">
            <v>1000</v>
          </cell>
          <cell r="F1391" t="str">
            <v>ZALM</v>
          </cell>
          <cell r="G1391" t="str">
            <v>UN</v>
          </cell>
          <cell r="H1391" t="str">
            <v>DOP</v>
          </cell>
          <cell r="I1391">
            <v>0</v>
          </cell>
          <cell r="J1391">
            <v>0</v>
          </cell>
          <cell r="K1391">
            <v>0</v>
          </cell>
          <cell r="L1391">
            <v>0</v>
          </cell>
          <cell r="M1391">
            <v>0</v>
          </cell>
          <cell r="N1391">
            <v>0</v>
          </cell>
          <cell r="O1391">
            <v>0</v>
          </cell>
          <cell r="P1391">
            <v>0</v>
          </cell>
          <cell r="Q1391">
            <v>0</v>
          </cell>
          <cell r="R1391">
            <v>0</v>
          </cell>
          <cell r="S1391">
            <v>0</v>
          </cell>
          <cell r="T1391">
            <v>0</v>
          </cell>
          <cell r="U1391" t="e">
            <v>#N/A</v>
          </cell>
        </row>
        <row r="1392">
          <cell r="A1392">
            <v>1001386</v>
          </cell>
          <cell r="B1392" t="str">
            <v>Candado 40mm 110 YALE</v>
          </cell>
          <cell r="D1392">
            <v>5501</v>
          </cell>
          <cell r="E1392">
            <v>1000</v>
          </cell>
          <cell r="F1392" t="str">
            <v>ZALM</v>
          </cell>
          <cell r="G1392" t="str">
            <v>UN</v>
          </cell>
          <cell r="H1392" t="str">
            <v>DOP</v>
          </cell>
          <cell r="I1392">
            <v>0</v>
          </cell>
          <cell r="J1392">
            <v>0</v>
          </cell>
          <cell r="K1392">
            <v>0</v>
          </cell>
          <cell r="L1392">
            <v>0</v>
          </cell>
          <cell r="M1392">
            <v>0</v>
          </cell>
          <cell r="N1392">
            <v>0</v>
          </cell>
          <cell r="O1392">
            <v>0</v>
          </cell>
          <cell r="P1392">
            <v>0</v>
          </cell>
          <cell r="Q1392">
            <v>0</v>
          </cell>
          <cell r="R1392">
            <v>0</v>
          </cell>
          <cell r="S1392">
            <v>0</v>
          </cell>
          <cell r="T1392">
            <v>0</v>
          </cell>
          <cell r="U1392" t="e">
            <v>#N/A</v>
          </cell>
        </row>
        <row r="1393">
          <cell r="A1393">
            <v>1001387</v>
          </cell>
          <cell r="B1393" t="str">
            <v>Candado 50mm 110.50 YALE</v>
          </cell>
          <cell r="D1393">
            <v>5501</v>
          </cell>
          <cell r="E1393">
            <v>1000</v>
          </cell>
          <cell r="F1393" t="str">
            <v>ZALM</v>
          </cell>
          <cell r="G1393" t="str">
            <v>UN</v>
          </cell>
          <cell r="H1393" t="str">
            <v>DOP</v>
          </cell>
          <cell r="I1393">
            <v>0</v>
          </cell>
          <cell r="J1393">
            <v>0</v>
          </cell>
          <cell r="K1393">
            <v>0</v>
          </cell>
          <cell r="L1393">
            <v>0</v>
          </cell>
          <cell r="M1393">
            <v>0</v>
          </cell>
          <cell r="N1393">
            <v>0</v>
          </cell>
          <cell r="O1393">
            <v>0</v>
          </cell>
          <cell r="P1393">
            <v>0</v>
          </cell>
          <cell r="Q1393">
            <v>0</v>
          </cell>
          <cell r="R1393">
            <v>0</v>
          </cell>
          <cell r="S1393">
            <v>0</v>
          </cell>
          <cell r="T1393">
            <v>0</v>
          </cell>
          <cell r="U1393" t="e">
            <v>#N/A</v>
          </cell>
        </row>
        <row r="1394">
          <cell r="A1394">
            <v>1001388</v>
          </cell>
          <cell r="B1394" t="str">
            <v>Candado Amaestrado 50mm CISA</v>
          </cell>
          <cell r="D1394">
            <v>5501</v>
          </cell>
          <cell r="E1394">
            <v>1000</v>
          </cell>
          <cell r="F1394" t="str">
            <v>ZALM</v>
          </cell>
          <cell r="G1394" t="str">
            <v>UN</v>
          </cell>
          <cell r="H1394" t="str">
            <v>DOP</v>
          </cell>
          <cell r="I1394">
            <v>0</v>
          </cell>
          <cell r="J1394">
            <v>0</v>
          </cell>
          <cell r="K1394">
            <v>0</v>
          </cell>
          <cell r="L1394">
            <v>0</v>
          </cell>
          <cell r="M1394">
            <v>0</v>
          </cell>
          <cell r="N1394">
            <v>0</v>
          </cell>
          <cell r="O1394">
            <v>0</v>
          </cell>
          <cell r="P1394">
            <v>0</v>
          </cell>
          <cell r="Q1394">
            <v>0</v>
          </cell>
          <cell r="R1394">
            <v>0</v>
          </cell>
          <cell r="S1394">
            <v>0</v>
          </cell>
          <cell r="T1394">
            <v>0</v>
          </cell>
          <cell r="U1394" t="e">
            <v>#N/A</v>
          </cell>
        </row>
        <row r="1395">
          <cell r="A1395">
            <v>1001389</v>
          </cell>
          <cell r="B1395" t="str">
            <v>Candado CISA 70mm Anti-Cizallas</v>
          </cell>
          <cell r="D1395">
            <v>5501</v>
          </cell>
          <cell r="E1395">
            <v>1000</v>
          </cell>
          <cell r="F1395" t="str">
            <v>ZALM</v>
          </cell>
          <cell r="G1395" t="str">
            <v>UN</v>
          </cell>
          <cell r="H1395" t="str">
            <v>DOP</v>
          </cell>
          <cell r="I1395">
            <v>0</v>
          </cell>
          <cell r="J1395">
            <v>0</v>
          </cell>
          <cell r="K1395">
            <v>0</v>
          </cell>
          <cell r="L1395">
            <v>0</v>
          </cell>
          <cell r="M1395">
            <v>0</v>
          </cell>
          <cell r="N1395">
            <v>0</v>
          </cell>
          <cell r="O1395">
            <v>0</v>
          </cell>
          <cell r="P1395">
            <v>0</v>
          </cell>
          <cell r="Q1395">
            <v>0</v>
          </cell>
          <cell r="R1395">
            <v>0</v>
          </cell>
          <cell r="S1395">
            <v>0</v>
          </cell>
          <cell r="T1395">
            <v>0</v>
          </cell>
          <cell r="U1395" t="e">
            <v>#N/A</v>
          </cell>
        </row>
        <row r="1396">
          <cell r="A1396">
            <v>1001390</v>
          </cell>
          <cell r="B1396" t="str">
            <v>Cepillo Acer C/ Mango Mad Std 4"x15"</v>
          </cell>
          <cell r="D1396">
            <v>5501</v>
          </cell>
          <cell r="E1396">
            <v>1000</v>
          </cell>
          <cell r="F1396" t="str">
            <v>ZALM</v>
          </cell>
          <cell r="G1396" t="str">
            <v>UN</v>
          </cell>
          <cell r="H1396" t="str">
            <v>DOP</v>
          </cell>
          <cell r="I1396">
            <v>15</v>
          </cell>
          <cell r="J1396">
            <v>1085.4000000000001</v>
          </cell>
          <cell r="K1396">
            <v>0</v>
          </cell>
          <cell r="L1396">
            <v>0</v>
          </cell>
          <cell r="M1396">
            <v>0</v>
          </cell>
          <cell r="N1396">
            <v>0</v>
          </cell>
          <cell r="O1396">
            <v>0</v>
          </cell>
          <cell r="P1396">
            <v>0</v>
          </cell>
          <cell r="Q1396">
            <v>0</v>
          </cell>
          <cell r="R1396">
            <v>0</v>
          </cell>
          <cell r="S1396">
            <v>15</v>
          </cell>
          <cell r="T1396">
            <v>1085.4000000000001</v>
          </cell>
          <cell r="U1396">
            <v>72.36</v>
          </cell>
        </row>
        <row r="1397">
          <cell r="A1397">
            <v>1001391</v>
          </cell>
          <cell r="B1397" t="str">
            <v>Chicharra Estándar 1/2"x10"</v>
          </cell>
          <cell r="D1397">
            <v>5501</v>
          </cell>
          <cell r="E1397">
            <v>1000</v>
          </cell>
          <cell r="F1397" t="str">
            <v>ZALM</v>
          </cell>
          <cell r="G1397" t="str">
            <v>UN</v>
          </cell>
          <cell r="H1397" t="str">
            <v>DOP</v>
          </cell>
          <cell r="I1397">
            <v>0</v>
          </cell>
          <cell r="J1397">
            <v>0</v>
          </cell>
          <cell r="K1397">
            <v>0</v>
          </cell>
          <cell r="L1397">
            <v>0</v>
          </cell>
          <cell r="M1397">
            <v>0</v>
          </cell>
          <cell r="N1397">
            <v>0</v>
          </cell>
          <cell r="O1397">
            <v>0</v>
          </cell>
          <cell r="P1397">
            <v>0</v>
          </cell>
          <cell r="Q1397">
            <v>0</v>
          </cell>
          <cell r="R1397">
            <v>0</v>
          </cell>
          <cell r="S1397">
            <v>0</v>
          </cell>
          <cell r="T1397">
            <v>0</v>
          </cell>
          <cell r="U1397" t="e">
            <v>#N/A</v>
          </cell>
        </row>
        <row r="1398">
          <cell r="A1398">
            <v>1001392</v>
          </cell>
          <cell r="B1398" t="str">
            <v>Chicharra Estándar 3/8"x8"</v>
          </cell>
          <cell r="D1398">
            <v>5501</v>
          </cell>
          <cell r="E1398">
            <v>1000</v>
          </cell>
          <cell r="F1398" t="str">
            <v>ZALM</v>
          </cell>
          <cell r="G1398" t="str">
            <v>UN</v>
          </cell>
          <cell r="H1398" t="str">
            <v>DOP</v>
          </cell>
          <cell r="I1398">
            <v>0</v>
          </cell>
          <cell r="J1398">
            <v>0</v>
          </cell>
          <cell r="K1398">
            <v>0</v>
          </cell>
          <cell r="L1398">
            <v>0</v>
          </cell>
          <cell r="M1398">
            <v>0</v>
          </cell>
          <cell r="N1398">
            <v>0</v>
          </cell>
          <cell r="O1398">
            <v>0</v>
          </cell>
          <cell r="P1398">
            <v>0</v>
          </cell>
          <cell r="Q1398">
            <v>0</v>
          </cell>
          <cell r="R1398">
            <v>0</v>
          </cell>
          <cell r="S1398">
            <v>0</v>
          </cell>
          <cell r="T1398">
            <v>0</v>
          </cell>
          <cell r="U1398" t="e">
            <v>#N/A</v>
          </cell>
        </row>
        <row r="1399">
          <cell r="A1399">
            <v>1001393</v>
          </cell>
          <cell r="B1399" t="str">
            <v>Chipero (Ignitores)</v>
          </cell>
          <cell r="D1399">
            <v>5501</v>
          </cell>
          <cell r="E1399">
            <v>1000</v>
          </cell>
          <cell r="F1399" t="str">
            <v>ZALM</v>
          </cell>
          <cell r="G1399" t="str">
            <v>UN</v>
          </cell>
          <cell r="H1399" t="str">
            <v>DOP</v>
          </cell>
          <cell r="I1399">
            <v>54</v>
          </cell>
          <cell r="J1399">
            <v>234.9</v>
          </cell>
          <cell r="K1399">
            <v>0</v>
          </cell>
          <cell r="L1399">
            <v>0</v>
          </cell>
          <cell r="M1399">
            <v>0</v>
          </cell>
          <cell r="N1399">
            <v>0</v>
          </cell>
          <cell r="O1399">
            <v>0</v>
          </cell>
          <cell r="P1399">
            <v>0</v>
          </cell>
          <cell r="Q1399">
            <v>0</v>
          </cell>
          <cell r="R1399">
            <v>0</v>
          </cell>
          <cell r="S1399">
            <v>54</v>
          </cell>
          <cell r="T1399">
            <v>234.9</v>
          </cell>
          <cell r="U1399">
            <v>4.3499999999999996</v>
          </cell>
        </row>
        <row r="1400">
          <cell r="A1400">
            <v>1001394</v>
          </cell>
          <cell r="B1400" t="str">
            <v>Cincel de Punta Estándar 5/8"x10"</v>
          </cell>
          <cell r="D1400">
            <v>7201</v>
          </cell>
          <cell r="E1400">
            <v>1000</v>
          </cell>
          <cell r="F1400" t="str">
            <v>ZALM</v>
          </cell>
          <cell r="G1400" t="str">
            <v>UN</v>
          </cell>
          <cell r="H1400" t="str">
            <v>DOP</v>
          </cell>
          <cell r="I1400">
            <v>0</v>
          </cell>
          <cell r="J1400">
            <v>0</v>
          </cell>
          <cell r="K1400">
            <v>0</v>
          </cell>
          <cell r="L1400">
            <v>0</v>
          </cell>
          <cell r="M1400">
            <v>0</v>
          </cell>
          <cell r="N1400">
            <v>0</v>
          </cell>
          <cell r="O1400">
            <v>0</v>
          </cell>
          <cell r="P1400">
            <v>0</v>
          </cell>
          <cell r="Q1400">
            <v>0</v>
          </cell>
          <cell r="R1400">
            <v>0</v>
          </cell>
          <cell r="S1400">
            <v>0</v>
          </cell>
          <cell r="T1400">
            <v>0</v>
          </cell>
          <cell r="U1400" t="e">
            <v>#N/A</v>
          </cell>
        </row>
        <row r="1401">
          <cell r="A1401">
            <v>1001395</v>
          </cell>
          <cell r="B1401" t="str">
            <v>Cincel de Punta Estandar 5/8"x8"</v>
          </cell>
          <cell r="D1401">
            <v>7201</v>
          </cell>
          <cell r="E1401">
            <v>1000</v>
          </cell>
          <cell r="F1401" t="str">
            <v>ZALM</v>
          </cell>
          <cell r="G1401" t="str">
            <v>UN</v>
          </cell>
          <cell r="H1401" t="str">
            <v>DOP</v>
          </cell>
          <cell r="I1401">
            <v>1</v>
          </cell>
          <cell r="J1401">
            <v>0</v>
          </cell>
          <cell r="K1401">
            <v>0</v>
          </cell>
          <cell r="L1401">
            <v>0</v>
          </cell>
          <cell r="M1401">
            <v>0</v>
          </cell>
          <cell r="N1401">
            <v>0</v>
          </cell>
          <cell r="O1401">
            <v>0</v>
          </cell>
          <cell r="P1401">
            <v>0</v>
          </cell>
          <cell r="Q1401">
            <v>0</v>
          </cell>
          <cell r="R1401">
            <v>0</v>
          </cell>
          <cell r="S1401">
            <v>1</v>
          </cell>
          <cell r="T1401">
            <v>0</v>
          </cell>
          <cell r="U1401">
            <v>0</v>
          </cell>
        </row>
        <row r="1402">
          <cell r="A1402">
            <v>1001396</v>
          </cell>
          <cell r="B1402" t="str">
            <v>Cincel Plano Estándar 5/8"x12"</v>
          </cell>
          <cell r="D1402">
            <v>7201</v>
          </cell>
          <cell r="E1402">
            <v>1000</v>
          </cell>
          <cell r="F1402" t="str">
            <v>ZALM</v>
          </cell>
          <cell r="G1402" t="str">
            <v>UN</v>
          </cell>
          <cell r="H1402" t="str">
            <v>DOP</v>
          </cell>
          <cell r="I1402">
            <v>0</v>
          </cell>
          <cell r="J1402">
            <v>0</v>
          </cell>
          <cell r="K1402">
            <v>0</v>
          </cell>
          <cell r="L1402">
            <v>0</v>
          </cell>
          <cell r="M1402">
            <v>0</v>
          </cell>
          <cell r="N1402">
            <v>0</v>
          </cell>
          <cell r="O1402">
            <v>0</v>
          </cell>
          <cell r="P1402">
            <v>0</v>
          </cell>
          <cell r="Q1402">
            <v>0</v>
          </cell>
          <cell r="R1402">
            <v>0</v>
          </cell>
          <cell r="S1402">
            <v>0</v>
          </cell>
          <cell r="T1402">
            <v>0</v>
          </cell>
          <cell r="U1402" t="e">
            <v>#N/A</v>
          </cell>
        </row>
        <row r="1403">
          <cell r="A1403">
            <v>1001397</v>
          </cell>
          <cell r="B1403" t="str">
            <v>Cinta Métrica Estándar 8 Metros/26'</v>
          </cell>
          <cell r="D1403">
            <v>5501</v>
          </cell>
          <cell r="E1403">
            <v>1000</v>
          </cell>
          <cell r="F1403" t="str">
            <v>ZALM</v>
          </cell>
          <cell r="G1403" t="str">
            <v>UN</v>
          </cell>
          <cell r="H1403" t="str">
            <v>DOP</v>
          </cell>
          <cell r="I1403">
            <v>0</v>
          </cell>
          <cell r="J1403">
            <v>0</v>
          </cell>
          <cell r="K1403">
            <v>1</v>
          </cell>
          <cell r="L1403">
            <v>220</v>
          </cell>
          <cell r="M1403">
            <v>0</v>
          </cell>
          <cell r="N1403">
            <v>0</v>
          </cell>
          <cell r="O1403">
            <v>0</v>
          </cell>
          <cell r="P1403">
            <v>0</v>
          </cell>
          <cell r="Q1403">
            <v>0</v>
          </cell>
          <cell r="R1403">
            <v>0</v>
          </cell>
          <cell r="S1403">
            <v>1</v>
          </cell>
          <cell r="T1403">
            <v>220</v>
          </cell>
          <cell r="U1403">
            <v>220</v>
          </cell>
        </row>
        <row r="1404">
          <cell r="A1404">
            <v>1001398</v>
          </cell>
          <cell r="B1404" t="str">
            <v>Cinturón Porta Herramientas</v>
          </cell>
          <cell r="D1404">
            <v>5501</v>
          </cell>
          <cell r="E1404">
            <v>1000</v>
          </cell>
          <cell r="F1404" t="str">
            <v>ZALM</v>
          </cell>
          <cell r="G1404" t="str">
            <v>UN</v>
          </cell>
          <cell r="H1404" t="str">
            <v>DOP</v>
          </cell>
          <cell r="I1404">
            <v>0</v>
          </cell>
          <cell r="J1404">
            <v>0</v>
          </cell>
          <cell r="K1404">
            <v>0</v>
          </cell>
          <cell r="L1404">
            <v>0</v>
          </cell>
          <cell r="M1404">
            <v>0</v>
          </cell>
          <cell r="N1404">
            <v>0</v>
          </cell>
          <cell r="O1404">
            <v>0</v>
          </cell>
          <cell r="P1404">
            <v>0</v>
          </cell>
          <cell r="Q1404">
            <v>0</v>
          </cell>
          <cell r="R1404">
            <v>0</v>
          </cell>
          <cell r="S1404">
            <v>0</v>
          </cell>
          <cell r="T1404">
            <v>0</v>
          </cell>
          <cell r="U1404" t="e">
            <v>#N/A</v>
          </cell>
        </row>
        <row r="1405">
          <cell r="A1405">
            <v>1001399</v>
          </cell>
          <cell r="B1405" t="str">
            <v>Cizalla 11/16 18mm1/2 Hard 42" KLEINTOOL</v>
          </cell>
          <cell r="D1405">
            <v>7201</v>
          </cell>
          <cell r="E1405">
            <v>1000</v>
          </cell>
          <cell r="F1405" t="str">
            <v>ZALM</v>
          </cell>
          <cell r="G1405" t="str">
            <v>UN</v>
          </cell>
          <cell r="H1405" t="str">
            <v>DOP</v>
          </cell>
          <cell r="I1405">
            <v>0</v>
          </cell>
          <cell r="J1405">
            <v>0</v>
          </cell>
          <cell r="K1405">
            <v>0</v>
          </cell>
          <cell r="L1405">
            <v>0</v>
          </cell>
          <cell r="M1405">
            <v>0</v>
          </cell>
          <cell r="N1405">
            <v>0</v>
          </cell>
          <cell r="O1405">
            <v>0</v>
          </cell>
          <cell r="P1405">
            <v>0</v>
          </cell>
          <cell r="Q1405">
            <v>0</v>
          </cell>
          <cell r="R1405">
            <v>0</v>
          </cell>
          <cell r="S1405">
            <v>0</v>
          </cell>
          <cell r="T1405">
            <v>0</v>
          </cell>
          <cell r="U1405" t="e">
            <v>#N/A</v>
          </cell>
        </row>
        <row r="1406">
          <cell r="A1406">
            <v>1001400</v>
          </cell>
          <cell r="B1406" t="str">
            <v>Cizalla 5/8 16mm 36" Peq KLEINTOOLS</v>
          </cell>
          <cell r="D1406">
            <v>7201</v>
          </cell>
          <cell r="E1406">
            <v>1000</v>
          </cell>
          <cell r="F1406" t="str">
            <v>ZALM</v>
          </cell>
          <cell r="G1406" t="str">
            <v>UN</v>
          </cell>
          <cell r="H1406" t="str">
            <v>DOP</v>
          </cell>
          <cell r="I1406">
            <v>0</v>
          </cell>
          <cell r="J1406">
            <v>0</v>
          </cell>
          <cell r="K1406">
            <v>0</v>
          </cell>
          <cell r="L1406">
            <v>0</v>
          </cell>
          <cell r="M1406">
            <v>0</v>
          </cell>
          <cell r="N1406">
            <v>0</v>
          </cell>
          <cell r="O1406">
            <v>0</v>
          </cell>
          <cell r="P1406">
            <v>0</v>
          </cell>
          <cell r="Q1406">
            <v>0</v>
          </cell>
          <cell r="R1406">
            <v>0</v>
          </cell>
          <cell r="S1406">
            <v>0</v>
          </cell>
          <cell r="T1406">
            <v>0</v>
          </cell>
          <cell r="U1406" t="e">
            <v>#N/A</v>
          </cell>
        </row>
        <row r="1407">
          <cell r="A1407">
            <v>1001401</v>
          </cell>
          <cell r="B1407" t="str">
            <v>Cizalla Cortadora Conductor Al-Acero</v>
          </cell>
          <cell r="D1407">
            <v>5501</v>
          </cell>
          <cell r="E1407">
            <v>1000</v>
          </cell>
          <cell r="F1407" t="str">
            <v>ZALM</v>
          </cell>
          <cell r="G1407" t="str">
            <v>UN</v>
          </cell>
          <cell r="H1407" t="str">
            <v>DOP</v>
          </cell>
          <cell r="I1407">
            <v>0</v>
          </cell>
          <cell r="J1407">
            <v>0</v>
          </cell>
          <cell r="K1407">
            <v>0</v>
          </cell>
          <cell r="L1407">
            <v>0</v>
          </cell>
          <cell r="M1407">
            <v>0</v>
          </cell>
          <cell r="N1407">
            <v>0</v>
          </cell>
          <cell r="O1407">
            <v>0</v>
          </cell>
          <cell r="P1407">
            <v>0</v>
          </cell>
          <cell r="Q1407">
            <v>0</v>
          </cell>
          <cell r="R1407">
            <v>0</v>
          </cell>
          <cell r="S1407">
            <v>0</v>
          </cell>
          <cell r="T1407">
            <v>0</v>
          </cell>
          <cell r="U1407" t="e">
            <v>#N/A</v>
          </cell>
        </row>
        <row r="1408">
          <cell r="A1408">
            <v>1001402</v>
          </cell>
          <cell r="B1408" t="str">
            <v>Cizalla Cortadora Conductor Al-Cu</v>
          </cell>
          <cell r="D1408">
            <v>5501</v>
          </cell>
          <cell r="E1408">
            <v>1000</v>
          </cell>
          <cell r="F1408" t="str">
            <v>ZALM</v>
          </cell>
          <cell r="G1408" t="str">
            <v>UN</v>
          </cell>
          <cell r="H1408" t="str">
            <v>DOP</v>
          </cell>
          <cell r="I1408">
            <v>0</v>
          </cell>
          <cell r="J1408">
            <v>0</v>
          </cell>
          <cell r="K1408">
            <v>0</v>
          </cell>
          <cell r="L1408">
            <v>0</v>
          </cell>
          <cell r="M1408">
            <v>0</v>
          </cell>
          <cell r="N1408">
            <v>0</v>
          </cell>
          <cell r="O1408">
            <v>0</v>
          </cell>
          <cell r="P1408">
            <v>0</v>
          </cell>
          <cell r="Q1408">
            <v>0</v>
          </cell>
          <cell r="R1408">
            <v>0</v>
          </cell>
          <cell r="S1408">
            <v>0</v>
          </cell>
          <cell r="T1408">
            <v>0</v>
          </cell>
          <cell r="U1408" t="e">
            <v>#N/A</v>
          </cell>
        </row>
        <row r="1409">
          <cell r="A1409">
            <v>1001403</v>
          </cell>
          <cell r="B1409" t="str">
            <v>Cizalla Corte 18" C/ Mango Aisl 1000V</v>
          </cell>
          <cell r="D1409">
            <v>7201</v>
          </cell>
          <cell r="E1409">
            <v>1000</v>
          </cell>
          <cell r="F1409" t="str">
            <v>ZALM</v>
          </cell>
          <cell r="G1409" t="str">
            <v>UN</v>
          </cell>
          <cell r="H1409" t="str">
            <v>DOP</v>
          </cell>
          <cell r="I1409">
            <v>0</v>
          </cell>
          <cell r="J1409">
            <v>0</v>
          </cell>
          <cell r="K1409">
            <v>0</v>
          </cell>
          <cell r="L1409">
            <v>0</v>
          </cell>
          <cell r="M1409">
            <v>0</v>
          </cell>
          <cell r="N1409">
            <v>0</v>
          </cell>
          <cell r="O1409">
            <v>0</v>
          </cell>
          <cell r="P1409">
            <v>0</v>
          </cell>
          <cell r="Q1409">
            <v>0</v>
          </cell>
          <cell r="R1409">
            <v>0</v>
          </cell>
          <cell r="S1409">
            <v>0</v>
          </cell>
          <cell r="T1409">
            <v>0</v>
          </cell>
          <cell r="U1409" t="e">
            <v>#N/A</v>
          </cell>
        </row>
        <row r="1410">
          <cell r="A1410">
            <v>1001404</v>
          </cell>
          <cell r="B1410" t="str">
            <v>Cizalla Corte Cable ACSR 36" Aisl 1000V</v>
          </cell>
          <cell r="D1410">
            <v>7201</v>
          </cell>
          <cell r="E1410">
            <v>1000</v>
          </cell>
          <cell r="F1410" t="str">
            <v>ZALM</v>
          </cell>
          <cell r="G1410" t="str">
            <v>UN</v>
          </cell>
          <cell r="H1410" t="str">
            <v>DOP</v>
          </cell>
          <cell r="I1410">
            <v>2</v>
          </cell>
          <cell r="J1410">
            <v>104067.55</v>
          </cell>
          <cell r="K1410">
            <v>0</v>
          </cell>
          <cell r="L1410">
            <v>0</v>
          </cell>
          <cell r="M1410">
            <v>0</v>
          </cell>
          <cell r="N1410">
            <v>0</v>
          </cell>
          <cell r="O1410">
            <v>0</v>
          </cell>
          <cell r="P1410">
            <v>0</v>
          </cell>
          <cell r="Q1410">
            <v>0</v>
          </cell>
          <cell r="R1410">
            <v>0</v>
          </cell>
          <cell r="S1410">
            <v>2</v>
          </cell>
          <cell r="T1410">
            <v>104067.55</v>
          </cell>
          <cell r="U1410">
            <v>52033.775000000001</v>
          </cell>
        </row>
        <row r="1411">
          <cell r="A1411">
            <v>1001405</v>
          </cell>
          <cell r="B1411" t="str">
            <v>Cizalla Corte Klein 42" Ref 63342/63542</v>
          </cell>
          <cell r="D1411">
            <v>7201</v>
          </cell>
          <cell r="E1411">
            <v>1000</v>
          </cell>
          <cell r="F1411" t="str">
            <v>ZALM</v>
          </cell>
          <cell r="G1411" t="str">
            <v>UN</v>
          </cell>
          <cell r="H1411" t="str">
            <v>DOP</v>
          </cell>
          <cell r="I1411">
            <v>0</v>
          </cell>
          <cell r="J1411">
            <v>0</v>
          </cell>
          <cell r="K1411">
            <v>0</v>
          </cell>
          <cell r="L1411">
            <v>0</v>
          </cell>
          <cell r="M1411">
            <v>0</v>
          </cell>
          <cell r="N1411">
            <v>0</v>
          </cell>
          <cell r="O1411">
            <v>0</v>
          </cell>
          <cell r="P1411">
            <v>0</v>
          </cell>
          <cell r="Q1411">
            <v>0</v>
          </cell>
          <cell r="R1411">
            <v>0</v>
          </cell>
          <cell r="S1411">
            <v>0</v>
          </cell>
          <cell r="T1411">
            <v>0</v>
          </cell>
          <cell r="U1411" t="e">
            <v>#N/A</v>
          </cell>
        </row>
        <row r="1412">
          <cell r="A1412">
            <v>1001406</v>
          </cell>
          <cell r="B1412" t="str">
            <v>Cizalla de Corte 36" con Mango Aislado</v>
          </cell>
          <cell r="D1412">
            <v>5501</v>
          </cell>
          <cell r="E1412">
            <v>1000</v>
          </cell>
          <cell r="F1412" t="str">
            <v>ZALM</v>
          </cell>
          <cell r="G1412" t="str">
            <v>UN</v>
          </cell>
          <cell r="H1412" t="str">
            <v>DOP</v>
          </cell>
          <cell r="I1412">
            <v>0</v>
          </cell>
          <cell r="J1412">
            <v>0</v>
          </cell>
          <cell r="K1412">
            <v>0</v>
          </cell>
          <cell r="L1412">
            <v>0</v>
          </cell>
          <cell r="M1412">
            <v>0</v>
          </cell>
          <cell r="N1412">
            <v>0</v>
          </cell>
          <cell r="O1412">
            <v>0</v>
          </cell>
          <cell r="P1412">
            <v>0</v>
          </cell>
          <cell r="Q1412">
            <v>0</v>
          </cell>
          <cell r="R1412">
            <v>0</v>
          </cell>
          <cell r="S1412">
            <v>0</v>
          </cell>
          <cell r="T1412">
            <v>0</v>
          </cell>
          <cell r="U1412" t="e">
            <v>#N/A</v>
          </cell>
        </row>
        <row r="1413">
          <cell r="A1413">
            <v>1001407</v>
          </cell>
          <cell r="B1413" t="str">
            <v>Compás Eclimetro</v>
          </cell>
          <cell r="D1413">
            <v>5501</v>
          </cell>
          <cell r="E1413">
            <v>1000</v>
          </cell>
          <cell r="F1413" t="str">
            <v>ZALM</v>
          </cell>
          <cell r="G1413" t="str">
            <v>UN</v>
          </cell>
          <cell r="H1413" t="str">
            <v>DOP</v>
          </cell>
          <cell r="I1413">
            <v>0</v>
          </cell>
          <cell r="J1413">
            <v>0</v>
          </cell>
          <cell r="K1413">
            <v>0</v>
          </cell>
          <cell r="L1413">
            <v>0</v>
          </cell>
          <cell r="M1413">
            <v>0</v>
          </cell>
          <cell r="N1413">
            <v>0</v>
          </cell>
          <cell r="O1413">
            <v>0</v>
          </cell>
          <cell r="P1413">
            <v>0</v>
          </cell>
          <cell r="Q1413">
            <v>0</v>
          </cell>
          <cell r="R1413">
            <v>0</v>
          </cell>
          <cell r="S1413">
            <v>0</v>
          </cell>
          <cell r="T1413">
            <v>0</v>
          </cell>
          <cell r="U1413" t="e">
            <v>#N/A</v>
          </cell>
        </row>
        <row r="1414">
          <cell r="A1414">
            <v>1001408</v>
          </cell>
          <cell r="B1414" t="str">
            <v>Compresion Tool  Discopre-VC6FT</v>
          </cell>
          <cell r="D1414">
            <v>5501</v>
          </cell>
          <cell r="E1414">
            <v>1000</v>
          </cell>
          <cell r="F1414" t="str">
            <v>ZALM</v>
          </cell>
          <cell r="G1414" t="str">
            <v>UN</v>
          </cell>
          <cell r="H1414" t="str">
            <v>DOP</v>
          </cell>
          <cell r="I1414">
            <v>0</v>
          </cell>
          <cell r="J1414">
            <v>0</v>
          </cell>
          <cell r="K1414">
            <v>0</v>
          </cell>
          <cell r="L1414">
            <v>0</v>
          </cell>
          <cell r="M1414">
            <v>0</v>
          </cell>
          <cell r="N1414">
            <v>0</v>
          </cell>
          <cell r="O1414">
            <v>0</v>
          </cell>
          <cell r="P1414">
            <v>0</v>
          </cell>
          <cell r="Q1414">
            <v>0</v>
          </cell>
          <cell r="R1414">
            <v>0</v>
          </cell>
          <cell r="S1414">
            <v>0</v>
          </cell>
          <cell r="T1414">
            <v>0</v>
          </cell>
          <cell r="U1414" t="e">
            <v>#N/A</v>
          </cell>
        </row>
        <row r="1415">
          <cell r="A1415">
            <v>1001409</v>
          </cell>
          <cell r="B1415" t="str">
            <v>Correas de Anclajes</v>
          </cell>
          <cell r="D1415">
            <v>5501</v>
          </cell>
          <cell r="E1415">
            <v>1000</v>
          </cell>
          <cell r="F1415" t="str">
            <v>ZALM</v>
          </cell>
          <cell r="G1415" t="str">
            <v>UN</v>
          </cell>
          <cell r="H1415" t="str">
            <v>DOP</v>
          </cell>
          <cell r="I1415">
            <v>0</v>
          </cell>
          <cell r="J1415">
            <v>0</v>
          </cell>
          <cell r="K1415">
            <v>0</v>
          </cell>
          <cell r="L1415">
            <v>0</v>
          </cell>
          <cell r="M1415">
            <v>0</v>
          </cell>
          <cell r="N1415">
            <v>0</v>
          </cell>
          <cell r="O1415">
            <v>0</v>
          </cell>
          <cell r="P1415">
            <v>0</v>
          </cell>
          <cell r="Q1415">
            <v>0</v>
          </cell>
          <cell r="R1415">
            <v>0</v>
          </cell>
          <cell r="S1415">
            <v>0</v>
          </cell>
          <cell r="T1415">
            <v>0</v>
          </cell>
          <cell r="U1415" t="e">
            <v>#N/A</v>
          </cell>
        </row>
        <row r="1416">
          <cell r="A1416">
            <v>1001410</v>
          </cell>
          <cell r="B1416" t="str">
            <v>Cortador Cable T/ Trinq Cu Estir 400MCM</v>
          </cell>
          <cell r="D1416">
            <v>5501</v>
          </cell>
          <cell r="E1416">
            <v>1000</v>
          </cell>
          <cell r="F1416" t="str">
            <v>ZALM</v>
          </cell>
          <cell r="G1416" t="str">
            <v>UN</v>
          </cell>
          <cell r="H1416" t="str">
            <v>DOP</v>
          </cell>
          <cell r="I1416">
            <v>0</v>
          </cell>
          <cell r="J1416">
            <v>0</v>
          </cell>
          <cell r="K1416">
            <v>0</v>
          </cell>
          <cell r="L1416">
            <v>0</v>
          </cell>
          <cell r="M1416">
            <v>0</v>
          </cell>
          <cell r="N1416">
            <v>0</v>
          </cell>
          <cell r="O1416">
            <v>0</v>
          </cell>
          <cell r="P1416">
            <v>0</v>
          </cell>
          <cell r="Q1416">
            <v>0</v>
          </cell>
          <cell r="R1416">
            <v>0</v>
          </cell>
          <cell r="S1416">
            <v>0</v>
          </cell>
          <cell r="T1416">
            <v>0</v>
          </cell>
          <cell r="U1416" t="e">
            <v>#N/A</v>
          </cell>
        </row>
        <row r="1417">
          <cell r="A1417">
            <v>1001411</v>
          </cell>
          <cell r="B1417" t="str">
            <v>Cubeta de Lona 12"x48"</v>
          </cell>
          <cell r="D1417">
            <v>5501</v>
          </cell>
          <cell r="E1417">
            <v>1000</v>
          </cell>
          <cell r="F1417" t="str">
            <v>ZALM</v>
          </cell>
          <cell r="G1417" t="str">
            <v>UN</v>
          </cell>
          <cell r="H1417" t="str">
            <v>DOP</v>
          </cell>
          <cell r="I1417">
            <v>0</v>
          </cell>
          <cell r="J1417">
            <v>0</v>
          </cell>
          <cell r="K1417">
            <v>0</v>
          </cell>
          <cell r="L1417">
            <v>0</v>
          </cell>
          <cell r="M1417">
            <v>0</v>
          </cell>
          <cell r="N1417">
            <v>0</v>
          </cell>
          <cell r="O1417">
            <v>0</v>
          </cell>
          <cell r="P1417">
            <v>0</v>
          </cell>
          <cell r="Q1417">
            <v>0</v>
          </cell>
          <cell r="R1417">
            <v>0</v>
          </cell>
          <cell r="S1417">
            <v>0</v>
          </cell>
          <cell r="T1417">
            <v>0</v>
          </cell>
          <cell r="U1417" t="e">
            <v>#N/A</v>
          </cell>
        </row>
        <row r="1418">
          <cell r="A1418">
            <v>1001412</v>
          </cell>
          <cell r="B1418" t="str">
            <v>Cubeta Fibra Vidrio Porta Herramientas</v>
          </cell>
          <cell r="D1418">
            <v>5501</v>
          </cell>
          <cell r="E1418">
            <v>1000</v>
          </cell>
          <cell r="F1418" t="str">
            <v>ZALM</v>
          </cell>
          <cell r="G1418" t="str">
            <v>UN</v>
          </cell>
          <cell r="H1418" t="str">
            <v>DOP</v>
          </cell>
          <cell r="I1418">
            <v>0</v>
          </cell>
          <cell r="J1418">
            <v>0</v>
          </cell>
          <cell r="K1418">
            <v>0</v>
          </cell>
          <cell r="L1418">
            <v>0</v>
          </cell>
          <cell r="M1418">
            <v>0</v>
          </cell>
          <cell r="N1418">
            <v>0</v>
          </cell>
          <cell r="O1418">
            <v>0</v>
          </cell>
          <cell r="P1418">
            <v>0</v>
          </cell>
          <cell r="Q1418">
            <v>0</v>
          </cell>
          <cell r="R1418">
            <v>0</v>
          </cell>
          <cell r="S1418">
            <v>0</v>
          </cell>
          <cell r="T1418">
            <v>0</v>
          </cell>
          <cell r="U1418" t="e">
            <v>#N/A</v>
          </cell>
        </row>
        <row r="1419">
          <cell r="A1419">
            <v>1001413</v>
          </cell>
          <cell r="B1419" t="str">
            <v>Cubeta Lona Porta Herramientas 12"x16"</v>
          </cell>
          <cell r="D1419">
            <v>7201</v>
          </cell>
          <cell r="E1419">
            <v>1000</v>
          </cell>
          <cell r="F1419" t="str">
            <v>ZALM</v>
          </cell>
          <cell r="G1419" t="str">
            <v>UN</v>
          </cell>
          <cell r="H1419" t="str">
            <v>DOP</v>
          </cell>
          <cell r="I1419">
            <v>22</v>
          </cell>
          <cell r="J1419">
            <v>90124.4</v>
          </cell>
          <cell r="K1419">
            <v>0</v>
          </cell>
          <cell r="L1419">
            <v>0</v>
          </cell>
          <cell r="M1419">
            <v>0</v>
          </cell>
          <cell r="N1419">
            <v>0</v>
          </cell>
          <cell r="O1419">
            <v>0</v>
          </cell>
          <cell r="P1419">
            <v>0</v>
          </cell>
          <cell r="Q1419">
            <v>0</v>
          </cell>
          <cell r="R1419">
            <v>0</v>
          </cell>
          <cell r="S1419">
            <v>22</v>
          </cell>
          <cell r="T1419">
            <v>90124.4</v>
          </cell>
          <cell r="U1419">
            <v>4096.5636363636404</v>
          </cell>
        </row>
        <row r="1420">
          <cell r="A1420">
            <v>1001414</v>
          </cell>
          <cell r="B1420" t="str">
            <v>Cubo Acesa 3/4-7/16" 710</v>
          </cell>
          <cell r="D1420">
            <v>5501</v>
          </cell>
          <cell r="E1420">
            <v>1000</v>
          </cell>
          <cell r="F1420" t="str">
            <v>ZALM</v>
          </cell>
          <cell r="G1420" t="str">
            <v>UN</v>
          </cell>
          <cell r="H1420" t="str">
            <v>DOP</v>
          </cell>
          <cell r="I1420">
            <v>0</v>
          </cell>
          <cell r="J1420">
            <v>0</v>
          </cell>
          <cell r="K1420">
            <v>0</v>
          </cell>
          <cell r="L1420">
            <v>0</v>
          </cell>
          <cell r="M1420">
            <v>0</v>
          </cell>
          <cell r="N1420">
            <v>0</v>
          </cell>
          <cell r="O1420">
            <v>0</v>
          </cell>
          <cell r="P1420">
            <v>0</v>
          </cell>
          <cell r="Q1420">
            <v>0</v>
          </cell>
          <cell r="R1420">
            <v>0</v>
          </cell>
          <cell r="S1420">
            <v>0</v>
          </cell>
          <cell r="T1420">
            <v>0</v>
          </cell>
          <cell r="U1420" t="e">
            <v>#N/A</v>
          </cell>
        </row>
        <row r="1421">
          <cell r="A1421">
            <v>1001415</v>
          </cell>
          <cell r="B1421" t="str">
            <v>Cubo Acesa 3/8-1/2" 710</v>
          </cell>
          <cell r="D1421">
            <v>5501</v>
          </cell>
          <cell r="E1421">
            <v>1000</v>
          </cell>
          <cell r="F1421" t="str">
            <v>ZALM</v>
          </cell>
          <cell r="G1421" t="str">
            <v>UN</v>
          </cell>
          <cell r="H1421" t="str">
            <v>DOP</v>
          </cell>
          <cell r="I1421">
            <v>0</v>
          </cell>
          <cell r="J1421">
            <v>0</v>
          </cell>
          <cell r="K1421">
            <v>0</v>
          </cell>
          <cell r="L1421">
            <v>0</v>
          </cell>
          <cell r="M1421">
            <v>0</v>
          </cell>
          <cell r="N1421">
            <v>0</v>
          </cell>
          <cell r="O1421">
            <v>0</v>
          </cell>
          <cell r="P1421">
            <v>0</v>
          </cell>
          <cell r="Q1421">
            <v>0</v>
          </cell>
          <cell r="R1421">
            <v>0</v>
          </cell>
          <cell r="S1421">
            <v>0</v>
          </cell>
          <cell r="T1421">
            <v>0</v>
          </cell>
          <cell r="U1421" t="e">
            <v>#N/A</v>
          </cell>
        </row>
        <row r="1422">
          <cell r="A1422">
            <v>1001416</v>
          </cell>
          <cell r="B1422" t="str">
            <v>Cubos de 3/4" Adicionales</v>
          </cell>
          <cell r="D1422">
            <v>5501</v>
          </cell>
          <cell r="E1422">
            <v>1000</v>
          </cell>
          <cell r="F1422" t="str">
            <v>ZALM</v>
          </cell>
          <cell r="G1422" t="str">
            <v>UN</v>
          </cell>
          <cell r="H1422" t="str">
            <v>DOP</v>
          </cell>
          <cell r="I1422">
            <v>0</v>
          </cell>
          <cell r="J1422">
            <v>0</v>
          </cell>
          <cell r="K1422">
            <v>0</v>
          </cell>
          <cell r="L1422">
            <v>0</v>
          </cell>
          <cell r="M1422">
            <v>0</v>
          </cell>
          <cell r="N1422">
            <v>0</v>
          </cell>
          <cell r="O1422">
            <v>0</v>
          </cell>
          <cell r="P1422">
            <v>0</v>
          </cell>
          <cell r="Q1422">
            <v>0</v>
          </cell>
          <cell r="R1422">
            <v>0</v>
          </cell>
          <cell r="S1422">
            <v>0</v>
          </cell>
          <cell r="T1422">
            <v>0</v>
          </cell>
          <cell r="U1422" t="e">
            <v>#N/A</v>
          </cell>
        </row>
        <row r="1423">
          <cell r="A1423">
            <v>1001417</v>
          </cell>
          <cell r="B1423" t="str">
            <v>Cuchilla 501A40 Panamex</v>
          </cell>
          <cell r="D1423">
            <v>5501</v>
          </cell>
          <cell r="E1423">
            <v>1000</v>
          </cell>
          <cell r="F1423" t="str">
            <v>ZALM</v>
          </cell>
          <cell r="G1423" t="str">
            <v>UN</v>
          </cell>
          <cell r="H1423" t="str">
            <v>DOP</v>
          </cell>
          <cell r="I1423">
            <v>0</v>
          </cell>
          <cell r="J1423">
            <v>0</v>
          </cell>
          <cell r="K1423">
            <v>0</v>
          </cell>
          <cell r="L1423">
            <v>0</v>
          </cell>
          <cell r="M1423">
            <v>0</v>
          </cell>
          <cell r="N1423">
            <v>0</v>
          </cell>
          <cell r="O1423">
            <v>0</v>
          </cell>
          <cell r="P1423">
            <v>0</v>
          </cell>
          <cell r="Q1423">
            <v>0</v>
          </cell>
          <cell r="R1423">
            <v>0</v>
          </cell>
          <cell r="S1423">
            <v>0</v>
          </cell>
          <cell r="T1423">
            <v>0</v>
          </cell>
          <cell r="U1423" t="e">
            <v>#N/A</v>
          </cell>
        </row>
        <row r="1424">
          <cell r="A1424">
            <v>1001418</v>
          </cell>
          <cell r="B1424" t="str">
            <v>Cuchilla Klein</v>
          </cell>
          <cell r="D1424">
            <v>7201</v>
          </cell>
          <cell r="E1424">
            <v>1000</v>
          </cell>
          <cell r="F1424" t="str">
            <v>ZALM</v>
          </cell>
          <cell r="G1424" t="str">
            <v>UN</v>
          </cell>
          <cell r="H1424" t="str">
            <v>DOP</v>
          </cell>
          <cell r="I1424">
            <v>0</v>
          </cell>
          <cell r="J1424">
            <v>0</v>
          </cell>
          <cell r="K1424">
            <v>0</v>
          </cell>
          <cell r="L1424">
            <v>0</v>
          </cell>
          <cell r="M1424">
            <v>0</v>
          </cell>
          <cell r="N1424">
            <v>0</v>
          </cell>
          <cell r="O1424">
            <v>0</v>
          </cell>
          <cell r="P1424">
            <v>0</v>
          </cell>
          <cell r="Q1424">
            <v>0</v>
          </cell>
          <cell r="R1424">
            <v>0</v>
          </cell>
          <cell r="S1424">
            <v>0</v>
          </cell>
          <cell r="T1424">
            <v>0</v>
          </cell>
          <cell r="U1424" t="e">
            <v>#N/A</v>
          </cell>
        </row>
        <row r="1425">
          <cell r="A1425">
            <v>1001419</v>
          </cell>
          <cell r="B1425" t="str">
            <v>Cuchilla Pela Cable Aisl 1000V 180-220mm</v>
          </cell>
          <cell r="D1425">
            <v>7201</v>
          </cell>
          <cell r="E1425">
            <v>1000</v>
          </cell>
          <cell r="F1425" t="str">
            <v>ZALM</v>
          </cell>
          <cell r="G1425" t="str">
            <v>UN</v>
          </cell>
          <cell r="H1425" t="str">
            <v>DOP</v>
          </cell>
          <cell r="I1425">
            <v>14</v>
          </cell>
          <cell r="J1425">
            <v>41151.39</v>
          </cell>
          <cell r="K1425">
            <v>0</v>
          </cell>
          <cell r="L1425">
            <v>0</v>
          </cell>
          <cell r="M1425">
            <v>0</v>
          </cell>
          <cell r="N1425">
            <v>0</v>
          </cell>
          <cell r="O1425">
            <v>0</v>
          </cell>
          <cell r="P1425">
            <v>0</v>
          </cell>
          <cell r="Q1425">
            <v>0</v>
          </cell>
          <cell r="R1425">
            <v>0</v>
          </cell>
          <cell r="S1425">
            <v>14</v>
          </cell>
          <cell r="T1425">
            <v>41151.39</v>
          </cell>
          <cell r="U1425">
            <v>2939.3850000000002</v>
          </cell>
        </row>
        <row r="1426">
          <cell r="A1426">
            <v>1001420</v>
          </cell>
          <cell r="B1426" t="str">
            <v>Cuchilla Pela Cable Aisl 1000V MO-612</v>
          </cell>
          <cell r="D1426">
            <v>7201</v>
          </cell>
          <cell r="E1426">
            <v>1000</v>
          </cell>
          <cell r="F1426" t="str">
            <v>ZALM</v>
          </cell>
          <cell r="G1426" t="str">
            <v>UN</v>
          </cell>
          <cell r="H1426" t="str">
            <v>DOP</v>
          </cell>
          <cell r="I1426">
            <v>0</v>
          </cell>
          <cell r="J1426">
            <v>0</v>
          </cell>
          <cell r="K1426">
            <v>0</v>
          </cell>
          <cell r="L1426">
            <v>0</v>
          </cell>
          <cell r="M1426">
            <v>0</v>
          </cell>
          <cell r="N1426">
            <v>0</v>
          </cell>
          <cell r="O1426">
            <v>0</v>
          </cell>
          <cell r="P1426">
            <v>0</v>
          </cell>
          <cell r="Q1426">
            <v>0</v>
          </cell>
          <cell r="R1426">
            <v>0</v>
          </cell>
          <cell r="S1426">
            <v>0</v>
          </cell>
          <cell r="T1426">
            <v>0</v>
          </cell>
          <cell r="U1426" t="e">
            <v>#N/A</v>
          </cell>
        </row>
        <row r="1427">
          <cell r="A1427">
            <v>1001421</v>
          </cell>
          <cell r="B1427" t="str">
            <v>Dado para MD-6 #2/0</v>
          </cell>
          <cell r="D1427">
            <v>5501</v>
          </cell>
          <cell r="E1427">
            <v>1000</v>
          </cell>
          <cell r="F1427" t="str">
            <v>ZALM</v>
          </cell>
          <cell r="G1427" t="str">
            <v>UN</v>
          </cell>
          <cell r="H1427" t="str">
            <v>DOP</v>
          </cell>
          <cell r="I1427">
            <v>0</v>
          </cell>
          <cell r="J1427">
            <v>0</v>
          </cell>
          <cell r="K1427">
            <v>0</v>
          </cell>
          <cell r="L1427">
            <v>0</v>
          </cell>
          <cell r="M1427">
            <v>0</v>
          </cell>
          <cell r="N1427">
            <v>0</v>
          </cell>
          <cell r="O1427">
            <v>0</v>
          </cell>
          <cell r="P1427">
            <v>0</v>
          </cell>
          <cell r="Q1427">
            <v>0</v>
          </cell>
          <cell r="R1427">
            <v>0</v>
          </cell>
          <cell r="S1427">
            <v>0</v>
          </cell>
          <cell r="T1427">
            <v>0</v>
          </cell>
          <cell r="U1427" t="e">
            <v>#N/A</v>
          </cell>
        </row>
        <row r="1428">
          <cell r="A1428">
            <v>1001422</v>
          </cell>
          <cell r="B1428" t="str">
            <v>Dado para MD-6 #4/0</v>
          </cell>
          <cell r="D1428">
            <v>5501</v>
          </cell>
          <cell r="E1428">
            <v>1000</v>
          </cell>
          <cell r="F1428" t="str">
            <v>ZALM</v>
          </cell>
          <cell r="G1428" t="str">
            <v>UN</v>
          </cell>
          <cell r="H1428" t="str">
            <v>DOP</v>
          </cell>
          <cell r="I1428">
            <v>52</v>
          </cell>
          <cell r="J1428">
            <v>566254.56000000006</v>
          </cell>
          <cell r="K1428">
            <v>0</v>
          </cell>
          <cell r="L1428">
            <v>0</v>
          </cell>
          <cell r="M1428">
            <v>0</v>
          </cell>
          <cell r="N1428">
            <v>0</v>
          </cell>
          <cell r="O1428">
            <v>0</v>
          </cell>
          <cell r="P1428">
            <v>0</v>
          </cell>
          <cell r="Q1428">
            <v>0</v>
          </cell>
          <cell r="R1428">
            <v>0</v>
          </cell>
          <cell r="S1428">
            <v>52</v>
          </cell>
          <cell r="T1428">
            <v>566254.56000000006</v>
          </cell>
          <cell r="U1428">
            <v>10889.510769230799</v>
          </cell>
        </row>
        <row r="1429">
          <cell r="A1429">
            <v>1001423</v>
          </cell>
          <cell r="B1429" t="str">
            <v>Dados de Reemplazo P/ Prensa Roto-Seal</v>
          </cell>
          <cell r="D1429">
            <v>5501</v>
          </cell>
          <cell r="E1429">
            <v>1000</v>
          </cell>
          <cell r="F1429" t="str">
            <v>ZALM</v>
          </cell>
          <cell r="G1429" t="str">
            <v>UN</v>
          </cell>
          <cell r="H1429" t="str">
            <v>DOP</v>
          </cell>
          <cell r="I1429">
            <v>34</v>
          </cell>
          <cell r="J1429">
            <v>100864</v>
          </cell>
          <cell r="K1429">
            <v>0</v>
          </cell>
          <cell r="L1429">
            <v>0</v>
          </cell>
          <cell r="M1429">
            <v>0</v>
          </cell>
          <cell r="N1429">
            <v>0</v>
          </cell>
          <cell r="O1429">
            <v>0</v>
          </cell>
          <cell r="P1429">
            <v>0</v>
          </cell>
          <cell r="Q1429">
            <v>0</v>
          </cell>
          <cell r="R1429">
            <v>0</v>
          </cell>
          <cell r="S1429">
            <v>34</v>
          </cell>
          <cell r="T1429">
            <v>100864</v>
          </cell>
          <cell r="U1429">
            <v>2966.5882352941198</v>
          </cell>
        </row>
        <row r="1430">
          <cell r="A1430">
            <v>1001424</v>
          </cell>
          <cell r="B1430" t="str">
            <v>Destornillador 8" Estría</v>
          </cell>
          <cell r="D1430">
            <v>7201</v>
          </cell>
          <cell r="E1430">
            <v>1000</v>
          </cell>
          <cell r="F1430" t="str">
            <v>ZALM</v>
          </cell>
          <cell r="G1430" t="str">
            <v>UN</v>
          </cell>
          <cell r="H1430" t="str">
            <v>DOP</v>
          </cell>
          <cell r="I1430">
            <v>0</v>
          </cell>
          <cell r="J1430">
            <v>0</v>
          </cell>
          <cell r="K1430">
            <v>0</v>
          </cell>
          <cell r="L1430">
            <v>0</v>
          </cell>
          <cell r="M1430">
            <v>0</v>
          </cell>
          <cell r="N1430">
            <v>0</v>
          </cell>
          <cell r="O1430">
            <v>0</v>
          </cell>
          <cell r="P1430">
            <v>0</v>
          </cell>
          <cell r="Q1430">
            <v>0</v>
          </cell>
          <cell r="R1430">
            <v>0</v>
          </cell>
          <cell r="S1430">
            <v>0</v>
          </cell>
          <cell r="T1430">
            <v>0</v>
          </cell>
          <cell r="U1430" t="e">
            <v>#N/A</v>
          </cell>
        </row>
        <row r="1431">
          <cell r="A1431">
            <v>1001425</v>
          </cell>
          <cell r="B1431" t="str">
            <v>Destornillador 8" Plano</v>
          </cell>
          <cell r="D1431">
            <v>7201</v>
          </cell>
          <cell r="E1431">
            <v>1000</v>
          </cell>
          <cell r="F1431" t="str">
            <v>ZALM</v>
          </cell>
          <cell r="G1431" t="str">
            <v>UN</v>
          </cell>
          <cell r="H1431" t="str">
            <v>DOP</v>
          </cell>
          <cell r="I1431">
            <v>0</v>
          </cell>
          <cell r="J1431">
            <v>0</v>
          </cell>
          <cell r="K1431">
            <v>0</v>
          </cell>
          <cell r="L1431">
            <v>0</v>
          </cell>
          <cell r="M1431">
            <v>0</v>
          </cell>
          <cell r="N1431">
            <v>0</v>
          </cell>
          <cell r="O1431">
            <v>0</v>
          </cell>
          <cell r="P1431">
            <v>0</v>
          </cell>
          <cell r="Q1431">
            <v>0</v>
          </cell>
          <cell r="R1431">
            <v>0</v>
          </cell>
          <cell r="S1431">
            <v>0</v>
          </cell>
          <cell r="T1431">
            <v>0</v>
          </cell>
          <cell r="U1431" t="e">
            <v>#N/A</v>
          </cell>
        </row>
        <row r="1432">
          <cell r="A1432">
            <v>1001426</v>
          </cell>
          <cell r="B1432" t="str">
            <v>Destornillador Cubo ST. 3/8 0461-809</v>
          </cell>
          <cell r="D1432">
            <v>5501</v>
          </cell>
          <cell r="E1432">
            <v>1000</v>
          </cell>
          <cell r="F1432" t="str">
            <v>ZALM</v>
          </cell>
          <cell r="G1432" t="str">
            <v>UN</v>
          </cell>
          <cell r="H1432" t="str">
            <v>DOP</v>
          </cell>
          <cell r="I1432">
            <v>0</v>
          </cell>
          <cell r="J1432">
            <v>0</v>
          </cell>
          <cell r="K1432">
            <v>0</v>
          </cell>
          <cell r="L1432">
            <v>0</v>
          </cell>
          <cell r="M1432">
            <v>0</v>
          </cell>
          <cell r="N1432">
            <v>0</v>
          </cell>
          <cell r="O1432">
            <v>0</v>
          </cell>
          <cell r="P1432">
            <v>0</v>
          </cell>
          <cell r="Q1432">
            <v>0</v>
          </cell>
          <cell r="R1432">
            <v>0</v>
          </cell>
          <cell r="S1432">
            <v>0</v>
          </cell>
          <cell r="T1432">
            <v>0</v>
          </cell>
          <cell r="U1432" t="e">
            <v>#N/A</v>
          </cell>
        </row>
        <row r="1433">
          <cell r="A1433">
            <v>1001427</v>
          </cell>
          <cell r="B1433" t="str">
            <v>Destornillador Estría 10"</v>
          </cell>
          <cell r="D1433">
            <v>7201</v>
          </cell>
          <cell r="E1433">
            <v>1000</v>
          </cell>
          <cell r="F1433" t="str">
            <v>ZALM</v>
          </cell>
          <cell r="G1433" t="str">
            <v>UN</v>
          </cell>
          <cell r="H1433" t="str">
            <v>DOP</v>
          </cell>
          <cell r="I1433">
            <v>0</v>
          </cell>
          <cell r="J1433">
            <v>0</v>
          </cell>
          <cell r="K1433">
            <v>0</v>
          </cell>
          <cell r="L1433">
            <v>0</v>
          </cell>
          <cell r="M1433">
            <v>0</v>
          </cell>
          <cell r="N1433">
            <v>0</v>
          </cell>
          <cell r="O1433">
            <v>0</v>
          </cell>
          <cell r="P1433">
            <v>0</v>
          </cell>
          <cell r="Q1433">
            <v>0</v>
          </cell>
          <cell r="R1433">
            <v>0</v>
          </cell>
          <cell r="S1433">
            <v>0</v>
          </cell>
          <cell r="T1433">
            <v>0</v>
          </cell>
          <cell r="U1433" t="e">
            <v>#N/A</v>
          </cell>
        </row>
        <row r="1434">
          <cell r="A1434">
            <v>1001428</v>
          </cell>
          <cell r="B1434" t="str">
            <v>Destornillador Estría 3/8"x8"</v>
          </cell>
          <cell r="D1434">
            <v>7201</v>
          </cell>
          <cell r="E1434">
            <v>1000</v>
          </cell>
          <cell r="F1434" t="str">
            <v>ZALM</v>
          </cell>
          <cell r="G1434" t="str">
            <v>UN</v>
          </cell>
          <cell r="H1434" t="str">
            <v>DOP</v>
          </cell>
          <cell r="I1434">
            <v>0</v>
          </cell>
          <cell r="J1434">
            <v>0</v>
          </cell>
          <cell r="K1434">
            <v>0</v>
          </cell>
          <cell r="L1434">
            <v>0</v>
          </cell>
          <cell r="M1434">
            <v>0</v>
          </cell>
          <cell r="N1434">
            <v>0</v>
          </cell>
          <cell r="O1434">
            <v>0</v>
          </cell>
          <cell r="P1434">
            <v>0</v>
          </cell>
          <cell r="Q1434">
            <v>0</v>
          </cell>
          <cell r="R1434">
            <v>0</v>
          </cell>
          <cell r="S1434">
            <v>0</v>
          </cell>
          <cell r="T1434">
            <v>0</v>
          </cell>
          <cell r="U1434" t="e">
            <v>#N/A</v>
          </cell>
        </row>
        <row r="1435">
          <cell r="A1435">
            <v>1001429</v>
          </cell>
          <cell r="B1435" t="str">
            <v>Destornillador Estría 4"</v>
          </cell>
          <cell r="D1435">
            <v>7201</v>
          </cell>
          <cell r="E1435">
            <v>1000</v>
          </cell>
          <cell r="F1435" t="str">
            <v>ZALM</v>
          </cell>
          <cell r="G1435" t="str">
            <v>UN</v>
          </cell>
          <cell r="H1435" t="str">
            <v>DOP</v>
          </cell>
          <cell r="I1435">
            <v>0</v>
          </cell>
          <cell r="J1435">
            <v>0</v>
          </cell>
          <cell r="K1435">
            <v>0</v>
          </cell>
          <cell r="L1435">
            <v>0</v>
          </cell>
          <cell r="M1435">
            <v>0</v>
          </cell>
          <cell r="N1435">
            <v>0</v>
          </cell>
          <cell r="O1435">
            <v>0</v>
          </cell>
          <cell r="P1435">
            <v>0</v>
          </cell>
          <cell r="Q1435">
            <v>0</v>
          </cell>
          <cell r="R1435">
            <v>0</v>
          </cell>
          <cell r="S1435">
            <v>0</v>
          </cell>
          <cell r="T1435">
            <v>0</v>
          </cell>
          <cell r="U1435" t="e">
            <v>#N/A</v>
          </cell>
        </row>
        <row r="1436">
          <cell r="A1436">
            <v>1001430</v>
          </cell>
          <cell r="B1436" t="str">
            <v>Destornillador Estría 8" Aisl 1000V</v>
          </cell>
          <cell r="D1436">
            <v>7201</v>
          </cell>
          <cell r="E1436">
            <v>1000</v>
          </cell>
          <cell r="F1436" t="str">
            <v>ZALM</v>
          </cell>
          <cell r="G1436" t="str">
            <v>UN</v>
          </cell>
          <cell r="H1436" t="str">
            <v>DOP</v>
          </cell>
          <cell r="I1436">
            <v>0</v>
          </cell>
          <cell r="J1436">
            <v>0</v>
          </cell>
          <cell r="K1436">
            <v>0</v>
          </cell>
          <cell r="L1436">
            <v>0</v>
          </cell>
          <cell r="M1436">
            <v>0</v>
          </cell>
          <cell r="N1436">
            <v>0</v>
          </cell>
          <cell r="O1436">
            <v>0</v>
          </cell>
          <cell r="P1436">
            <v>0</v>
          </cell>
          <cell r="Q1436">
            <v>0</v>
          </cell>
          <cell r="R1436">
            <v>0</v>
          </cell>
          <cell r="S1436">
            <v>0</v>
          </cell>
          <cell r="T1436">
            <v>0</v>
          </cell>
          <cell r="U1436" t="e">
            <v>#N/A</v>
          </cell>
        </row>
        <row r="1437">
          <cell r="A1437">
            <v>1001431</v>
          </cell>
          <cell r="B1437" t="str">
            <v>Destornillador No.3 152mm Aisl 1000V Phi</v>
          </cell>
          <cell r="D1437">
            <v>7201</v>
          </cell>
          <cell r="E1437">
            <v>1000</v>
          </cell>
          <cell r="F1437" t="str">
            <v>ZALM</v>
          </cell>
          <cell r="G1437" t="str">
            <v>UN</v>
          </cell>
          <cell r="H1437" t="str">
            <v>DOP</v>
          </cell>
          <cell r="I1437">
            <v>37</v>
          </cell>
          <cell r="J1437">
            <v>13991.92</v>
          </cell>
          <cell r="K1437">
            <v>0</v>
          </cell>
          <cell r="L1437">
            <v>0</v>
          </cell>
          <cell r="M1437">
            <v>0</v>
          </cell>
          <cell r="N1437">
            <v>0</v>
          </cell>
          <cell r="O1437">
            <v>0</v>
          </cell>
          <cell r="P1437">
            <v>0</v>
          </cell>
          <cell r="Q1437">
            <v>0</v>
          </cell>
          <cell r="R1437">
            <v>0</v>
          </cell>
          <cell r="S1437">
            <v>37</v>
          </cell>
          <cell r="T1437">
            <v>13991.92</v>
          </cell>
          <cell r="U1437">
            <v>378.16</v>
          </cell>
        </row>
        <row r="1438">
          <cell r="A1438">
            <v>1001432</v>
          </cell>
          <cell r="B1438" t="str">
            <v>Destornillador Plano 10"</v>
          </cell>
          <cell r="D1438">
            <v>7201</v>
          </cell>
          <cell r="E1438">
            <v>1000</v>
          </cell>
          <cell r="F1438" t="str">
            <v>ZALM</v>
          </cell>
          <cell r="G1438" t="str">
            <v>UN</v>
          </cell>
          <cell r="H1438" t="str">
            <v>DOP</v>
          </cell>
          <cell r="I1438">
            <v>0</v>
          </cell>
          <cell r="J1438">
            <v>0</v>
          </cell>
          <cell r="K1438">
            <v>0</v>
          </cell>
          <cell r="L1438">
            <v>0</v>
          </cell>
          <cell r="M1438">
            <v>0</v>
          </cell>
          <cell r="N1438">
            <v>0</v>
          </cell>
          <cell r="O1438">
            <v>0</v>
          </cell>
          <cell r="P1438">
            <v>0</v>
          </cell>
          <cell r="Q1438">
            <v>0</v>
          </cell>
          <cell r="R1438">
            <v>0</v>
          </cell>
          <cell r="S1438">
            <v>0</v>
          </cell>
          <cell r="T1438">
            <v>0</v>
          </cell>
          <cell r="U1438" t="e">
            <v>#N/A</v>
          </cell>
        </row>
        <row r="1439">
          <cell r="A1439">
            <v>1001433</v>
          </cell>
          <cell r="B1439" t="str">
            <v>Destornillador Plano 3/8"x8" V A 49765</v>
          </cell>
          <cell r="D1439">
            <v>7201</v>
          </cell>
          <cell r="E1439">
            <v>1000</v>
          </cell>
          <cell r="F1439" t="str">
            <v>ZALM</v>
          </cell>
          <cell r="G1439" t="str">
            <v>UN</v>
          </cell>
          <cell r="H1439" t="str">
            <v>DOP</v>
          </cell>
          <cell r="I1439">
            <v>0</v>
          </cell>
          <cell r="J1439">
            <v>0</v>
          </cell>
          <cell r="K1439">
            <v>0</v>
          </cell>
          <cell r="L1439">
            <v>0</v>
          </cell>
          <cell r="M1439">
            <v>0</v>
          </cell>
          <cell r="N1439">
            <v>0</v>
          </cell>
          <cell r="O1439">
            <v>0</v>
          </cell>
          <cell r="P1439">
            <v>0</v>
          </cell>
          <cell r="Q1439">
            <v>0</v>
          </cell>
          <cell r="R1439">
            <v>0</v>
          </cell>
          <cell r="S1439">
            <v>0</v>
          </cell>
          <cell r="T1439">
            <v>0</v>
          </cell>
          <cell r="U1439" t="e">
            <v>#N/A</v>
          </cell>
        </row>
        <row r="1440">
          <cell r="A1440">
            <v>1001434</v>
          </cell>
          <cell r="B1440" t="str">
            <v>Destornillador Plano 4"</v>
          </cell>
          <cell r="D1440">
            <v>5501</v>
          </cell>
          <cell r="E1440">
            <v>1000</v>
          </cell>
          <cell r="F1440" t="str">
            <v>ZALM</v>
          </cell>
          <cell r="G1440" t="str">
            <v>UN</v>
          </cell>
          <cell r="H1440" t="str">
            <v>DOP</v>
          </cell>
          <cell r="I1440">
            <v>0</v>
          </cell>
          <cell r="J1440">
            <v>0</v>
          </cell>
          <cell r="K1440">
            <v>0</v>
          </cell>
          <cell r="L1440">
            <v>0</v>
          </cell>
          <cell r="M1440">
            <v>0</v>
          </cell>
          <cell r="N1440">
            <v>0</v>
          </cell>
          <cell r="O1440">
            <v>0</v>
          </cell>
          <cell r="P1440">
            <v>0</v>
          </cell>
          <cell r="Q1440">
            <v>0</v>
          </cell>
          <cell r="R1440">
            <v>0</v>
          </cell>
          <cell r="S1440">
            <v>0</v>
          </cell>
          <cell r="T1440">
            <v>0</v>
          </cell>
          <cell r="U1440" t="e">
            <v>#N/A</v>
          </cell>
        </row>
        <row r="1441">
          <cell r="A1441">
            <v>1001435</v>
          </cell>
          <cell r="B1441" t="str">
            <v>Destornillador Plano 6"x102mm Aisl 1000V</v>
          </cell>
          <cell r="D1441">
            <v>5501</v>
          </cell>
          <cell r="E1441">
            <v>1000</v>
          </cell>
          <cell r="F1441" t="str">
            <v>ZALM</v>
          </cell>
          <cell r="G1441" t="str">
            <v>UN</v>
          </cell>
          <cell r="H1441" t="str">
            <v>DOP</v>
          </cell>
          <cell r="I1441">
            <v>0</v>
          </cell>
          <cell r="J1441">
            <v>0</v>
          </cell>
          <cell r="K1441">
            <v>0</v>
          </cell>
          <cell r="L1441">
            <v>0</v>
          </cell>
          <cell r="M1441">
            <v>0</v>
          </cell>
          <cell r="N1441">
            <v>0</v>
          </cell>
          <cell r="O1441">
            <v>0</v>
          </cell>
          <cell r="P1441">
            <v>0</v>
          </cell>
          <cell r="Q1441">
            <v>0</v>
          </cell>
          <cell r="R1441">
            <v>0</v>
          </cell>
          <cell r="S1441">
            <v>0</v>
          </cell>
          <cell r="T1441">
            <v>0</v>
          </cell>
          <cell r="U1441" t="e">
            <v>#N/A</v>
          </cell>
        </row>
        <row r="1442">
          <cell r="A1442">
            <v>1001436</v>
          </cell>
          <cell r="B1442" t="str">
            <v>Destornillador Plano 6"x152mm Aisl 1000V</v>
          </cell>
          <cell r="D1442">
            <v>5501</v>
          </cell>
          <cell r="E1442">
            <v>1000</v>
          </cell>
          <cell r="F1442" t="str">
            <v>ZALM</v>
          </cell>
          <cell r="G1442" t="str">
            <v>UN</v>
          </cell>
          <cell r="H1442" t="str">
            <v>DOP</v>
          </cell>
          <cell r="I1442">
            <v>0</v>
          </cell>
          <cell r="J1442">
            <v>0</v>
          </cell>
          <cell r="K1442">
            <v>0</v>
          </cell>
          <cell r="L1442">
            <v>0</v>
          </cell>
          <cell r="M1442">
            <v>0</v>
          </cell>
          <cell r="N1442">
            <v>0</v>
          </cell>
          <cell r="O1442">
            <v>0</v>
          </cell>
          <cell r="P1442">
            <v>0</v>
          </cell>
          <cell r="Q1442">
            <v>0</v>
          </cell>
          <cell r="R1442">
            <v>0</v>
          </cell>
          <cell r="S1442">
            <v>0</v>
          </cell>
          <cell r="T1442">
            <v>0</v>
          </cell>
          <cell r="U1442" t="e">
            <v>#N/A</v>
          </cell>
        </row>
        <row r="1443">
          <cell r="A1443">
            <v>1001437</v>
          </cell>
          <cell r="B1443" t="str">
            <v>Destornillador Plano 6"x76mm Aisl 1000V</v>
          </cell>
          <cell r="D1443">
            <v>5501</v>
          </cell>
          <cell r="E1443">
            <v>1000</v>
          </cell>
          <cell r="F1443" t="str">
            <v>ZALM</v>
          </cell>
          <cell r="G1443" t="str">
            <v>UN</v>
          </cell>
          <cell r="H1443" t="str">
            <v>DOP</v>
          </cell>
          <cell r="I1443">
            <v>0</v>
          </cell>
          <cell r="J1443">
            <v>0</v>
          </cell>
          <cell r="K1443">
            <v>0</v>
          </cell>
          <cell r="L1443">
            <v>0</v>
          </cell>
          <cell r="M1443">
            <v>0</v>
          </cell>
          <cell r="N1443">
            <v>0</v>
          </cell>
          <cell r="O1443">
            <v>0</v>
          </cell>
          <cell r="P1443">
            <v>0</v>
          </cell>
          <cell r="Q1443">
            <v>0</v>
          </cell>
          <cell r="R1443">
            <v>0</v>
          </cell>
          <cell r="S1443">
            <v>0</v>
          </cell>
          <cell r="T1443">
            <v>0</v>
          </cell>
          <cell r="U1443" t="e">
            <v>#N/A</v>
          </cell>
        </row>
        <row r="1444">
          <cell r="A1444">
            <v>1001438</v>
          </cell>
          <cell r="B1444" t="str">
            <v>Empalmador Hidraulico Y-35</v>
          </cell>
          <cell r="D1444">
            <v>5501</v>
          </cell>
          <cell r="E1444">
            <v>1000</v>
          </cell>
          <cell r="F1444" t="str">
            <v>ZALM</v>
          </cell>
          <cell r="G1444" t="str">
            <v>UN</v>
          </cell>
          <cell r="H1444" t="str">
            <v>DOP</v>
          </cell>
          <cell r="I1444">
            <v>1</v>
          </cell>
          <cell r="J1444">
            <v>0</v>
          </cell>
          <cell r="K1444">
            <v>0</v>
          </cell>
          <cell r="L1444">
            <v>0</v>
          </cell>
          <cell r="M1444">
            <v>0</v>
          </cell>
          <cell r="N1444">
            <v>0</v>
          </cell>
          <cell r="O1444">
            <v>0</v>
          </cell>
          <cell r="P1444">
            <v>0</v>
          </cell>
          <cell r="Q1444">
            <v>0</v>
          </cell>
          <cell r="R1444">
            <v>0</v>
          </cell>
          <cell r="S1444">
            <v>1</v>
          </cell>
          <cell r="T1444">
            <v>0</v>
          </cell>
          <cell r="U1444">
            <v>0</v>
          </cell>
        </row>
        <row r="1445">
          <cell r="A1445">
            <v>1001439</v>
          </cell>
          <cell r="B1445" t="str">
            <v>Empalmador Modos (Hod) Vc 6-h</v>
          </cell>
          <cell r="D1445">
            <v>5501</v>
          </cell>
          <cell r="E1445">
            <v>1000</v>
          </cell>
          <cell r="F1445" t="str">
            <v>ZALM</v>
          </cell>
          <cell r="G1445" t="str">
            <v>UN</v>
          </cell>
          <cell r="H1445" t="str">
            <v>DOP</v>
          </cell>
          <cell r="I1445">
            <v>0</v>
          </cell>
          <cell r="J1445">
            <v>0</v>
          </cell>
          <cell r="K1445">
            <v>0</v>
          </cell>
          <cell r="L1445">
            <v>0</v>
          </cell>
          <cell r="M1445">
            <v>0</v>
          </cell>
          <cell r="N1445">
            <v>0</v>
          </cell>
          <cell r="O1445">
            <v>0</v>
          </cell>
          <cell r="P1445">
            <v>0</v>
          </cell>
          <cell r="Q1445">
            <v>0</v>
          </cell>
          <cell r="R1445">
            <v>0</v>
          </cell>
          <cell r="S1445">
            <v>0</v>
          </cell>
          <cell r="T1445">
            <v>0</v>
          </cell>
          <cell r="U1445" t="e">
            <v>#N/A</v>
          </cell>
        </row>
        <row r="1446">
          <cell r="A1446">
            <v>1001440</v>
          </cell>
          <cell r="B1446" t="str">
            <v>Engrasadora de Mano</v>
          </cell>
          <cell r="D1446">
            <v>5501</v>
          </cell>
          <cell r="E1446">
            <v>1000</v>
          </cell>
          <cell r="F1446" t="str">
            <v>ZALM</v>
          </cell>
          <cell r="G1446" t="str">
            <v>UN</v>
          </cell>
          <cell r="H1446" t="str">
            <v>DOP</v>
          </cell>
          <cell r="I1446">
            <v>0</v>
          </cell>
          <cell r="J1446">
            <v>0</v>
          </cell>
          <cell r="K1446">
            <v>0</v>
          </cell>
          <cell r="L1446">
            <v>0</v>
          </cell>
          <cell r="M1446">
            <v>0</v>
          </cell>
          <cell r="N1446">
            <v>0</v>
          </cell>
          <cell r="O1446">
            <v>0</v>
          </cell>
          <cell r="P1446">
            <v>0</v>
          </cell>
          <cell r="Q1446">
            <v>0</v>
          </cell>
          <cell r="R1446">
            <v>0</v>
          </cell>
          <cell r="S1446">
            <v>0</v>
          </cell>
          <cell r="T1446">
            <v>0</v>
          </cell>
          <cell r="U1446" t="e">
            <v>#N/A</v>
          </cell>
        </row>
        <row r="1447">
          <cell r="A1447">
            <v>1001441</v>
          </cell>
          <cell r="B1447" t="str">
            <v>Escalera Fibra de Vidrio 20'</v>
          </cell>
          <cell r="D1447">
            <v>5501</v>
          </cell>
          <cell r="E1447">
            <v>1000</v>
          </cell>
          <cell r="F1447" t="str">
            <v>ZALM</v>
          </cell>
          <cell r="G1447" t="str">
            <v>UN</v>
          </cell>
          <cell r="H1447" t="str">
            <v>DOP</v>
          </cell>
          <cell r="I1447">
            <v>0</v>
          </cell>
          <cell r="J1447">
            <v>0</v>
          </cell>
          <cell r="K1447">
            <v>0</v>
          </cell>
          <cell r="L1447">
            <v>0</v>
          </cell>
          <cell r="M1447">
            <v>0</v>
          </cell>
          <cell r="N1447">
            <v>0</v>
          </cell>
          <cell r="O1447">
            <v>0</v>
          </cell>
          <cell r="P1447">
            <v>0</v>
          </cell>
          <cell r="Q1447">
            <v>0</v>
          </cell>
          <cell r="R1447">
            <v>0</v>
          </cell>
          <cell r="S1447">
            <v>0</v>
          </cell>
          <cell r="T1447">
            <v>0</v>
          </cell>
          <cell r="U1447" t="e">
            <v>#N/A</v>
          </cell>
        </row>
        <row r="1448">
          <cell r="A1448">
            <v>1001442</v>
          </cell>
          <cell r="B1448" t="str">
            <v>Escalera T/ Extención Fibra Vidrio 8'</v>
          </cell>
          <cell r="D1448">
            <v>7201</v>
          </cell>
          <cell r="E1448">
            <v>1000</v>
          </cell>
          <cell r="F1448" t="str">
            <v>ZALM</v>
          </cell>
          <cell r="G1448" t="str">
            <v>UN</v>
          </cell>
          <cell r="H1448" t="str">
            <v>DOP</v>
          </cell>
          <cell r="I1448">
            <v>0</v>
          </cell>
          <cell r="J1448">
            <v>0</v>
          </cell>
          <cell r="K1448">
            <v>0</v>
          </cell>
          <cell r="L1448">
            <v>0</v>
          </cell>
          <cell r="M1448">
            <v>0</v>
          </cell>
          <cell r="N1448">
            <v>0</v>
          </cell>
          <cell r="O1448">
            <v>0</v>
          </cell>
          <cell r="P1448">
            <v>0</v>
          </cell>
          <cell r="Q1448">
            <v>0</v>
          </cell>
          <cell r="R1448">
            <v>0</v>
          </cell>
          <cell r="S1448">
            <v>0</v>
          </cell>
          <cell r="T1448">
            <v>0</v>
          </cell>
          <cell r="U1448" t="e">
            <v>#N/A</v>
          </cell>
        </row>
        <row r="1449">
          <cell r="A1449">
            <v>1001443</v>
          </cell>
          <cell r="B1449" t="str">
            <v>Escalera T/ Extensión Fibra Vidrio 16'</v>
          </cell>
          <cell r="D1449">
            <v>7201</v>
          </cell>
          <cell r="E1449">
            <v>1000</v>
          </cell>
          <cell r="F1449" t="str">
            <v>ZALM</v>
          </cell>
          <cell r="G1449" t="str">
            <v>UN</v>
          </cell>
          <cell r="H1449" t="str">
            <v>DOP</v>
          </cell>
          <cell r="I1449">
            <v>0</v>
          </cell>
          <cell r="J1449">
            <v>0</v>
          </cell>
          <cell r="K1449">
            <v>4</v>
          </cell>
          <cell r="L1449">
            <v>22400.01</v>
          </cell>
          <cell r="M1449">
            <v>0</v>
          </cell>
          <cell r="N1449">
            <v>0</v>
          </cell>
          <cell r="O1449">
            <v>0</v>
          </cell>
          <cell r="P1449">
            <v>0</v>
          </cell>
          <cell r="Q1449">
            <v>0</v>
          </cell>
          <cell r="R1449">
            <v>0</v>
          </cell>
          <cell r="S1449">
            <v>4</v>
          </cell>
          <cell r="T1449">
            <v>22400.01</v>
          </cell>
          <cell r="U1449">
            <v>5600.0024999999996</v>
          </cell>
        </row>
        <row r="1450">
          <cell r="A1450">
            <v>1001444</v>
          </cell>
          <cell r="B1450" t="str">
            <v>Escalera T/ Extensión Fibra Vidrio 28'</v>
          </cell>
          <cell r="D1450">
            <v>7201</v>
          </cell>
          <cell r="E1450">
            <v>1000</v>
          </cell>
          <cell r="F1450" t="str">
            <v>ZALM</v>
          </cell>
          <cell r="G1450" t="str">
            <v>UN</v>
          </cell>
          <cell r="H1450" t="str">
            <v>DOP</v>
          </cell>
          <cell r="I1450">
            <v>0</v>
          </cell>
          <cell r="J1450">
            <v>0</v>
          </cell>
          <cell r="K1450">
            <v>0</v>
          </cell>
          <cell r="L1450">
            <v>0</v>
          </cell>
          <cell r="M1450">
            <v>0</v>
          </cell>
          <cell r="N1450">
            <v>0</v>
          </cell>
          <cell r="O1450">
            <v>0</v>
          </cell>
          <cell r="P1450">
            <v>0</v>
          </cell>
          <cell r="Q1450">
            <v>0</v>
          </cell>
          <cell r="R1450">
            <v>0</v>
          </cell>
          <cell r="S1450">
            <v>0</v>
          </cell>
          <cell r="T1450">
            <v>0</v>
          </cell>
          <cell r="U1450" t="e">
            <v>#N/A</v>
          </cell>
        </row>
        <row r="1451">
          <cell r="A1451">
            <v>1001445</v>
          </cell>
          <cell r="B1451" t="str">
            <v>Escalera T/ Extensión Fibra Vidrio 32'</v>
          </cell>
          <cell r="D1451">
            <v>7201</v>
          </cell>
          <cell r="E1451">
            <v>1000</v>
          </cell>
          <cell r="F1451" t="str">
            <v>ZALM</v>
          </cell>
          <cell r="G1451" t="str">
            <v>UN</v>
          </cell>
          <cell r="H1451" t="str">
            <v>DOP</v>
          </cell>
          <cell r="I1451">
            <v>0</v>
          </cell>
          <cell r="J1451">
            <v>0</v>
          </cell>
          <cell r="K1451">
            <v>2</v>
          </cell>
          <cell r="L1451">
            <v>27000.02</v>
          </cell>
          <cell r="M1451">
            <v>0</v>
          </cell>
          <cell r="N1451">
            <v>0</v>
          </cell>
          <cell r="O1451">
            <v>0</v>
          </cell>
          <cell r="P1451">
            <v>0</v>
          </cell>
          <cell r="Q1451">
            <v>0</v>
          </cell>
          <cell r="R1451">
            <v>0</v>
          </cell>
          <cell r="S1451">
            <v>2</v>
          </cell>
          <cell r="T1451">
            <v>27000.02</v>
          </cell>
          <cell r="U1451">
            <v>13500.01</v>
          </cell>
        </row>
        <row r="1452">
          <cell r="A1452">
            <v>1001446</v>
          </cell>
          <cell r="B1452" t="str">
            <v>Escalera T/ Extensión Fibra Vidrio 40'</v>
          </cell>
          <cell r="D1452">
            <v>5501</v>
          </cell>
          <cell r="E1452">
            <v>1000</v>
          </cell>
          <cell r="F1452" t="str">
            <v>ZALM</v>
          </cell>
          <cell r="G1452" t="str">
            <v>UN</v>
          </cell>
          <cell r="H1452" t="str">
            <v>DOP</v>
          </cell>
          <cell r="I1452">
            <v>0</v>
          </cell>
          <cell r="J1452">
            <v>0</v>
          </cell>
          <cell r="K1452">
            <v>0</v>
          </cell>
          <cell r="L1452">
            <v>0</v>
          </cell>
          <cell r="M1452">
            <v>0</v>
          </cell>
          <cell r="N1452">
            <v>0</v>
          </cell>
          <cell r="O1452">
            <v>0</v>
          </cell>
          <cell r="P1452">
            <v>0</v>
          </cell>
          <cell r="Q1452">
            <v>0</v>
          </cell>
          <cell r="R1452">
            <v>0</v>
          </cell>
          <cell r="S1452">
            <v>0</v>
          </cell>
          <cell r="T1452">
            <v>0</v>
          </cell>
          <cell r="U1452" t="e">
            <v>#N/A</v>
          </cell>
        </row>
        <row r="1453">
          <cell r="A1453">
            <v>1001447</v>
          </cell>
          <cell r="B1453" t="str">
            <v>Escalera T/ Tijera Fibra Vidrio 6'</v>
          </cell>
          <cell r="D1453">
            <v>5501</v>
          </cell>
          <cell r="E1453">
            <v>1000</v>
          </cell>
          <cell r="F1453" t="str">
            <v>ZALM</v>
          </cell>
          <cell r="G1453" t="str">
            <v>UN</v>
          </cell>
          <cell r="H1453" t="str">
            <v>DOP</v>
          </cell>
          <cell r="I1453">
            <v>0</v>
          </cell>
          <cell r="J1453">
            <v>0</v>
          </cell>
          <cell r="K1453">
            <v>0</v>
          </cell>
          <cell r="L1453">
            <v>0</v>
          </cell>
          <cell r="M1453">
            <v>0</v>
          </cell>
          <cell r="N1453">
            <v>0</v>
          </cell>
          <cell r="O1453">
            <v>0</v>
          </cell>
          <cell r="P1453">
            <v>0</v>
          </cell>
          <cell r="Q1453">
            <v>0</v>
          </cell>
          <cell r="R1453">
            <v>0</v>
          </cell>
          <cell r="S1453">
            <v>0</v>
          </cell>
          <cell r="T1453">
            <v>0</v>
          </cell>
          <cell r="U1453" t="e">
            <v>#N/A</v>
          </cell>
        </row>
        <row r="1454">
          <cell r="A1454">
            <v>1001448</v>
          </cell>
          <cell r="B1454" t="str">
            <v>Escuadra Estándar de 16"x24"</v>
          </cell>
          <cell r="D1454">
            <v>5501</v>
          </cell>
          <cell r="E1454">
            <v>1000</v>
          </cell>
          <cell r="F1454" t="str">
            <v>ZALM</v>
          </cell>
          <cell r="G1454" t="str">
            <v>UN</v>
          </cell>
          <cell r="H1454" t="str">
            <v>DOP</v>
          </cell>
          <cell r="I1454">
            <v>0</v>
          </cell>
          <cell r="J1454">
            <v>0</v>
          </cell>
          <cell r="K1454">
            <v>0</v>
          </cell>
          <cell r="L1454">
            <v>0</v>
          </cell>
          <cell r="M1454">
            <v>0</v>
          </cell>
          <cell r="N1454">
            <v>0</v>
          </cell>
          <cell r="O1454">
            <v>0</v>
          </cell>
          <cell r="P1454">
            <v>0</v>
          </cell>
          <cell r="Q1454">
            <v>0</v>
          </cell>
          <cell r="R1454">
            <v>0</v>
          </cell>
          <cell r="S1454">
            <v>0</v>
          </cell>
          <cell r="T1454">
            <v>0</v>
          </cell>
          <cell r="U1454" t="e">
            <v>#N/A</v>
          </cell>
        </row>
        <row r="1455">
          <cell r="A1455">
            <v>1001449</v>
          </cell>
          <cell r="B1455" t="str">
            <v>Eslinga Nylon 2"x6' Soport Tranf y Post</v>
          </cell>
          <cell r="D1455">
            <v>5501</v>
          </cell>
          <cell r="E1455">
            <v>1000</v>
          </cell>
          <cell r="F1455" t="str">
            <v>ZALM</v>
          </cell>
          <cell r="G1455" t="str">
            <v>UN</v>
          </cell>
          <cell r="H1455" t="str">
            <v>DOP</v>
          </cell>
          <cell r="I1455">
            <v>0</v>
          </cell>
          <cell r="J1455">
            <v>0</v>
          </cell>
          <cell r="K1455">
            <v>0</v>
          </cell>
          <cell r="L1455">
            <v>0</v>
          </cell>
          <cell r="M1455">
            <v>0</v>
          </cell>
          <cell r="N1455">
            <v>0</v>
          </cell>
          <cell r="O1455">
            <v>0</v>
          </cell>
          <cell r="P1455">
            <v>0</v>
          </cell>
          <cell r="Q1455">
            <v>0</v>
          </cell>
          <cell r="R1455">
            <v>0</v>
          </cell>
          <cell r="S1455">
            <v>0</v>
          </cell>
          <cell r="T1455">
            <v>0</v>
          </cell>
          <cell r="U1455" t="e">
            <v>#N/A</v>
          </cell>
        </row>
        <row r="1456">
          <cell r="A1456">
            <v>1001450</v>
          </cell>
          <cell r="B1456" t="str">
            <v>Espátula Estándar 3"</v>
          </cell>
          <cell r="D1456">
            <v>5501</v>
          </cell>
          <cell r="E1456">
            <v>1000</v>
          </cell>
          <cell r="F1456" t="str">
            <v>ZALM</v>
          </cell>
          <cell r="G1456" t="str">
            <v>UN</v>
          </cell>
          <cell r="H1456" t="str">
            <v>DOP</v>
          </cell>
          <cell r="I1456">
            <v>0</v>
          </cell>
          <cell r="J1456">
            <v>0</v>
          </cell>
          <cell r="K1456">
            <v>0</v>
          </cell>
          <cell r="L1456">
            <v>0</v>
          </cell>
          <cell r="M1456">
            <v>0</v>
          </cell>
          <cell r="N1456">
            <v>0</v>
          </cell>
          <cell r="O1456">
            <v>0</v>
          </cell>
          <cell r="P1456">
            <v>0</v>
          </cell>
          <cell r="Q1456">
            <v>0</v>
          </cell>
          <cell r="R1456">
            <v>0</v>
          </cell>
          <cell r="S1456">
            <v>0</v>
          </cell>
          <cell r="T1456">
            <v>0</v>
          </cell>
          <cell r="U1456" t="e">
            <v>#N/A</v>
          </cell>
        </row>
        <row r="1457">
          <cell r="A1457">
            <v>1001451</v>
          </cell>
          <cell r="B1457" t="str">
            <v>Extensión Industrial Electrica 100'</v>
          </cell>
          <cell r="D1457">
            <v>5501</v>
          </cell>
          <cell r="E1457">
            <v>1000</v>
          </cell>
          <cell r="F1457" t="str">
            <v>ZALM</v>
          </cell>
          <cell r="G1457" t="str">
            <v>UN</v>
          </cell>
          <cell r="H1457" t="str">
            <v>DOP</v>
          </cell>
          <cell r="I1457">
            <v>0</v>
          </cell>
          <cell r="J1457">
            <v>0</v>
          </cell>
          <cell r="K1457">
            <v>1</v>
          </cell>
          <cell r="L1457">
            <v>800</v>
          </cell>
          <cell r="M1457">
            <v>0</v>
          </cell>
          <cell r="N1457">
            <v>0</v>
          </cell>
          <cell r="O1457">
            <v>0</v>
          </cell>
          <cell r="P1457">
            <v>0</v>
          </cell>
          <cell r="Q1457">
            <v>0</v>
          </cell>
          <cell r="R1457">
            <v>0</v>
          </cell>
          <cell r="S1457">
            <v>1</v>
          </cell>
          <cell r="T1457">
            <v>800</v>
          </cell>
          <cell r="U1457">
            <v>800</v>
          </cell>
        </row>
        <row r="1458">
          <cell r="A1458">
            <v>1001452</v>
          </cell>
          <cell r="B1458" t="str">
            <v>Foco a Prueba de Agua</v>
          </cell>
          <cell r="D1458">
            <v>5501</v>
          </cell>
          <cell r="E1458">
            <v>1000</v>
          </cell>
          <cell r="F1458" t="str">
            <v>ZALM</v>
          </cell>
          <cell r="G1458" t="str">
            <v>UN</v>
          </cell>
          <cell r="H1458" t="str">
            <v>DOP</v>
          </cell>
          <cell r="I1458">
            <v>2</v>
          </cell>
          <cell r="J1458">
            <v>691.36</v>
          </cell>
          <cell r="K1458">
            <v>0</v>
          </cell>
          <cell r="L1458">
            <v>0</v>
          </cell>
          <cell r="M1458">
            <v>0</v>
          </cell>
          <cell r="N1458">
            <v>0</v>
          </cell>
          <cell r="O1458">
            <v>0</v>
          </cell>
          <cell r="P1458">
            <v>0</v>
          </cell>
          <cell r="Q1458">
            <v>0</v>
          </cell>
          <cell r="R1458">
            <v>0</v>
          </cell>
          <cell r="S1458">
            <v>2</v>
          </cell>
          <cell r="T1458">
            <v>691.36</v>
          </cell>
          <cell r="U1458">
            <v>345.68</v>
          </cell>
        </row>
        <row r="1459">
          <cell r="A1459">
            <v>1001453</v>
          </cell>
          <cell r="B1459" t="str">
            <v>Foco de Khipton</v>
          </cell>
          <cell r="D1459">
            <v>5501</v>
          </cell>
          <cell r="E1459">
            <v>1000</v>
          </cell>
          <cell r="F1459" t="str">
            <v>ZALM</v>
          </cell>
          <cell r="G1459" t="str">
            <v>UN</v>
          </cell>
          <cell r="H1459" t="str">
            <v>DOP</v>
          </cell>
          <cell r="I1459">
            <v>0</v>
          </cell>
          <cell r="J1459">
            <v>0</v>
          </cell>
          <cell r="K1459">
            <v>0</v>
          </cell>
          <cell r="L1459">
            <v>0</v>
          </cell>
          <cell r="M1459">
            <v>0</v>
          </cell>
          <cell r="N1459">
            <v>0</v>
          </cell>
          <cell r="O1459">
            <v>0</v>
          </cell>
          <cell r="P1459">
            <v>0</v>
          </cell>
          <cell r="Q1459">
            <v>0</v>
          </cell>
          <cell r="R1459">
            <v>0</v>
          </cell>
          <cell r="S1459">
            <v>0</v>
          </cell>
          <cell r="T1459">
            <v>0</v>
          </cell>
          <cell r="U1459" t="e">
            <v>#N/A</v>
          </cell>
        </row>
        <row r="1460">
          <cell r="A1460">
            <v>1001454</v>
          </cell>
          <cell r="B1460" t="str">
            <v>Funda P/ Guante de Alta Tensión</v>
          </cell>
          <cell r="D1460">
            <v>7201</v>
          </cell>
          <cell r="E1460">
            <v>1000</v>
          </cell>
          <cell r="F1460" t="str">
            <v>ZALM</v>
          </cell>
          <cell r="G1460" t="str">
            <v>UN</v>
          </cell>
          <cell r="H1460" t="str">
            <v>DOP</v>
          </cell>
          <cell r="I1460">
            <v>8</v>
          </cell>
          <cell r="J1460">
            <v>2907.04</v>
          </cell>
          <cell r="K1460">
            <v>0</v>
          </cell>
          <cell r="L1460">
            <v>0</v>
          </cell>
          <cell r="M1460">
            <v>0</v>
          </cell>
          <cell r="N1460">
            <v>0</v>
          </cell>
          <cell r="O1460">
            <v>0</v>
          </cell>
          <cell r="P1460">
            <v>0</v>
          </cell>
          <cell r="Q1460">
            <v>0</v>
          </cell>
          <cell r="R1460">
            <v>0</v>
          </cell>
          <cell r="S1460">
            <v>8</v>
          </cell>
          <cell r="T1460">
            <v>2907.04</v>
          </cell>
          <cell r="U1460">
            <v>363.38</v>
          </cell>
        </row>
        <row r="1461">
          <cell r="A1461">
            <v>1001455</v>
          </cell>
          <cell r="B1461" t="str">
            <v>Gancho P/ Soga M-1849</v>
          </cell>
          <cell r="D1461">
            <v>5501</v>
          </cell>
          <cell r="E1461">
            <v>1000</v>
          </cell>
          <cell r="F1461" t="str">
            <v>ZALM</v>
          </cell>
          <cell r="G1461" t="str">
            <v>UN</v>
          </cell>
          <cell r="H1461" t="str">
            <v>DOP</v>
          </cell>
          <cell r="I1461">
            <v>0</v>
          </cell>
          <cell r="J1461">
            <v>0</v>
          </cell>
          <cell r="K1461">
            <v>0</v>
          </cell>
          <cell r="L1461">
            <v>0</v>
          </cell>
          <cell r="M1461">
            <v>0</v>
          </cell>
          <cell r="N1461">
            <v>0</v>
          </cell>
          <cell r="O1461">
            <v>0</v>
          </cell>
          <cell r="P1461">
            <v>0</v>
          </cell>
          <cell r="Q1461">
            <v>0</v>
          </cell>
          <cell r="R1461">
            <v>0</v>
          </cell>
          <cell r="S1461">
            <v>0</v>
          </cell>
          <cell r="T1461">
            <v>0</v>
          </cell>
          <cell r="U1461" t="e">
            <v>#N/A</v>
          </cell>
        </row>
        <row r="1462">
          <cell r="A1462">
            <v>1001456</v>
          </cell>
          <cell r="B1462" t="str">
            <v>Gato Hidráulico 0.75 Ton</v>
          </cell>
          <cell r="D1462">
            <v>5501</v>
          </cell>
          <cell r="E1462">
            <v>1000</v>
          </cell>
          <cell r="F1462" t="str">
            <v>ZALM</v>
          </cell>
          <cell r="G1462" t="str">
            <v>UN</v>
          </cell>
          <cell r="H1462" t="str">
            <v>DOP</v>
          </cell>
          <cell r="I1462">
            <v>0</v>
          </cell>
          <cell r="J1462">
            <v>0</v>
          </cell>
          <cell r="K1462">
            <v>0</v>
          </cell>
          <cell r="L1462">
            <v>0</v>
          </cell>
          <cell r="M1462">
            <v>0</v>
          </cell>
          <cell r="N1462">
            <v>0</v>
          </cell>
          <cell r="O1462">
            <v>0</v>
          </cell>
          <cell r="P1462">
            <v>0</v>
          </cell>
          <cell r="Q1462">
            <v>0</v>
          </cell>
          <cell r="R1462">
            <v>0</v>
          </cell>
          <cell r="S1462">
            <v>0</v>
          </cell>
          <cell r="T1462">
            <v>0</v>
          </cell>
          <cell r="U1462" t="e">
            <v>#N/A</v>
          </cell>
        </row>
        <row r="1463">
          <cell r="A1463">
            <v>1001457</v>
          </cell>
          <cell r="B1463" t="str">
            <v>Gato Hidráulico 10 Ton</v>
          </cell>
          <cell r="D1463">
            <v>5501</v>
          </cell>
          <cell r="E1463">
            <v>1000</v>
          </cell>
          <cell r="F1463" t="str">
            <v>ZALM</v>
          </cell>
          <cell r="G1463" t="str">
            <v>UN</v>
          </cell>
          <cell r="H1463" t="str">
            <v>DOP</v>
          </cell>
          <cell r="I1463">
            <v>8</v>
          </cell>
          <cell r="J1463">
            <v>150584</v>
          </cell>
          <cell r="K1463">
            <v>0</v>
          </cell>
          <cell r="L1463">
            <v>0</v>
          </cell>
          <cell r="M1463">
            <v>0</v>
          </cell>
          <cell r="N1463">
            <v>0</v>
          </cell>
          <cell r="O1463">
            <v>0</v>
          </cell>
          <cell r="P1463">
            <v>0</v>
          </cell>
          <cell r="Q1463">
            <v>0</v>
          </cell>
          <cell r="R1463">
            <v>0</v>
          </cell>
          <cell r="S1463">
            <v>8</v>
          </cell>
          <cell r="T1463">
            <v>150584</v>
          </cell>
          <cell r="U1463">
            <v>18823</v>
          </cell>
        </row>
        <row r="1464">
          <cell r="A1464">
            <v>1001458</v>
          </cell>
          <cell r="B1464" t="str">
            <v>Grillete Acero Galv 1/2"</v>
          </cell>
          <cell r="D1464">
            <v>5501</v>
          </cell>
          <cell r="E1464">
            <v>1000</v>
          </cell>
          <cell r="F1464" t="str">
            <v>ZALM</v>
          </cell>
          <cell r="G1464" t="str">
            <v>UN</v>
          </cell>
          <cell r="H1464" t="str">
            <v>DOP</v>
          </cell>
          <cell r="I1464">
            <v>1123</v>
          </cell>
          <cell r="J1464">
            <v>239693.12</v>
          </cell>
          <cell r="K1464">
            <v>0</v>
          </cell>
          <cell r="L1464">
            <v>0</v>
          </cell>
          <cell r="M1464">
            <v>0</v>
          </cell>
          <cell r="N1464">
            <v>0</v>
          </cell>
          <cell r="O1464">
            <v>0</v>
          </cell>
          <cell r="P1464">
            <v>0</v>
          </cell>
          <cell r="Q1464">
            <v>0</v>
          </cell>
          <cell r="R1464">
            <v>0</v>
          </cell>
          <cell r="S1464">
            <v>1123</v>
          </cell>
          <cell r="T1464">
            <v>239693.12</v>
          </cell>
          <cell r="U1464">
            <v>213.44</v>
          </cell>
        </row>
        <row r="1465">
          <cell r="A1465">
            <v>1001459</v>
          </cell>
          <cell r="B1465" t="str">
            <v>Hacha</v>
          </cell>
          <cell r="D1465">
            <v>7201</v>
          </cell>
          <cell r="E1465">
            <v>1000</v>
          </cell>
          <cell r="F1465" t="str">
            <v>ZALM</v>
          </cell>
          <cell r="G1465" t="str">
            <v>UN</v>
          </cell>
          <cell r="H1465" t="str">
            <v>DOP</v>
          </cell>
          <cell r="I1465">
            <v>7</v>
          </cell>
          <cell r="J1465">
            <v>3281.99</v>
          </cell>
          <cell r="K1465">
            <v>0</v>
          </cell>
          <cell r="L1465">
            <v>0</v>
          </cell>
          <cell r="M1465">
            <v>0</v>
          </cell>
          <cell r="N1465">
            <v>0</v>
          </cell>
          <cell r="O1465">
            <v>0</v>
          </cell>
          <cell r="P1465">
            <v>0</v>
          </cell>
          <cell r="Q1465">
            <v>0</v>
          </cell>
          <cell r="R1465">
            <v>0</v>
          </cell>
          <cell r="S1465">
            <v>7</v>
          </cell>
          <cell r="T1465">
            <v>3281.99</v>
          </cell>
          <cell r="U1465">
            <v>468.85571428571399</v>
          </cell>
        </row>
        <row r="1466">
          <cell r="A1466">
            <v>1001460</v>
          </cell>
          <cell r="B1466" t="str">
            <v>Hebilla Para Cinta TB</v>
          </cell>
          <cell r="D1466">
            <v>5501</v>
          </cell>
          <cell r="E1466">
            <v>1000</v>
          </cell>
          <cell r="F1466" t="str">
            <v>ZALM</v>
          </cell>
          <cell r="G1466" t="str">
            <v>UN</v>
          </cell>
          <cell r="H1466" t="str">
            <v>DOP</v>
          </cell>
          <cell r="I1466">
            <v>0</v>
          </cell>
          <cell r="J1466">
            <v>0</v>
          </cell>
          <cell r="K1466">
            <v>0</v>
          </cell>
          <cell r="L1466">
            <v>0</v>
          </cell>
          <cell r="M1466">
            <v>0</v>
          </cell>
          <cell r="N1466">
            <v>0</v>
          </cell>
          <cell r="O1466">
            <v>0</v>
          </cell>
          <cell r="P1466">
            <v>0</v>
          </cell>
          <cell r="Q1466">
            <v>0</v>
          </cell>
          <cell r="R1466">
            <v>0</v>
          </cell>
          <cell r="S1466">
            <v>0</v>
          </cell>
          <cell r="T1466">
            <v>0</v>
          </cell>
          <cell r="U1466" t="e">
            <v>#N/A</v>
          </cell>
        </row>
        <row r="1467">
          <cell r="A1467">
            <v>1001461</v>
          </cell>
          <cell r="B1467" t="str">
            <v>Herramienta P/Conect T/Cuña Cab Grde-Peq</v>
          </cell>
          <cell r="D1467">
            <v>5501</v>
          </cell>
          <cell r="E1467">
            <v>1000</v>
          </cell>
          <cell r="F1467" t="str">
            <v>ZALM</v>
          </cell>
          <cell r="G1467" t="str">
            <v>UN</v>
          </cell>
          <cell r="H1467" t="str">
            <v>DOP</v>
          </cell>
          <cell r="I1467">
            <v>3</v>
          </cell>
          <cell r="J1467">
            <v>168084</v>
          </cell>
          <cell r="K1467">
            <v>0</v>
          </cell>
          <cell r="L1467">
            <v>0</v>
          </cell>
          <cell r="M1467">
            <v>0</v>
          </cell>
          <cell r="N1467">
            <v>0</v>
          </cell>
          <cell r="O1467">
            <v>0</v>
          </cell>
          <cell r="P1467">
            <v>0</v>
          </cell>
          <cell r="Q1467">
            <v>0</v>
          </cell>
          <cell r="R1467">
            <v>0</v>
          </cell>
          <cell r="S1467">
            <v>3</v>
          </cell>
          <cell r="T1467">
            <v>168084</v>
          </cell>
          <cell r="U1467">
            <v>56028</v>
          </cell>
        </row>
        <row r="1468">
          <cell r="A1468">
            <v>1001462</v>
          </cell>
          <cell r="B1468" t="str">
            <v>Herramientas AMPACT con Cabezal Pequeño</v>
          </cell>
          <cell r="D1468">
            <v>5501</v>
          </cell>
          <cell r="E1468">
            <v>1000</v>
          </cell>
          <cell r="F1468" t="str">
            <v>ZALM</v>
          </cell>
          <cell r="G1468" t="str">
            <v>UN</v>
          </cell>
          <cell r="H1468" t="str">
            <v>DOP</v>
          </cell>
          <cell r="I1468">
            <v>0</v>
          </cell>
          <cell r="J1468">
            <v>0</v>
          </cell>
          <cell r="K1468">
            <v>0</v>
          </cell>
          <cell r="L1468">
            <v>0</v>
          </cell>
          <cell r="M1468">
            <v>0</v>
          </cell>
          <cell r="N1468">
            <v>0</v>
          </cell>
          <cell r="O1468">
            <v>0</v>
          </cell>
          <cell r="P1468">
            <v>0</v>
          </cell>
          <cell r="Q1468">
            <v>0</v>
          </cell>
          <cell r="R1468">
            <v>0</v>
          </cell>
          <cell r="S1468">
            <v>0</v>
          </cell>
          <cell r="T1468">
            <v>0</v>
          </cell>
          <cell r="U1468" t="e">
            <v>#N/A</v>
          </cell>
        </row>
        <row r="1469">
          <cell r="A1469">
            <v>1001463</v>
          </cell>
          <cell r="B1469" t="str">
            <v>Herramiento zunchadora ZUN</v>
          </cell>
          <cell r="D1469">
            <v>5501</v>
          </cell>
          <cell r="E1469">
            <v>1000</v>
          </cell>
          <cell r="F1469" t="str">
            <v>ZALM</v>
          </cell>
          <cell r="G1469" t="str">
            <v>UN</v>
          </cell>
          <cell r="H1469" t="str">
            <v>DOP</v>
          </cell>
          <cell r="I1469">
            <v>0</v>
          </cell>
          <cell r="J1469">
            <v>0</v>
          </cell>
          <cell r="K1469">
            <v>0</v>
          </cell>
          <cell r="L1469">
            <v>0</v>
          </cell>
          <cell r="M1469">
            <v>0</v>
          </cell>
          <cell r="N1469">
            <v>0</v>
          </cell>
          <cell r="O1469">
            <v>0</v>
          </cell>
          <cell r="P1469">
            <v>0</v>
          </cell>
          <cell r="Q1469">
            <v>0</v>
          </cell>
          <cell r="R1469">
            <v>0</v>
          </cell>
          <cell r="S1469">
            <v>0</v>
          </cell>
          <cell r="T1469">
            <v>0</v>
          </cell>
          <cell r="U1469" t="e">
            <v>#N/A</v>
          </cell>
        </row>
        <row r="1470">
          <cell r="A1470">
            <v>1001464</v>
          </cell>
          <cell r="B1470" t="str">
            <v>Hidraulic Power Source Elect Cat PW-115</v>
          </cell>
          <cell r="D1470">
            <v>5501</v>
          </cell>
          <cell r="E1470">
            <v>1000</v>
          </cell>
          <cell r="F1470" t="str">
            <v>ZALM</v>
          </cell>
          <cell r="G1470" t="str">
            <v>UN</v>
          </cell>
          <cell r="H1470" t="str">
            <v>DOP</v>
          </cell>
          <cell r="I1470">
            <v>0</v>
          </cell>
          <cell r="J1470">
            <v>0</v>
          </cell>
          <cell r="K1470">
            <v>0</v>
          </cell>
          <cell r="L1470">
            <v>0</v>
          </cell>
          <cell r="M1470">
            <v>0</v>
          </cell>
          <cell r="N1470">
            <v>0</v>
          </cell>
          <cell r="O1470">
            <v>0</v>
          </cell>
          <cell r="P1470">
            <v>0</v>
          </cell>
          <cell r="Q1470">
            <v>0</v>
          </cell>
          <cell r="R1470">
            <v>0</v>
          </cell>
          <cell r="S1470">
            <v>0</v>
          </cell>
          <cell r="T1470">
            <v>0</v>
          </cell>
          <cell r="U1470" t="e">
            <v>#N/A</v>
          </cell>
        </row>
        <row r="1471">
          <cell r="A1471">
            <v>1001465</v>
          </cell>
          <cell r="B1471" t="str">
            <v>Hojas de Seguetas</v>
          </cell>
          <cell r="D1471">
            <v>5501</v>
          </cell>
          <cell r="E1471">
            <v>1000</v>
          </cell>
          <cell r="F1471" t="str">
            <v>ZALM</v>
          </cell>
          <cell r="G1471" t="str">
            <v>UN</v>
          </cell>
          <cell r="H1471" t="str">
            <v>DOP</v>
          </cell>
          <cell r="I1471">
            <v>0</v>
          </cell>
          <cell r="J1471">
            <v>0</v>
          </cell>
          <cell r="K1471">
            <v>0</v>
          </cell>
          <cell r="L1471">
            <v>0</v>
          </cell>
          <cell r="M1471">
            <v>0</v>
          </cell>
          <cell r="N1471">
            <v>0</v>
          </cell>
          <cell r="O1471">
            <v>0</v>
          </cell>
          <cell r="P1471">
            <v>0</v>
          </cell>
          <cell r="Q1471">
            <v>0</v>
          </cell>
          <cell r="R1471">
            <v>0</v>
          </cell>
          <cell r="S1471">
            <v>0</v>
          </cell>
          <cell r="T1471">
            <v>0</v>
          </cell>
          <cell r="U1471" t="e">
            <v>#N/A</v>
          </cell>
        </row>
        <row r="1472">
          <cell r="A1472">
            <v>1001466</v>
          </cell>
          <cell r="B1472" t="str">
            <v>Horquilla Porta Contador C-4805-17</v>
          </cell>
          <cell r="D1472">
            <v>5501</v>
          </cell>
          <cell r="E1472">
            <v>1000</v>
          </cell>
          <cell r="F1472" t="str">
            <v>ZALM</v>
          </cell>
          <cell r="G1472" t="str">
            <v>UN</v>
          </cell>
          <cell r="H1472" t="str">
            <v>DOP</v>
          </cell>
          <cell r="I1472">
            <v>0</v>
          </cell>
          <cell r="J1472">
            <v>0</v>
          </cell>
          <cell r="K1472">
            <v>0</v>
          </cell>
          <cell r="L1472">
            <v>0</v>
          </cell>
          <cell r="M1472">
            <v>0</v>
          </cell>
          <cell r="N1472">
            <v>0</v>
          </cell>
          <cell r="O1472">
            <v>0</v>
          </cell>
          <cell r="P1472">
            <v>0</v>
          </cell>
          <cell r="Q1472">
            <v>0</v>
          </cell>
          <cell r="R1472">
            <v>0</v>
          </cell>
          <cell r="S1472">
            <v>0</v>
          </cell>
          <cell r="T1472">
            <v>0</v>
          </cell>
          <cell r="U1472" t="e">
            <v>#N/A</v>
          </cell>
        </row>
        <row r="1473">
          <cell r="A1473">
            <v>1001467</v>
          </cell>
          <cell r="B1473" t="str">
            <v>Juego Botones-Resor Pértig Telesc 10.5M</v>
          </cell>
          <cell r="D1473">
            <v>5501</v>
          </cell>
          <cell r="E1473">
            <v>1000</v>
          </cell>
          <cell r="F1473" t="str">
            <v>ZALM</v>
          </cell>
          <cell r="G1473" t="str">
            <v>UN</v>
          </cell>
          <cell r="H1473" t="str">
            <v>DOP</v>
          </cell>
          <cell r="I1473">
            <v>0</v>
          </cell>
          <cell r="J1473">
            <v>0</v>
          </cell>
          <cell r="K1473">
            <v>0</v>
          </cell>
          <cell r="L1473">
            <v>0</v>
          </cell>
          <cell r="M1473">
            <v>0</v>
          </cell>
          <cell r="N1473">
            <v>0</v>
          </cell>
          <cell r="O1473">
            <v>0</v>
          </cell>
          <cell r="P1473">
            <v>0</v>
          </cell>
          <cell r="Q1473">
            <v>0</v>
          </cell>
          <cell r="R1473">
            <v>0</v>
          </cell>
          <cell r="S1473">
            <v>0</v>
          </cell>
          <cell r="T1473">
            <v>0</v>
          </cell>
          <cell r="U1473" t="e">
            <v>#N/A</v>
          </cell>
        </row>
        <row r="1474">
          <cell r="A1474">
            <v>1001468</v>
          </cell>
          <cell r="B1474" t="str">
            <v>Juego Cinco Llaves Acod Polig Trinq Rev</v>
          </cell>
          <cell r="D1474">
            <v>5501</v>
          </cell>
          <cell r="E1474">
            <v>1000</v>
          </cell>
          <cell r="F1474" t="str">
            <v>ZALM</v>
          </cell>
          <cell r="G1474" t="str">
            <v>UN</v>
          </cell>
          <cell r="H1474" t="str">
            <v>DOP</v>
          </cell>
          <cell r="I1474">
            <v>0</v>
          </cell>
          <cell r="J1474">
            <v>0</v>
          </cell>
          <cell r="K1474">
            <v>0</v>
          </cell>
          <cell r="L1474">
            <v>0</v>
          </cell>
          <cell r="M1474">
            <v>0</v>
          </cell>
          <cell r="N1474">
            <v>0</v>
          </cell>
          <cell r="O1474">
            <v>0</v>
          </cell>
          <cell r="P1474">
            <v>0</v>
          </cell>
          <cell r="Q1474">
            <v>0</v>
          </cell>
          <cell r="R1474">
            <v>0</v>
          </cell>
          <cell r="S1474">
            <v>0</v>
          </cell>
          <cell r="T1474">
            <v>0</v>
          </cell>
          <cell r="U1474" t="e">
            <v>#N/A</v>
          </cell>
        </row>
        <row r="1475">
          <cell r="A1475">
            <v>1001469</v>
          </cell>
          <cell r="B1475" t="str">
            <v>Juego Cubo Klein 12 Pza Ref 65504</v>
          </cell>
          <cell r="D1475">
            <v>7201</v>
          </cell>
          <cell r="E1475">
            <v>1000</v>
          </cell>
          <cell r="F1475" t="str">
            <v>ZALM</v>
          </cell>
          <cell r="G1475" t="str">
            <v>UN</v>
          </cell>
          <cell r="H1475" t="str">
            <v>DOP</v>
          </cell>
          <cell r="I1475">
            <v>0</v>
          </cell>
          <cell r="J1475">
            <v>0</v>
          </cell>
          <cell r="K1475">
            <v>0</v>
          </cell>
          <cell r="L1475">
            <v>0</v>
          </cell>
          <cell r="M1475">
            <v>0</v>
          </cell>
          <cell r="N1475">
            <v>0</v>
          </cell>
          <cell r="O1475">
            <v>0</v>
          </cell>
          <cell r="P1475">
            <v>0</v>
          </cell>
          <cell r="Q1475">
            <v>0</v>
          </cell>
          <cell r="R1475">
            <v>0</v>
          </cell>
          <cell r="S1475">
            <v>0</v>
          </cell>
          <cell r="T1475">
            <v>0</v>
          </cell>
          <cell r="U1475" t="e">
            <v>#N/A</v>
          </cell>
        </row>
        <row r="1476">
          <cell r="A1476">
            <v>1001470</v>
          </cell>
          <cell r="B1476" t="str">
            <v>Juego Cubos Std 1/2" 25/1 10-25mm</v>
          </cell>
          <cell r="D1476">
            <v>5501</v>
          </cell>
          <cell r="E1476">
            <v>1000</v>
          </cell>
          <cell r="F1476" t="str">
            <v>ZALM</v>
          </cell>
          <cell r="G1476" t="str">
            <v>UN</v>
          </cell>
          <cell r="H1476" t="str">
            <v>DOP</v>
          </cell>
          <cell r="I1476">
            <v>0</v>
          </cell>
          <cell r="J1476">
            <v>0</v>
          </cell>
          <cell r="K1476">
            <v>0</v>
          </cell>
          <cell r="L1476">
            <v>0</v>
          </cell>
          <cell r="M1476">
            <v>0</v>
          </cell>
          <cell r="N1476">
            <v>0</v>
          </cell>
          <cell r="O1476">
            <v>0</v>
          </cell>
          <cell r="P1476">
            <v>0</v>
          </cell>
          <cell r="Q1476">
            <v>0</v>
          </cell>
          <cell r="R1476">
            <v>0</v>
          </cell>
          <cell r="S1476">
            <v>0</v>
          </cell>
          <cell r="T1476">
            <v>0</v>
          </cell>
          <cell r="U1476" t="e">
            <v>#N/A</v>
          </cell>
        </row>
        <row r="1477">
          <cell r="A1477">
            <v>1001471</v>
          </cell>
          <cell r="B1477" t="str">
            <v>Juego Dado P/ Herramienta Compres Y-35</v>
          </cell>
          <cell r="D1477">
            <v>5501</v>
          </cell>
          <cell r="E1477">
            <v>1000</v>
          </cell>
          <cell r="F1477" t="str">
            <v>ZALM</v>
          </cell>
          <cell r="G1477" t="str">
            <v>UN</v>
          </cell>
          <cell r="H1477" t="str">
            <v>DOP</v>
          </cell>
          <cell r="I1477">
            <v>0</v>
          </cell>
          <cell r="J1477">
            <v>0</v>
          </cell>
          <cell r="K1477">
            <v>0</v>
          </cell>
          <cell r="L1477">
            <v>0</v>
          </cell>
          <cell r="M1477">
            <v>0</v>
          </cell>
          <cell r="N1477">
            <v>0</v>
          </cell>
          <cell r="O1477">
            <v>0</v>
          </cell>
          <cell r="P1477">
            <v>0</v>
          </cell>
          <cell r="Q1477">
            <v>0</v>
          </cell>
          <cell r="R1477">
            <v>0</v>
          </cell>
          <cell r="S1477">
            <v>0</v>
          </cell>
          <cell r="T1477">
            <v>0</v>
          </cell>
          <cell r="U1477" t="e">
            <v>#N/A</v>
          </cell>
        </row>
        <row r="1478">
          <cell r="A1478">
            <v>1001472</v>
          </cell>
          <cell r="B1478" t="str">
            <v>Juego de Barrenas de 15 Piezas Concreto</v>
          </cell>
          <cell r="D1478">
            <v>5501</v>
          </cell>
          <cell r="E1478">
            <v>1000</v>
          </cell>
          <cell r="F1478" t="str">
            <v>ZALM</v>
          </cell>
          <cell r="G1478" t="str">
            <v>UN</v>
          </cell>
          <cell r="H1478" t="str">
            <v>DOP</v>
          </cell>
          <cell r="I1478">
            <v>0</v>
          </cell>
          <cell r="J1478">
            <v>0</v>
          </cell>
          <cell r="K1478">
            <v>0</v>
          </cell>
          <cell r="L1478">
            <v>0</v>
          </cell>
          <cell r="M1478">
            <v>0</v>
          </cell>
          <cell r="N1478">
            <v>0</v>
          </cell>
          <cell r="O1478">
            <v>0</v>
          </cell>
          <cell r="P1478">
            <v>0</v>
          </cell>
          <cell r="Q1478">
            <v>0</v>
          </cell>
          <cell r="R1478">
            <v>0</v>
          </cell>
          <cell r="S1478">
            <v>0</v>
          </cell>
          <cell r="T1478">
            <v>0</v>
          </cell>
          <cell r="U1478" t="e">
            <v>#N/A</v>
          </cell>
        </row>
        <row r="1479">
          <cell r="A1479">
            <v>1001473</v>
          </cell>
          <cell r="B1479" t="str">
            <v>Juego de Barrenas de 29 Piezas Metal</v>
          </cell>
          <cell r="D1479">
            <v>5501</v>
          </cell>
          <cell r="E1479">
            <v>1000</v>
          </cell>
          <cell r="F1479" t="str">
            <v>ZALM</v>
          </cell>
          <cell r="G1479" t="str">
            <v>UN</v>
          </cell>
          <cell r="H1479" t="str">
            <v>DOP</v>
          </cell>
          <cell r="I1479">
            <v>0</v>
          </cell>
          <cell r="J1479">
            <v>0</v>
          </cell>
          <cell r="K1479">
            <v>0</v>
          </cell>
          <cell r="L1479">
            <v>0</v>
          </cell>
          <cell r="M1479">
            <v>0</v>
          </cell>
          <cell r="N1479">
            <v>0</v>
          </cell>
          <cell r="O1479">
            <v>0</v>
          </cell>
          <cell r="P1479">
            <v>0</v>
          </cell>
          <cell r="Q1479">
            <v>0</v>
          </cell>
          <cell r="R1479">
            <v>0</v>
          </cell>
          <cell r="S1479">
            <v>0</v>
          </cell>
          <cell r="T1479">
            <v>0</v>
          </cell>
          <cell r="U1479" t="e">
            <v>#N/A</v>
          </cell>
        </row>
        <row r="1480">
          <cell r="A1480">
            <v>1001474</v>
          </cell>
          <cell r="B1480" t="str">
            <v>Juego de Barrenas P/ Metal 1/16-1/2"</v>
          </cell>
          <cell r="D1480">
            <v>5501</v>
          </cell>
          <cell r="E1480">
            <v>1000</v>
          </cell>
          <cell r="F1480" t="str">
            <v>ZALM</v>
          </cell>
          <cell r="G1480" t="str">
            <v>UN</v>
          </cell>
          <cell r="H1480" t="str">
            <v>DOP</v>
          </cell>
          <cell r="I1480">
            <v>0</v>
          </cell>
          <cell r="J1480">
            <v>0</v>
          </cell>
          <cell r="K1480">
            <v>0</v>
          </cell>
          <cell r="L1480">
            <v>0</v>
          </cell>
          <cell r="M1480">
            <v>0</v>
          </cell>
          <cell r="N1480">
            <v>0</v>
          </cell>
          <cell r="O1480">
            <v>0</v>
          </cell>
          <cell r="P1480">
            <v>0</v>
          </cell>
          <cell r="Q1480">
            <v>0</v>
          </cell>
          <cell r="R1480">
            <v>0</v>
          </cell>
          <cell r="S1480">
            <v>0</v>
          </cell>
          <cell r="T1480">
            <v>0</v>
          </cell>
          <cell r="U1480" t="e">
            <v>#N/A</v>
          </cell>
        </row>
        <row r="1481">
          <cell r="A1481">
            <v>1001475</v>
          </cell>
          <cell r="B1481" t="str">
            <v>Juego de Cubo Tipo Destornilladores</v>
          </cell>
          <cell r="D1481">
            <v>5501</v>
          </cell>
          <cell r="E1481">
            <v>1000</v>
          </cell>
          <cell r="F1481" t="str">
            <v>ZALM</v>
          </cell>
          <cell r="G1481" t="str">
            <v>UN</v>
          </cell>
          <cell r="H1481" t="str">
            <v>DOP</v>
          </cell>
          <cell r="I1481">
            <v>0</v>
          </cell>
          <cell r="J1481">
            <v>0</v>
          </cell>
          <cell r="K1481">
            <v>0</v>
          </cell>
          <cell r="L1481">
            <v>0</v>
          </cell>
          <cell r="M1481">
            <v>0</v>
          </cell>
          <cell r="N1481">
            <v>0</v>
          </cell>
          <cell r="O1481">
            <v>0</v>
          </cell>
          <cell r="P1481">
            <v>0</v>
          </cell>
          <cell r="Q1481">
            <v>0</v>
          </cell>
          <cell r="R1481">
            <v>0</v>
          </cell>
          <cell r="S1481">
            <v>0</v>
          </cell>
          <cell r="T1481">
            <v>0</v>
          </cell>
          <cell r="U1481" t="e">
            <v>#N/A</v>
          </cell>
        </row>
        <row r="1482">
          <cell r="A1482">
            <v>1001476</v>
          </cell>
          <cell r="B1482" t="str">
            <v>Juego de Cuñas Separadoras de Triplex</v>
          </cell>
          <cell r="D1482">
            <v>7201</v>
          </cell>
          <cell r="E1482">
            <v>1000</v>
          </cell>
          <cell r="F1482" t="str">
            <v>ZALM</v>
          </cell>
          <cell r="G1482" t="str">
            <v>UN</v>
          </cell>
          <cell r="H1482" t="str">
            <v>DOP</v>
          </cell>
          <cell r="I1482">
            <v>0</v>
          </cell>
          <cell r="J1482">
            <v>0</v>
          </cell>
          <cell r="K1482">
            <v>0</v>
          </cell>
          <cell r="L1482">
            <v>0</v>
          </cell>
          <cell r="M1482">
            <v>0</v>
          </cell>
          <cell r="N1482">
            <v>0</v>
          </cell>
          <cell r="O1482">
            <v>0</v>
          </cell>
          <cell r="P1482">
            <v>0</v>
          </cell>
          <cell r="Q1482">
            <v>0</v>
          </cell>
          <cell r="R1482">
            <v>0</v>
          </cell>
          <cell r="S1482">
            <v>0</v>
          </cell>
          <cell r="T1482">
            <v>0</v>
          </cell>
          <cell r="U1482" t="e">
            <v>#N/A</v>
          </cell>
        </row>
        <row r="1483">
          <cell r="A1483">
            <v>1001477</v>
          </cell>
          <cell r="B1483" t="str">
            <v>Juego de Dado Para el MD-6-8, W-BG"</v>
          </cell>
          <cell r="D1483">
            <v>5501</v>
          </cell>
          <cell r="E1483">
            <v>1000</v>
          </cell>
          <cell r="F1483" t="str">
            <v>ZALM</v>
          </cell>
          <cell r="G1483" t="str">
            <v>UN</v>
          </cell>
          <cell r="H1483" t="str">
            <v>DOP</v>
          </cell>
          <cell r="I1483">
            <v>0</v>
          </cell>
          <cell r="J1483">
            <v>0</v>
          </cell>
          <cell r="K1483">
            <v>0</v>
          </cell>
          <cell r="L1483">
            <v>0</v>
          </cell>
          <cell r="M1483">
            <v>0</v>
          </cell>
          <cell r="N1483">
            <v>0</v>
          </cell>
          <cell r="O1483">
            <v>0</v>
          </cell>
          <cell r="P1483">
            <v>0</v>
          </cell>
          <cell r="Q1483">
            <v>0</v>
          </cell>
          <cell r="R1483">
            <v>0</v>
          </cell>
          <cell r="S1483">
            <v>0</v>
          </cell>
          <cell r="T1483">
            <v>0</v>
          </cell>
          <cell r="U1483" t="e">
            <v>#N/A</v>
          </cell>
        </row>
        <row r="1484">
          <cell r="A1484">
            <v>1001478</v>
          </cell>
          <cell r="B1484" t="str">
            <v>Juego de Destornillador ST 4/1 0464-454</v>
          </cell>
          <cell r="D1484">
            <v>5501</v>
          </cell>
          <cell r="E1484">
            <v>1000</v>
          </cell>
          <cell r="F1484" t="str">
            <v>ZALM</v>
          </cell>
          <cell r="G1484" t="str">
            <v>UN</v>
          </cell>
          <cell r="H1484" t="str">
            <v>DOP</v>
          </cell>
          <cell r="I1484">
            <v>0</v>
          </cell>
          <cell r="J1484">
            <v>0</v>
          </cell>
          <cell r="K1484">
            <v>0</v>
          </cell>
          <cell r="L1484">
            <v>0</v>
          </cell>
          <cell r="M1484">
            <v>0</v>
          </cell>
          <cell r="N1484">
            <v>0</v>
          </cell>
          <cell r="O1484">
            <v>0</v>
          </cell>
          <cell r="P1484">
            <v>0</v>
          </cell>
          <cell r="Q1484">
            <v>0</v>
          </cell>
          <cell r="R1484">
            <v>0</v>
          </cell>
          <cell r="S1484">
            <v>0</v>
          </cell>
          <cell r="T1484">
            <v>0</v>
          </cell>
          <cell r="U1484" t="e">
            <v>#N/A</v>
          </cell>
        </row>
        <row r="1485">
          <cell r="A1485">
            <v>1001479</v>
          </cell>
          <cell r="B1485" t="str">
            <v>Juego de Limpieza de Epoxiglas</v>
          </cell>
          <cell r="D1485">
            <v>5501</v>
          </cell>
          <cell r="E1485">
            <v>1000</v>
          </cell>
          <cell r="F1485" t="str">
            <v>ZALM</v>
          </cell>
          <cell r="G1485" t="str">
            <v>UN</v>
          </cell>
          <cell r="H1485" t="str">
            <v>DOP</v>
          </cell>
          <cell r="I1485">
            <v>0</v>
          </cell>
          <cell r="J1485">
            <v>0</v>
          </cell>
          <cell r="K1485">
            <v>0</v>
          </cell>
          <cell r="L1485">
            <v>0</v>
          </cell>
          <cell r="M1485">
            <v>0</v>
          </cell>
          <cell r="N1485">
            <v>0</v>
          </cell>
          <cell r="O1485">
            <v>0</v>
          </cell>
          <cell r="P1485">
            <v>0</v>
          </cell>
          <cell r="Q1485">
            <v>0</v>
          </cell>
          <cell r="R1485">
            <v>0</v>
          </cell>
          <cell r="S1485">
            <v>0</v>
          </cell>
          <cell r="T1485">
            <v>0</v>
          </cell>
          <cell r="U1485" t="e">
            <v>#N/A</v>
          </cell>
        </row>
        <row r="1486">
          <cell r="A1486">
            <v>1001480</v>
          </cell>
          <cell r="B1486" t="str">
            <v>Juego de Llaves ALLEN 1/4" en Adelante</v>
          </cell>
          <cell r="D1486">
            <v>7201</v>
          </cell>
          <cell r="E1486">
            <v>1000</v>
          </cell>
          <cell r="F1486" t="str">
            <v>ZALM</v>
          </cell>
          <cell r="G1486" t="str">
            <v>UN</v>
          </cell>
          <cell r="H1486" t="str">
            <v>DOP</v>
          </cell>
          <cell r="I1486">
            <v>0</v>
          </cell>
          <cell r="J1486">
            <v>0</v>
          </cell>
          <cell r="K1486">
            <v>0</v>
          </cell>
          <cell r="L1486">
            <v>0</v>
          </cell>
          <cell r="M1486">
            <v>0</v>
          </cell>
          <cell r="N1486">
            <v>0</v>
          </cell>
          <cell r="O1486">
            <v>0</v>
          </cell>
          <cell r="P1486">
            <v>0</v>
          </cell>
          <cell r="Q1486">
            <v>0</v>
          </cell>
          <cell r="R1486">
            <v>0</v>
          </cell>
          <cell r="S1486">
            <v>0</v>
          </cell>
          <cell r="T1486">
            <v>0</v>
          </cell>
          <cell r="U1486" t="e">
            <v>#N/A</v>
          </cell>
        </row>
        <row r="1487">
          <cell r="A1487">
            <v>1001481</v>
          </cell>
          <cell r="B1487" t="str">
            <v>Juego de Llaves ALLEN Aislada 1000V</v>
          </cell>
          <cell r="D1487">
            <v>7201</v>
          </cell>
          <cell r="E1487">
            <v>1000</v>
          </cell>
          <cell r="F1487" t="str">
            <v>ZALM</v>
          </cell>
          <cell r="G1487" t="str">
            <v>UN</v>
          </cell>
          <cell r="H1487" t="str">
            <v>DOP</v>
          </cell>
          <cell r="I1487">
            <v>63</v>
          </cell>
          <cell r="J1487">
            <v>116197.2</v>
          </cell>
          <cell r="K1487">
            <v>0</v>
          </cell>
          <cell r="L1487">
            <v>0</v>
          </cell>
          <cell r="M1487">
            <v>0</v>
          </cell>
          <cell r="N1487">
            <v>0</v>
          </cell>
          <cell r="O1487">
            <v>0</v>
          </cell>
          <cell r="P1487">
            <v>0</v>
          </cell>
          <cell r="Q1487">
            <v>0</v>
          </cell>
          <cell r="R1487">
            <v>0</v>
          </cell>
          <cell r="S1487">
            <v>63</v>
          </cell>
          <cell r="T1487">
            <v>116197.2</v>
          </cell>
          <cell r="U1487">
            <v>1844.4</v>
          </cell>
        </row>
        <row r="1488">
          <cell r="A1488">
            <v>1001482</v>
          </cell>
          <cell r="B1488" t="str">
            <v>Juego de Llaves ALLEN de 2 a 10 mm</v>
          </cell>
          <cell r="D1488">
            <v>7201</v>
          </cell>
          <cell r="E1488">
            <v>1000</v>
          </cell>
          <cell r="F1488" t="str">
            <v>ZALM</v>
          </cell>
          <cell r="G1488" t="str">
            <v>UN</v>
          </cell>
          <cell r="H1488" t="str">
            <v>DOP</v>
          </cell>
          <cell r="I1488">
            <v>0</v>
          </cell>
          <cell r="J1488">
            <v>0</v>
          </cell>
          <cell r="K1488">
            <v>0</v>
          </cell>
          <cell r="L1488">
            <v>0</v>
          </cell>
          <cell r="M1488">
            <v>0</v>
          </cell>
          <cell r="N1488">
            <v>0</v>
          </cell>
          <cell r="O1488">
            <v>0</v>
          </cell>
          <cell r="P1488">
            <v>0</v>
          </cell>
          <cell r="Q1488">
            <v>0</v>
          </cell>
          <cell r="R1488">
            <v>0</v>
          </cell>
          <cell r="S1488">
            <v>0</v>
          </cell>
          <cell r="T1488">
            <v>0</v>
          </cell>
          <cell r="U1488" t="e">
            <v>#N/A</v>
          </cell>
        </row>
        <row r="1489">
          <cell r="A1489">
            <v>1001483</v>
          </cell>
          <cell r="B1489" t="str">
            <v>Juego de Llaves Allen de 3/16"-3/8"</v>
          </cell>
          <cell r="D1489">
            <v>7201</v>
          </cell>
          <cell r="E1489">
            <v>1000</v>
          </cell>
          <cell r="F1489" t="str">
            <v>ZALM</v>
          </cell>
          <cell r="G1489" t="str">
            <v>UN</v>
          </cell>
          <cell r="H1489" t="str">
            <v>DOP</v>
          </cell>
          <cell r="I1489">
            <v>8</v>
          </cell>
          <cell r="J1489">
            <v>0</v>
          </cell>
          <cell r="K1489">
            <v>0</v>
          </cell>
          <cell r="L1489">
            <v>0</v>
          </cell>
          <cell r="M1489">
            <v>0</v>
          </cell>
          <cell r="N1489">
            <v>0</v>
          </cell>
          <cell r="O1489">
            <v>0</v>
          </cell>
          <cell r="P1489">
            <v>0</v>
          </cell>
          <cell r="Q1489">
            <v>0</v>
          </cell>
          <cell r="R1489">
            <v>0</v>
          </cell>
          <cell r="S1489">
            <v>8</v>
          </cell>
          <cell r="T1489">
            <v>0</v>
          </cell>
          <cell r="U1489">
            <v>0</v>
          </cell>
        </row>
        <row r="1490">
          <cell r="A1490">
            <v>1001484</v>
          </cell>
          <cell r="B1490" t="str">
            <v>Juego de Llaves Combinadas 6mm a 19mm</v>
          </cell>
          <cell r="D1490">
            <v>7201</v>
          </cell>
          <cell r="E1490">
            <v>1000</v>
          </cell>
          <cell r="F1490" t="str">
            <v>ZALM</v>
          </cell>
          <cell r="G1490" t="str">
            <v>UN</v>
          </cell>
          <cell r="H1490" t="str">
            <v>DOP</v>
          </cell>
          <cell r="I1490">
            <v>0</v>
          </cell>
          <cell r="J1490">
            <v>0</v>
          </cell>
          <cell r="K1490">
            <v>0</v>
          </cell>
          <cell r="L1490">
            <v>0</v>
          </cell>
          <cell r="M1490">
            <v>0</v>
          </cell>
          <cell r="N1490">
            <v>0</v>
          </cell>
          <cell r="O1490">
            <v>0</v>
          </cell>
          <cell r="P1490">
            <v>0</v>
          </cell>
          <cell r="Q1490">
            <v>0</v>
          </cell>
          <cell r="R1490">
            <v>0</v>
          </cell>
          <cell r="S1490">
            <v>0</v>
          </cell>
          <cell r="T1490">
            <v>0</v>
          </cell>
          <cell r="U1490" t="e">
            <v>#N/A</v>
          </cell>
        </row>
        <row r="1491">
          <cell r="A1491">
            <v>1001485</v>
          </cell>
          <cell r="B1491" t="str">
            <v>Juego de Llaves de 8 a 24 mm</v>
          </cell>
          <cell r="D1491">
            <v>7201</v>
          </cell>
          <cell r="E1491">
            <v>1000</v>
          </cell>
          <cell r="F1491" t="str">
            <v>ZALM</v>
          </cell>
          <cell r="G1491" t="str">
            <v>UN</v>
          </cell>
          <cell r="H1491" t="str">
            <v>DOP</v>
          </cell>
          <cell r="I1491">
            <v>0</v>
          </cell>
          <cell r="J1491">
            <v>0</v>
          </cell>
          <cell r="K1491">
            <v>0</v>
          </cell>
          <cell r="L1491">
            <v>0</v>
          </cell>
          <cell r="M1491">
            <v>0</v>
          </cell>
          <cell r="N1491">
            <v>0</v>
          </cell>
          <cell r="O1491">
            <v>0</v>
          </cell>
          <cell r="P1491">
            <v>0</v>
          </cell>
          <cell r="Q1491">
            <v>0</v>
          </cell>
          <cell r="R1491">
            <v>0</v>
          </cell>
          <cell r="S1491">
            <v>0</v>
          </cell>
          <cell r="T1491">
            <v>0</v>
          </cell>
          <cell r="U1491" t="e">
            <v>#N/A</v>
          </cell>
        </row>
        <row r="1492">
          <cell r="A1492">
            <v>1001486</v>
          </cell>
          <cell r="B1492" t="str">
            <v>Juego de Nock Out Mecánico</v>
          </cell>
          <cell r="D1492">
            <v>5501</v>
          </cell>
          <cell r="E1492">
            <v>1000</v>
          </cell>
          <cell r="F1492" t="str">
            <v>ZALM</v>
          </cell>
          <cell r="G1492" t="str">
            <v>UN</v>
          </cell>
          <cell r="H1492" t="str">
            <v>DOP</v>
          </cell>
          <cell r="I1492">
            <v>0</v>
          </cell>
          <cell r="J1492">
            <v>0</v>
          </cell>
          <cell r="K1492">
            <v>0</v>
          </cell>
          <cell r="L1492">
            <v>0</v>
          </cell>
          <cell r="M1492">
            <v>0</v>
          </cell>
          <cell r="N1492">
            <v>0</v>
          </cell>
          <cell r="O1492">
            <v>0</v>
          </cell>
          <cell r="P1492">
            <v>0</v>
          </cell>
          <cell r="Q1492">
            <v>0</v>
          </cell>
          <cell r="R1492">
            <v>0</v>
          </cell>
          <cell r="S1492">
            <v>0</v>
          </cell>
          <cell r="T1492">
            <v>0</v>
          </cell>
          <cell r="U1492" t="e">
            <v>#N/A</v>
          </cell>
        </row>
        <row r="1493">
          <cell r="A1493">
            <v>1001487</v>
          </cell>
          <cell r="B1493" t="str">
            <v>Juego de Parchado Adhesivo</v>
          </cell>
          <cell r="D1493">
            <v>5501</v>
          </cell>
          <cell r="E1493">
            <v>1000</v>
          </cell>
          <cell r="F1493" t="str">
            <v>ZALM</v>
          </cell>
          <cell r="G1493" t="str">
            <v>UN</v>
          </cell>
          <cell r="H1493" t="str">
            <v>DOP</v>
          </cell>
          <cell r="I1493">
            <v>0</v>
          </cell>
          <cell r="J1493">
            <v>0</v>
          </cell>
          <cell r="K1493">
            <v>0</v>
          </cell>
          <cell r="L1493">
            <v>0</v>
          </cell>
          <cell r="M1493">
            <v>0</v>
          </cell>
          <cell r="N1493">
            <v>0</v>
          </cell>
          <cell r="O1493">
            <v>0</v>
          </cell>
          <cell r="P1493">
            <v>0</v>
          </cell>
          <cell r="Q1493">
            <v>0</v>
          </cell>
          <cell r="R1493">
            <v>0</v>
          </cell>
          <cell r="S1493">
            <v>0</v>
          </cell>
          <cell r="T1493">
            <v>0</v>
          </cell>
          <cell r="U1493" t="e">
            <v>#N/A</v>
          </cell>
        </row>
        <row r="1494">
          <cell r="A1494">
            <v>1001488</v>
          </cell>
          <cell r="B1494" t="str">
            <v>Juego Destor Torx T5 T6 T7 T8 T9 T15 T20</v>
          </cell>
          <cell r="D1494">
            <v>5501</v>
          </cell>
          <cell r="E1494">
            <v>1000</v>
          </cell>
          <cell r="F1494" t="str">
            <v>ZALM</v>
          </cell>
          <cell r="G1494" t="str">
            <v>UN</v>
          </cell>
          <cell r="H1494" t="str">
            <v>DOP</v>
          </cell>
          <cell r="I1494">
            <v>0</v>
          </cell>
          <cell r="J1494">
            <v>0</v>
          </cell>
          <cell r="K1494">
            <v>0</v>
          </cell>
          <cell r="L1494">
            <v>0</v>
          </cell>
          <cell r="M1494">
            <v>0</v>
          </cell>
          <cell r="N1494">
            <v>0</v>
          </cell>
          <cell r="O1494">
            <v>0</v>
          </cell>
          <cell r="P1494">
            <v>0</v>
          </cell>
          <cell r="Q1494">
            <v>0</v>
          </cell>
          <cell r="R1494">
            <v>0</v>
          </cell>
          <cell r="S1494">
            <v>0</v>
          </cell>
          <cell r="T1494">
            <v>0</v>
          </cell>
          <cell r="U1494" t="e">
            <v>#N/A</v>
          </cell>
        </row>
        <row r="1495">
          <cell r="A1495">
            <v>1001489</v>
          </cell>
          <cell r="B1495" t="str">
            <v>Juego Destornill Aisl 1000V Estria Grde</v>
          </cell>
          <cell r="D1495">
            <v>5501</v>
          </cell>
          <cell r="E1495">
            <v>1000</v>
          </cell>
          <cell r="F1495" t="str">
            <v>ZALM</v>
          </cell>
          <cell r="G1495" t="str">
            <v>UN</v>
          </cell>
          <cell r="H1495" t="str">
            <v>DOP</v>
          </cell>
          <cell r="I1495">
            <v>0</v>
          </cell>
          <cell r="J1495">
            <v>0</v>
          </cell>
          <cell r="K1495">
            <v>0</v>
          </cell>
          <cell r="L1495">
            <v>0</v>
          </cell>
          <cell r="M1495">
            <v>0</v>
          </cell>
          <cell r="N1495">
            <v>0</v>
          </cell>
          <cell r="O1495">
            <v>0</v>
          </cell>
          <cell r="P1495">
            <v>0</v>
          </cell>
          <cell r="Q1495">
            <v>0</v>
          </cell>
          <cell r="R1495">
            <v>0</v>
          </cell>
          <cell r="S1495">
            <v>0</v>
          </cell>
          <cell r="T1495">
            <v>0</v>
          </cell>
          <cell r="U1495" t="e">
            <v>#N/A</v>
          </cell>
        </row>
        <row r="1496">
          <cell r="A1496">
            <v>1001490</v>
          </cell>
          <cell r="B1496" t="str">
            <v>Juego Destornill Aisl 1000V Plano Grde</v>
          </cell>
          <cell r="D1496">
            <v>7201</v>
          </cell>
          <cell r="E1496">
            <v>1000</v>
          </cell>
          <cell r="F1496" t="str">
            <v>ZALM</v>
          </cell>
          <cell r="G1496" t="str">
            <v>UN</v>
          </cell>
          <cell r="H1496" t="str">
            <v>DOP</v>
          </cell>
          <cell r="I1496">
            <v>0</v>
          </cell>
          <cell r="J1496">
            <v>0</v>
          </cell>
          <cell r="K1496">
            <v>0</v>
          </cell>
          <cell r="L1496">
            <v>0</v>
          </cell>
          <cell r="M1496">
            <v>0</v>
          </cell>
          <cell r="N1496">
            <v>0</v>
          </cell>
          <cell r="O1496">
            <v>0</v>
          </cell>
          <cell r="P1496">
            <v>0</v>
          </cell>
          <cell r="Q1496">
            <v>0</v>
          </cell>
          <cell r="R1496">
            <v>0</v>
          </cell>
          <cell r="S1496">
            <v>0</v>
          </cell>
          <cell r="T1496">
            <v>0</v>
          </cell>
          <cell r="U1496" t="e">
            <v>#N/A</v>
          </cell>
        </row>
        <row r="1497">
          <cell r="A1497">
            <v>1001491</v>
          </cell>
          <cell r="B1497" t="str">
            <v>Juego Destornillador Aisl 1000V Estria</v>
          </cell>
          <cell r="D1497">
            <v>5501</v>
          </cell>
          <cell r="E1497">
            <v>1000</v>
          </cell>
          <cell r="F1497" t="str">
            <v>ZALM</v>
          </cell>
          <cell r="G1497" t="str">
            <v>UN</v>
          </cell>
          <cell r="H1497" t="str">
            <v>DOP</v>
          </cell>
          <cell r="I1497">
            <v>0</v>
          </cell>
          <cell r="J1497">
            <v>0</v>
          </cell>
          <cell r="K1497">
            <v>0</v>
          </cell>
          <cell r="L1497">
            <v>0</v>
          </cell>
          <cell r="M1497">
            <v>0</v>
          </cell>
          <cell r="N1497">
            <v>0</v>
          </cell>
          <cell r="O1497">
            <v>0</v>
          </cell>
          <cell r="P1497">
            <v>0</v>
          </cell>
          <cell r="Q1497">
            <v>0</v>
          </cell>
          <cell r="R1497">
            <v>0</v>
          </cell>
          <cell r="S1497">
            <v>0</v>
          </cell>
          <cell r="T1497">
            <v>0</v>
          </cell>
          <cell r="U1497" t="e">
            <v>#N/A</v>
          </cell>
        </row>
        <row r="1498">
          <cell r="A1498">
            <v>1001492</v>
          </cell>
          <cell r="B1498" t="str">
            <v>Juego Destornillador Aisl 1000V Plano</v>
          </cell>
          <cell r="D1498">
            <v>5501</v>
          </cell>
          <cell r="E1498">
            <v>1000</v>
          </cell>
          <cell r="F1498" t="str">
            <v>ZALM</v>
          </cell>
          <cell r="G1498" t="str">
            <v>UN</v>
          </cell>
          <cell r="H1498" t="str">
            <v>DOP</v>
          </cell>
          <cell r="I1498">
            <v>0</v>
          </cell>
          <cell r="J1498">
            <v>0</v>
          </cell>
          <cell r="K1498">
            <v>0</v>
          </cell>
          <cell r="L1498">
            <v>0</v>
          </cell>
          <cell r="M1498">
            <v>0</v>
          </cell>
          <cell r="N1498">
            <v>0</v>
          </cell>
          <cell r="O1498">
            <v>0</v>
          </cell>
          <cell r="P1498">
            <v>0</v>
          </cell>
          <cell r="Q1498">
            <v>0</v>
          </cell>
          <cell r="R1498">
            <v>0</v>
          </cell>
          <cell r="S1498">
            <v>0</v>
          </cell>
          <cell r="T1498">
            <v>0</v>
          </cell>
          <cell r="U1498" t="e">
            <v>#N/A</v>
          </cell>
        </row>
        <row r="1499">
          <cell r="A1499">
            <v>1001493</v>
          </cell>
          <cell r="B1499" t="str">
            <v>Juego Destornillador Estrias 5 Pzas</v>
          </cell>
          <cell r="D1499">
            <v>5501</v>
          </cell>
          <cell r="E1499">
            <v>1000</v>
          </cell>
          <cell r="F1499" t="str">
            <v>ZALM</v>
          </cell>
          <cell r="G1499" t="str">
            <v>UN</v>
          </cell>
          <cell r="H1499" t="str">
            <v>DOP</v>
          </cell>
          <cell r="I1499">
            <v>0</v>
          </cell>
          <cell r="J1499">
            <v>0</v>
          </cell>
          <cell r="K1499">
            <v>0</v>
          </cell>
          <cell r="L1499">
            <v>0</v>
          </cell>
          <cell r="M1499">
            <v>0</v>
          </cell>
          <cell r="N1499">
            <v>0</v>
          </cell>
          <cell r="O1499">
            <v>0</v>
          </cell>
          <cell r="P1499">
            <v>0</v>
          </cell>
          <cell r="Q1499">
            <v>0</v>
          </cell>
          <cell r="R1499">
            <v>0</v>
          </cell>
          <cell r="S1499">
            <v>0</v>
          </cell>
          <cell r="T1499">
            <v>0</v>
          </cell>
          <cell r="U1499" t="e">
            <v>#N/A</v>
          </cell>
        </row>
        <row r="1500">
          <cell r="A1500">
            <v>1001494</v>
          </cell>
          <cell r="B1500" t="str">
            <v>Juego Destornillador Klein 7 Pzas</v>
          </cell>
          <cell r="D1500">
            <v>7201</v>
          </cell>
          <cell r="E1500">
            <v>1000</v>
          </cell>
          <cell r="F1500" t="str">
            <v>ZALM</v>
          </cell>
          <cell r="G1500" t="str">
            <v>UN</v>
          </cell>
          <cell r="H1500" t="str">
            <v>DOP</v>
          </cell>
          <cell r="I1500">
            <v>0</v>
          </cell>
          <cell r="J1500">
            <v>0</v>
          </cell>
          <cell r="K1500">
            <v>0</v>
          </cell>
          <cell r="L1500">
            <v>0</v>
          </cell>
          <cell r="M1500">
            <v>0</v>
          </cell>
          <cell r="N1500">
            <v>0</v>
          </cell>
          <cell r="O1500">
            <v>0</v>
          </cell>
          <cell r="P1500">
            <v>0</v>
          </cell>
          <cell r="Q1500">
            <v>0</v>
          </cell>
          <cell r="R1500">
            <v>0</v>
          </cell>
          <cell r="S1500">
            <v>0</v>
          </cell>
          <cell r="T1500">
            <v>0</v>
          </cell>
          <cell r="U1500" t="e">
            <v>#N/A</v>
          </cell>
        </row>
        <row r="1501">
          <cell r="A1501">
            <v>1001495</v>
          </cell>
          <cell r="B1501" t="str">
            <v>Juego Destornillador Plano 5 Pzas</v>
          </cell>
          <cell r="D1501">
            <v>5501</v>
          </cell>
          <cell r="E1501">
            <v>1000</v>
          </cell>
          <cell r="F1501" t="str">
            <v>ZALM</v>
          </cell>
          <cell r="G1501" t="str">
            <v>UN</v>
          </cell>
          <cell r="H1501" t="str">
            <v>DOP</v>
          </cell>
          <cell r="I1501">
            <v>0</v>
          </cell>
          <cell r="J1501">
            <v>0</v>
          </cell>
          <cell r="K1501">
            <v>0</v>
          </cell>
          <cell r="L1501">
            <v>0</v>
          </cell>
          <cell r="M1501">
            <v>0</v>
          </cell>
          <cell r="N1501">
            <v>0</v>
          </cell>
          <cell r="O1501">
            <v>0</v>
          </cell>
          <cell r="P1501">
            <v>0</v>
          </cell>
          <cell r="Q1501">
            <v>0</v>
          </cell>
          <cell r="R1501">
            <v>0</v>
          </cell>
          <cell r="S1501">
            <v>0</v>
          </cell>
          <cell r="T1501">
            <v>0</v>
          </cell>
          <cell r="U1501" t="e">
            <v>#N/A</v>
          </cell>
        </row>
        <row r="1502">
          <cell r="A1502">
            <v>1001496</v>
          </cell>
          <cell r="B1502" t="str">
            <v>Juego Mecánico (Perforación)</v>
          </cell>
          <cell r="D1502">
            <v>5501</v>
          </cell>
          <cell r="E1502">
            <v>1000</v>
          </cell>
          <cell r="F1502" t="str">
            <v>ZALM</v>
          </cell>
          <cell r="G1502" t="str">
            <v>UN</v>
          </cell>
          <cell r="H1502" t="str">
            <v>DOP</v>
          </cell>
          <cell r="I1502">
            <v>0</v>
          </cell>
          <cell r="J1502">
            <v>0</v>
          </cell>
          <cell r="K1502">
            <v>0</v>
          </cell>
          <cell r="L1502">
            <v>0</v>
          </cell>
          <cell r="M1502">
            <v>0</v>
          </cell>
          <cell r="N1502">
            <v>0</v>
          </cell>
          <cell r="O1502">
            <v>0</v>
          </cell>
          <cell r="P1502">
            <v>0</v>
          </cell>
          <cell r="Q1502">
            <v>0</v>
          </cell>
          <cell r="R1502">
            <v>0</v>
          </cell>
          <cell r="S1502">
            <v>0</v>
          </cell>
          <cell r="T1502">
            <v>0</v>
          </cell>
          <cell r="U1502" t="e">
            <v>#N/A</v>
          </cell>
        </row>
        <row r="1503">
          <cell r="A1503">
            <v>1001497</v>
          </cell>
          <cell r="B1503" t="str">
            <v>Juego Portabotones Pértig Telesc 10.5Mtr</v>
          </cell>
          <cell r="D1503">
            <v>5501</v>
          </cell>
          <cell r="E1503">
            <v>1000</v>
          </cell>
          <cell r="F1503" t="str">
            <v>ZALM</v>
          </cell>
          <cell r="G1503" t="str">
            <v>UN</v>
          </cell>
          <cell r="H1503" t="str">
            <v>DOP</v>
          </cell>
          <cell r="I1503">
            <v>0</v>
          </cell>
          <cell r="J1503">
            <v>0</v>
          </cell>
          <cell r="K1503">
            <v>0</v>
          </cell>
          <cell r="L1503">
            <v>0</v>
          </cell>
          <cell r="M1503">
            <v>0</v>
          </cell>
          <cell r="N1503">
            <v>0</v>
          </cell>
          <cell r="O1503">
            <v>0</v>
          </cell>
          <cell r="P1503">
            <v>0</v>
          </cell>
          <cell r="Q1503">
            <v>0</v>
          </cell>
          <cell r="R1503">
            <v>0</v>
          </cell>
          <cell r="S1503">
            <v>0</v>
          </cell>
          <cell r="T1503">
            <v>0</v>
          </cell>
          <cell r="U1503" t="e">
            <v>#N/A</v>
          </cell>
        </row>
        <row r="1504">
          <cell r="A1504">
            <v>1001498</v>
          </cell>
          <cell r="B1504" t="str">
            <v>Kit Pelacables P/ Conductor URD</v>
          </cell>
          <cell r="D1504">
            <v>5501</v>
          </cell>
          <cell r="E1504">
            <v>1000</v>
          </cell>
          <cell r="F1504" t="str">
            <v>ZALM</v>
          </cell>
          <cell r="G1504" t="str">
            <v>UN</v>
          </cell>
          <cell r="H1504" t="str">
            <v>DOP</v>
          </cell>
          <cell r="I1504">
            <v>0</v>
          </cell>
          <cell r="J1504">
            <v>0</v>
          </cell>
          <cell r="K1504">
            <v>0</v>
          </cell>
          <cell r="L1504">
            <v>0</v>
          </cell>
          <cell r="M1504">
            <v>0</v>
          </cell>
          <cell r="N1504">
            <v>0</v>
          </cell>
          <cell r="O1504">
            <v>0</v>
          </cell>
          <cell r="P1504">
            <v>0</v>
          </cell>
          <cell r="Q1504">
            <v>0</v>
          </cell>
          <cell r="R1504">
            <v>0</v>
          </cell>
          <cell r="S1504">
            <v>0</v>
          </cell>
          <cell r="T1504">
            <v>0</v>
          </cell>
          <cell r="U1504" t="e">
            <v>#N/A</v>
          </cell>
        </row>
        <row r="1505">
          <cell r="A1505">
            <v>1001499</v>
          </cell>
          <cell r="B1505" t="str">
            <v>Lima Plana 12"</v>
          </cell>
          <cell r="D1505">
            <v>7201</v>
          </cell>
          <cell r="E1505">
            <v>1000</v>
          </cell>
          <cell r="F1505" t="str">
            <v>ZALM</v>
          </cell>
          <cell r="G1505" t="str">
            <v>UN</v>
          </cell>
          <cell r="H1505" t="str">
            <v>DOP</v>
          </cell>
          <cell r="I1505">
            <v>17</v>
          </cell>
          <cell r="J1505">
            <v>2465</v>
          </cell>
          <cell r="K1505">
            <v>0</v>
          </cell>
          <cell r="L1505">
            <v>0</v>
          </cell>
          <cell r="M1505">
            <v>0</v>
          </cell>
          <cell r="N1505">
            <v>0</v>
          </cell>
          <cell r="O1505">
            <v>0</v>
          </cell>
          <cell r="P1505">
            <v>0</v>
          </cell>
          <cell r="Q1505">
            <v>0</v>
          </cell>
          <cell r="R1505">
            <v>0</v>
          </cell>
          <cell r="S1505">
            <v>17</v>
          </cell>
          <cell r="T1505">
            <v>2465</v>
          </cell>
          <cell r="U1505">
            <v>145</v>
          </cell>
        </row>
        <row r="1506">
          <cell r="A1506">
            <v>1001500</v>
          </cell>
          <cell r="B1506" t="str">
            <v>Lima Redonda 12"x3/8"</v>
          </cell>
          <cell r="D1506">
            <v>5501</v>
          </cell>
          <cell r="E1506">
            <v>1000</v>
          </cell>
          <cell r="F1506" t="str">
            <v>ZALM</v>
          </cell>
          <cell r="G1506" t="str">
            <v>UN</v>
          </cell>
          <cell r="H1506" t="str">
            <v>DOP</v>
          </cell>
          <cell r="I1506">
            <v>0</v>
          </cell>
          <cell r="J1506">
            <v>0</v>
          </cell>
          <cell r="K1506">
            <v>0</v>
          </cell>
          <cell r="L1506">
            <v>0</v>
          </cell>
          <cell r="M1506">
            <v>0</v>
          </cell>
          <cell r="N1506">
            <v>0</v>
          </cell>
          <cell r="O1506">
            <v>0</v>
          </cell>
          <cell r="P1506">
            <v>0</v>
          </cell>
          <cell r="Q1506">
            <v>0</v>
          </cell>
          <cell r="R1506">
            <v>0</v>
          </cell>
          <cell r="S1506">
            <v>0</v>
          </cell>
          <cell r="T1506">
            <v>0</v>
          </cell>
          <cell r="U1506" t="e">
            <v>#N/A</v>
          </cell>
        </row>
        <row r="1507">
          <cell r="A1507">
            <v>1001501</v>
          </cell>
          <cell r="B1507" t="str">
            <v>Lima Triangular 8"</v>
          </cell>
          <cell r="D1507">
            <v>5501</v>
          </cell>
          <cell r="E1507">
            <v>1000</v>
          </cell>
          <cell r="F1507" t="str">
            <v>ZALM</v>
          </cell>
          <cell r="G1507" t="str">
            <v>UN</v>
          </cell>
          <cell r="H1507" t="str">
            <v>DOP</v>
          </cell>
          <cell r="I1507">
            <v>0</v>
          </cell>
          <cell r="J1507">
            <v>0</v>
          </cell>
          <cell r="K1507">
            <v>0</v>
          </cell>
          <cell r="L1507">
            <v>0</v>
          </cell>
          <cell r="M1507">
            <v>0</v>
          </cell>
          <cell r="N1507">
            <v>0</v>
          </cell>
          <cell r="O1507">
            <v>0</v>
          </cell>
          <cell r="P1507">
            <v>0</v>
          </cell>
          <cell r="Q1507">
            <v>0</v>
          </cell>
          <cell r="R1507">
            <v>0</v>
          </cell>
          <cell r="S1507">
            <v>0</v>
          </cell>
          <cell r="T1507">
            <v>0</v>
          </cell>
          <cell r="U1507" t="e">
            <v>#N/A</v>
          </cell>
        </row>
        <row r="1508">
          <cell r="A1508">
            <v>1001502</v>
          </cell>
          <cell r="B1508" t="str">
            <v>Linga P/ Servicios Multiples 12'</v>
          </cell>
          <cell r="D1508">
            <v>5501</v>
          </cell>
          <cell r="E1508">
            <v>1000</v>
          </cell>
          <cell r="F1508" t="str">
            <v>ZALM</v>
          </cell>
          <cell r="G1508" t="str">
            <v>UN</v>
          </cell>
          <cell r="H1508" t="str">
            <v>DOP</v>
          </cell>
          <cell r="I1508">
            <v>0</v>
          </cell>
          <cell r="J1508">
            <v>0</v>
          </cell>
          <cell r="K1508">
            <v>0</v>
          </cell>
          <cell r="L1508">
            <v>0</v>
          </cell>
          <cell r="M1508">
            <v>0</v>
          </cell>
          <cell r="N1508">
            <v>0</v>
          </cell>
          <cell r="O1508">
            <v>0</v>
          </cell>
          <cell r="P1508">
            <v>0</v>
          </cell>
          <cell r="Q1508">
            <v>0</v>
          </cell>
          <cell r="R1508">
            <v>0</v>
          </cell>
          <cell r="S1508">
            <v>0</v>
          </cell>
          <cell r="T1508">
            <v>0</v>
          </cell>
          <cell r="U1508" t="e">
            <v>#N/A</v>
          </cell>
        </row>
        <row r="1509">
          <cell r="A1509">
            <v>1001503</v>
          </cell>
          <cell r="B1509" t="str">
            <v>Llave Aislador P/ Contador 13 mm</v>
          </cell>
          <cell r="D1509">
            <v>7201</v>
          </cell>
          <cell r="E1509">
            <v>1000</v>
          </cell>
          <cell r="F1509" t="str">
            <v>ZALM</v>
          </cell>
          <cell r="G1509" t="str">
            <v>UN</v>
          </cell>
          <cell r="H1509" t="str">
            <v>DOP</v>
          </cell>
          <cell r="I1509">
            <v>231</v>
          </cell>
          <cell r="J1509">
            <v>49397.04</v>
          </cell>
          <cell r="K1509">
            <v>0</v>
          </cell>
          <cell r="L1509">
            <v>0</v>
          </cell>
          <cell r="M1509">
            <v>0</v>
          </cell>
          <cell r="N1509">
            <v>0</v>
          </cell>
          <cell r="O1509">
            <v>0</v>
          </cell>
          <cell r="P1509">
            <v>0</v>
          </cell>
          <cell r="Q1509">
            <v>0</v>
          </cell>
          <cell r="R1509">
            <v>0</v>
          </cell>
          <cell r="S1509">
            <v>231</v>
          </cell>
          <cell r="T1509">
            <v>49397.04</v>
          </cell>
          <cell r="U1509">
            <v>213.84</v>
          </cell>
        </row>
        <row r="1510">
          <cell r="A1510">
            <v>1001504</v>
          </cell>
          <cell r="B1510" t="str">
            <v>LLave Ajustable #10</v>
          </cell>
          <cell r="D1510">
            <v>5501</v>
          </cell>
          <cell r="E1510">
            <v>1000</v>
          </cell>
          <cell r="F1510" t="str">
            <v>ZALM</v>
          </cell>
          <cell r="G1510" t="str">
            <v>UN</v>
          </cell>
          <cell r="H1510" t="str">
            <v>DOP</v>
          </cell>
          <cell r="I1510">
            <v>0</v>
          </cell>
          <cell r="J1510">
            <v>0</v>
          </cell>
          <cell r="K1510">
            <v>0</v>
          </cell>
          <cell r="L1510">
            <v>0</v>
          </cell>
          <cell r="M1510">
            <v>0</v>
          </cell>
          <cell r="N1510">
            <v>0</v>
          </cell>
          <cell r="O1510">
            <v>0</v>
          </cell>
          <cell r="P1510">
            <v>0</v>
          </cell>
          <cell r="Q1510">
            <v>0</v>
          </cell>
          <cell r="R1510">
            <v>0</v>
          </cell>
          <cell r="S1510">
            <v>0</v>
          </cell>
          <cell r="T1510">
            <v>0</v>
          </cell>
          <cell r="U1510" t="e">
            <v>#N/A</v>
          </cell>
        </row>
        <row r="1511">
          <cell r="A1511">
            <v>1001505</v>
          </cell>
          <cell r="B1511" t="str">
            <v>LLave Ajustable #8 AC-18</v>
          </cell>
          <cell r="D1511">
            <v>5501</v>
          </cell>
          <cell r="E1511">
            <v>1000</v>
          </cell>
          <cell r="F1511" t="str">
            <v>ZALM</v>
          </cell>
          <cell r="G1511" t="str">
            <v>UN</v>
          </cell>
          <cell r="H1511" t="str">
            <v>DOP</v>
          </cell>
          <cell r="I1511">
            <v>0</v>
          </cell>
          <cell r="J1511">
            <v>0</v>
          </cell>
          <cell r="K1511">
            <v>0</v>
          </cell>
          <cell r="L1511">
            <v>0</v>
          </cell>
          <cell r="M1511">
            <v>0</v>
          </cell>
          <cell r="N1511">
            <v>0</v>
          </cell>
          <cell r="O1511">
            <v>0</v>
          </cell>
          <cell r="P1511">
            <v>0</v>
          </cell>
          <cell r="Q1511">
            <v>0</v>
          </cell>
          <cell r="R1511">
            <v>0</v>
          </cell>
          <cell r="S1511">
            <v>0</v>
          </cell>
          <cell r="T1511">
            <v>0</v>
          </cell>
          <cell r="U1511" t="e">
            <v>#N/A</v>
          </cell>
        </row>
        <row r="1512">
          <cell r="A1512">
            <v>1001506</v>
          </cell>
          <cell r="B1512" t="str">
            <v>Llave Ajustable 10" Aisl 1000V</v>
          </cell>
          <cell r="D1512">
            <v>7201</v>
          </cell>
          <cell r="E1512">
            <v>1000</v>
          </cell>
          <cell r="F1512" t="str">
            <v>ZALM</v>
          </cell>
          <cell r="G1512" t="str">
            <v>UN</v>
          </cell>
          <cell r="H1512" t="str">
            <v>DOP</v>
          </cell>
          <cell r="I1512">
            <v>21</v>
          </cell>
          <cell r="J1512">
            <v>42085.599999999999</v>
          </cell>
          <cell r="K1512">
            <v>0</v>
          </cell>
          <cell r="L1512">
            <v>0</v>
          </cell>
          <cell r="M1512">
            <v>0</v>
          </cell>
          <cell r="N1512">
            <v>0</v>
          </cell>
          <cell r="O1512">
            <v>0</v>
          </cell>
          <cell r="P1512">
            <v>0</v>
          </cell>
          <cell r="Q1512">
            <v>0</v>
          </cell>
          <cell r="R1512">
            <v>0</v>
          </cell>
          <cell r="S1512">
            <v>21</v>
          </cell>
          <cell r="T1512">
            <v>42085.599999999999</v>
          </cell>
          <cell r="U1512">
            <v>2004.07619047619</v>
          </cell>
        </row>
        <row r="1513">
          <cell r="A1513">
            <v>1001507</v>
          </cell>
          <cell r="B1513" t="str">
            <v>Llave Ajustable 12"</v>
          </cell>
          <cell r="D1513">
            <v>7201</v>
          </cell>
          <cell r="E1513">
            <v>1000</v>
          </cell>
          <cell r="F1513" t="str">
            <v>ZALM</v>
          </cell>
          <cell r="G1513" t="str">
            <v>UN</v>
          </cell>
          <cell r="H1513" t="str">
            <v>DOP</v>
          </cell>
          <cell r="I1513">
            <v>1</v>
          </cell>
          <cell r="J1513">
            <v>1960.4</v>
          </cell>
          <cell r="K1513">
            <v>2</v>
          </cell>
          <cell r="L1513">
            <v>439.99</v>
          </cell>
          <cell r="M1513">
            <v>0</v>
          </cell>
          <cell r="N1513">
            <v>0</v>
          </cell>
          <cell r="O1513">
            <v>0</v>
          </cell>
          <cell r="P1513">
            <v>0</v>
          </cell>
          <cell r="Q1513">
            <v>0</v>
          </cell>
          <cell r="R1513">
            <v>0</v>
          </cell>
          <cell r="S1513">
            <v>3</v>
          </cell>
          <cell r="T1513">
            <v>2400.39</v>
          </cell>
          <cell r="U1513">
            <v>800.13</v>
          </cell>
        </row>
        <row r="1514">
          <cell r="A1514">
            <v>1001508</v>
          </cell>
          <cell r="B1514" t="str">
            <v>Llave Ajustable 15"</v>
          </cell>
          <cell r="D1514">
            <v>5501</v>
          </cell>
          <cell r="E1514">
            <v>1000</v>
          </cell>
          <cell r="F1514" t="str">
            <v>ZALM</v>
          </cell>
          <cell r="G1514" t="str">
            <v>UN</v>
          </cell>
          <cell r="H1514" t="str">
            <v>DOP</v>
          </cell>
          <cell r="I1514">
            <v>0</v>
          </cell>
          <cell r="J1514">
            <v>0</v>
          </cell>
          <cell r="K1514">
            <v>0</v>
          </cell>
          <cell r="L1514">
            <v>0</v>
          </cell>
          <cell r="M1514">
            <v>0</v>
          </cell>
          <cell r="N1514">
            <v>0</v>
          </cell>
          <cell r="O1514">
            <v>0</v>
          </cell>
          <cell r="P1514">
            <v>0</v>
          </cell>
          <cell r="Q1514">
            <v>0</v>
          </cell>
          <cell r="R1514">
            <v>0</v>
          </cell>
          <cell r="S1514">
            <v>0</v>
          </cell>
          <cell r="T1514">
            <v>0</v>
          </cell>
          <cell r="U1514" t="e">
            <v>#N/A</v>
          </cell>
        </row>
        <row r="1515">
          <cell r="A1515">
            <v>1001509</v>
          </cell>
          <cell r="B1515" t="str">
            <v>Llave Ajustable 4"</v>
          </cell>
          <cell r="D1515">
            <v>5501</v>
          </cell>
          <cell r="E1515">
            <v>1000</v>
          </cell>
          <cell r="F1515" t="str">
            <v>ZALM</v>
          </cell>
          <cell r="G1515" t="str">
            <v>UN</v>
          </cell>
          <cell r="H1515" t="str">
            <v>DOP</v>
          </cell>
          <cell r="I1515">
            <v>0</v>
          </cell>
          <cell r="J1515">
            <v>0</v>
          </cell>
          <cell r="K1515">
            <v>0</v>
          </cell>
          <cell r="L1515">
            <v>0</v>
          </cell>
          <cell r="M1515">
            <v>0</v>
          </cell>
          <cell r="N1515">
            <v>0</v>
          </cell>
          <cell r="O1515">
            <v>0</v>
          </cell>
          <cell r="P1515">
            <v>0</v>
          </cell>
          <cell r="Q1515">
            <v>0</v>
          </cell>
          <cell r="R1515">
            <v>0</v>
          </cell>
          <cell r="S1515">
            <v>0</v>
          </cell>
          <cell r="T1515">
            <v>0</v>
          </cell>
          <cell r="U1515" t="e">
            <v>#N/A</v>
          </cell>
        </row>
        <row r="1516">
          <cell r="A1516">
            <v>1001510</v>
          </cell>
          <cell r="B1516" t="str">
            <v>Llave Ajustable 6"</v>
          </cell>
          <cell r="D1516">
            <v>5501</v>
          </cell>
          <cell r="E1516">
            <v>1000</v>
          </cell>
          <cell r="F1516" t="str">
            <v>ZALM</v>
          </cell>
          <cell r="G1516" t="str">
            <v>UN</v>
          </cell>
          <cell r="H1516" t="str">
            <v>DOP</v>
          </cell>
          <cell r="I1516">
            <v>0</v>
          </cell>
          <cell r="J1516">
            <v>0</v>
          </cell>
          <cell r="K1516">
            <v>0</v>
          </cell>
          <cell r="L1516">
            <v>0</v>
          </cell>
          <cell r="M1516">
            <v>0</v>
          </cell>
          <cell r="N1516">
            <v>0</v>
          </cell>
          <cell r="O1516">
            <v>0</v>
          </cell>
          <cell r="P1516">
            <v>0</v>
          </cell>
          <cell r="Q1516">
            <v>0</v>
          </cell>
          <cell r="R1516">
            <v>0</v>
          </cell>
          <cell r="S1516">
            <v>0</v>
          </cell>
          <cell r="T1516">
            <v>0</v>
          </cell>
          <cell r="U1516" t="e">
            <v>#N/A</v>
          </cell>
        </row>
        <row r="1517">
          <cell r="A1517">
            <v>1001511</v>
          </cell>
          <cell r="B1517" t="str">
            <v>Llave Anti-Rot P/ Pernos Comb EDE-01</v>
          </cell>
          <cell r="D1517">
            <v>5501</v>
          </cell>
          <cell r="E1517">
            <v>1000</v>
          </cell>
          <cell r="F1517" t="str">
            <v>ZALM</v>
          </cell>
          <cell r="G1517" t="str">
            <v>UN</v>
          </cell>
          <cell r="H1517" t="str">
            <v>DOP</v>
          </cell>
          <cell r="I1517">
            <v>6</v>
          </cell>
          <cell r="J1517">
            <v>10856.57</v>
          </cell>
          <cell r="K1517">
            <v>0</v>
          </cell>
          <cell r="L1517">
            <v>0</v>
          </cell>
          <cell r="M1517">
            <v>0</v>
          </cell>
          <cell r="N1517">
            <v>0</v>
          </cell>
          <cell r="O1517">
            <v>0</v>
          </cell>
          <cell r="P1517">
            <v>0</v>
          </cell>
          <cell r="Q1517">
            <v>0</v>
          </cell>
          <cell r="R1517">
            <v>0</v>
          </cell>
          <cell r="S1517">
            <v>6</v>
          </cell>
          <cell r="T1517">
            <v>10856.57</v>
          </cell>
          <cell r="U1517">
            <v>1809.4283333333301</v>
          </cell>
        </row>
        <row r="1518">
          <cell r="A1518">
            <v>1001512</v>
          </cell>
          <cell r="B1518" t="str">
            <v>Llave Anti-Rot P/ Pernos Comb EDE-02</v>
          </cell>
          <cell r="D1518">
            <v>5501</v>
          </cell>
          <cell r="E1518">
            <v>1000</v>
          </cell>
          <cell r="F1518" t="str">
            <v>ZALM</v>
          </cell>
          <cell r="G1518" t="str">
            <v>UN</v>
          </cell>
          <cell r="H1518" t="str">
            <v>DOP</v>
          </cell>
          <cell r="I1518">
            <v>4</v>
          </cell>
          <cell r="J1518">
            <v>7237.71</v>
          </cell>
          <cell r="K1518">
            <v>0</v>
          </cell>
          <cell r="L1518">
            <v>0</v>
          </cell>
          <cell r="M1518">
            <v>0</v>
          </cell>
          <cell r="N1518">
            <v>0</v>
          </cell>
          <cell r="O1518">
            <v>0</v>
          </cell>
          <cell r="P1518">
            <v>0</v>
          </cell>
          <cell r="Q1518">
            <v>0</v>
          </cell>
          <cell r="R1518">
            <v>0</v>
          </cell>
          <cell r="S1518">
            <v>4</v>
          </cell>
          <cell r="T1518">
            <v>7237.71</v>
          </cell>
          <cell r="U1518">
            <v>1809.4275</v>
          </cell>
        </row>
        <row r="1519">
          <cell r="A1519">
            <v>1001513</v>
          </cell>
          <cell r="B1519" t="str">
            <v>Llave Anti-Rot P/ Pernos Comb EDE-03</v>
          </cell>
          <cell r="D1519">
            <v>5501</v>
          </cell>
          <cell r="E1519">
            <v>1000</v>
          </cell>
          <cell r="F1519" t="str">
            <v>ZALM</v>
          </cell>
          <cell r="G1519" t="str">
            <v>UN</v>
          </cell>
          <cell r="H1519" t="str">
            <v>DOP</v>
          </cell>
          <cell r="I1519">
            <v>4</v>
          </cell>
          <cell r="J1519">
            <v>7237.7</v>
          </cell>
          <cell r="K1519">
            <v>0</v>
          </cell>
          <cell r="L1519">
            <v>0</v>
          </cell>
          <cell r="M1519">
            <v>0</v>
          </cell>
          <cell r="N1519">
            <v>0</v>
          </cell>
          <cell r="O1519">
            <v>0</v>
          </cell>
          <cell r="P1519">
            <v>0</v>
          </cell>
          <cell r="Q1519">
            <v>0</v>
          </cell>
          <cell r="R1519">
            <v>0</v>
          </cell>
          <cell r="S1519">
            <v>4</v>
          </cell>
          <cell r="T1519">
            <v>7237.7</v>
          </cell>
          <cell r="U1519">
            <v>1809.425</v>
          </cell>
        </row>
        <row r="1520">
          <cell r="A1520">
            <v>1001514</v>
          </cell>
          <cell r="B1520" t="str">
            <v>Llave Boca F 1/2"-9/16" Españ Aisl 1000V</v>
          </cell>
          <cell r="D1520">
            <v>7201</v>
          </cell>
          <cell r="E1520">
            <v>1000</v>
          </cell>
          <cell r="F1520" t="str">
            <v>ZALM</v>
          </cell>
          <cell r="G1520" t="str">
            <v>UN</v>
          </cell>
          <cell r="H1520" t="str">
            <v>DOP</v>
          </cell>
          <cell r="I1520">
            <v>15</v>
          </cell>
          <cell r="J1520">
            <v>12006</v>
          </cell>
          <cell r="K1520">
            <v>0</v>
          </cell>
          <cell r="L1520">
            <v>0</v>
          </cell>
          <cell r="M1520">
            <v>0</v>
          </cell>
          <cell r="N1520">
            <v>0</v>
          </cell>
          <cell r="O1520">
            <v>0</v>
          </cell>
          <cell r="P1520">
            <v>0</v>
          </cell>
          <cell r="Q1520">
            <v>0</v>
          </cell>
          <cell r="R1520">
            <v>0</v>
          </cell>
          <cell r="S1520">
            <v>15</v>
          </cell>
          <cell r="T1520">
            <v>12006</v>
          </cell>
          <cell r="U1520">
            <v>800.4</v>
          </cell>
        </row>
        <row r="1521">
          <cell r="A1521">
            <v>1001515</v>
          </cell>
          <cell r="B1521" t="str">
            <v>Llave Boca F 1/4"-5/16" Españ Aisl 1000V</v>
          </cell>
          <cell r="D1521">
            <v>5501</v>
          </cell>
          <cell r="E1521">
            <v>1000</v>
          </cell>
          <cell r="F1521" t="str">
            <v>ZALM</v>
          </cell>
          <cell r="G1521" t="str">
            <v>UN</v>
          </cell>
          <cell r="H1521" t="str">
            <v>DOP</v>
          </cell>
          <cell r="I1521">
            <v>0</v>
          </cell>
          <cell r="J1521">
            <v>0</v>
          </cell>
          <cell r="K1521">
            <v>0</v>
          </cell>
          <cell r="L1521">
            <v>0</v>
          </cell>
          <cell r="M1521">
            <v>0</v>
          </cell>
          <cell r="N1521">
            <v>0</v>
          </cell>
          <cell r="O1521">
            <v>0</v>
          </cell>
          <cell r="P1521">
            <v>0</v>
          </cell>
          <cell r="Q1521">
            <v>0</v>
          </cell>
          <cell r="R1521">
            <v>0</v>
          </cell>
          <cell r="S1521">
            <v>0</v>
          </cell>
          <cell r="T1521">
            <v>0</v>
          </cell>
          <cell r="U1521" t="e">
            <v>#N/A</v>
          </cell>
        </row>
        <row r="1522">
          <cell r="A1522">
            <v>1001516</v>
          </cell>
          <cell r="B1522" t="str">
            <v>Llave Boca F 3/8"-7/16" Españ Aisl 1000V</v>
          </cell>
          <cell r="D1522">
            <v>7201</v>
          </cell>
          <cell r="E1522">
            <v>1000</v>
          </cell>
          <cell r="F1522" t="str">
            <v>ZALM</v>
          </cell>
          <cell r="G1522" t="str">
            <v>UN</v>
          </cell>
          <cell r="H1522" t="str">
            <v>DOP</v>
          </cell>
          <cell r="I1522">
            <v>21</v>
          </cell>
          <cell r="J1522">
            <v>15346.8</v>
          </cell>
          <cell r="K1522">
            <v>0</v>
          </cell>
          <cell r="L1522">
            <v>0</v>
          </cell>
          <cell r="M1522">
            <v>0</v>
          </cell>
          <cell r="N1522">
            <v>0</v>
          </cell>
          <cell r="O1522">
            <v>0</v>
          </cell>
          <cell r="P1522">
            <v>0</v>
          </cell>
          <cell r="Q1522">
            <v>0</v>
          </cell>
          <cell r="R1522">
            <v>0</v>
          </cell>
          <cell r="S1522">
            <v>21</v>
          </cell>
          <cell r="T1522">
            <v>15346.8</v>
          </cell>
          <cell r="U1522">
            <v>730.8</v>
          </cell>
        </row>
        <row r="1523">
          <cell r="A1523">
            <v>1001517</v>
          </cell>
          <cell r="B1523" t="str">
            <v>Llave Boca F 5/8"-11/16"Españ Aisl 1000V</v>
          </cell>
          <cell r="D1523">
            <v>7201</v>
          </cell>
          <cell r="E1523">
            <v>1000</v>
          </cell>
          <cell r="F1523" t="str">
            <v>ZALM</v>
          </cell>
          <cell r="G1523" t="str">
            <v>UN</v>
          </cell>
          <cell r="H1523" t="str">
            <v>DOP</v>
          </cell>
          <cell r="I1523">
            <v>14</v>
          </cell>
          <cell r="J1523">
            <v>12342.4</v>
          </cell>
          <cell r="K1523">
            <v>0</v>
          </cell>
          <cell r="L1523">
            <v>0</v>
          </cell>
          <cell r="M1523">
            <v>0</v>
          </cell>
          <cell r="N1523">
            <v>0</v>
          </cell>
          <cell r="O1523">
            <v>0</v>
          </cell>
          <cell r="P1523">
            <v>0</v>
          </cell>
          <cell r="Q1523">
            <v>0</v>
          </cell>
          <cell r="R1523">
            <v>0</v>
          </cell>
          <cell r="S1523">
            <v>14</v>
          </cell>
          <cell r="T1523">
            <v>12342.4</v>
          </cell>
          <cell r="U1523">
            <v>881.6</v>
          </cell>
        </row>
        <row r="1524">
          <cell r="A1524">
            <v>1001518</v>
          </cell>
          <cell r="B1524" t="str">
            <v>Llave Coloc y Extrac Tornillo Magnético</v>
          </cell>
          <cell r="D1524">
            <v>5501</v>
          </cell>
          <cell r="E1524">
            <v>1000</v>
          </cell>
          <cell r="F1524" t="str">
            <v>ZALM</v>
          </cell>
          <cell r="G1524" t="str">
            <v>UN</v>
          </cell>
          <cell r="H1524" t="str">
            <v>DOP</v>
          </cell>
          <cell r="I1524">
            <v>0</v>
          </cell>
          <cell r="J1524">
            <v>0</v>
          </cell>
          <cell r="K1524">
            <v>1</v>
          </cell>
          <cell r="L1524">
            <v>2549.09</v>
          </cell>
          <cell r="M1524">
            <v>0</v>
          </cell>
          <cell r="N1524">
            <v>0</v>
          </cell>
          <cell r="O1524">
            <v>0</v>
          </cell>
          <cell r="P1524">
            <v>0</v>
          </cell>
          <cell r="Q1524">
            <v>143</v>
          </cell>
          <cell r="R1524">
            <v>364520.03</v>
          </cell>
          <cell r="S1524">
            <v>144</v>
          </cell>
          <cell r="T1524">
            <v>367069.12</v>
          </cell>
          <cell r="U1524">
            <v>2549.09111111111</v>
          </cell>
        </row>
        <row r="1525">
          <cell r="A1525">
            <v>1001519</v>
          </cell>
          <cell r="B1525" t="str">
            <v>Llave de Linea</v>
          </cell>
          <cell r="D1525">
            <v>5501</v>
          </cell>
          <cell r="E1525">
            <v>1000</v>
          </cell>
          <cell r="F1525" t="str">
            <v>ZALM</v>
          </cell>
          <cell r="G1525" t="str">
            <v>UN</v>
          </cell>
          <cell r="H1525" t="str">
            <v>DOP</v>
          </cell>
          <cell r="I1525">
            <v>0</v>
          </cell>
          <cell r="J1525">
            <v>0</v>
          </cell>
          <cell r="K1525">
            <v>0</v>
          </cell>
          <cell r="L1525">
            <v>0</v>
          </cell>
          <cell r="M1525">
            <v>0</v>
          </cell>
          <cell r="N1525">
            <v>0</v>
          </cell>
          <cell r="O1525">
            <v>0</v>
          </cell>
          <cell r="P1525">
            <v>0</v>
          </cell>
          <cell r="Q1525">
            <v>0</v>
          </cell>
          <cell r="R1525">
            <v>0</v>
          </cell>
          <cell r="S1525">
            <v>0</v>
          </cell>
          <cell r="T1525">
            <v>0</v>
          </cell>
          <cell r="U1525" t="e">
            <v>#N/A</v>
          </cell>
        </row>
        <row r="1526">
          <cell r="A1526">
            <v>1001520</v>
          </cell>
          <cell r="B1526" t="str">
            <v>Llave Estirada 1/2" Diametro 1000V</v>
          </cell>
          <cell r="D1526">
            <v>5501</v>
          </cell>
          <cell r="E1526">
            <v>1000</v>
          </cell>
          <cell r="F1526" t="str">
            <v>ZALM</v>
          </cell>
          <cell r="G1526" t="str">
            <v>UN</v>
          </cell>
          <cell r="H1526" t="str">
            <v>DOP</v>
          </cell>
          <cell r="I1526">
            <v>0</v>
          </cell>
          <cell r="J1526">
            <v>0</v>
          </cell>
          <cell r="K1526">
            <v>0</v>
          </cell>
          <cell r="L1526">
            <v>0</v>
          </cell>
          <cell r="M1526">
            <v>0</v>
          </cell>
          <cell r="N1526">
            <v>0</v>
          </cell>
          <cell r="O1526">
            <v>0</v>
          </cell>
          <cell r="P1526">
            <v>0</v>
          </cell>
          <cell r="Q1526">
            <v>0</v>
          </cell>
          <cell r="R1526">
            <v>0</v>
          </cell>
          <cell r="S1526">
            <v>0</v>
          </cell>
          <cell r="T1526">
            <v>0</v>
          </cell>
          <cell r="U1526" t="e">
            <v>#N/A</v>
          </cell>
        </row>
        <row r="1527">
          <cell r="A1527">
            <v>1001521</v>
          </cell>
          <cell r="B1527" t="str">
            <v>Llave Hexagonal 13mm Mango Aisl 1000V</v>
          </cell>
          <cell r="D1527">
            <v>5501</v>
          </cell>
          <cell r="E1527">
            <v>1000</v>
          </cell>
          <cell r="F1527" t="str">
            <v>ZALM</v>
          </cell>
          <cell r="G1527" t="str">
            <v>UN</v>
          </cell>
          <cell r="H1527" t="str">
            <v>DOP</v>
          </cell>
          <cell r="I1527">
            <v>0</v>
          </cell>
          <cell r="J1527">
            <v>0</v>
          </cell>
          <cell r="K1527">
            <v>0</v>
          </cell>
          <cell r="L1527">
            <v>0</v>
          </cell>
          <cell r="M1527">
            <v>0</v>
          </cell>
          <cell r="N1527">
            <v>0</v>
          </cell>
          <cell r="O1527">
            <v>0</v>
          </cell>
          <cell r="P1527">
            <v>0</v>
          </cell>
          <cell r="Q1527">
            <v>0</v>
          </cell>
          <cell r="R1527">
            <v>0</v>
          </cell>
          <cell r="S1527">
            <v>0</v>
          </cell>
          <cell r="T1527">
            <v>0</v>
          </cell>
          <cell r="U1527" t="e">
            <v>#N/A</v>
          </cell>
        </row>
        <row r="1528">
          <cell r="A1528">
            <v>1001522</v>
          </cell>
          <cell r="B1528" t="str">
            <v>Llave Hexagonal E/C13 JB</v>
          </cell>
          <cell r="D1528">
            <v>5501</v>
          </cell>
          <cell r="E1528">
            <v>1000</v>
          </cell>
          <cell r="F1528" t="str">
            <v>ZALM</v>
          </cell>
          <cell r="G1528" t="str">
            <v>UN</v>
          </cell>
          <cell r="H1528" t="str">
            <v>DOP</v>
          </cell>
          <cell r="I1528">
            <v>0</v>
          </cell>
          <cell r="J1528">
            <v>0</v>
          </cell>
          <cell r="K1528">
            <v>0</v>
          </cell>
          <cell r="L1528">
            <v>0</v>
          </cell>
          <cell r="M1528">
            <v>0</v>
          </cell>
          <cell r="N1528">
            <v>0</v>
          </cell>
          <cell r="O1528">
            <v>0</v>
          </cell>
          <cell r="P1528">
            <v>0</v>
          </cell>
          <cell r="Q1528">
            <v>0</v>
          </cell>
          <cell r="R1528">
            <v>0</v>
          </cell>
          <cell r="S1528">
            <v>0</v>
          </cell>
          <cell r="T1528">
            <v>0</v>
          </cell>
          <cell r="U1528" t="e">
            <v>#N/A</v>
          </cell>
        </row>
        <row r="1529">
          <cell r="A1529">
            <v>1001523</v>
          </cell>
          <cell r="B1529" t="str">
            <v>Llave P/ Liniero 330mm Españ Aisl 1000V</v>
          </cell>
          <cell r="D1529">
            <v>5501</v>
          </cell>
          <cell r="E1529">
            <v>1000</v>
          </cell>
          <cell r="F1529" t="str">
            <v>ZALM</v>
          </cell>
          <cell r="G1529" t="str">
            <v>UN</v>
          </cell>
          <cell r="H1529" t="str">
            <v>DOP</v>
          </cell>
          <cell r="I1529">
            <v>0</v>
          </cell>
          <cell r="J1529">
            <v>0</v>
          </cell>
          <cell r="K1529">
            <v>0</v>
          </cell>
          <cell r="L1529">
            <v>0</v>
          </cell>
          <cell r="M1529">
            <v>0</v>
          </cell>
          <cell r="N1529">
            <v>0</v>
          </cell>
          <cell r="O1529">
            <v>0</v>
          </cell>
          <cell r="P1529">
            <v>0</v>
          </cell>
          <cell r="Q1529">
            <v>0</v>
          </cell>
          <cell r="R1529">
            <v>0</v>
          </cell>
          <cell r="S1529">
            <v>0</v>
          </cell>
          <cell r="T1529">
            <v>0</v>
          </cell>
          <cell r="U1529" t="e">
            <v>#N/A</v>
          </cell>
        </row>
        <row r="1530">
          <cell r="A1530">
            <v>1001524</v>
          </cell>
          <cell r="B1530" t="str">
            <v>Llave P/ Liniero Std 13" P/ Herraje 5/8"</v>
          </cell>
          <cell r="D1530">
            <v>7201</v>
          </cell>
          <cell r="E1530">
            <v>1000</v>
          </cell>
          <cell r="F1530" t="str">
            <v>ZALM</v>
          </cell>
          <cell r="G1530" t="str">
            <v>UN</v>
          </cell>
          <cell r="H1530" t="str">
            <v>DOP</v>
          </cell>
          <cell r="I1530">
            <v>0</v>
          </cell>
          <cell r="J1530">
            <v>0</v>
          </cell>
          <cell r="K1530">
            <v>0</v>
          </cell>
          <cell r="L1530">
            <v>0</v>
          </cell>
          <cell r="M1530">
            <v>0</v>
          </cell>
          <cell r="N1530">
            <v>0</v>
          </cell>
          <cell r="O1530">
            <v>0</v>
          </cell>
          <cell r="P1530">
            <v>0</v>
          </cell>
          <cell r="Q1530">
            <v>0</v>
          </cell>
          <cell r="R1530">
            <v>0</v>
          </cell>
          <cell r="S1530">
            <v>0</v>
          </cell>
          <cell r="T1530">
            <v>0</v>
          </cell>
          <cell r="U1530" t="e">
            <v>#N/A</v>
          </cell>
        </row>
        <row r="1531">
          <cell r="A1531">
            <v>1001525</v>
          </cell>
          <cell r="B1531" t="str">
            <v>Llave P/ Tornillo Magar</v>
          </cell>
          <cell r="D1531">
            <v>5501</v>
          </cell>
          <cell r="E1531">
            <v>1000</v>
          </cell>
          <cell r="F1531" t="str">
            <v>ZALM</v>
          </cell>
          <cell r="G1531" t="str">
            <v>UN</v>
          </cell>
          <cell r="H1531" t="str">
            <v>DOP</v>
          </cell>
          <cell r="I1531">
            <v>0</v>
          </cell>
          <cell r="J1531">
            <v>0</v>
          </cell>
          <cell r="K1531">
            <v>0</v>
          </cell>
          <cell r="L1531">
            <v>0</v>
          </cell>
          <cell r="M1531">
            <v>0</v>
          </cell>
          <cell r="N1531">
            <v>0</v>
          </cell>
          <cell r="O1531">
            <v>0</v>
          </cell>
          <cell r="P1531">
            <v>0</v>
          </cell>
          <cell r="Q1531">
            <v>0</v>
          </cell>
          <cell r="R1531">
            <v>0</v>
          </cell>
          <cell r="S1531">
            <v>0</v>
          </cell>
          <cell r="T1531">
            <v>0</v>
          </cell>
          <cell r="U1531" t="e">
            <v>#N/A</v>
          </cell>
        </row>
        <row r="1532">
          <cell r="A1532">
            <v>1001526</v>
          </cell>
          <cell r="B1532" t="str">
            <v>Llave para Pernos Series E-1</v>
          </cell>
          <cell r="D1532">
            <v>5501</v>
          </cell>
          <cell r="E1532">
            <v>1000</v>
          </cell>
          <cell r="F1532" t="str">
            <v>ZALM</v>
          </cell>
          <cell r="G1532" t="str">
            <v>UN</v>
          </cell>
          <cell r="H1532" t="str">
            <v>DOP</v>
          </cell>
          <cell r="I1532">
            <v>0</v>
          </cell>
          <cell r="J1532">
            <v>0</v>
          </cell>
          <cell r="K1532">
            <v>0</v>
          </cell>
          <cell r="L1532">
            <v>0</v>
          </cell>
          <cell r="M1532">
            <v>0</v>
          </cell>
          <cell r="N1532">
            <v>0</v>
          </cell>
          <cell r="O1532">
            <v>0</v>
          </cell>
          <cell r="P1532">
            <v>0</v>
          </cell>
          <cell r="Q1532">
            <v>0</v>
          </cell>
          <cell r="R1532">
            <v>0</v>
          </cell>
          <cell r="S1532">
            <v>0</v>
          </cell>
          <cell r="T1532">
            <v>0</v>
          </cell>
          <cell r="U1532" t="e">
            <v>#N/A</v>
          </cell>
        </row>
        <row r="1533">
          <cell r="A1533">
            <v>1001527</v>
          </cell>
          <cell r="B1533" t="str">
            <v>Llave para Pernos Series E-2</v>
          </cell>
          <cell r="D1533">
            <v>5501</v>
          </cell>
          <cell r="E1533">
            <v>1000</v>
          </cell>
          <cell r="F1533" t="str">
            <v>ZALM</v>
          </cell>
          <cell r="G1533" t="str">
            <v>UN</v>
          </cell>
          <cell r="H1533" t="str">
            <v>DOP</v>
          </cell>
          <cell r="I1533">
            <v>0</v>
          </cell>
          <cell r="J1533">
            <v>0</v>
          </cell>
          <cell r="K1533">
            <v>0</v>
          </cell>
          <cell r="L1533">
            <v>0</v>
          </cell>
          <cell r="M1533">
            <v>0</v>
          </cell>
          <cell r="N1533">
            <v>0</v>
          </cell>
          <cell r="O1533">
            <v>0</v>
          </cell>
          <cell r="P1533">
            <v>0</v>
          </cell>
          <cell r="Q1533">
            <v>80</v>
          </cell>
          <cell r="R1533">
            <v>140895.72</v>
          </cell>
          <cell r="S1533">
            <v>80</v>
          </cell>
          <cell r="T1533">
            <v>140895.72</v>
          </cell>
          <cell r="U1533">
            <v>1761.1965</v>
          </cell>
        </row>
        <row r="1534">
          <cell r="A1534">
            <v>1001528</v>
          </cell>
          <cell r="B1534" t="str">
            <v>Llave para Pernos Series E-3</v>
          </cell>
          <cell r="D1534">
            <v>5501</v>
          </cell>
          <cell r="E1534">
            <v>1000</v>
          </cell>
          <cell r="F1534" t="str">
            <v>ZALM</v>
          </cell>
          <cell r="G1534" t="str">
            <v>UN</v>
          </cell>
          <cell r="H1534" t="str">
            <v>DOP</v>
          </cell>
          <cell r="I1534">
            <v>0</v>
          </cell>
          <cell r="J1534">
            <v>0</v>
          </cell>
          <cell r="K1534">
            <v>0</v>
          </cell>
          <cell r="L1534">
            <v>0</v>
          </cell>
          <cell r="M1534">
            <v>0</v>
          </cell>
          <cell r="N1534">
            <v>0</v>
          </cell>
          <cell r="O1534">
            <v>0</v>
          </cell>
          <cell r="P1534">
            <v>0</v>
          </cell>
          <cell r="Q1534">
            <v>0</v>
          </cell>
          <cell r="R1534">
            <v>0</v>
          </cell>
          <cell r="S1534">
            <v>0</v>
          </cell>
          <cell r="T1534">
            <v>0</v>
          </cell>
          <cell r="U1534" t="e">
            <v>#N/A</v>
          </cell>
        </row>
        <row r="1535">
          <cell r="A1535">
            <v>1001529</v>
          </cell>
          <cell r="B1535" t="str">
            <v>Llave para Pernos Series E-4</v>
          </cell>
          <cell r="D1535">
            <v>5501</v>
          </cell>
          <cell r="E1535">
            <v>1000</v>
          </cell>
          <cell r="F1535" t="str">
            <v>ZALM</v>
          </cell>
          <cell r="G1535" t="str">
            <v>UN</v>
          </cell>
          <cell r="H1535" t="str">
            <v>DOP</v>
          </cell>
          <cell r="I1535">
            <v>0</v>
          </cell>
          <cell r="J1535">
            <v>0</v>
          </cell>
          <cell r="K1535">
            <v>0</v>
          </cell>
          <cell r="L1535">
            <v>0</v>
          </cell>
          <cell r="M1535">
            <v>0</v>
          </cell>
          <cell r="N1535">
            <v>0</v>
          </cell>
          <cell r="O1535">
            <v>0</v>
          </cell>
          <cell r="P1535">
            <v>0</v>
          </cell>
          <cell r="Q1535">
            <v>0</v>
          </cell>
          <cell r="R1535">
            <v>0</v>
          </cell>
          <cell r="S1535">
            <v>0</v>
          </cell>
          <cell r="T1535">
            <v>0</v>
          </cell>
          <cell r="U1535" t="e">
            <v>#N/A</v>
          </cell>
        </row>
        <row r="1536">
          <cell r="A1536">
            <v>1001530</v>
          </cell>
          <cell r="B1536" t="str">
            <v>Llave para Poste</v>
          </cell>
          <cell r="D1536">
            <v>5501</v>
          </cell>
          <cell r="E1536">
            <v>1000</v>
          </cell>
          <cell r="F1536" t="str">
            <v>ZALM</v>
          </cell>
          <cell r="G1536" t="str">
            <v>UN</v>
          </cell>
          <cell r="H1536" t="str">
            <v>DOP</v>
          </cell>
          <cell r="I1536">
            <v>0</v>
          </cell>
          <cell r="J1536">
            <v>0</v>
          </cell>
          <cell r="K1536">
            <v>0</v>
          </cell>
          <cell r="L1536">
            <v>0</v>
          </cell>
          <cell r="M1536">
            <v>0</v>
          </cell>
          <cell r="N1536">
            <v>0</v>
          </cell>
          <cell r="O1536">
            <v>0</v>
          </cell>
          <cell r="P1536">
            <v>0</v>
          </cell>
          <cell r="Q1536">
            <v>0</v>
          </cell>
          <cell r="R1536">
            <v>0</v>
          </cell>
          <cell r="S1536">
            <v>0</v>
          </cell>
          <cell r="T1536">
            <v>0</v>
          </cell>
          <cell r="U1536" t="e">
            <v>#N/A</v>
          </cell>
        </row>
        <row r="1537">
          <cell r="A1537">
            <v>1001531</v>
          </cell>
          <cell r="B1537" t="str">
            <v>Llave para Tornillo Mac Gard</v>
          </cell>
          <cell r="D1537">
            <v>5501</v>
          </cell>
          <cell r="E1537">
            <v>1000</v>
          </cell>
          <cell r="F1537" t="str">
            <v>ZALM</v>
          </cell>
          <cell r="G1537" t="str">
            <v>UN</v>
          </cell>
          <cell r="H1537" t="str">
            <v>DOP</v>
          </cell>
          <cell r="I1537">
            <v>144</v>
          </cell>
          <cell r="J1537">
            <v>40616.639999999999</v>
          </cell>
          <cell r="K1537">
            <v>0</v>
          </cell>
          <cell r="L1537">
            <v>0</v>
          </cell>
          <cell r="M1537">
            <v>0</v>
          </cell>
          <cell r="N1537">
            <v>0</v>
          </cell>
          <cell r="O1537">
            <v>0</v>
          </cell>
          <cell r="P1537">
            <v>0</v>
          </cell>
          <cell r="Q1537">
            <v>0</v>
          </cell>
          <cell r="R1537">
            <v>0</v>
          </cell>
          <cell r="S1537">
            <v>144</v>
          </cell>
          <cell r="T1537">
            <v>40616.639999999999</v>
          </cell>
          <cell r="U1537">
            <v>282.06</v>
          </cell>
        </row>
        <row r="1538">
          <cell r="A1538">
            <v>1001532</v>
          </cell>
          <cell r="B1538" t="str">
            <v>Llave Seg P/ Aro de Seguridad T/ Socket</v>
          </cell>
          <cell r="D1538">
            <v>5501</v>
          </cell>
          <cell r="E1538">
            <v>1000</v>
          </cell>
          <cell r="F1538" t="str">
            <v>ZALM</v>
          </cell>
          <cell r="G1538" t="str">
            <v>UN</v>
          </cell>
          <cell r="H1538" t="str">
            <v>DOP</v>
          </cell>
          <cell r="I1538">
            <v>0</v>
          </cell>
          <cell r="J1538">
            <v>0</v>
          </cell>
          <cell r="K1538">
            <v>0</v>
          </cell>
          <cell r="L1538">
            <v>0</v>
          </cell>
          <cell r="M1538">
            <v>0</v>
          </cell>
          <cell r="N1538">
            <v>0</v>
          </cell>
          <cell r="O1538">
            <v>0</v>
          </cell>
          <cell r="P1538">
            <v>0</v>
          </cell>
          <cell r="Q1538">
            <v>0</v>
          </cell>
          <cell r="R1538">
            <v>0</v>
          </cell>
          <cell r="S1538">
            <v>0</v>
          </cell>
          <cell r="T1538">
            <v>0</v>
          </cell>
          <cell r="U1538" t="e">
            <v>#N/A</v>
          </cell>
        </row>
        <row r="1539">
          <cell r="A1539">
            <v>1001533</v>
          </cell>
          <cell r="B1539" t="str">
            <v>Llave Seg Torpedo P/ Cand Barrel Lock F</v>
          </cell>
          <cell r="D1539">
            <v>5501</v>
          </cell>
          <cell r="E1539">
            <v>1000</v>
          </cell>
          <cell r="F1539" t="str">
            <v>ZALM</v>
          </cell>
          <cell r="G1539" t="str">
            <v>UN</v>
          </cell>
          <cell r="H1539" t="str">
            <v>DOP</v>
          </cell>
          <cell r="I1539">
            <v>0</v>
          </cell>
          <cell r="J1539">
            <v>0</v>
          </cell>
          <cell r="K1539">
            <v>0</v>
          </cell>
          <cell r="L1539">
            <v>0</v>
          </cell>
          <cell r="M1539">
            <v>0</v>
          </cell>
          <cell r="N1539">
            <v>0</v>
          </cell>
          <cell r="O1539">
            <v>0</v>
          </cell>
          <cell r="P1539">
            <v>0</v>
          </cell>
          <cell r="Q1539">
            <v>0</v>
          </cell>
          <cell r="R1539">
            <v>0</v>
          </cell>
          <cell r="S1539">
            <v>0</v>
          </cell>
          <cell r="T1539">
            <v>0</v>
          </cell>
          <cell r="U1539" t="e">
            <v>#N/A</v>
          </cell>
        </row>
        <row r="1540">
          <cell r="A1540">
            <v>1001534</v>
          </cell>
          <cell r="B1540" t="str">
            <v>Llave Steelson 12"</v>
          </cell>
          <cell r="D1540">
            <v>5501</v>
          </cell>
          <cell r="E1540">
            <v>1000</v>
          </cell>
          <cell r="F1540" t="str">
            <v>ZALM</v>
          </cell>
          <cell r="G1540" t="str">
            <v>UN</v>
          </cell>
          <cell r="H1540" t="str">
            <v>DOP</v>
          </cell>
          <cell r="I1540">
            <v>0</v>
          </cell>
          <cell r="J1540">
            <v>0</v>
          </cell>
          <cell r="K1540">
            <v>0</v>
          </cell>
          <cell r="L1540">
            <v>0</v>
          </cell>
          <cell r="M1540">
            <v>0</v>
          </cell>
          <cell r="N1540">
            <v>0</v>
          </cell>
          <cell r="O1540">
            <v>0</v>
          </cell>
          <cell r="P1540">
            <v>0</v>
          </cell>
          <cell r="Q1540">
            <v>0</v>
          </cell>
          <cell r="R1540">
            <v>0</v>
          </cell>
          <cell r="S1540">
            <v>0</v>
          </cell>
          <cell r="T1540">
            <v>0</v>
          </cell>
          <cell r="U1540" t="e">
            <v>#N/A</v>
          </cell>
        </row>
        <row r="1541">
          <cell r="A1541">
            <v>1001535</v>
          </cell>
          <cell r="B1541" t="str">
            <v>Llave Steelson 14"</v>
          </cell>
          <cell r="D1541">
            <v>5501</v>
          </cell>
          <cell r="E1541">
            <v>1000</v>
          </cell>
          <cell r="F1541" t="str">
            <v>ZALM</v>
          </cell>
          <cell r="G1541" t="str">
            <v>UN</v>
          </cell>
          <cell r="H1541" t="str">
            <v>DOP</v>
          </cell>
          <cell r="I1541">
            <v>0</v>
          </cell>
          <cell r="J1541">
            <v>0</v>
          </cell>
          <cell r="K1541">
            <v>0</v>
          </cell>
          <cell r="L1541">
            <v>0</v>
          </cell>
          <cell r="M1541">
            <v>0</v>
          </cell>
          <cell r="N1541">
            <v>0</v>
          </cell>
          <cell r="O1541">
            <v>0</v>
          </cell>
          <cell r="P1541">
            <v>0</v>
          </cell>
          <cell r="Q1541">
            <v>0</v>
          </cell>
          <cell r="R1541">
            <v>0</v>
          </cell>
          <cell r="S1541">
            <v>0</v>
          </cell>
          <cell r="T1541">
            <v>0</v>
          </cell>
          <cell r="U1541" t="e">
            <v>#N/A</v>
          </cell>
        </row>
        <row r="1542">
          <cell r="A1542">
            <v>1001536</v>
          </cell>
          <cell r="B1542" t="str">
            <v>Llave Steelson 24"</v>
          </cell>
          <cell r="D1542">
            <v>5501</v>
          </cell>
          <cell r="E1542">
            <v>1000</v>
          </cell>
          <cell r="F1542" t="str">
            <v>ZALM</v>
          </cell>
          <cell r="G1542" t="str">
            <v>UN</v>
          </cell>
          <cell r="H1542" t="str">
            <v>DOP</v>
          </cell>
          <cell r="I1542">
            <v>2</v>
          </cell>
          <cell r="J1542">
            <v>1693.6</v>
          </cell>
          <cell r="K1542">
            <v>0</v>
          </cell>
          <cell r="L1542">
            <v>0</v>
          </cell>
          <cell r="M1542">
            <v>0</v>
          </cell>
          <cell r="N1542">
            <v>0</v>
          </cell>
          <cell r="O1542">
            <v>0</v>
          </cell>
          <cell r="P1542">
            <v>0</v>
          </cell>
          <cell r="Q1542">
            <v>0</v>
          </cell>
          <cell r="R1542">
            <v>0</v>
          </cell>
          <cell r="S1542">
            <v>2</v>
          </cell>
          <cell r="T1542">
            <v>1693.6</v>
          </cell>
          <cell r="U1542">
            <v>846.8</v>
          </cell>
        </row>
        <row r="1543">
          <cell r="A1543">
            <v>1001537</v>
          </cell>
          <cell r="B1543" t="str">
            <v>Llave Térmica P/ Base Medidor Botton</v>
          </cell>
          <cell r="D1543">
            <v>5501</v>
          </cell>
          <cell r="E1543">
            <v>1000</v>
          </cell>
          <cell r="F1543" t="str">
            <v>ZALM</v>
          </cell>
          <cell r="G1543" t="str">
            <v>UN</v>
          </cell>
          <cell r="H1543" t="str">
            <v>DOP</v>
          </cell>
          <cell r="I1543">
            <v>51</v>
          </cell>
          <cell r="J1543">
            <v>8840.34</v>
          </cell>
          <cell r="K1543">
            <v>0</v>
          </cell>
          <cell r="L1543">
            <v>0</v>
          </cell>
          <cell r="M1543">
            <v>0</v>
          </cell>
          <cell r="N1543">
            <v>0</v>
          </cell>
          <cell r="O1543">
            <v>0</v>
          </cell>
          <cell r="P1543">
            <v>0</v>
          </cell>
          <cell r="Q1543">
            <v>0</v>
          </cell>
          <cell r="R1543">
            <v>0</v>
          </cell>
          <cell r="S1543">
            <v>51</v>
          </cell>
          <cell r="T1543">
            <v>8840.34</v>
          </cell>
          <cell r="U1543">
            <v>173.34</v>
          </cell>
        </row>
        <row r="1544">
          <cell r="A1544">
            <v>1001538</v>
          </cell>
          <cell r="B1544" t="str">
            <v>Llave Termomágneticas Unipol 20A Cl C</v>
          </cell>
          <cell r="D1544">
            <v>5501</v>
          </cell>
          <cell r="E1544">
            <v>1000</v>
          </cell>
          <cell r="F1544" t="str">
            <v>ZALM</v>
          </cell>
          <cell r="G1544" t="str">
            <v>UN</v>
          </cell>
          <cell r="H1544" t="str">
            <v>DOP</v>
          </cell>
          <cell r="I1544">
            <v>0</v>
          </cell>
          <cell r="J1544">
            <v>0</v>
          </cell>
          <cell r="K1544">
            <v>0</v>
          </cell>
          <cell r="L1544">
            <v>0</v>
          </cell>
          <cell r="M1544">
            <v>0</v>
          </cell>
          <cell r="N1544">
            <v>0</v>
          </cell>
          <cell r="O1544">
            <v>0</v>
          </cell>
          <cell r="P1544">
            <v>0</v>
          </cell>
          <cell r="Q1544">
            <v>0</v>
          </cell>
          <cell r="R1544">
            <v>0</v>
          </cell>
          <cell r="S1544">
            <v>0</v>
          </cell>
          <cell r="T1544">
            <v>0</v>
          </cell>
          <cell r="U1544" t="e">
            <v>#N/A</v>
          </cell>
        </row>
        <row r="1545">
          <cell r="A1545">
            <v>1001539</v>
          </cell>
          <cell r="B1545" t="str">
            <v>Llave Tipo Chicharra</v>
          </cell>
          <cell r="D1545">
            <v>7201</v>
          </cell>
          <cell r="E1545">
            <v>1000</v>
          </cell>
          <cell r="F1545" t="str">
            <v>ZALM</v>
          </cell>
          <cell r="G1545" t="str">
            <v>UN</v>
          </cell>
          <cell r="H1545" t="str">
            <v>DOP</v>
          </cell>
          <cell r="I1545">
            <v>0</v>
          </cell>
          <cell r="J1545">
            <v>0</v>
          </cell>
          <cell r="K1545">
            <v>0</v>
          </cell>
          <cell r="L1545">
            <v>0</v>
          </cell>
          <cell r="M1545">
            <v>0</v>
          </cell>
          <cell r="N1545">
            <v>0</v>
          </cell>
          <cell r="O1545">
            <v>0</v>
          </cell>
          <cell r="P1545">
            <v>0</v>
          </cell>
          <cell r="Q1545">
            <v>0</v>
          </cell>
          <cell r="R1545">
            <v>0</v>
          </cell>
          <cell r="S1545">
            <v>0</v>
          </cell>
          <cell r="T1545">
            <v>0</v>
          </cell>
          <cell r="U1545" t="e">
            <v>#N/A</v>
          </cell>
        </row>
        <row r="1546">
          <cell r="A1546">
            <v>1001540</v>
          </cell>
          <cell r="B1546" t="str">
            <v>Llave Vaso Profundo 1/2" Impulso 1/2"</v>
          </cell>
          <cell r="D1546">
            <v>5501</v>
          </cell>
          <cell r="E1546">
            <v>1000</v>
          </cell>
          <cell r="F1546" t="str">
            <v>ZALM</v>
          </cell>
          <cell r="G1546" t="str">
            <v>UN</v>
          </cell>
          <cell r="H1546" t="str">
            <v>DOP</v>
          </cell>
          <cell r="I1546">
            <v>0</v>
          </cell>
          <cell r="J1546">
            <v>0</v>
          </cell>
          <cell r="K1546">
            <v>0</v>
          </cell>
          <cell r="L1546">
            <v>0</v>
          </cell>
          <cell r="M1546">
            <v>0</v>
          </cell>
          <cell r="N1546">
            <v>0</v>
          </cell>
          <cell r="O1546">
            <v>0</v>
          </cell>
          <cell r="P1546">
            <v>0</v>
          </cell>
          <cell r="Q1546">
            <v>0</v>
          </cell>
          <cell r="R1546">
            <v>0</v>
          </cell>
          <cell r="S1546">
            <v>0</v>
          </cell>
          <cell r="T1546">
            <v>0</v>
          </cell>
          <cell r="U1546" t="e">
            <v>#N/A</v>
          </cell>
        </row>
        <row r="1547">
          <cell r="A1547">
            <v>1001541</v>
          </cell>
          <cell r="B1547" t="str">
            <v>Llave Vaso Profundo 3/4" Impulso 1/2"</v>
          </cell>
          <cell r="D1547">
            <v>5501</v>
          </cell>
          <cell r="E1547">
            <v>1000</v>
          </cell>
          <cell r="F1547" t="str">
            <v>ZALM</v>
          </cell>
          <cell r="G1547" t="str">
            <v>UN</v>
          </cell>
          <cell r="H1547" t="str">
            <v>DOP</v>
          </cell>
          <cell r="I1547">
            <v>0</v>
          </cell>
          <cell r="J1547">
            <v>0</v>
          </cell>
          <cell r="K1547">
            <v>0</v>
          </cell>
          <cell r="L1547">
            <v>0</v>
          </cell>
          <cell r="M1547">
            <v>0</v>
          </cell>
          <cell r="N1547">
            <v>0</v>
          </cell>
          <cell r="O1547">
            <v>0</v>
          </cell>
          <cell r="P1547">
            <v>0</v>
          </cell>
          <cell r="Q1547">
            <v>0</v>
          </cell>
          <cell r="R1547">
            <v>0</v>
          </cell>
          <cell r="S1547">
            <v>0</v>
          </cell>
          <cell r="T1547">
            <v>0</v>
          </cell>
          <cell r="U1547" t="e">
            <v>#N/A</v>
          </cell>
        </row>
        <row r="1548">
          <cell r="A1548">
            <v>1001542</v>
          </cell>
          <cell r="B1548" t="str">
            <v>Llave Vaso Profundo 9/16" Impulso 1/2"</v>
          </cell>
          <cell r="D1548">
            <v>5501</v>
          </cell>
          <cell r="E1548">
            <v>1000</v>
          </cell>
          <cell r="F1548" t="str">
            <v>ZALM</v>
          </cell>
          <cell r="G1548" t="str">
            <v>UN</v>
          </cell>
          <cell r="H1548" t="str">
            <v>DOP</v>
          </cell>
          <cell r="I1548">
            <v>0</v>
          </cell>
          <cell r="J1548">
            <v>0</v>
          </cell>
          <cell r="K1548">
            <v>0</v>
          </cell>
          <cell r="L1548">
            <v>0</v>
          </cell>
          <cell r="M1548">
            <v>0</v>
          </cell>
          <cell r="N1548">
            <v>0</v>
          </cell>
          <cell r="O1548">
            <v>0</v>
          </cell>
          <cell r="P1548">
            <v>0</v>
          </cell>
          <cell r="Q1548">
            <v>0</v>
          </cell>
          <cell r="R1548">
            <v>0</v>
          </cell>
          <cell r="S1548">
            <v>0</v>
          </cell>
          <cell r="T1548">
            <v>0</v>
          </cell>
          <cell r="U1548" t="e">
            <v>#N/A</v>
          </cell>
        </row>
        <row r="1549">
          <cell r="A1549">
            <v>1001543</v>
          </cell>
          <cell r="B1549" t="str">
            <v>Llaves Combinadas de 3/4"</v>
          </cell>
          <cell r="D1549">
            <v>5501</v>
          </cell>
          <cell r="E1549">
            <v>1000</v>
          </cell>
          <cell r="F1549" t="str">
            <v>ZALM</v>
          </cell>
          <cell r="G1549" t="str">
            <v>UN</v>
          </cell>
          <cell r="H1549" t="str">
            <v>DOP</v>
          </cell>
          <cell r="I1549">
            <v>1</v>
          </cell>
          <cell r="J1549">
            <v>126.9</v>
          </cell>
          <cell r="K1549">
            <v>0</v>
          </cell>
          <cell r="L1549">
            <v>0</v>
          </cell>
          <cell r="M1549">
            <v>0</v>
          </cell>
          <cell r="N1549">
            <v>0</v>
          </cell>
          <cell r="O1549">
            <v>0</v>
          </cell>
          <cell r="P1549">
            <v>0</v>
          </cell>
          <cell r="Q1549">
            <v>0</v>
          </cell>
          <cell r="R1549">
            <v>0</v>
          </cell>
          <cell r="S1549">
            <v>1</v>
          </cell>
          <cell r="T1549">
            <v>126.9</v>
          </cell>
          <cell r="U1549">
            <v>126.9</v>
          </cell>
        </row>
        <row r="1550">
          <cell r="A1550">
            <v>1001544</v>
          </cell>
          <cell r="B1550" t="str">
            <v>Machete</v>
          </cell>
          <cell r="D1550">
            <v>7201</v>
          </cell>
          <cell r="E1550">
            <v>1000</v>
          </cell>
          <cell r="F1550" t="str">
            <v>ZALM</v>
          </cell>
          <cell r="G1550" t="str">
            <v>UN</v>
          </cell>
          <cell r="H1550" t="str">
            <v>DOP</v>
          </cell>
          <cell r="I1550">
            <v>27</v>
          </cell>
          <cell r="J1550">
            <v>3854.45</v>
          </cell>
          <cell r="K1550">
            <v>0</v>
          </cell>
          <cell r="L1550">
            <v>0</v>
          </cell>
          <cell r="M1550">
            <v>0</v>
          </cell>
          <cell r="N1550">
            <v>0</v>
          </cell>
          <cell r="O1550">
            <v>0</v>
          </cell>
          <cell r="P1550">
            <v>0</v>
          </cell>
          <cell r="Q1550">
            <v>0</v>
          </cell>
          <cell r="R1550">
            <v>0</v>
          </cell>
          <cell r="S1550">
            <v>27</v>
          </cell>
          <cell r="T1550">
            <v>3854.45</v>
          </cell>
          <cell r="U1550">
            <v>142.75740740740699</v>
          </cell>
        </row>
        <row r="1551">
          <cell r="A1551">
            <v>1001545</v>
          </cell>
          <cell r="B1551" t="str">
            <v>Malacate de Cadena 0.75 Ton</v>
          </cell>
          <cell r="D1551">
            <v>5501</v>
          </cell>
          <cell r="E1551">
            <v>1000</v>
          </cell>
          <cell r="F1551" t="str">
            <v>ZALM</v>
          </cell>
          <cell r="G1551" t="str">
            <v>UN</v>
          </cell>
          <cell r="H1551" t="str">
            <v>DOP</v>
          </cell>
          <cell r="I1551">
            <v>0</v>
          </cell>
          <cell r="J1551">
            <v>0</v>
          </cell>
          <cell r="K1551">
            <v>0</v>
          </cell>
          <cell r="L1551">
            <v>0</v>
          </cell>
          <cell r="M1551">
            <v>0</v>
          </cell>
          <cell r="N1551">
            <v>0</v>
          </cell>
          <cell r="O1551">
            <v>0</v>
          </cell>
          <cell r="P1551">
            <v>0</v>
          </cell>
          <cell r="Q1551">
            <v>0</v>
          </cell>
          <cell r="R1551">
            <v>0</v>
          </cell>
          <cell r="S1551">
            <v>0</v>
          </cell>
          <cell r="T1551">
            <v>0</v>
          </cell>
          <cell r="U1551" t="e">
            <v>#N/A</v>
          </cell>
        </row>
        <row r="1552">
          <cell r="A1552">
            <v>1001546</v>
          </cell>
          <cell r="B1552" t="str">
            <v>Malacate de Cadena 1.5 Ton</v>
          </cell>
          <cell r="D1552">
            <v>5501</v>
          </cell>
          <cell r="E1552">
            <v>1000</v>
          </cell>
          <cell r="F1552" t="str">
            <v>ZALM</v>
          </cell>
          <cell r="G1552" t="str">
            <v>UN</v>
          </cell>
          <cell r="H1552" t="str">
            <v>DOP</v>
          </cell>
          <cell r="I1552">
            <v>0</v>
          </cell>
          <cell r="J1552">
            <v>0</v>
          </cell>
          <cell r="K1552">
            <v>0</v>
          </cell>
          <cell r="L1552">
            <v>0</v>
          </cell>
          <cell r="M1552">
            <v>0</v>
          </cell>
          <cell r="N1552">
            <v>0</v>
          </cell>
          <cell r="O1552">
            <v>0</v>
          </cell>
          <cell r="P1552">
            <v>0</v>
          </cell>
          <cell r="Q1552">
            <v>0</v>
          </cell>
          <cell r="R1552">
            <v>0</v>
          </cell>
          <cell r="S1552">
            <v>0</v>
          </cell>
          <cell r="T1552">
            <v>0</v>
          </cell>
          <cell r="U1552" t="e">
            <v>#N/A</v>
          </cell>
        </row>
        <row r="1553">
          <cell r="A1553">
            <v>1001547</v>
          </cell>
          <cell r="B1553" t="str">
            <v>Malacate de Cadena 3 Ton</v>
          </cell>
          <cell r="D1553">
            <v>5501</v>
          </cell>
          <cell r="E1553">
            <v>1000</v>
          </cell>
          <cell r="F1553" t="str">
            <v>ZALM</v>
          </cell>
          <cell r="G1553" t="str">
            <v>UN</v>
          </cell>
          <cell r="H1553" t="str">
            <v>DOP</v>
          </cell>
          <cell r="I1553">
            <v>0</v>
          </cell>
          <cell r="J1553">
            <v>0</v>
          </cell>
          <cell r="K1553">
            <v>0</v>
          </cell>
          <cell r="L1553">
            <v>0</v>
          </cell>
          <cell r="M1553">
            <v>0</v>
          </cell>
          <cell r="N1553">
            <v>0</v>
          </cell>
          <cell r="O1553">
            <v>0</v>
          </cell>
          <cell r="P1553">
            <v>0</v>
          </cell>
          <cell r="Q1553">
            <v>0</v>
          </cell>
          <cell r="R1553">
            <v>0</v>
          </cell>
          <cell r="S1553">
            <v>0</v>
          </cell>
          <cell r="T1553">
            <v>0</v>
          </cell>
          <cell r="U1553" t="e">
            <v>#N/A</v>
          </cell>
        </row>
        <row r="1554">
          <cell r="A1554">
            <v>1001548</v>
          </cell>
          <cell r="B1554" t="str">
            <v>Maletin C/ Herramienta Klein Ref 70262</v>
          </cell>
          <cell r="D1554">
            <v>7201</v>
          </cell>
          <cell r="E1554">
            <v>1000</v>
          </cell>
          <cell r="F1554" t="str">
            <v>ZALM</v>
          </cell>
          <cell r="G1554" t="str">
            <v>UN</v>
          </cell>
          <cell r="H1554" t="str">
            <v>DOP</v>
          </cell>
          <cell r="I1554">
            <v>0</v>
          </cell>
          <cell r="J1554">
            <v>0</v>
          </cell>
          <cell r="K1554">
            <v>0</v>
          </cell>
          <cell r="L1554">
            <v>0</v>
          </cell>
          <cell r="M1554">
            <v>0</v>
          </cell>
          <cell r="N1554">
            <v>0</v>
          </cell>
          <cell r="O1554">
            <v>0</v>
          </cell>
          <cell r="P1554">
            <v>0</v>
          </cell>
          <cell r="Q1554">
            <v>0</v>
          </cell>
          <cell r="R1554">
            <v>0</v>
          </cell>
          <cell r="S1554">
            <v>0</v>
          </cell>
          <cell r="T1554">
            <v>0</v>
          </cell>
          <cell r="U1554" t="e">
            <v>#N/A</v>
          </cell>
        </row>
        <row r="1555">
          <cell r="A1555">
            <v>1001549</v>
          </cell>
          <cell r="B1555" t="str">
            <v>Mandarria a 2 KG Aislada a 1000V</v>
          </cell>
          <cell r="D1555">
            <v>5501</v>
          </cell>
          <cell r="E1555">
            <v>1000</v>
          </cell>
          <cell r="F1555" t="str">
            <v>ZALM</v>
          </cell>
          <cell r="G1555" t="str">
            <v>UN</v>
          </cell>
          <cell r="H1555" t="str">
            <v>DOP</v>
          </cell>
          <cell r="I1555">
            <v>0</v>
          </cell>
          <cell r="J1555">
            <v>0</v>
          </cell>
          <cell r="K1555">
            <v>0</v>
          </cell>
          <cell r="L1555">
            <v>0</v>
          </cell>
          <cell r="M1555">
            <v>0</v>
          </cell>
          <cell r="N1555">
            <v>0</v>
          </cell>
          <cell r="O1555">
            <v>0</v>
          </cell>
          <cell r="P1555">
            <v>0</v>
          </cell>
          <cell r="Q1555">
            <v>0</v>
          </cell>
          <cell r="R1555">
            <v>0</v>
          </cell>
          <cell r="S1555">
            <v>0</v>
          </cell>
          <cell r="T1555">
            <v>0</v>
          </cell>
          <cell r="U1555" t="e">
            <v>#N/A</v>
          </cell>
        </row>
        <row r="1556">
          <cell r="A1556">
            <v>1001550</v>
          </cell>
          <cell r="B1556" t="str">
            <v>Mandarria de 4 Libras</v>
          </cell>
          <cell r="D1556">
            <v>5501</v>
          </cell>
          <cell r="E1556">
            <v>1000</v>
          </cell>
          <cell r="F1556" t="str">
            <v>ZALM</v>
          </cell>
          <cell r="G1556" t="str">
            <v>UN</v>
          </cell>
          <cell r="H1556" t="str">
            <v>DOP</v>
          </cell>
          <cell r="I1556">
            <v>0</v>
          </cell>
          <cell r="J1556">
            <v>0</v>
          </cell>
          <cell r="K1556">
            <v>0</v>
          </cell>
          <cell r="L1556">
            <v>0</v>
          </cell>
          <cell r="M1556">
            <v>0</v>
          </cell>
          <cell r="N1556">
            <v>0</v>
          </cell>
          <cell r="O1556">
            <v>0</v>
          </cell>
          <cell r="P1556">
            <v>0</v>
          </cell>
          <cell r="Q1556">
            <v>0</v>
          </cell>
          <cell r="R1556">
            <v>0</v>
          </cell>
          <cell r="S1556">
            <v>0</v>
          </cell>
          <cell r="T1556">
            <v>0</v>
          </cell>
          <cell r="U1556" t="e">
            <v>#N/A</v>
          </cell>
        </row>
        <row r="1557">
          <cell r="A1557">
            <v>1001551</v>
          </cell>
          <cell r="B1557" t="str">
            <v>Manija Accionam Tornillo Antifr Ap Caj</v>
          </cell>
          <cell r="D1557">
            <v>5501</v>
          </cell>
          <cell r="E1557">
            <v>1000</v>
          </cell>
          <cell r="F1557" t="str">
            <v>ZALM</v>
          </cell>
          <cell r="G1557" t="str">
            <v>UN</v>
          </cell>
          <cell r="H1557" t="str">
            <v>DOP</v>
          </cell>
          <cell r="I1557">
            <v>0</v>
          </cell>
          <cell r="J1557">
            <v>0</v>
          </cell>
          <cell r="K1557">
            <v>0</v>
          </cell>
          <cell r="L1557">
            <v>0</v>
          </cell>
          <cell r="M1557">
            <v>0</v>
          </cell>
          <cell r="N1557">
            <v>0</v>
          </cell>
          <cell r="O1557">
            <v>0</v>
          </cell>
          <cell r="P1557">
            <v>0</v>
          </cell>
          <cell r="Q1557">
            <v>0</v>
          </cell>
          <cell r="R1557">
            <v>0</v>
          </cell>
          <cell r="S1557">
            <v>0</v>
          </cell>
          <cell r="T1557">
            <v>0</v>
          </cell>
          <cell r="U1557" t="e">
            <v>#N/A</v>
          </cell>
        </row>
        <row r="1558">
          <cell r="A1558">
            <v>1001552</v>
          </cell>
          <cell r="B1558" t="str">
            <v>Máquina Flejadora P/ Fleje Acero 1"</v>
          </cell>
          <cell r="D1558">
            <v>5501</v>
          </cell>
          <cell r="E1558">
            <v>1000</v>
          </cell>
          <cell r="F1558" t="str">
            <v>ZALM</v>
          </cell>
          <cell r="G1558" t="str">
            <v>UN</v>
          </cell>
          <cell r="H1558" t="str">
            <v>DOP</v>
          </cell>
          <cell r="I1558">
            <v>1</v>
          </cell>
          <cell r="J1558">
            <v>7177.5</v>
          </cell>
          <cell r="K1558">
            <v>0</v>
          </cell>
          <cell r="L1558">
            <v>0</v>
          </cell>
          <cell r="M1558">
            <v>0</v>
          </cell>
          <cell r="N1558">
            <v>0</v>
          </cell>
          <cell r="O1558">
            <v>0</v>
          </cell>
          <cell r="P1558">
            <v>0</v>
          </cell>
          <cell r="Q1558">
            <v>0</v>
          </cell>
          <cell r="R1558">
            <v>0</v>
          </cell>
          <cell r="S1558">
            <v>1</v>
          </cell>
          <cell r="T1558">
            <v>7177.5</v>
          </cell>
          <cell r="U1558">
            <v>7177.5</v>
          </cell>
        </row>
        <row r="1559">
          <cell r="A1559">
            <v>1001553</v>
          </cell>
          <cell r="B1559" t="str">
            <v>Maquina Manual MD-6</v>
          </cell>
          <cell r="D1559">
            <v>5501</v>
          </cell>
          <cell r="E1559">
            <v>1000</v>
          </cell>
          <cell r="F1559" t="str">
            <v>ZALM</v>
          </cell>
          <cell r="G1559" t="str">
            <v>UN</v>
          </cell>
          <cell r="H1559" t="str">
            <v>DOP</v>
          </cell>
          <cell r="I1559">
            <v>0</v>
          </cell>
          <cell r="J1559">
            <v>0</v>
          </cell>
          <cell r="K1559">
            <v>0</v>
          </cell>
          <cell r="L1559">
            <v>0</v>
          </cell>
          <cell r="M1559">
            <v>0</v>
          </cell>
          <cell r="N1559">
            <v>0</v>
          </cell>
          <cell r="O1559">
            <v>0</v>
          </cell>
          <cell r="P1559">
            <v>0</v>
          </cell>
          <cell r="Q1559">
            <v>0</v>
          </cell>
          <cell r="R1559">
            <v>0</v>
          </cell>
          <cell r="S1559">
            <v>0</v>
          </cell>
          <cell r="T1559">
            <v>0</v>
          </cell>
          <cell r="U1559" t="e">
            <v>#N/A</v>
          </cell>
        </row>
        <row r="1560">
          <cell r="A1560">
            <v>1001554</v>
          </cell>
          <cell r="B1560" t="str">
            <v>Marco de Segueta Fija 43301/012</v>
          </cell>
          <cell r="D1560">
            <v>5501</v>
          </cell>
          <cell r="E1560">
            <v>1000</v>
          </cell>
          <cell r="F1560" t="str">
            <v>ZALM</v>
          </cell>
          <cell r="G1560" t="str">
            <v>UN</v>
          </cell>
          <cell r="H1560" t="str">
            <v>DOP</v>
          </cell>
          <cell r="I1560">
            <v>0</v>
          </cell>
          <cell r="J1560">
            <v>0</v>
          </cell>
          <cell r="K1560">
            <v>0</v>
          </cell>
          <cell r="L1560">
            <v>0</v>
          </cell>
          <cell r="M1560">
            <v>0</v>
          </cell>
          <cell r="N1560">
            <v>0</v>
          </cell>
          <cell r="O1560">
            <v>0</v>
          </cell>
          <cell r="P1560">
            <v>0</v>
          </cell>
          <cell r="Q1560">
            <v>0</v>
          </cell>
          <cell r="R1560">
            <v>0</v>
          </cell>
          <cell r="S1560">
            <v>0</v>
          </cell>
          <cell r="T1560">
            <v>0</v>
          </cell>
          <cell r="U1560" t="e">
            <v>#N/A</v>
          </cell>
        </row>
        <row r="1561">
          <cell r="A1561">
            <v>1001555</v>
          </cell>
          <cell r="B1561" t="str">
            <v>Martillo de 500 Grs</v>
          </cell>
          <cell r="D1561">
            <v>7201</v>
          </cell>
          <cell r="E1561">
            <v>1000</v>
          </cell>
          <cell r="F1561" t="str">
            <v>ZALM</v>
          </cell>
          <cell r="G1561" t="str">
            <v>UN</v>
          </cell>
          <cell r="H1561" t="str">
            <v>DOP</v>
          </cell>
          <cell r="I1561">
            <v>0</v>
          </cell>
          <cell r="J1561">
            <v>0</v>
          </cell>
          <cell r="K1561">
            <v>0</v>
          </cell>
          <cell r="L1561">
            <v>0</v>
          </cell>
          <cell r="M1561">
            <v>0</v>
          </cell>
          <cell r="N1561">
            <v>0</v>
          </cell>
          <cell r="O1561">
            <v>0</v>
          </cell>
          <cell r="P1561">
            <v>0</v>
          </cell>
          <cell r="Q1561">
            <v>0</v>
          </cell>
          <cell r="R1561">
            <v>0</v>
          </cell>
          <cell r="S1561">
            <v>0</v>
          </cell>
          <cell r="T1561">
            <v>0</v>
          </cell>
          <cell r="U1561" t="e">
            <v>#N/A</v>
          </cell>
        </row>
        <row r="1562">
          <cell r="A1562">
            <v>1001556</v>
          </cell>
          <cell r="B1562" t="str">
            <v>Martillo de Bola</v>
          </cell>
          <cell r="D1562">
            <v>7201</v>
          </cell>
          <cell r="E1562">
            <v>1000</v>
          </cell>
          <cell r="F1562" t="str">
            <v>ZALM</v>
          </cell>
          <cell r="G1562" t="str">
            <v>UN</v>
          </cell>
          <cell r="H1562" t="str">
            <v>DOP</v>
          </cell>
          <cell r="I1562">
            <v>0</v>
          </cell>
          <cell r="J1562">
            <v>0</v>
          </cell>
          <cell r="K1562">
            <v>0</v>
          </cell>
          <cell r="L1562">
            <v>0</v>
          </cell>
          <cell r="M1562">
            <v>0</v>
          </cell>
          <cell r="N1562">
            <v>0</v>
          </cell>
          <cell r="O1562">
            <v>0</v>
          </cell>
          <cell r="P1562">
            <v>0</v>
          </cell>
          <cell r="Q1562">
            <v>0</v>
          </cell>
          <cell r="R1562">
            <v>0</v>
          </cell>
          <cell r="S1562">
            <v>0</v>
          </cell>
          <cell r="T1562">
            <v>0</v>
          </cell>
          <cell r="U1562" t="e">
            <v>#N/A</v>
          </cell>
        </row>
        <row r="1563">
          <cell r="A1563">
            <v>1001557</v>
          </cell>
          <cell r="B1563" t="str">
            <v>Martillo de Goma de 300 Grs</v>
          </cell>
          <cell r="D1563">
            <v>7201</v>
          </cell>
          <cell r="E1563">
            <v>1000</v>
          </cell>
          <cell r="F1563" t="str">
            <v>ZALM</v>
          </cell>
          <cell r="G1563" t="str">
            <v>UN</v>
          </cell>
          <cell r="H1563" t="str">
            <v>DOP</v>
          </cell>
          <cell r="I1563">
            <v>0</v>
          </cell>
          <cell r="J1563">
            <v>0</v>
          </cell>
          <cell r="K1563">
            <v>0</v>
          </cell>
          <cell r="L1563">
            <v>0</v>
          </cell>
          <cell r="M1563">
            <v>0</v>
          </cell>
          <cell r="N1563">
            <v>0</v>
          </cell>
          <cell r="O1563">
            <v>0</v>
          </cell>
          <cell r="P1563">
            <v>0</v>
          </cell>
          <cell r="Q1563">
            <v>0</v>
          </cell>
          <cell r="R1563">
            <v>0</v>
          </cell>
          <cell r="S1563">
            <v>0</v>
          </cell>
          <cell r="T1563">
            <v>0</v>
          </cell>
          <cell r="U1563" t="e">
            <v>#N/A</v>
          </cell>
        </row>
        <row r="1564">
          <cell r="A1564">
            <v>1001558</v>
          </cell>
          <cell r="B1564" t="str">
            <v>Martillos Tipo Carpintero</v>
          </cell>
          <cell r="D1564">
            <v>5501</v>
          </cell>
          <cell r="E1564">
            <v>1000</v>
          </cell>
          <cell r="F1564" t="str">
            <v>ZALM</v>
          </cell>
          <cell r="G1564" t="str">
            <v>UN</v>
          </cell>
          <cell r="H1564" t="str">
            <v>DOP</v>
          </cell>
          <cell r="I1564">
            <v>0</v>
          </cell>
          <cell r="J1564">
            <v>0</v>
          </cell>
          <cell r="K1564">
            <v>1</v>
          </cell>
          <cell r="L1564">
            <v>145</v>
          </cell>
          <cell r="M1564">
            <v>0</v>
          </cell>
          <cell r="N1564">
            <v>0</v>
          </cell>
          <cell r="O1564">
            <v>0</v>
          </cell>
          <cell r="P1564">
            <v>0</v>
          </cell>
          <cell r="Q1564">
            <v>0</v>
          </cell>
          <cell r="R1564">
            <v>0</v>
          </cell>
          <cell r="S1564">
            <v>1</v>
          </cell>
          <cell r="T1564">
            <v>145</v>
          </cell>
          <cell r="U1564">
            <v>145</v>
          </cell>
        </row>
        <row r="1565">
          <cell r="A1565">
            <v>1001559</v>
          </cell>
          <cell r="B1565" t="str">
            <v>Mechas P/ Taladro 1/2"x 6"</v>
          </cell>
          <cell r="D1565">
            <v>5501</v>
          </cell>
          <cell r="E1565">
            <v>1000</v>
          </cell>
          <cell r="F1565" t="str">
            <v>ZALM</v>
          </cell>
          <cell r="G1565" t="str">
            <v>UN</v>
          </cell>
          <cell r="H1565" t="str">
            <v>DOP</v>
          </cell>
          <cell r="I1565">
            <v>0</v>
          </cell>
          <cell r="J1565">
            <v>0</v>
          </cell>
          <cell r="K1565">
            <v>0</v>
          </cell>
          <cell r="L1565">
            <v>0</v>
          </cell>
          <cell r="M1565">
            <v>0</v>
          </cell>
          <cell r="N1565">
            <v>0</v>
          </cell>
          <cell r="O1565">
            <v>0</v>
          </cell>
          <cell r="P1565">
            <v>0</v>
          </cell>
          <cell r="Q1565">
            <v>0</v>
          </cell>
          <cell r="R1565">
            <v>0</v>
          </cell>
          <cell r="S1565">
            <v>0</v>
          </cell>
          <cell r="T1565">
            <v>0</v>
          </cell>
          <cell r="U1565" t="e">
            <v>#N/A</v>
          </cell>
        </row>
        <row r="1566">
          <cell r="A1566">
            <v>1001560</v>
          </cell>
          <cell r="B1566" t="str">
            <v>Mechas P/ Taladro 3/8" x 6"</v>
          </cell>
          <cell r="D1566">
            <v>5501</v>
          </cell>
          <cell r="E1566">
            <v>1000</v>
          </cell>
          <cell r="F1566" t="str">
            <v>ZALM</v>
          </cell>
          <cell r="G1566" t="str">
            <v>UN</v>
          </cell>
          <cell r="H1566" t="str">
            <v>DOP</v>
          </cell>
          <cell r="I1566">
            <v>0</v>
          </cell>
          <cell r="J1566">
            <v>0</v>
          </cell>
          <cell r="K1566">
            <v>0</v>
          </cell>
          <cell r="L1566">
            <v>0</v>
          </cell>
          <cell r="M1566">
            <v>0</v>
          </cell>
          <cell r="N1566">
            <v>0</v>
          </cell>
          <cell r="O1566">
            <v>0</v>
          </cell>
          <cell r="P1566">
            <v>0</v>
          </cell>
          <cell r="Q1566">
            <v>0</v>
          </cell>
          <cell r="R1566">
            <v>0</v>
          </cell>
          <cell r="S1566">
            <v>0</v>
          </cell>
          <cell r="T1566">
            <v>0</v>
          </cell>
          <cell r="U1566" t="e">
            <v>#N/A</v>
          </cell>
        </row>
        <row r="1567">
          <cell r="A1567">
            <v>1001561</v>
          </cell>
          <cell r="B1567" t="str">
            <v>Metro de Madera (Folding Rule) M-4455-16</v>
          </cell>
          <cell r="D1567">
            <v>5501</v>
          </cell>
          <cell r="E1567">
            <v>1000</v>
          </cell>
          <cell r="F1567" t="str">
            <v>ZALM</v>
          </cell>
          <cell r="G1567" t="str">
            <v>UN</v>
          </cell>
          <cell r="H1567" t="str">
            <v>DOP</v>
          </cell>
          <cell r="I1567">
            <v>0</v>
          </cell>
          <cell r="J1567">
            <v>0</v>
          </cell>
          <cell r="K1567">
            <v>0</v>
          </cell>
          <cell r="L1567">
            <v>0</v>
          </cell>
          <cell r="M1567">
            <v>0</v>
          </cell>
          <cell r="N1567">
            <v>0</v>
          </cell>
          <cell r="O1567">
            <v>0</v>
          </cell>
          <cell r="P1567">
            <v>0</v>
          </cell>
          <cell r="Q1567">
            <v>0</v>
          </cell>
          <cell r="R1567">
            <v>0</v>
          </cell>
          <cell r="S1567">
            <v>0</v>
          </cell>
          <cell r="T1567">
            <v>0</v>
          </cell>
          <cell r="U1567" t="e">
            <v>#N/A</v>
          </cell>
        </row>
        <row r="1568">
          <cell r="A1568">
            <v>1001562</v>
          </cell>
          <cell r="B1568" t="str">
            <v>Moldaza P/ Cable 2/0 a 4/0 4500 Lib</v>
          </cell>
          <cell r="D1568">
            <v>5501</v>
          </cell>
          <cell r="E1568">
            <v>1000</v>
          </cell>
          <cell r="F1568" t="str">
            <v>ZALM</v>
          </cell>
          <cell r="G1568" t="str">
            <v>UN</v>
          </cell>
          <cell r="H1568" t="str">
            <v>DOP</v>
          </cell>
          <cell r="I1568">
            <v>0</v>
          </cell>
          <cell r="J1568">
            <v>0</v>
          </cell>
          <cell r="K1568">
            <v>0</v>
          </cell>
          <cell r="L1568">
            <v>0</v>
          </cell>
          <cell r="M1568">
            <v>0</v>
          </cell>
          <cell r="N1568">
            <v>0</v>
          </cell>
          <cell r="O1568">
            <v>0</v>
          </cell>
          <cell r="P1568">
            <v>0</v>
          </cell>
          <cell r="Q1568">
            <v>0</v>
          </cell>
          <cell r="R1568">
            <v>0</v>
          </cell>
          <cell r="S1568">
            <v>0</v>
          </cell>
          <cell r="T1568">
            <v>0</v>
          </cell>
          <cell r="U1568" t="e">
            <v>#N/A</v>
          </cell>
        </row>
        <row r="1569">
          <cell r="A1569">
            <v>1001563</v>
          </cell>
          <cell r="B1569" t="str">
            <v>Moldaza P/ Cable 4/0 a 477  8000 Lib</v>
          </cell>
          <cell r="D1569">
            <v>5501</v>
          </cell>
          <cell r="E1569">
            <v>1000</v>
          </cell>
          <cell r="F1569" t="str">
            <v>ZALM</v>
          </cell>
          <cell r="G1569" t="str">
            <v>UN</v>
          </cell>
          <cell r="H1569" t="str">
            <v>DOP</v>
          </cell>
          <cell r="I1569">
            <v>70</v>
          </cell>
          <cell r="J1569">
            <v>305700.44</v>
          </cell>
          <cell r="K1569">
            <v>0</v>
          </cell>
          <cell r="L1569">
            <v>0</v>
          </cell>
          <cell r="M1569">
            <v>0</v>
          </cell>
          <cell r="N1569">
            <v>0</v>
          </cell>
          <cell r="O1569">
            <v>0</v>
          </cell>
          <cell r="P1569">
            <v>0</v>
          </cell>
          <cell r="Q1569">
            <v>0</v>
          </cell>
          <cell r="R1569">
            <v>0</v>
          </cell>
          <cell r="S1569">
            <v>70</v>
          </cell>
          <cell r="T1569">
            <v>305700.44</v>
          </cell>
          <cell r="U1569">
            <v>4367.1491428571399</v>
          </cell>
        </row>
        <row r="1570">
          <cell r="A1570">
            <v>1001564</v>
          </cell>
          <cell r="B1570" t="str">
            <v>Moldaza P/ Cable Acero Galv CAT 1684-74</v>
          </cell>
          <cell r="D1570">
            <v>5501</v>
          </cell>
          <cell r="E1570">
            <v>1000</v>
          </cell>
          <cell r="F1570" t="str">
            <v>ZALM</v>
          </cell>
          <cell r="G1570" t="str">
            <v>UN</v>
          </cell>
          <cell r="H1570" t="str">
            <v>DOP</v>
          </cell>
          <cell r="I1570">
            <v>0</v>
          </cell>
          <cell r="J1570">
            <v>0</v>
          </cell>
          <cell r="K1570">
            <v>0</v>
          </cell>
          <cell r="L1570">
            <v>0</v>
          </cell>
          <cell r="M1570">
            <v>0</v>
          </cell>
          <cell r="N1570">
            <v>0</v>
          </cell>
          <cell r="O1570">
            <v>0</v>
          </cell>
          <cell r="P1570">
            <v>0</v>
          </cell>
          <cell r="Q1570">
            <v>0</v>
          </cell>
          <cell r="R1570">
            <v>0</v>
          </cell>
          <cell r="S1570">
            <v>0</v>
          </cell>
          <cell r="T1570">
            <v>0</v>
          </cell>
          <cell r="U1570" t="e">
            <v>#N/A</v>
          </cell>
        </row>
        <row r="1571">
          <cell r="A1571">
            <v>1001565</v>
          </cell>
          <cell r="B1571" t="str">
            <v>Moldaza P/ Cable Pelado ACSR Al Cu Trenz</v>
          </cell>
          <cell r="D1571">
            <v>5501</v>
          </cell>
          <cell r="E1571">
            <v>1000</v>
          </cell>
          <cell r="F1571" t="str">
            <v>ZALM</v>
          </cell>
          <cell r="G1571" t="str">
            <v>UN</v>
          </cell>
          <cell r="H1571" t="str">
            <v>DOP</v>
          </cell>
          <cell r="I1571">
            <v>0</v>
          </cell>
          <cell r="J1571">
            <v>0</v>
          </cell>
          <cell r="K1571">
            <v>0</v>
          </cell>
          <cell r="L1571">
            <v>0</v>
          </cell>
          <cell r="M1571">
            <v>0</v>
          </cell>
          <cell r="N1571">
            <v>0</v>
          </cell>
          <cell r="O1571">
            <v>0</v>
          </cell>
          <cell r="P1571">
            <v>0</v>
          </cell>
          <cell r="Q1571">
            <v>0</v>
          </cell>
          <cell r="R1571">
            <v>0</v>
          </cell>
          <cell r="S1571">
            <v>0</v>
          </cell>
          <cell r="T1571">
            <v>0</v>
          </cell>
          <cell r="U1571" t="e">
            <v>#N/A</v>
          </cell>
        </row>
        <row r="1572">
          <cell r="A1572">
            <v>1001566</v>
          </cell>
          <cell r="B1572" t="str">
            <v>Molde Cadweld GTC162G</v>
          </cell>
          <cell r="D1572">
            <v>5501</v>
          </cell>
          <cell r="E1572">
            <v>1000</v>
          </cell>
          <cell r="F1572" t="str">
            <v>ZALM</v>
          </cell>
          <cell r="G1572" t="str">
            <v>UN</v>
          </cell>
          <cell r="H1572" t="str">
            <v>DOP</v>
          </cell>
          <cell r="I1572">
            <v>3</v>
          </cell>
          <cell r="J1572">
            <v>2964.6</v>
          </cell>
          <cell r="K1572">
            <v>0</v>
          </cell>
          <cell r="L1572">
            <v>0</v>
          </cell>
          <cell r="M1572">
            <v>0</v>
          </cell>
          <cell r="N1572">
            <v>0</v>
          </cell>
          <cell r="O1572">
            <v>0</v>
          </cell>
          <cell r="P1572">
            <v>0</v>
          </cell>
          <cell r="Q1572">
            <v>0</v>
          </cell>
          <cell r="R1572">
            <v>0</v>
          </cell>
          <cell r="S1572">
            <v>3</v>
          </cell>
          <cell r="T1572">
            <v>2964.6</v>
          </cell>
          <cell r="U1572">
            <v>988.2</v>
          </cell>
        </row>
        <row r="1573">
          <cell r="A1573">
            <v>1001567</v>
          </cell>
          <cell r="B1573" t="str">
            <v>Molde Cadweld TAC2G2G</v>
          </cell>
          <cell r="D1573">
            <v>5501</v>
          </cell>
          <cell r="E1573">
            <v>1000</v>
          </cell>
          <cell r="F1573" t="str">
            <v>ZALM</v>
          </cell>
          <cell r="G1573" t="str">
            <v>UN</v>
          </cell>
          <cell r="H1573" t="str">
            <v>DOP</v>
          </cell>
          <cell r="I1573">
            <v>10</v>
          </cell>
          <cell r="J1573">
            <v>9882</v>
          </cell>
          <cell r="K1573">
            <v>0</v>
          </cell>
          <cell r="L1573">
            <v>0</v>
          </cell>
          <cell r="M1573">
            <v>0</v>
          </cell>
          <cell r="N1573">
            <v>0</v>
          </cell>
          <cell r="O1573">
            <v>0</v>
          </cell>
          <cell r="P1573">
            <v>0</v>
          </cell>
          <cell r="Q1573">
            <v>1</v>
          </cell>
          <cell r="R1573">
            <v>988.2</v>
          </cell>
          <cell r="S1573">
            <v>11</v>
          </cell>
          <cell r="T1573">
            <v>10870.2</v>
          </cell>
          <cell r="U1573">
            <v>988.2</v>
          </cell>
        </row>
        <row r="1574">
          <cell r="A1574">
            <v>1001568</v>
          </cell>
          <cell r="B1574" t="str">
            <v>Montacarga con Cinta de Nylon</v>
          </cell>
          <cell r="D1574">
            <v>5501</v>
          </cell>
          <cell r="E1574">
            <v>1000</v>
          </cell>
          <cell r="F1574" t="str">
            <v>ZALM</v>
          </cell>
          <cell r="G1574" t="str">
            <v>UN</v>
          </cell>
          <cell r="H1574" t="str">
            <v>DOP</v>
          </cell>
          <cell r="I1574">
            <v>0</v>
          </cell>
          <cell r="J1574">
            <v>0</v>
          </cell>
          <cell r="K1574">
            <v>0</v>
          </cell>
          <cell r="L1574">
            <v>0</v>
          </cell>
          <cell r="M1574">
            <v>0</v>
          </cell>
          <cell r="N1574">
            <v>0</v>
          </cell>
          <cell r="O1574">
            <v>0</v>
          </cell>
          <cell r="P1574">
            <v>0</v>
          </cell>
          <cell r="Q1574">
            <v>0</v>
          </cell>
          <cell r="R1574">
            <v>0</v>
          </cell>
          <cell r="S1574">
            <v>0</v>
          </cell>
          <cell r="T1574">
            <v>0</v>
          </cell>
          <cell r="U1574" t="e">
            <v>#N/A</v>
          </cell>
        </row>
        <row r="1575">
          <cell r="A1575">
            <v>1001569</v>
          </cell>
          <cell r="B1575" t="str">
            <v>Navaja Tramontina 2090 03</v>
          </cell>
          <cell r="D1575">
            <v>5501</v>
          </cell>
          <cell r="E1575">
            <v>1000</v>
          </cell>
          <cell r="F1575" t="str">
            <v>ZALM</v>
          </cell>
          <cell r="G1575" t="str">
            <v>UN</v>
          </cell>
          <cell r="H1575" t="str">
            <v>DOP</v>
          </cell>
          <cell r="I1575">
            <v>0</v>
          </cell>
          <cell r="J1575">
            <v>0</v>
          </cell>
          <cell r="K1575">
            <v>0</v>
          </cell>
          <cell r="L1575">
            <v>0</v>
          </cell>
          <cell r="M1575">
            <v>0</v>
          </cell>
          <cell r="N1575">
            <v>0</v>
          </cell>
          <cell r="O1575">
            <v>0</v>
          </cell>
          <cell r="P1575">
            <v>0</v>
          </cell>
          <cell r="Q1575">
            <v>0</v>
          </cell>
          <cell r="R1575">
            <v>0</v>
          </cell>
          <cell r="S1575">
            <v>0</v>
          </cell>
          <cell r="T1575">
            <v>0</v>
          </cell>
          <cell r="U1575" t="e">
            <v>#N/A</v>
          </cell>
        </row>
        <row r="1576">
          <cell r="A1576">
            <v>1001570</v>
          </cell>
          <cell r="B1576" t="str">
            <v>Nivel Aluminio 24"</v>
          </cell>
          <cell r="D1576">
            <v>5501</v>
          </cell>
          <cell r="E1576">
            <v>1000</v>
          </cell>
          <cell r="F1576" t="str">
            <v>ZALM</v>
          </cell>
          <cell r="G1576" t="str">
            <v>UN</v>
          </cell>
          <cell r="H1576" t="str">
            <v>DOP</v>
          </cell>
          <cell r="I1576">
            <v>0</v>
          </cell>
          <cell r="J1576">
            <v>0</v>
          </cell>
          <cell r="K1576">
            <v>0</v>
          </cell>
          <cell r="L1576">
            <v>0</v>
          </cell>
          <cell r="M1576">
            <v>0</v>
          </cell>
          <cell r="N1576">
            <v>0</v>
          </cell>
          <cell r="O1576">
            <v>0</v>
          </cell>
          <cell r="P1576">
            <v>0</v>
          </cell>
          <cell r="Q1576">
            <v>0</v>
          </cell>
          <cell r="R1576">
            <v>0</v>
          </cell>
          <cell r="S1576">
            <v>0</v>
          </cell>
          <cell r="T1576">
            <v>0</v>
          </cell>
          <cell r="U1576" t="e">
            <v>#N/A</v>
          </cell>
        </row>
        <row r="1577">
          <cell r="A1577">
            <v>1001571</v>
          </cell>
          <cell r="B1577" t="str">
            <v>Nivel Aluminio Estándar 36"</v>
          </cell>
          <cell r="D1577">
            <v>5501</v>
          </cell>
          <cell r="E1577">
            <v>1000</v>
          </cell>
          <cell r="F1577" t="str">
            <v>ZALM</v>
          </cell>
          <cell r="G1577" t="str">
            <v>UN</v>
          </cell>
          <cell r="H1577" t="str">
            <v>DOP</v>
          </cell>
          <cell r="I1577">
            <v>0</v>
          </cell>
          <cell r="J1577">
            <v>0</v>
          </cell>
          <cell r="K1577">
            <v>2</v>
          </cell>
          <cell r="L1577">
            <v>419.95</v>
          </cell>
          <cell r="M1577">
            <v>0</v>
          </cell>
          <cell r="N1577">
            <v>0</v>
          </cell>
          <cell r="O1577">
            <v>0</v>
          </cell>
          <cell r="P1577">
            <v>0</v>
          </cell>
          <cell r="Q1577">
            <v>0</v>
          </cell>
          <cell r="R1577">
            <v>0</v>
          </cell>
          <cell r="S1577">
            <v>2</v>
          </cell>
          <cell r="T1577">
            <v>419.95</v>
          </cell>
          <cell r="U1577">
            <v>209.97499999999999</v>
          </cell>
        </row>
        <row r="1578">
          <cell r="A1578">
            <v>1001572</v>
          </cell>
          <cell r="B1578" t="str">
            <v>\ala Corazón de Cabo Largo</v>
          </cell>
          <cell r="D1578">
            <v>7201</v>
          </cell>
          <cell r="E1578">
            <v>1000</v>
          </cell>
          <cell r="F1578" t="str">
            <v>ZALM</v>
          </cell>
          <cell r="G1578" t="str">
            <v>UN</v>
          </cell>
          <cell r="H1578" t="str">
            <v>DOP</v>
          </cell>
          <cell r="I1578">
            <v>7</v>
          </cell>
          <cell r="J1578">
            <v>1867.6</v>
          </cell>
          <cell r="K1578">
            <v>0</v>
          </cell>
          <cell r="L1578">
            <v>0</v>
          </cell>
          <cell r="M1578">
            <v>0</v>
          </cell>
          <cell r="N1578">
            <v>0</v>
          </cell>
          <cell r="O1578">
            <v>0</v>
          </cell>
          <cell r="P1578">
            <v>0</v>
          </cell>
          <cell r="Q1578">
            <v>0</v>
          </cell>
          <cell r="R1578">
            <v>0</v>
          </cell>
          <cell r="S1578">
            <v>7</v>
          </cell>
          <cell r="T1578">
            <v>1867.6</v>
          </cell>
          <cell r="U1578">
            <v>266.8</v>
          </cell>
        </row>
        <row r="1579">
          <cell r="A1579">
            <v>1001573</v>
          </cell>
          <cell r="B1579" t="str">
            <v>Pala Cuadrada de Cabo Largo</v>
          </cell>
          <cell r="D1579">
            <v>7201</v>
          </cell>
          <cell r="E1579">
            <v>1000</v>
          </cell>
          <cell r="F1579" t="str">
            <v>ZALM</v>
          </cell>
          <cell r="G1579" t="str">
            <v>UN</v>
          </cell>
          <cell r="H1579" t="str">
            <v>DOP</v>
          </cell>
          <cell r="I1579">
            <v>12</v>
          </cell>
          <cell r="J1579">
            <v>2784</v>
          </cell>
          <cell r="K1579">
            <v>0</v>
          </cell>
          <cell r="L1579">
            <v>0</v>
          </cell>
          <cell r="M1579">
            <v>0</v>
          </cell>
          <cell r="N1579">
            <v>0</v>
          </cell>
          <cell r="O1579">
            <v>0</v>
          </cell>
          <cell r="P1579">
            <v>0</v>
          </cell>
          <cell r="Q1579">
            <v>0</v>
          </cell>
          <cell r="R1579">
            <v>0</v>
          </cell>
          <cell r="S1579">
            <v>12</v>
          </cell>
          <cell r="T1579">
            <v>2784</v>
          </cell>
          <cell r="U1579">
            <v>232</v>
          </cell>
        </row>
        <row r="1580">
          <cell r="A1580">
            <v>1001574</v>
          </cell>
          <cell r="B1580" t="str">
            <v>Palanca P/ Poste (Sujetador de Poste)</v>
          </cell>
          <cell r="D1580">
            <v>5501</v>
          </cell>
          <cell r="E1580">
            <v>1000</v>
          </cell>
          <cell r="F1580" t="str">
            <v>ZALM</v>
          </cell>
          <cell r="G1580" t="str">
            <v>UN</v>
          </cell>
          <cell r="H1580" t="str">
            <v>DOP</v>
          </cell>
          <cell r="I1580">
            <v>3</v>
          </cell>
          <cell r="J1580">
            <v>9000</v>
          </cell>
          <cell r="K1580">
            <v>0</v>
          </cell>
          <cell r="L1580">
            <v>0</v>
          </cell>
          <cell r="M1580">
            <v>0</v>
          </cell>
          <cell r="N1580">
            <v>0</v>
          </cell>
          <cell r="O1580">
            <v>0</v>
          </cell>
          <cell r="P1580">
            <v>0</v>
          </cell>
          <cell r="Q1580">
            <v>0</v>
          </cell>
          <cell r="R1580">
            <v>0</v>
          </cell>
          <cell r="S1580">
            <v>3</v>
          </cell>
          <cell r="T1580">
            <v>9000</v>
          </cell>
          <cell r="U1580">
            <v>3000</v>
          </cell>
        </row>
        <row r="1581">
          <cell r="A1581">
            <v>1001575</v>
          </cell>
          <cell r="B1581" t="str">
            <v>Pata de Cabra</v>
          </cell>
          <cell r="D1581">
            <v>7201</v>
          </cell>
          <cell r="E1581">
            <v>1000</v>
          </cell>
          <cell r="F1581" t="str">
            <v>ZALM</v>
          </cell>
          <cell r="G1581" t="str">
            <v>UN</v>
          </cell>
          <cell r="H1581" t="str">
            <v>DOP</v>
          </cell>
          <cell r="I1581">
            <v>5</v>
          </cell>
          <cell r="J1581">
            <v>614.79999999999995</v>
          </cell>
          <cell r="K1581">
            <v>0</v>
          </cell>
          <cell r="L1581">
            <v>0</v>
          </cell>
          <cell r="M1581">
            <v>0</v>
          </cell>
          <cell r="N1581">
            <v>0</v>
          </cell>
          <cell r="O1581">
            <v>0</v>
          </cell>
          <cell r="P1581">
            <v>0</v>
          </cell>
          <cell r="Q1581">
            <v>0</v>
          </cell>
          <cell r="R1581">
            <v>0</v>
          </cell>
          <cell r="S1581">
            <v>5</v>
          </cell>
          <cell r="T1581">
            <v>614.79999999999995</v>
          </cell>
          <cell r="U1581">
            <v>122.96</v>
          </cell>
        </row>
        <row r="1582">
          <cell r="A1582">
            <v>1001576</v>
          </cell>
          <cell r="B1582" t="str">
            <v>Peladora Cable de Control</v>
          </cell>
          <cell r="D1582">
            <v>7201</v>
          </cell>
          <cell r="E1582">
            <v>1000</v>
          </cell>
          <cell r="F1582" t="str">
            <v>ZALM</v>
          </cell>
          <cell r="G1582" t="str">
            <v>UN</v>
          </cell>
          <cell r="H1582" t="str">
            <v>DOP</v>
          </cell>
          <cell r="I1582">
            <v>12</v>
          </cell>
          <cell r="J1582">
            <v>0</v>
          </cell>
          <cell r="K1582">
            <v>0</v>
          </cell>
          <cell r="L1582">
            <v>0</v>
          </cell>
          <cell r="M1582">
            <v>0</v>
          </cell>
          <cell r="N1582">
            <v>0</v>
          </cell>
          <cell r="O1582">
            <v>0</v>
          </cell>
          <cell r="P1582">
            <v>0</v>
          </cell>
          <cell r="Q1582">
            <v>0</v>
          </cell>
          <cell r="R1582">
            <v>0</v>
          </cell>
          <cell r="S1582">
            <v>12</v>
          </cell>
          <cell r="T1582">
            <v>0</v>
          </cell>
          <cell r="U1582">
            <v>0</v>
          </cell>
        </row>
        <row r="1583">
          <cell r="A1583">
            <v>1001577</v>
          </cell>
          <cell r="B1583" t="str">
            <v>Perfilador de Aislador Digital MT y AT</v>
          </cell>
          <cell r="D1583">
            <v>5501</v>
          </cell>
          <cell r="E1583">
            <v>1000</v>
          </cell>
          <cell r="F1583" t="str">
            <v>ZALM</v>
          </cell>
          <cell r="G1583" t="str">
            <v>UN</v>
          </cell>
          <cell r="H1583" t="str">
            <v>DOP</v>
          </cell>
          <cell r="I1583">
            <v>0</v>
          </cell>
          <cell r="J1583">
            <v>0</v>
          </cell>
          <cell r="K1583">
            <v>0</v>
          </cell>
          <cell r="L1583">
            <v>0</v>
          </cell>
          <cell r="M1583">
            <v>0</v>
          </cell>
          <cell r="N1583">
            <v>0</v>
          </cell>
          <cell r="O1583">
            <v>0</v>
          </cell>
          <cell r="P1583">
            <v>0</v>
          </cell>
          <cell r="Q1583">
            <v>0</v>
          </cell>
          <cell r="R1583">
            <v>0</v>
          </cell>
          <cell r="S1583">
            <v>0</v>
          </cell>
          <cell r="T1583">
            <v>0</v>
          </cell>
          <cell r="U1583" t="e">
            <v>#N/A</v>
          </cell>
        </row>
        <row r="1584">
          <cell r="A1584">
            <v>1001578</v>
          </cell>
          <cell r="B1584" t="str">
            <v>Pértiga a Eslabon Espiral</v>
          </cell>
          <cell r="D1584">
            <v>5501</v>
          </cell>
          <cell r="E1584">
            <v>1000</v>
          </cell>
          <cell r="F1584" t="str">
            <v>ZALM</v>
          </cell>
          <cell r="G1584" t="str">
            <v>UN</v>
          </cell>
          <cell r="H1584" t="str">
            <v>DOP</v>
          </cell>
          <cell r="I1584">
            <v>0</v>
          </cell>
          <cell r="J1584">
            <v>0</v>
          </cell>
          <cell r="K1584">
            <v>0</v>
          </cell>
          <cell r="L1584">
            <v>0</v>
          </cell>
          <cell r="M1584">
            <v>0</v>
          </cell>
          <cell r="N1584">
            <v>0</v>
          </cell>
          <cell r="O1584">
            <v>0</v>
          </cell>
          <cell r="P1584">
            <v>0</v>
          </cell>
          <cell r="Q1584">
            <v>0</v>
          </cell>
          <cell r="R1584">
            <v>0</v>
          </cell>
          <cell r="S1584">
            <v>0</v>
          </cell>
          <cell r="T1584">
            <v>0</v>
          </cell>
          <cell r="U1584" t="e">
            <v>#N/A</v>
          </cell>
        </row>
        <row r="1585">
          <cell r="A1585">
            <v>1001579</v>
          </cell>
          <cell r="B1585" t="str">
            <v>Pértiga a Rodillo</v>
          </cell>
          <cell r="D1585">
            <v>5501</v>
          </cell>
          <cell r="E1585">
            <v>1000</v>
          </cell>
          <cell r="F1585" t="str">
            <v>ZALM</v>
          </cell>
          <cell r="G1585" t="str">
            <v>UN</v>
          </cell>
          <cell r="H1585" t="str">
            <v>DOP</v>
          </cell>
          <cell r="I1585">
            <v>0</v>
          </cell>
          <cell r="J1585">
            <v>0</v>
          </cell>
          <cell r="K1585">
            <v>0</v>
          </cell>
          <cell r="L1585">
            <v>0</v>
          </cell>
          <cell r="M1585">
            <v>0</v>
          </cell>
          <cell r="N1585">
            <v>0</v>
          </cell>
          <cell r="O1585">
            <v>0</v>
          </cell>
          <cell r="P1585">
            <v>0</v>
          </cell>
          <cell r="Q1585">
            <v>0</v>
          </cell>
          <cell r="R1585">
            <v>0</v>
          </cell>
          <cell r="S1585">
            <v>0</v>
          </cell>
          <cell r="T1585">
            <v>0</v>
          </cell>
          <cell r="U1585" t="e">
            <v>#N/A</v>
          </cell>
        </row>
        <row r="1586">
          <cell r="A1586">
            <v>1001580</v>
          </cell>
          <cell r="B1586" t="str">
            <v>Pertiga Acoplable de 9 Mts L</v>
          </cell>
          <cell r="D1586">
            <v>7201</v>
          </cell>
          <cell r="E1586">
            <v>1000</v>
          </cell>
          <cell r="F1586" t="str">
            <v>ZALM</v>
          </cell>
          <cell r="G1586" t="str">
            <v>UN</v>
          </cell>
          <cell r="H1586" t="str">
            <v>DOP</v>
          </cell>
          <cell r="I1586">
            <v>0</v>
          </cell>
          <cell r="J1586">
            <v>0</v>
          </cell>
          <cell r="K1586">
            <v>0</v>
          </cell>
          <cell r="L1586">
            <v>0</v>
          </cell>
          <cell r="M1586">
            <v>0</v>
          </cell>
          <cell r="N1586">
            <v>0</v>
          </cell>
          <cell r="O1586">
            <v>0</v>
          </cell>
          <cell r="P1586">
            <v>0</v>
          </cell>
          <cell r="Q1586">
            <v>0</v>
          </cell>
          <cell r="R1586">
            <v>0</v>
          </cell>
          <cell r="S1586">
            <v>0</v>
          </cell>
          <cell r="T1586">
            <v>0</v>
          </cell>
          <cell r="U1586" t="e">
            <v>#N/A</v>
          </cell>
        </row>
        <row r="1587">
          <cell r="A1587">
            <v>1001581</v>
          </cell>
          <cell r="B1587" t="str">
            <v>Pértiga Acople Univ Long Extend 6 Mtr</v>
          </cell>
          <cell r="D1587">
            <v>5501</v>
          </cell>
          <cell r="E1587">
            <v>1000</v>
          </cell>
          <cell r="F1587" t="str">
            <v>ZALM</v>
          </cell>
          <cell r="G1587" t="str">
            <v>UN</v>
          </cell>
          <cell r="H1587" t="str">
            <v>DOP</v>
          </cell>
          <cell r="I1587">
            <v>0</v>
          </cell>
          <cell r="J1587">
            <v>0</v>
          </cell>
          <cell r="K1587">
            <v>0</v>
          </cell>
          <cell r="L1587">
            <v>0</v>
          </cell>
          <cell r="M1587">
            <v>0</v>
          </cell>
          <cell r="N1587">
            <v>0</v>
          </cell>
          <cell r="O1587">
            <v>0</v>
          </cell>
          <cell r="P1587">
            <v>0</v>
          </cell>
          <cell r="Q1587">
            <v>0</v>
          </cell>
          <cell r="R1587">
            <v>0</v>
          </cell>
          <cell r="S1587">
            <v>0</v>
          </cell>
          <cell r="T1587">
            <v>0</v>
          </cell>
          <cell r="U1587" t="e">
            <v>#N/A</v>
          </cell>
        </row>
        <row r="1588">
          <cell r="A1588">
            <v>1001582</v>
          </cell>
          <cell r="B1588" t="str">
            <v>Pértiga Gancho Espiral</v>
          </cell>
          <cell r="D1588">
            <v>5501</v>
          </cell>
          <cell r="E1588">
            <v>1000</v>
          </cell>
          <cell r="F1588" t="str">
            <v>ZALM</v>
          </cell>
          <cell r="G1588" t="str">
            <v>UN</v>
          </cell>
          <cell r="H1588" t="str">
            <v>DOP</v>
          </cell>
          <cell r="I1588">
            <v>0</v>
          </cell>
          <cell r="J1588">
            <v>0</v>
          </cell>
          <cell r="K1588">
            <v>0</v>
          </cell>
          <cell r="L1588">
            <v>0</v>
          </cell>
          <cell r="M1588">
            <v>0</v>
          </cell>
          <cell r="N1588">
            <v>0</v>
          </cell>
          <cell r="O1588">
            <v>0</v>
          </cell>
          <cell r="P1588">
            <v>0</v>
          </cell>
          <cell r="Q1588">
            <v>0</v>
          </cell>
          <cell r="R1588">
            <v>0</v>
          </cell>
          <cell r="S1588">
            <v>0</v>
          </cell>
          <cell r="T1588">
            <v>0</v>
          </cell>
          <cell r="U1588" t="e">
            <v>#N/A</v>
          </cell>
        </row>
        <row r="1589">
          <cell r="A1589">
            <v>1001583</v>
          </cell>
          <cell r="B1589" t="str">
            <v>Pértiga Soporte 2" x 8'</v>
          </cell>
          <cell r="D1589">
            <v>5501</v>
          </cell>
          <cell r="E1589">
            <v>1000</v>
          </cell>
          <cell r="F1589" t="str">
            <v>ZALM</v>
          </cell>
          <cell r="G1589" t="str">
            <v>UN</v>
          </cell>
          <cell r="H1589" t="str">
            <v>DOP</v>
          </cell>
          <cell r="I1589">
            <v>0</v>
          </cell>
          <cell r="J1589">
            <v>0</v>
          </cell>
          <cell r="K1589">
            <v>0</v>
          </cell>
          <cell r="L1589">
            <v>0</v>
          </cell>
          <cell r="M1589">
            <v>0</v>
          </cell>
          <cell r="N1589">
            <v>0</v>
          </cell>
          <cell r="O1589">
            <v>0</v>
          </cell>
          <cell r="P1589">
            <v>0</v>
          </cell>
          <cell r="Q1589">
            <v>0</v>
          </cell>
          <cell r="R1589">
            <v>0</v>
          </cell>
          <cell r="S1589">
            <v>0</v>
          </cell>
          <cell r="T1589">
            <v>0</v>
          </cell>
          <cell r="U1589" t="e">
            <v>#N/A</v>
          </cell>
        </row>
        <row r="1590">
          <cell r="A1590">
            <v>1001584</v>
          </cell>
          <cell r="B1590" t="str">
            <v>Pértiga Soporte 2/12" x 10'</v>
          </cell>
          <cell r="D1590">
            <v>5501</v>
          </cell>
          <cell r="E1590">
            <v>1000</v>
          </cell>
          <cell r="F1590" t="str">
            <v>ZALM</v>
          </cell>
          <cell r="G1590" t="str">
            <v>UN</v>
          </cell>
          <cell r="H1590" t="str">
            <v>DOP</v>
          </cell>
          <cell r="I1590">
            <v>0</v>
          </cell>
          <cell r="J1590">
            <v>0</v>
          </cell>
          <cell r="K1590">
            <v>0</v>
          </cell>
          <cell r="L1590">
            <v>0</v>
          </cell>
          <cell r="M1590">
            <v>0</v>
          </cell>
          <cell r="N1590">
            <v>0</v>
          </cell>
          <cell r="O1590">
            <v>0</v>
          </cell>
          <cell r="P1590">
            <v>0</v>
          </cell>
          <cell r="Q1590">
            <v>0</v>
          </cell>
          <cell r="R1590">
            <v>0</v>
          </cell>
          <cell r="S1590">
            <v>0</v>
          </cell>
          <cell r="T1590">
            <v>0</v>
          </cell>
          <cell r="U1590" t="e">
            <v>#N/A</v>
          </cell>
        </row>
        <row r="1591">
          <cell r="A1591">
            <v>1001585</v>
          </cell>
          <cell r="B1591" t="str">
            <v>Pico Standard de 5 Lib</v>
          </cell>
          <cell r="D1591">
            <v>5501</v>
          </cell>
          <cell r="E1591">
            <v>1000</v>
          </cell>
          <cell r="F1591" t="str">
            <v>ZALM</v>
          </cell>
          <cell r="G1591" t="str">
            <v>UN</v>
          </cell>
          <cell r="H1591" t="str">
            <v>DOP</v>
          </cell>
          <cell r="I1591">
            <v>22</v>
          </cell>
          <cell r="J1591">
            <v>9870.02</v>
          </cell>
          <cell r="K1591">
            <v>0</v>
          </cell>
          <cell r="L1591">
            <v>0</v>
          </cell>
          <cell r="M1591">
            <v>0</v>
          </cell>
          <cell r="N1591">
            <v>0</v>
          </cell>
          <cell r="O1591">
            <v>0</v>
          </cell>
          <cell r="P1591">
            <v>0</v>
          </cell>
          <cell r="Q1591">
            <v>0</v>
          </cell>
          <cell r="R1591">
            <v>0</v>
          </cell>
          <cell r="S1591">
            <v>22</v>
          </cell>
          <cell r="T1591">
            <v>9870.02</v>
          </cell>
          <cell r="U1591">
            <v>448.637272727273</v>
          </cell>
        </row>
        <row r="1592">
          <cell r="A1592">
            <v>1001586</v>
          </cell>
          <cell r="B1592" t="str">
            <v>Pinza Apertura Múltiple Aisl 1000V</v>
          </cell>
          <cell r="D1592">
            <v>7201</v>
          </cell>
          <cell r="E1592">
            <v>1000</v>
          </cell>
          <cell r="F1592" t="str">
            <v>ZALM</v>
          </cell>
          <cell r="G1592" t="str">
            <v>UN</v>
          </cell>
          <cell r="H1592" t="str">
            <v>DOP</v>
          </cell>
          <cell r="I1592">
            <v>21</v>
          </cell>
          <cell r="J1592">
            <v>6495.51</v>
          </cell>
          <cell r="K1592">
            <v>0</v>
          </cell>
          <cell r="L1592">
            <v>0</v>
          </cell>
          <cell r="M1592">
            <v>0</v>
          </cell>
          <cell r="N1592">
            <v>0</v>
          </cell>
          <cell r="O1592">
            <v>0</v>
          </cell>
          <cell r="P1592">
            <v>0</v>
          </cell>
          <cell r="Q1592">
            <v>0</v>
          </cell>
          <cell r="R1592">
            <v>0</v>
          </cell>
          <cell r="S1592">
            <v>21</v>
          </cell>
          <cell r="T1592">
            <v>6495.51</v>
          </cell>
          <cell r="U1592">
            <v>309.31</v>
          </cell>
        </row>
        <row r="1593">
          <cell r="A1593">
            <v>1001587</v>
          </cell>
          <cell r="B1593" t="str">
            <v>Pinza Corta Cable Klein</v>
          </cell>
          <cell r="D1593">
            <v>7201</v>
          </cell>
          <cell r="E1593">
            <v>1000</v>
          </cell>
          <cell r="F1593" t="str">
            <v>ZALM</v>
          </cell>
          <cell r="G1593" t="str">
            <v>UN</v>
          </cell>
          <cell r="H1593" t="str">
            <v>DOP</v>
          </cell>
          <cell r="I1593">
            <v>0</v>
          </cell>
          <cell r="J1593">
            <v>0</v>
          </cell>
          <cell r="K1593">
            <v>0</v>
          </cell>
          <cell r="L1593">
            <v>0</v>
          </cell>
          <cell r="M1593">
            <v>0</v>
          </cell>
          <cell r="N1593">
            <v>0</v>
          </cell>
          <cell r="O1593">
            <v>0</v>
          </cell>
          <cell r="P1593">
            <v>0</v>
          </cell>
          <cell r="Q1593">
            <v>0</v>
          </cell>
          <cell r="R1593">
            <v>0</v>
          </cell>
          <cell r="S1593">
            <v>0</v>
          </cell>
          <cell r="T1593">
            <v>0</v>
          </cell>
          <cell r="U1593" t="e">
            <v>#N/A</v>
          </cell>
        </row>
        <row r="1594">
          <cell r="A1594">
            <v>1001588</v>
          </cell>
          <cell r="B1594" t="str">
            <v>Pinza Corta Cable Mango Aisl 1000V</v>
          </cell>
          <cell r="D1594">
            <v>5501</v>
          </cell>
          <cell r="E1594">
            <v>1000</v>
          </cell>
          <cell r="F1594" t="str">
            <v>ZALM</v>
          </cell>
          <cell r="G1594" t="str">
            <v>UN</v>
          </cell>
          <cell r="H1594" t="str">
            <v>DOP</v>
          </cell>
          <cell r="I1594">
            <v>0</v>
          </cell>
          <cell r="J1594">
            <v>0</v>
          </cell>
          <cell r="K1594">
            <v>1</v>
          </cell>
          <cell r="L1594">
            <v>2076.4</v>
          </cell>
          <cell r="M1594">
            <v>0</v>
          </cell>
          <cell r="N1594">
            <v>0</v>
          </cell>
          <cell r="O1594">
            <v>0</v>
          </cell>
          <cell r="P1594">
            <v>0</v>
          </cell>
          <cell r="Q1594">
            <v>0</v>
          </cell>
          <cell r="R1594">
            <v>0</v>
          </cell>
          <cell r="S1594">
            <v>1</v>
          </cell>
          <cell r="T1594">
            <v>2076.4</v>
          </cell>
          <cell r="U1594">
            <v>2076.4</v>
          </cell>
        </row>
        <row r="1595">
          <cell r="A1595">
            <v>1001589</v>
          </cell>
          <cell r="B1595" t="str">
            <v>Pinza Crimping Tool RJ11 &amp; RJ45</v>
          </cell>
          <cell r="D1595">
            <v>5501</v>
          </cell>
          <cell r="E1595">
            <v>1000</v>
          </cell>
          <cell r="F1595" t="str">
            <v>ZALM</v>
          </cell>
          <cell r="G1595" t="str">
            <v>UN</v>
          </cell>
          <cell r="H1595" t="str">
            <v>DOP</v>
          </cell>
          <cell r="I1595">
            <v>0</v>
          </cell>
          <cell r="J1595">
            <v>0</v>
          </cell>
          <cell r="K1595">
            <v>0</v>
          </cell>
          <cell r="L1595">
            <v>0</v>
          </cell>
          <cell r="M1595">
            <v>0</v>
          </cell>
          <cell r="N1595">
            <v>0</v>
          </cell>
          <cell r="O1595">
            <v>0</v>
          </cell>
          <cell r="P1595">
            <v>0</v>
          </cell>
          <cell r="Q1595">
            <v>0</v>
          </cell>
          <cell r="R1595">
            <v>0</v>
          </cell>
          <cell r="S1595">
            <v>0</v>
          </cell>
          <cell r="T1595">
            <v>0</v>
          </cell>
          <cell r="U1595" t="e">
            <v>#N/A</v>
          </cell>
        </row>
        <row r="1596">
          <cell r="A1596">
            <v>1001590</v>
          </cell>
          <cell r="B1596" t="str">
            <v>Pinza de Punta Plana</v>
          </cell>
          <cell r="D1596">
            <v>5501</v>
          </cell>
          <cell r="E1596">
            <v>1000</v>
          </cell>
          <cell r="F1596" t="str">
            <v>ZALM</v>
          </cell>
          <cell r="G1596" t="str">
            <v>UN</v>
          </cell>
          <cell r="H1596" t="str">
            <v>DOP</v>
          </cell>
          <cell r="I1596">
            <v>0</v>
          </cell>
          <cell r="J1596">
            <v>0</v>
          </cell>
          <cell r="K1596">
            <v>0</v>
          </cell>
          <cell r="L1596">
            <v>0</v>
          </cell>
          <cell r="M1596">
            <v>0</v>
          </cell>
          <cell r="N1596">
            <v>0</v>
          </cell>
          <cell r="O1596">
            <v>0</v>
          </cell>
          <cell r="P1596">
            <v>0</v>
          </cell>
          <cell r="Q1596">
            <v>0</v>
          </cell>
          <cell r="R1596">
            <v>0</v>
          </cell>
          <cell r="S1596">
            <v>0</v>
          </cell>
          <cell r="T1596">
            <v>0</v>
          </cell>
          <cell r="U1596" t="e">
            <v>#N/A</v>
          </cell>
        </row>
        <row r="1597">
          <cell r="A1597">
            <v>1001591</v>
          </cell>
          <cell r="B1597" t="str">
            <v>Pinza P/ Manguito Preaislado</v>
          </cell>
          <cell r="D1597">
            <v>5501</v>
          </cell>
          <cell r="E1597">
            <v>1000</v>
          </cell>
          <cell r="F1597" t="str">
            <v>ZALM</v>
          </cell>
          <cell r="G1597" t="str">
            <v>UN</v>
          </cell>
          <cell r="H1597" t="str">
            <v>DOP</v>
          </cell>
          <cell r="I1597">
            <v>0</v>
          </cell>
          <cell r="J1597">
            <v>0</v>
          </cell>
          <cell r="K1597">
            <v>0</v>
          </cell>
          <cell r="L1597">
            <v>0</v>
          </cell>
          <cell r="M1597">
            <v>0</v>
          </cell>
          <cell r="N1597">
            <v>0</v>
          </cell>
          <cell r="O1597">
            <v>0</v>
          </cell>
          <cell r="P1597">
            <v>0</v>
          </cell>
          <cell r="Q1597">
            <v>0</v>
          </cell>
          <cell r="R1597">
            <v>0</v>
          </cell>
          <cell r="S1597">
            <v>0</v>
          </cell>
          <cell r="T1597">
            <v>0</v>
          </cell>
          <cell r="U1597" t="e">
            <v>#N/A</v>
          </cell>
        </row>
        <row r="1598">
          <cell r="A1598">
            <v>1001592</v>
          </cell>
          <cell r="B1598" t="str">
            <v>Pinza P/ Sujetar Molde Clamp Holder</v>
          </cell>
          <cell r="D1598">
            <v>5501</v>
          </cell>
          <cell r="E1598">
            <v>1000</v>
          </cell>
          <cell r="F1598" t="str">
            <v>ZALM</v>
          </cell>
          <cell r="G1598" t="str">
            <v>UN</v>
          </cell>
          <cell r="H1598" t="str">
            <v>DOP</v>
          </cell>
          <cell r="I1598">
            <v>36</v>
          </cell>
          <cell r="J1598">
            <v>31998.240000000002</v>
          </cell>
          <cell r="K1598">
            <v>0</v>
          </cell>
          <cell r="L1598">
            <v>0</v>
          </cell>
          <cell r="M1598">
            <v>0</v>
          </cell>
          <cell r="N1598">
            <v>0</v>
          </cell>
          <cell r="O1598">
            <v>0</v>
          </cell>
          <cell r="P1598">
            <v>0</v>
          </cell>
          <cell r="Q1598">
            <v>1</v>
          </cell>
          <cell r="R1598">
            <v>888.84</v>
          </cell>
          <cell r="S1598">
            <v>37</v>
          </cell>
          <cell r="T1598">
            <v>32887.08</v>
          </cell>
          <cell r="U1598">
            <v>888.84</v>
          </cell>
        </row>
        <row r="1599">
          <cell r="A1599">
            <v>1001593</v>
          </cell>
          <cell r="B1599" t="str">
            <v>Pinza para Pelar Cable</v>
          </cell>
          <cell r="D1599">
            <v>7201</v>
          </cell>
          <cell r="E1599">
            <v>1000</v>
          </cell>
          <cell r="F1599" t="str">
            <v>ZALM</v>
          </cell>
          <cell r="G1599" t="str">
            <v>UN</v>
          </cell>
          <cell r="H1599" t="str">
            <v>DOP</v>
          </cell>
          <cell r="I1599">
            <v>1</v>
          </cell>
          <cell r="J1599">
            <v>136.88</v>
          </cell>
          <cell r="K1599">
            <v>0</v>
          </cell>
          <cell r="L1599">
            <v>0</v>
          </cell>
          <cell r="M1599">
            <v>0</v>
          </cell>
          <cell r="N1599">
            <v>0</v>
          </cell>
          <cell r="O1599">
            <v>0</v>
          </cell>
          <cell r="P1599">
            <v>0</v>
          </cell>
          <cell r="Q1599">
            <v>0</v>
          </cell>
          <cell r="R1599">
            <v>0</v>
          </cell>
          <cell r="S1599">
            <v>1</v>
          </cell>
          <cell r="T1599">
            <v>136.88</v>
          </cell>
          <cell r="U1599">
            <v>136.88</v>
          </cell>
        </row>
        <row r="1600">
          <cell r="A1600">
            <v>1001594</v>
          </cell>
          <cell r="B1600" t="str">
            <v>Pinza Pico de Loro 10" Aisl 1000V</v>
          </cell>
          <cell r="D1600">
            <v>7201</v>
          </cell>
          <cell r="E1600">
            <v>1000</v>
          </cell>
          <cell r="F1600" t="str">
            <v>ZALM</v>
          </cell>
          <cell r="G1600" t="str">
            <v>UN</v>
          </cell>
          <cell r="H1600" t="str">
            <v>DOP</v>
          </cell>
          <cell r="I1600">
            <v>0</v>
          </cell>
          <cell r="J1600">
            <v>0</v>
          </cell>
          <cell r="K1600">
            <v>0</v>
          </cell>
          <cell r="L1600">
            <v>0</v>
          </cell>
          <cell r="M1600">
            <v>0</v>
          </cell>
          <cell r="N1600">
            <v>0</v>
          </cell>
          <cell r="O1600">
            <v>0</v>
          </cell>
          <cell r="P1600">
            <v>0</v>
          </cell>
          <cell r="Q1600">
            <v>0</v>
          </cell>
          <cell r="R1600">
            <v>0</v>
          </cell>
          <cell r="S1600">
            <v>0</v>
          </cell>
          <cell r="T1600">
            <v>0</v>
          </cell>
          <cell r="U1600" t="e">
            <v>#N/A</v>
          </cell>
        </row>
        <row r="1601">
          <cell r="A1601">
            <v>1001595</v>
          </cell>
          <cell r="B1601" t="str">
            <v>Pinza Punta Media Caña Aisl 1000V</v>
          </cell>
          <cell r="D1601">
            <v>5501</v>
          </cell>
          <cell r="E1601">
            <v>1000</v>
          </cell>
          <cell r="F1601" t="str">
            <v>ZALM</v>
          </cell>
          <cell r="G1601" t="str">
            <v>UN</v>
          </cell>
          <cell r="H1601" t="str">
            <v>DOP</v>
          </cell>
          <cell r="I1601">
            <v>0</v>
          </cell>
          <cell r="J1601">
            <v>0</v>
          </cell>
          <cell r="K1601">
            <v>0</v>
          </cell>
          <cell r="L1601">
            <v>0</v>
          </cell>
          <cell r="M1601">
            <v>0</v>
          </cell>
          <cell r="N1601">
            <v>0</v>
          </cell>
          <cell r="O1601">
            <v>0</v>
          </cell>
          <cell r="P1601">
            <v>0</v>
          </cell>
          <cell r="Q1601">
            <v>0</v>
          </cell>
          <cell r="R1601">
            <v>0</v>
          </cell>
          <cell r="S1601">
            <v>0</v>
          </cell>
          <cell r="T1601">
            <v>0</v>
          </cell>
          <cell r="U1601" t="e">
            <v>#N/A</v>
          </cell>
        </row>
        <row r="1602">
          <cell r="A1602">
            <v>1001596</v>
          </cell>
          <cell r="B1602" t="str">
            <v>Pinza Tiracables Mod. JP</v>
          </cell>
          <cell r="D1602">
            <v>5501</v>
          </cell>
          <cell r="E1602">
            <v>1000</v>
          </cell>
          <cell r="F1602" t="str">
            <v>ZALM</v>
          </cell>
          <cell r="G1602" t="str">
            <v>UN</v>
          </cell>
          <cell r="H1602" t="str">
            <v>DOP</v>
          </cell>
          <cell r="I1602">
            <v>0</v>
          </cell>
          <cell r="J1602">
            <v>0</v>
          </cell>
          <cell r="K1602">
            <v>0</v>
          </cell>
          <cell r="L1602">
            <v>0</v>
          </cell>
          <cell r="M1602">
            <v>0</v>
          </cell>
          <cell r="N1602">
            <v>0</v>
          </cell>
          <cell r="O1602">
            <v>0</v>
          </cell>
          <cell r="P1602">
            <v>0</v>
          </cell>
          <cell r="Q1602">
            <v>0</v>
          </cell>
          <cell r="R1602">
            <v>0</v>
          </cell>
          <cell r="S1602">
            <v>0</v>
          </cell>
          <cell r="T1602">
            <v>0</v>
          </cell>
          <cell r="U1602" t="e">
            <v>#N/A</v>
          </cell>
        </row>
        <row r="1603">
          <cell r="A1603">
            <v>1001597</v>
          </cell>
          <cell r="B1603" t="str">
            <v>Rana 1/0</v>
          </cell>
          <cell r="D1603">
            <v>7201</v>
          </cell>
          <cell r="E1603">
            <v>1000</v>
          </cell>
          <cell r="F1603" t="str">
            <v>ZALM</v>
          </cell>
          <cell r="G1603" t="str">
            <v>UN</v>
          </cell>
          <cell r="H1603" t="str">
            <v>DOP</v>
          </cell>
          <cell r="I1603">
            <v>0</v>
          </cell>
          <cell r="J1603">
            <v>0</v>
          </cell>
          <cell r="K1603">
            <v>0</v>
          </cell>
          <cell r="L1603">
            <v>0</v>
          </cell>
          <cell r="M1603">
            <v>0</v>
          </cell>
          <cell r="N1603">
            <v>0</v>
          </cell>
          <cell r="O1603">
            <v>0</v>
          </cell>
          <cell r="P1603">
            <v>0</v>
          </cell>
          <cell r="Q1603">
            <v>0</v>
          </cell>
          <cell r="R1603">
            <v>0</v>
          </cell>
          <cell r="S1603">
            <v>0</v>
          </cell>
          <cell r="T1603">
            <v>0</v>
          </cell>
          <cell r="U1603" t="e">
            <v>#N/A</v>
          </cell>
        </row>
        <row r="1604">
          <cell r="A1604">
            <v>1001598</v>
          </cell>
          <cell r="B1604" t="str">
            <v>Rana 3/0</v>
          </cell>
          <cell r="D1604">
            <v>7201</v>
          </cell>
          <cell r="E1604">
            <v>1000</v>
          </cell>
          <cell r="F1604" t="str">
            <v>ZALM</v>
          </cell>
          <cell r="G1604" t="str">
            <v>UN</v>
          </cell>
          <cell r="H1604" t="str">
            <v>DOP</v>
          </cell>
          <cell r="I1604">
            <v>3</v>
          </cell>
          <cell r="J1604">
            <v>29527.8</v>
          </cell>
          <cell r="K1604">
            <v>0</v>
          </cell>
          <cell r="L1604">
            <v>0</v>
          </cell>
          <cell r="M1604">
            <v>0</v>
          </cell>
          <cell r="N1604">
            <v>0</v>
          </cell>
          <cell r="O1604">
            <v>0</v>
          </cell>
          <cell r="P1604">
            <v>0</v>
          </cell>
          <cell r="Q1604">
            <v>0</v>
          </cell>
          <cell r="R1604">
            <v>0</v>
          </cell>
          <cell r="S1604">
            <v>3</v>
          </cell>
          <cell r="T1604">
            <v>29527.8</v>
          </cell>
          <cell r="U1604">
            <v>9842.6</v>
          </cell>
        </row>
        <row r="1605">
          <cell r="A1605">
            <v>1001599</v>
          </cell>
          <cell r="B1605" t="str">
            <v>Rana 4/0</v>
          </cell>
          <cell r="D1605">
            <v>7201</v>
          </cell>
          <cell r="E1605">
            <v>1000</v>
          </cell>
          <cell r="F1605" t="str">
            <v>ZALM</v>
          </cell>
          <cell r="G1605" t="str">
            <v>UN</v>
          </cell>
          <cell r="H1605" t="str">
            <v>DOP</v>
          </cell>
          <cell r="I1605">
            <v>0</v>
          </cell>
          <cell r="J1605">
            <v>0</v>
          </cell>
          <cell r="K1605">
            <v>0</v>
          </cell>
          <cell r="L1605">
            <v>0</v>
          </cell>
          <cell r="M1605">
            <v>0</v>
          </cell>
          <cell r="N1605">
            <v>0</v>
          </cell>
          <cell r="O1605">
            <v>0</v>
          </cell>
          <cell r="P1605">
            <v>0</v>
          </cell>
          <cell r="Q1605">
            <v>0</v>
          </cell>
          <cell r="R1605">
            <v>0</v>
          </cell>
          <cell r="S1605">
            <v>0</v>
          </cell>
          <cell r="T1605">
            <v>0</v>
          </cell>
          <cell r="U1605" t="e">
            <v>#N/A</v>
          </cell>
        </row>
        <row r="1606">
          <cell r="A1606">
            <v>1001600</v>
          </cell>
          <cell r="B1606" t="str">
            <v>Rana 477</v>
          </cell>
          <cell r="D1606">
            <v>7201</v>
          </cell>
          <cell r="E1606">
            <v>1000</v>
          </cell>
          <cell r="F1606" t="str">
            <v>ZALM</v>
          </cell>
          <cell r="G1606" t="str">
            <v>UN</v>
          </cell>
          <cell r="H1606" t="str">
            <v>DOP</v>
          </cell>
          <cell r="I1606">
            <v>22</v>
          </cell>
          <cell r="J1606">
            <v>283272</v>
          </cell>
          <cell r="K1606">
            <v>0</v>
          </cell>
          <cell r="L1606">
            <v>0</v>
          </cell>
          <cell r="M1606">
            <v>0</v>
          </cell>
          <cell r="N1606">
            <v>0</v>
          </cell>
          <cell r="O1606">
            <v>0</v>
          </cell>
          <cell r="P1606">
            <v>0</v>
          </cell>
          <cell r="Q1606">
            <v>0</v>
          </cell>
          <cell r="R1606">
            <v>0</v>
          </cell>
          <cell r="S1606">
            <v>22</v>
          </cell>
          <cell r="T1606">
            <v>283272</v>
          </cell>
          <cell r="U1606">
            <v>12876</v>
          </cell>
        </row>
        <row r="1607">
          <cell r="A1607">
            <v>1001601</v>
          </cell>
          <cell r="B1607" t="str">
            <v>Repuesto P/ Polea RCP/RP Plástica</v>
          </cell>
          <cell r="D1607">
            <v>5501</v>
          </cell>
          <cell r="E1607">
            <v>1000</v>
          </cell>
          <cell r="F1607" t="str">
            <v>ZALM</v>
          </cell>
          <cell r="G1607" t="str">
            <v>UN</v>
          </cell>
          <cell r="H1607" t="str">
            <v>DOP</v>
          </cell>
          <cell r="I1607">
            <v>16</v>
          </cell>
          <cell r="J1607">
            <v>2146.4</v>
          </cell>
          <cell r="K1607">
            <v>0</v>
          </cell>
          <cell r="L1607">
            <v>0</v>
          </cell>
          <cell r="M1607">
            <v>0</v>
          </cell>
          <cell r="N1607">
            <v>0</v>
          </cell>
          <cell r="O1607">
            <v>0</v>
          </cell>
          <cell r="P1607">
            <v>0</v>
          </cell>
          <cell r="Q1607">
            <v>0</v>
          </cell>
          <cell r="R1607">
            <v>0</v>
          </cell>
          <cell r="S1607">
            <v>16</v>
          </cell>
          <cell r="T1607">
            <v>2146.4</v>
          </cell>
          <cell r="U1607">
            <v>134.15</v>
          </cell>
        </row>
        <row r="1608">
          <cell r="A1608">
            <v>1001602</v>
          </cell>
          <cell r="B1608" t="str">
            <v>Riel OMEGA XIM</v>
          </cell>
          <cell r="D1608">
            <v>5501</v>
          </cell>
          <cell r="E1608">
            <v>1000</v>
          </cell>
          <cell r="F1608" t="str">
            <v>ZALM</v>
          </cell>
          <cell r="G1608" t="str">
            <v>UN</v>
          </cell>
          <cell r="H1608" t="str">
            <v>DOP</v>
          </cell>
          <cell r="I1608">
            <v>0</v>
          </cell>
          <cell r="J1608">
            <v>0</v>
          </cell>
          <cell r="K1608">
            <v>0</v>
          </cell>
          <cell r="L1608">
            <v>0</v>
          </cell>
          <cell r="M1608">
            <v>0</v>
          </cell>
          <cell r="N1608">
            <v>0</v>
          </cell>
          <cell r="O1608">
            <v>0</v>
          </cell>
          <cell r="P1608">
            <v>0</v>
          </cell>
          <cell r="Q1608">
            <v>0</v>
          </cell>
          <cell r="R1608">
            <v>0</v>
          </cell>
          <cell r="S1608">
            <v>0</v>
          </cell>
          <cell r="T1608">
            <v>0</v>
          </cell>
          <cell r="U1608" t="e">
            <v>#N/A</v>
          </cell>
        </row>
        <row r="1609">
          <cell r="A1609">
            <v>1001603</v>
          </cell>
          <cell r="B1609" t="str">
            <v>Riel Para Montura 1 Metro CAMSCO</v>
          </cell>
          <cell r="D1609">
            <v>5501</v>
          </cell>
          <cell r="E1609">
            <v>1000</v>
          </cell>
          <cell r="F1609" t="str">
            <v>ZALM</v>
          </cell>
          <cell r="G1609" t="str">
            <v>UN</v>
          </cell>
          <cell r="H1609" t="str">
            <v>DOP</v>
          </cell>
          <cell r="I1609">
            <v>0</v>
          </cell>
          <cell r="J1609">
            <v>0</v>
          </cell>
          <cell r="K1609">
            <v>0</v>
          </cell>
          <cell r="L1609">
            <v>0</v>
          </cell>
          <cell r="M1609">
            <v>0</v>
          </cell>
          <cell r="N1609">
            <v>0</v>
          </cell>
          <cell r="O1609">
            <v>0</v>
          </cell>
          <cell r="P1609">
            <v>0</v>
          </cell>
          <cell r="Q1609">
            <v>0</v>
          </cell>
          <cell r="R1609">
            <v>0</v>
          </cell>
          <cell r="S1609">
            <v>0</v>
          </cell>
          <cell r="T1609">
            <v>0</v>
          </cell>
          <cell r="U1609" t="e">
            <v>#N/A</v>
          </cell>
        </row>
        <row r="1610">
          <cell r="A1610">
            <v>1001604</v>
          </cell>
          <cell r="B1610" t="str">
            <v>Saco de Lona P/ Guante Cat 4T498 (14)</v>
          </cell>
          <cell r="D1610">
            <v>5501</v>
          </cell>
          <cell r="E1610">
            <v>1000</v>
          </cell>
          <cell r="F1610" t="str">
            <v>ZALM</v>
          </cell>
          <cell r="G1610" t="str">
            <v>UN</v>
          </cell>
          <cell r="H1610" t="str">
            <v>DOP</v>
          </cell>
          <cell r="I1610">
            <v>0</v>
          </cell>
          <cell r="J1610">
            <v>0</v>
          </cell>
          <cell r="K1610">
            <v>0</v>
          </cell>
          <cell r="L1610">
            <v>0</v>
          </cell>
          <cell r="M1610">
            <v>0</v>
          </cell>
          <cell r="N1610">
            <v>0</v>
          </cell>
          <cell r="O1610">
            <v>0</v>
          </cell>
          <cell r="P1610">
            <v>0</v>
          </cell>
          <cell r="Q1610">
            <v>0</v>
          </cell>
          <cell r="R1610">
            <v>0</v>
          </cell>
          <cell r="S1610">
            <v>0</v>
          </cell>
          <cell r="T1610">
            <v>0</v>
          </cell>
          <cell r="U1610" t="e">
            <v>#N/A</v>
          </cell>
        </row>
        <row r="1611">
          <cell r="A1611">
            <v>1001605</v>
          </cell>
          <cell r="B1611" t="str">
            <v>Saco P/ Guardar 2 Mangos T/ Universal</v>
          </cell>
          <cell r="D1611">
            <v>5501</v>
          </cell>
          <cell r="E1611">
            <v>1000</v>
          </cell>
          <cell r="F1611" t="str">
            <v>ZALM</v>
          </cell>
          <cell r="G1611" t="str">
            <v>UN</v>
          </cell>
          <cell r="H1611" t="str">
            <v>DOP</v>
          </cell>
          <cell r="I1611">
            <v>0</v>
          </cell>
          <cell r="J1611">
            <v>0</v>
          </cell>
          <cell r="K1611">
            <v>0</v>
          </cell>
          <cell r="L1611">
            <v>0</v>
          </cell>
          <cell r="M1611">
            <v>0</v>
          </cell>
          <cell r="N1611">
            <v>0</v>
          </cell>
          <cell r="O1611">
            <v>0</v>
          </cell>
          <cell r="P1611">
            <v>0</v>
          </cell>
          <cell r="Q1611">
            <v>0</v>
          </cell>
          <cell r="R1611">
            <v>0</v>
          </cell>
          <cell r="S1611">
            <v>0</v>
          </cell>
          <cell r="T1611">
            <v>0</v>
          </cell>
          <cell r="U1611" t="e">
            <v>#N/A</v>
          </cell>
        </row>
        <row r="1612">
          <cell r="A1612">
            <v>1001606</v>
          </cell>
          <cell r="B1612" t="str">
            <v>Sección No.2 P/ Vara Telescópica 35'</v>
          </cell>
          <cell r="D1612">
            <v>7201</v>
          </cell>
          <cell r="E1612">
            <v>1000</v>
          </cell>
          <cell r="F1612" t="str">
            <v>ZALM</v>
          </cell>
          <cell r="G1612" t="str">
            <v>UN</v>
          </cell>
          <cell r="H1612" t="str">
            <v>DOP</v>
          </cell>
          <cell r="I1612">
            <v>10</v>
          </cell>
          <cell r="J1612">
            <v>25368.48</v>
          </cell>
          <cell r="K1612">
            <v>0</v>
          </cell>
          <cell r="L1612">
            <v>0</v>
          </cell>
          <cell r="M1612">
            <v>0</v>
          </cell>
          <cell r="N1612">
            <v>0</v>
          </cell>
          <cell r="O1612">
            <v>0</v>
          </cell>
          <cell r="P1612">
            <v>0</v>
          </cell>
          <cell r="Q1612">
            <v>0</v>
          </cell>
          <cell r="R1612">
            <v>0</v>
          </cell>
          <cell r="S1612">
            <v>10</v>
          </cell>
          <cell r="T1612">
            <v>25368.48</v>
          </cell>
          <cell r="U1612">
            <v>2536.848</v>
          </cell>
        </row>
        <row r="1613">
          <cell r="A1613">
            <v>1001607</v>
          </cell>
          <cell r="B1613" t="str">
            <v>Sección No.3 P/ Vara Telescópica 35'</v>
          </cell>
          <cell r="D1613">
            <v>7201</v>
          </cell>
          <cell r="E1613">
            <v>1000</v>
          </cell>
          <cell r="F1613" t="str">
            <v>ZALM</v>
          </cell>
          <cell r="G1613" t="str">
            <v>UN</v>
          </cell>
          <cell r="H1613" t="str">
            <v>DOP</v>
          </cell>
          <cell r="I1613">
            <v>10</v>
          </cell>
          <cell r="J1613">
            <v>29393.86</v>
          </cell>
          <cell r="K1613">
            <v>0</v>
          </cell>
          <cell r="L1613">
            <v>0</v>
          </cell>
          <cell r="M1613">
            <v>0</v>
          </cell>
          <cell r="N1613">
            <v>0</v>
          </cell>
          <cell r="O1613">
            <v>0</v>
          </cell>
          <cell r="P1613">
            <v>0</v>
          </cell>
          <cell r="Q1613">
            <v>0</v>
          </cell>
          <cell r="R1613">
            <v>0</v>
          </cell>
          <cell r="S1613">
            <v>10</v>
          </cell>
          <cell r="T1613">
            <v>29393.86</v>
          </cell>
          <cell r="U1613">
            <v>2939.386</v>
          </cell>
        </row>
        <row r="1614">
          <cell r="A1614">
            <v>1001608</v>
          </cell>
          <cell r="B1614" t="str">
            <v>Sección Punta P/ Vara Telescópica 40'</v>
          </cell>
          <cell r="D1614">
            <v>5501</v>
          </cell>
          <cell r="E1614">
            <v>1000</v>
          </cell>
          <cell r="F1614" t="str">
            <v>ZALM</v>
          </cell>
          <cell r="G1614" t="str">
            <v>UN</v>
          </cell>
          <cell r="H1614" t="str">
            <v>DOP</v>
          </cell>
          <cell r="I1614">
            <v>0</v>
          </cell>
          <cell r="J1614">
            <v>0</v>
          </cell>
          <cell r="K1614">
            <v>0</v>
          </cell>
          <cell r="L1614">
            <v>0</v>
          </cell>
          <cell r="M1614">
            <v>0</v>
          </cell>
          <cell r="N1614">
            <v>0</v>
          </cell>
          <cell r="O1614">
            <v>0</v>
          </cell>
          <cell r="P1614">
            <v>0</v>
          </cell>
          <cell r="Q1614">
            <v>0</v>
          </cell>
          <cell r="R1614">
            <v>0</v>
          </cell>
          <cell r="S1614">
            <v>0</v>
          </cell>
          <cell r="T1614">
            <v>0</v>
          </cell>
          <cell r="U1614" t="e">
            <v>#N/A</v>
          </cell>
        </row>
        <row r="1615">
          <cell r="A1615">
            <v>1001609</v>
          </cell>
          <cell r="B1615" t="str">
            <v>Sellador Tolpedo P/ Sello Pb</v>
          </cell>
          <cell r="D1615">
            <v>5501</v>
          </cell>
          <cell r="E1615">
            <v>1000</v>
          </cell>
          <cell r="F1615" t="str">
            <v>ZALM</v>
          </cell>
          <cell r="G1615" t="str">
            <v>UN</v>
          </cell>
          <cell r="H1615" t="str">
            <v>DOP</v>
          </cell>
          <cell r="I1615">
            <v>48</v>
          </cell>
          <cell r="J1615">
            <v>16800</v>
          </cell>
          <cell r="K1615">
            <v>0</v>
          </cell>
          <cell r="L1615">
            <v>0</v>
          </cell>
          <cell r="M1615">
            <v>0</v>
          </cell>
          <cell r="N1615">
            <v>0</v>
          </cell>
          <cell r="O1615">
            <v>0</v>
          </cell>
          <cell r="P1615">
            <v>0</v>
          </cell>
          <cell r="Q1615">
            <v>0</v>
          </cell>
          <cell r="R1615">
            <v>0</v>
          </cell>
          <cell r="S1615">
            <v>48</v>
          </cell>
          <cell r="T1615">
            <v>16800</v>
          </cell>
          <cell r="U1615">
            <v>350</v>
          </cell>
        </row>
        <row r="1616">
          <cell r="A1616">
            <v>1001610</v>
          </cell>
          <cell r="B1616" t="str">
            <v>Separador de Face LAP DSFP</v>
          </cell>
          <cell r="D1616">
            <v>5501</v>
          </cell>
          <cell r="E1616">
            <v>1000</v>
          </cell>
          <cell r="F1616" t="str">
            <v>ZALM</v>
          </cell>
          <cell r="G1616" t="str">
            <v>UN</v>
          </cell>
          <cell r="H1616" t="str">
            <v>DOP</v>
          </cell>
          <cell r="I1616">
            <v>0</v>
          </cell>
          <cell r="J1616">
            <v>0</v>
          </cell>
          <cell r="K1616">
            <v>0</v>
          </cell>
          <cell r="L1616">
            <v>0</v>
          </cell>
          <cell r="M1616">
            <v>0</v>
          </cell>
          <cell r="N1616">
            <v>0</v>
          </cell>
          <cell r="O1616">
            <v>0</v>
          </cell>
          <cell r="P1616">
            <v>0</v>
          </cell>
          <cell r="Q1616">
            <v>0</v>
          </cell>
          <cell r="R1616">
            <v>0</v>
          </cell>
          <cell r="S1616">
            <v>0</v>
          </cell>
          <cell r="T1616">
            <v>0</v>
          </cell>
          <cell r="U1616" t="e">
            <v>#N/A</v>
          </cell>
        </row>
        <row r="1617">
          <cell r="A1617">
            <v>1001611</v>
          </cell>
          <cell r="B1617" t="str">
            <v>Serrucho Podador (Pruning Sew) M-4455-26</v>
          </cell>
          <cell r="D1617">
            <v>5501</v>
          </cell>
          <cell r="E1617">
            <v>1000</v>
          </cell>
          <cell r="F1617" t="str">
            <v>ZALM</v>
          </cell>
          <cell r="G1617" t="str">
            <v>UN</v>
          </cell>
          <cell r="H1617" t="str">
            <v>DOP</v>
          </cell>
          <cell r="I1617">
            <v>0</v>
          </cell>
          <cell r="J1617">
            <v>0</v>
          </cell>
          <cell r="K1617">
            <v>0</v>
          </cell>
          <cell r="L1617">
            <v>0</v>
          </cell>
          <cell r="M1617">
            <v>0</v>
          </cell>
          <cell r="N1617">
            <v>0</v>
          </cell>
          <cell r="O1617">
            <v>0</v>
          </cell>
          <cell r="P1617">
            <v>0</v>
          </cell>
          <cell r="Q1617">
            <v>0</v>
          </cell>
          <cell r="R1617">
            <v>0</v>
          </cell>
          <cell r="S1617">
            <v>0</v>
          </cell>
          <cell r="T1617">
            <v>0</v>
          </cell>
          <cell r="U1617" t="e">
            <v>#N/A</v>
          </cell>
        </row>
        <row r="1618">
          <cell r="A1618">
            <v>1001612</v>
          </cell>
          <cell r="B1618" t="str">
            <v>Silicon C/ Pistola</v>
          </cell>
          <cell r="D1618">
            <v>5501</v>
          </cell>
          <cell r="E1618">
            <v>1000</v>
          </cell>
          <cell r="F1618" t="str">
            <v>ZALM</v>
          </cell>
          <cell r="G1618" t="str">
            <v>UN</v>
          </cell>
          <cell r="H1618" t="str">
            <v>DOP</v>
          </cell>
          <cell r="I1618">
            <v>0</v>
          </cell>
          <cell r="J1618">
            <v>0</v>
          </cell>
          <cell r="K1618">
            <v>0</v>
          </cell>
          <cell r="L1618">
            <v>0</v>
          </cell>
          <cell r="M1618">
            <v>0</v>
          </cell>
          <cell r="N1618">
            <v>0</v>
          </cell>
          <cell r="O1618">
            <v>0</v>
          </cell>
          <cell r="P1618">
            <v>0</v>
          </cell>
          <cell r="Q1618">
            <v>0</v>
          </cell>
          <cell r="R1618">
            <v>0</v>
          </cell>
          <cell r="S1618">
            <v>0</v>
          </cell>
          <cell r="T1618">
            <v>0</v>
          </cell>
          <cell r="U1618" t="e">
            <v>#N/A</v>
          </cell>
        </row>
        <row r="1619">
          <cell r="A1619">
            <v>1001613</v>
          </cell>
          <cell r="B1619" t="str">
            <v>Silleta C/ Abrazadera 1 1/2" de 38mm</v>
          </cell>
          <cell r="D1619">
            <v>5501</v>
          </cell>
          <cell r="E1619">
            <v>1000</v>
          </cell>
          <cell r="F1619" t="str">
            <v>ZALM</v>
          </cell>
          <cell r="G1619" t="str">
            <v>UN</v>
          </cell>
          <cell r="H1619" t="str">
            <v>DOP</v>
          </cell>
          <cell r="I1619">
            <v>0</v>
          </cell>
          <cell r="J1619">
            <v>0</v>
          </cell>
          <cell r="K1619">
            <v>0</v>
          </cell>
          <cell r="L1619">
            <v>0</v>
          </cell>
          <cell r="M1619">
            <v>0</v>
          </cell>
          <cell r="N1619">
            <v>0</v>
          </cell>
          <cell r="O1619">
            <v>0</v>
          </cell>
          <cell r="P1619">
            <v>0</v>
          </cell>
          <cell r="Q1619">
            <v>0</v>
          </cell>
          <cell r="R1619">
            <v>0</v>
          </cell>
          <cell r="S1619">
            <v>0</v>
          </cell>
          <cell r="T1619">
            <v>0</v>
          </cell>
          <cell r="U1619" t="e">
            <v>#N/A</v>
          </cell>
        </row>
        <row r="1620">
          <cell r="A1620">
            <v>1001614</v>
          </cell>
          <cell r="B1620" t="str">
            <v>Silleta C/ Abrazadera 2 1/2" de 63mm</v>
          </cell>
          <cell r="D1620">
            <v>5501</v>
          </cell>
          <cell r="E1620">
            <v>1000</v>
          </cell>
          <cell r="F1620" t="str">
            <v>ZALM</v>
          </cell>
          <cell r="G1620" t="str">
            <v>UN</v>
          </cell>
          <cell r="H1620" t="str">
            <v>DOP</v>
          </cell>
          <cell r="I1620">
            <v>0</v>
          </cell>
          <cell r="J1620">
            <v>0</v>
          </cell>
          <cell r="K1620">
            <v>0</v>
          </cell>
          <cell r="L1620">
            <v>0</v>
          </cell>
          <cell r="M1620">
            <v>0</v>
          </cell>
          <cell r="N1620">
            <v>0</v>
          </cell>
          <cell r="O1620">
            <v>0</v>
          </cell>
          <cell r="P1620">
            <v>0</v>
          </cell>
          <cell r="Q1620">
            <v>0</v>
          </cell>
          <cell r="R1620">
            <v>0</v>
          </cell>
          <cell r="S1620">
            <v>0</v>
          </cell>
          <cell r="T1620">
            <v>0</v>
          </cell>
          <cell r="U1620" t="e">
            <v>#N/A</v>
          </cell>
        </row>
        <row r="1621">
          <cell r="A1621">
            <v>1001615</v>
          </cell>
          <cell r="B1621" t="str">
            <v>Silleta de Anillos y Cadena</v>
          </cell>
          <cell r="D1621">
            <v>5501</v>
          </cell>
          <cell r="E1621">
            <v>1000</v>
          </cell>
          <cell r="F1621" t="str">
            <v>ZALM</v>
          </cell>
          <cell r="G1621" t="str">
            <v>UN</v>
          </cell>
          <cell r="H1621" t="str">
            <v>DOP</v>
          </cell>
          <cell r="I1621">
            <v>0</v>
          </cell>
          <cell r="J1621">
            <v>0</v>
          </cell>
          <cell r="K1621">
            <v>0</v>
          </cell>
          <cell r="L1621">
            <v>0</v>
          </cell>
          <cell r="M1621">
            <v>0</v>
          </cell>
          <cell r="N1621">
            <v>0</v>
          </cell>
          <cell r="O1621">
            <v>0</v>
          </cell>
          <cell r="P1621">
            <v>0</v>
          </cell>
          <cell r="Q1621">
            <v>0</v>
          </cell>
          <cell r="R1621">
            <v>0</v>
          </cell>
          <cell r="S1621">
            <v>0</v>
          </cell>
          <cell r="T1621">
            <v>0</v>
          </cell>
          <cell r="U1621" t="e">
            <v>#N/A</v>
          </cell>
        </row>
        <row r="1622">
          <cell r="A1622">
            <v>1001616</v>
          </cell>
          <cell r="B1622" t="str">
            <v>Silleta de Ojales M-1846W</v>
          </cell>
          <cell r="D1622">
            <v>5501</v>
          </cell>
          <cell r="E1622">
            <v>1000</v>
          </cell>
          <cell r="F1622" t="str">
            <v>ZALM</v>
          </cell>
          <cell r="G1622" t="str">
            <v>UN</v>
          </cell>
          <cell r="H1622" t="str">
            <v>DOP</v>
          </cell>
          <cell r="I1622">
            <v>0</v>
          </cell>
          <cell r="J1622">
            <v>0</v>
          </cell>
          <cell r="K1622">
            <v>0</v>
          </cell>
          <cell r="L1622">
            <v>0</v>
          </cell>
          <cell r="M1622">
            <v>0</v>
          </cell>
          <cell r="N1622">
            <v>0</v>
          </cell>
          <cell r="O1622">
            <v>0</v>
          </cell>
          <cell r="P1622">
            <v>0</v>
          </cell>
          <cell r="Q1622">
            <v>0</v>
          </cell>
          <cell r="R1622">
            <v>0</v>
          </cell>
          <cell r="S1622">
            <v>0</v>
          </cell>
          <cell r="T1622">
            <v>0</v>
          </cell>
          <cell r="U1622" t="e">
            <v>#N/A</v>
          </cell>
        </row>
        <row r="1623">
          <cell r="A1623">
            <v>1001617</v>
          </cell>
          <cell r="B1623" t="str">
            <v>Silleta y Grapa de 2</v>
          </cell>
          <cell r="D1623">
            <v>5501</v>
          </cell>
          <cell r="E1623">
            <v>1000</v>
          </cell>
          <cell r="F1623" t="str">
            <v>ZALM</v>
          </cell>
          <cell r="G1623" t="str">
            <v>UN</v>
          </cell>
          <cell r="H1623" t="str">
            <v>DOP</v>
          </cell>
          <cell r="I1623">
            <v>0</v>
          </cell>
          <cell r="J1623">
            <v>0</v>
          </cell>
          <cell r="K1623">
            <v>0</v>
          </cell>
          <cell r="L1623">
            <v>0</v>
          </cell>
          <cell r="M1623">
            <v>0</v>
          </cell>
          <cell r="N1623">
            <v>0</v>
          </cell>
          <cell r="O1623">
            <v>0</v>
          </cell>
          <cell r="P1623">
            <v>0</v>
          </cell>
          <cell r="Q1623">
            <v>0</v>
          </cell>
          <cell r="R1623">
            <v>0</v>
          </cell>
          <cell r="S1623">
            <v>0</v>
          </cell>
          <cell r="T1623">
            <v>0</v>
          </cell>
          <cell r="U1623" t="e">
            <v>#N/A</v>
          </cell>
        </row>
        <row r="1624">
          <cell r="A1624">
            <v>1001618</v>
          </cell>
          <cell r="B1624" t="str">
            <v>Taladro 1-3/4" 11.5A Roto-Martillo</v>
          </cell>
          <cell r="D1624">
            <v>5501</v>
          </cell>
          <cell r="E1624">
            <v>1000</v>
          </cell>
          <cell r="F1624" t="str">
            <v>ZALM</v>
          </cell>
          <cell r="G1624" t="str">
            <v>UN</v>
          </cell>
          <cell r="H1624" t="str">
            <v>DOP</v>
          </cell>
          <cell r="I1624">
            <v>0</v>
          </cell>
          <cell r="J1624">
            <v>0</v>
          </cell>
          <cell r="K1624">
            <v>0</v>
          </cell>
          <cell r="L1624">
            <v>0</v>
          </cell>
          <cell r="M1624">
            <v>0</v>
          </cell>
          <cell r="N1624">
            <v>0</v>
          </cell>
          <cell r="O1624">
            <v>0</v>
          </cell>
          <cell r="P1624">
            <v>0</v>
          </cell>
          <cell r="Q1624">
            <v>0</v>
          </cell>
          <cell r="R1624">
            <v>0</v>
          </cell>
          <cell r="S1624">
            <v>0</v>
          </cell>
          <cell r="T1624">
            <v>0</v>
          </cell>
          <cell r="U1624" t="e">
            <v>#N/A</v>
          </cell>
        </row>
        <row r="1625">
          <cell r="A1625">
            <v>1001619</v>
          </cell>
          <cell r="B1625" t="str">
            <v>Tapa Inferior Pértiga Telescóp 10.5Mtr</v>
          </cell>
          <cell r="D1625">
            <v>5501</v>
          </cell>
          <cell r="E1625">
            <v>1000</v>
          </cell>
          <cell r="F1625" t="str">
            <v>ZALM</v>
          </cell>
          <cell r="G1625" t="str">
            <v>UN</v>
          </cell>
          <cell r="H1625" t="str">
            <v>DOP</v>
          </cell>
          <cell r="I1625">
            <v>0</v>
          </cell>
          <cell r="J1625">
            <v>0</v>
          </cell>
          <cell r="K1625">
            <v>0</v>
          </cell>
          <cell r="L1625">
            <v>0</v>
          </cell>
          <cell r="M1625">
            <v>0</v>
          </cell>
          <cell r="N1625">
            <v>0</v>
          </cell>
          <cell r="O1625">
            <v>0</v>
          </cell>
          <cell r="P1625">
            <v>0</v>
          </cell>
          <cell r="Q1625">
            <v>0</v>
          </cell>
          <cell r="R1625">
            <v>0</v>
          </cell>
          <cell r="S1625">
            <v>0</v>
          </cell>
          <cell r="T1625">
            <v>0</v>
          </cell>
          <cell r="U1625" t="e">
            <v>#N/A</v>
          </cell>
        </row>
        <row r="1626">
          <cell r="A1626">
            <v>1001620</v>
          </cell>
          <cell r="B1626" t="str">
            <v>Tijera de Corte</v>
          </cell>
          <cell r="D1626">
            <v>5501</v>
          </cell>
          <cell r="E1626">
            <v>1000</v>
          </cell>
          <cell r="F1626" t="str">
            <v>ZALM</v>
          </cell>
          <cell r="G1626" t="str">
            <v>UN</v>
          </cell>
          <cell r="H1626" t="str">
            <v>DOP</v>
          </cell>
          <cell r="I1626">
            <v>0</v>
          </cell>
          <cell r="J1626">
            <v>0</v>
          </cell>
          <cell r="K1626">
            <v>0</v>
          </cell>
          <cell r="L1626">
            <v>0</v>
          </cell>
          <cell r="M1626">
            <v>0</v>
          </cell>
          <cell r="N1626">
            <v>0</v>
          </cell>
          <cell r="O1626">
            <v>0</v>
          </cell>
          <cell r="P1626">
            <v>0</v>
          </cell>
          <cell r="Q1626">
            <v>0</v>
          </cell>
          <cell r="R1626">
            <v>0</v>
          </cell>
          <cell r="S1626">
            <v>0</v>
          </cell>
          <cell r="T1626">
            <v>0</v>
          </cell>
          <cell r="U1626" t="e">
            <v>#N/A</v>
          </cell>
        </row>
        <row r="1627">
          <cell r="A1627">
            <v>1001621</v>
          </cell>
          <cell r="B1627" t="str">
            <v>Vara (Pertica) Soport 2-1/2x12 H-4647-12</v>
          </cell>
          <cell r="D1627">
            <v>5501</v>
          </cell>
          <cell r="E1627">
            <v>1000</v>
          </cell>
          <cell r="F1627" t="str">
            <v>ZALM</v>
          </cell>
          <cell r="G1627" t="str">
            <v>UN</v>
          </cell>
          <cell r="H1627" t="str">
            <v>DOP</v>
          </cell>
          <cell r="I1627">
            <v>0</v>
          </cell>
          <cell r="J1627">
            <v>0</v>
          </cell>
          <cell r="K1627">
            <v>0</v>
          </cell>
          <cell r="L1627">
            <v>0</v>
          </cell>
          <cell r="M1627">
            <v>0</v>
          </cell>
          <cell r="N1627">
            <v>0</v>
          </cell>
          <cell r="O1627">
            <v>0</v>
          </cell>
          <cell r="P1627">
            <v>0</v>
          </cell>
          <cell r="Q1627">
            <v>0</v>
          </cell>
          <cell r="R1627">
            <v>0</v>
          </cell>
          <cell r="S1627">
            <v>0</v>
          </cell>
          <cell r="T1627">
            <v>0</v>
          </cell>
          <cell r="U1627" t="e">
            <v>#N/A</v>
          </cell>
        </row>
        <row r="1628">
          <cell r="A1628">
            <v>1001622</v>
          </cell>
          <cell r="B1628" t="str">
            <v>Vara (Pertica) Soport 2-1/2x14 H-4647-14</v>
          </cell>
          <cell r="D1628">
            <v>5501</v>
          </cell>
          <cell r="E1628">
            <v>1000</v>
          </cell>
          <cell r="F1628" t="str">
            <v>ZALM</v>
          </cell>
          <cell r="G1628" t="str">
            <v>UN</v>
          </cell>
          <cell r="H1628" t="str">
            <v>DOP</v>
          </cell>
          <cell r="I1628">
            <v>0</v>
          </cell>
          <cell r="J1628">
            <v>0</v>
          </cell>
          <cell r="K1628">
            <v>0</v>
          </cell>
          <cell r="L1628">
            <v>0</v>
          </cell>
          <cell r="M1628">
            <v>0</v>
          </cell>
          <cell r="N1628">
            <v>0</v>
          </cell>
          <cell r="O1628">
            <v>0</v>
          </cell>
          <cell r="P1628">
            <v>0</v>
          </cell>
          <cell r="Q1628">
            <v>0</v>
          </cell>
          <cell r="R1628">
            <v>0</v>
          </cell>
          <cell r="S1628">
            <v>0</v>
          </cell>
          <cell r="T1628">
            <v>0</v>
          </cell>
          <cell r="U1628" t="e">
            <v>#N/A</v>
          </cell>
        </row>
        <row r="1629">
          <cell r="A1629">
            <v>1001623</v>
          </cell>
          <cell r="B1629" t="str">
            <v>Vara (Pertica) Soporte 2"x8' H-4647-8</v>
          </cell>
          <cell r="D1629">
            <v>5501</v>
          </cell>
          <cell r="E1629">
            <v>1000</v>
          </cell>
          <cell r="F1629" t="str">
            <v>ZALM</v>
          </cell>
          <cell r="G1629" t="str">
            <v>UN</v>
          </cell>
          <cell r="H1629" t="str">
            <v>DOP</v>
          </cell>
          <cell r="I1629">
            <v>0</v>
          </cell>
          <cell r="J1629">
            <v>0</v>
          </cell>
          <cell r="K1629">
            <v>0</v>
          </cell>
          <cell r="L1629">
            <v>0</v>
          </cell>
          <cell r="M1629">
            <v>0</v>
          </cell>
          <cell r="N1629">
            <v>0</v>
          </cell>
          <cell r="O1629">
            <v>0</v>
          </cell>
          <cell r="P1629">
            <v>0</v>
          </cell>
          <cell r="Q1629">
            <v>0</v>
          </cell>
          <cell r="R1629">
            <v>0</v>
          </cell>
          <cell r="S1629">
            <v>0</v>
          </cell>
          <cell r="T1629">
            <v>0</v>
          </cell>
          <cell r="U1629" t="e">
            <v>#N/A</v>
          </cell>
        </row>
        <row r="1630">
          <cell r="A1630">
            <v>1001624</v>
          </cell>
          <cell r="B1630" t="str">
            <v>Vara Pérti 3 Secci Acopl 6Mtr (ES VT-6D)</v>
          </cell>
          <cell r="D1630">
            <v>5501</v>
          </cell>
          <cell r="E1630">
            <v>1000</v>
          </cell>
          <cell r="F1630" t="str">
            <v>ZALM</v>
          </cell>
          <cell r="G1630" t="str">
            <v>UN</v>
          </cell>
          <cell r="H1630" t="str">
            <v>DOP</v>
          </cell>
          <cell r="I1630">
            <v>0</v>
          </cell>
          <cell r="J1630">
            <v>0</v>
          </cell>
          <cell r="K1630">
            <v>0</v>
          </cell>
          <cell r="L1630">
            <v>0</v>
          </cell>
          <cell r="M1630">
            <v>0</v>
          </cell>
          <cell r="N1630">
            <v>0</v>
          </cell>
          <cell r="O1630">
            <v>0</v>
          </cell>
          <cell r="P1630">
            <v>0</v>
          </cell>
          <cell r="Q1630">
            <v>0</v>
          </cell>
          <cell r="R1630">
            <v>0</v>
          </cell>
          <cell r="S1630">
            <v>0</v>
          </cell>
          <cell r="T1630">
            <v>0</v>
          </cell>
          <cell r="U1630" t="e">
            <v>#N/A</v>
          </cell>
        </row>
        <row r="1631">
          <cell r="A1631">
            <v>1001625</v>
          </cell>
          <cell r="B1631" t="str">
            <v>Vara Perti C/ Gancho P/ Cond 1-1/4"x6.5'</v>
          </cell>
          <cell r="D1631">
            <v>5501</v>
          </cell>
          <cell r="E1631">
            <v>1000</v>
          </cell>
          <cell r="F1631" t="str">
            <v>ZALM</v>
          </cell>
          <cell r="G1631" t="str">
            <v>UN</v>
          </cell>
          <cell r="H1631" t="str">
            <v>DOP</v>
          </cell>
          <cell r="I1631">
            <v>0</v>
          </cell>
          <cell r="J1631">
            <v>0</v>
          </cell>
          <cell r="K1631">
            <v>0</v>
          </cell>
          <cell r="L1631">
            <v>0</v>
          </cell>
          <cell r="M1631">
            <v>0</v>
          </cell>
          <cell r="N1631">
            <v>0</v>
          </cell>
          <cell r="O1631">
            <v>0</v>
          </cell>
          <cell r="P1631">
            <v>0</v>
          </cell>
          <cell r="Q1631">
            <v>0</v>
          </cell>
          <cell r="R1631">
            <v>0</v>
          </cell>
          <cell r="S1631">
            <v>0</v>
          </cell>
          <cell r="T1631">
            <v>0</v>
          </cell>
          <cell r="U1631" t="e">
            <v>#N/A</v>
          </cell>
        </row>
        <row r="1632">
          <cell r="A1632">
            <v>1001626</v>
          </cell>
          <cell r="B1632" t="str">
            <v>Vara Pertiga 3 Secc Acoplable 6 Mtr</v>
          </cell>
          <cell r="D1632">
            <v>5501</v>
          </cell>
          <cell r="E1632">
            <v>1000</v>
          </cell>
          <cell r="F1632" t="str">
            <v>ZALM</v>
          </cell>
          <cell r="G1632" t="str">
            <v>UN</v>
          </cell>
          <cell r="H1632" t="str">
            <v>DOP</v>
          </cell>
          <cell r="I1632">
            <v>0</v>
          </cell>
          <cell r="J1632">
            <v>0</v>
          </cell>
          <cell r="K1632">
            <v>0</v>
          </cell>
          <cell r="L1632">
            <v>0</v>
          </cell>
          <cell r="M1632">
            <v>0</v>
          </cell>
          <cell r="N1632">
            <v>0</v>
          </cell>
          <cell r="O1632">
            <v>0</v>
          </cell>
          <cell r="P1632">
            <v>0</v>
          </cell>
          <cell r="Q1632">
            <v>0</v>
          </cell>
          <cell r="R1632">
            <v>0</v>
          </cell>
          <cell r="S1632">
            <v>0</v>
          </cell>
          <cell r="T1632">
            <v>0</v>
          </cell>
          <cell r="U1632" t="e">
            <v>#N/A</v>
          </cell>
        </row>
        <row r="1633">
          <cell r="A1633">
            <v>1001627</v>
          </cell>
          <cell r="B1633" t="str">
            <v>Vara Pertiga C/ Rod L-5'x8" Ext 1-1/4x12</v>
          </cell>
          <cell r="D1633">
            <v>5501</v>
          </cell>
          <cell r="E1633">
            <v>1000</v>
          </cell>
          <cell r="F1633" t="str">
            <v>ZALM</v>
          </cell>
          <cell r="G1633" t="str">
            <v>UN</v>
          </cell>
          <cell r="H1633" t="str">
            <v>DOP</v>
          </cell>
          <cell r="I1633">
            <v>0</v>
          </cell>
          <cell r="J1633">
            <v>0</v>
          </cell>
          <cell r="K1633">
            <v>0</v>
          </cell>
          <cell r="L1633">
            <v>0</v>
          </cell>
          <cell r="M1633">
            <v>0</v>
          </cell>
          <cell r="N1633">
            <v>0</v>
          </cell>
          <cell r="O1633">
            <v>0</v>
          </cell>
          <cell r="P1633">
            <v>0</v>
          </cell>
          <cell r="Q1633">
            <v>0</v>
          </cell>
          <cell r="R1633">
            <v>0</v>
          </cell>
          <cell r="S1633">
            <v>0</v>
          </cell>
          <cell r="T1633">
            <v>0</v>
          </cell>
          <cell r="U1633" t="e">
            <v>#N/A</v>
          </cell>
        </row>
        <row r="1634">
          <cell r="A1634">
            <v>1001628</v>
          </cell>
          <cell r="B1634" t="str">
            <v>Vara Pertiga Gancho Hoja Girat L-8'x2"</v>
          </cell>
          <cell r="D1634">
            <v>5501</v>
          </cell>
          <cell r="E1634">
            <v>1000</v>
          </cell>
          <cell r="F1634" t="str">
            <v>ZALM</v>
          </cell>
          <cell r="G1634" t="str">
            <v>UN</v>
          </cell>
          <cell r="H1634" t="str">
            <v>DOP</v>
          </cell>
          <cell r="I1634">
            <v>0</v>
          </cell>
          <cell r="J1634">
            <v>0</v>
          </cell>
          <cell r="K1634">
            <v>0</v>
          </cell>
          <cell r="L1634">
            <v>0</v>
          </cell>
          <cell r="M1634">
            <v>0</v>
          </cell>
          <cell r="N1634">
            <v>0</v>
          </cell>
          <cell r="O1634">
            <v>0</v>
          </cell>
          <cell r="P1634">
            <v>0</v>
          </cell>
          <cell r="Q1634">
            <v>0</v>
          </cell>
          <cell r="R1634">
            <v>0</v>
          </cell>
          <cell r="S1634">
            <v>0</v>
          </cell>
          <cell r="T1634">
            <v>0</v>
          </cell>
          <cell r="U1634" t="e">
            <v>#N/A</v>
          </cell>
        </row>
        <row r="1635">
          <cell r="A1635">
            <v>1001629</v>
          </cell>
          <cell r="B1635" t="str">
            <v>Vara Pertiga Gancho Retrác 1 1/4" 6'</v>
          </cell>
          <cell r="D1635">
            <v>5501</v>
          </cell>
          <cell r="E1635">
            <v>1000</v>
          </cell>
          <cell r="F1635" t="str">
            <v>ZALM</v>
          </cell>
          <cell r="G1635" t="str">
            <v>UN</v>
          </cell>
          <cell r="H1635" t="str">
            <v>DOP</v>
          </cell>
          <cell r="I1635">
            <v>0</v>
          </cell>
          <cell r="J1635">
            <v>0</v>
          </cell>
          <cell r="K1635">
            <v>0</v>
          </cell>
          <cell r="L1635">
            <v>0</v>
          </cell>
          <cell r="M1635">
            <v>0</v>
          </cell>
          <cell r="N1635">
            <v>0</v>
          </cell>
          <cell r="O1635">
            <v>0</v>
          </cell>
          <cell r="P1635">
            <v>0</v>
          </cell>
          <cell r="Q1635">
            <v>0</v>
          </cell>
          <cell r="R1635">
            <v>0</v>
          </cell>
          <cell r="S1635">
            <v>0</v>
          </cell>
          <cell r="T1635">
            <v>0</v>
          </cell>
          <cell r="U1635" t="e">
            <v>#N/A</v>
          </cell>
        </row>
        <row r="1636">
          <cell r="A1636">
            <v>1001630</v>
          </cell>
          <cell r="B1636" t="str">
            <v>Vara Pertiga Tensora Gancho Espiral</v>
          </cell>
          <cell r="D1636">
            <v>5501</v>
          </cell>
          <cell r="E1636">
            <v>1000</v>
          </cell>
          <cell r="F1636" t="str">
            <v>ZALM</v>
          </cell>
          <cell r="G1636" t="str">
            <v>UN</v>
          </cell>
          <cell r="H1636" t="str">
            <v>DOP</v>
          </cell>
          <cell r="I1636">
            <v>0</v>
          </cell>
          <cell r="J1636">
            <v>0</v>
          </cell>
          <cell r="K1636">
            <v>0</v>
          </cell>
          <cell r="L1636">
            <v>0</v>
          </cell>
          <cell r="M1636">
            <v>0</v>
          </cell>
          <cell r="N1636">
            <v>0</v>
          </cell>
          <cell r="O1636">
            <v>0</v>
          </cell>
          <cell r="P1636">
            <v>0</v>
          </cell>
          <cell r="Q1636">
            <v>0</v>
          </cell>
          <cell r="R1636">
            <v>0</v>
          </cell>
          <cell r="S1636">
            <v>0</v>
          </cell>
          <cell r="T1636">
            <v>0</v>
          </cell>
          <cell r="U1636" t="e">
            <v>#N/A</v>
          </cell>
        </row>
        <row r="1637">
          <cell r="A1637">
            <v>1001631</v>
          </cell>
          <cell r="B1637" t="str">
            <v>Vara Pertiga Tensora Hot Slick C-400-574</v>
          </cell>
          <cell r="D1637">
            <v>5501</v>
          </cell>
          <cell r="E1637">
            <v>1000</v>
          </cell>
          <cell r="F1637" t="str">
            <v>ZALM</v>
          </cell>
          <cell r="G1637" t="str">
            <v>UN</v>
          </cell>
          <cell r="H1637" t="str">
            <v>DOP</v>
          </cell>
          <cell r="I1637">
            <v>0</v>
          </cell>
          <cell r="J1637">
            <v>0</v>
          </cell>
          <cell r="K1637">
            <v>0</v>
          </cell>
          <cell r="L1637">
            <v>0</v>
          </cell>
          <cell r="M1637">
            <v>0</v>
          </cell>
          <cell r="N1637">
            <v>0</v>
          </cell>
          <cell r="O1637">
            <v>0</v>
          </cell>
          <cell r="P1637">
            <v>0</v>
          </cell>
          <cell r="Q1637">
            <v>0</v>
          </cell>
          <cell r="R1637">
            <v>0</v>
          </cell>
          <cell r="S1637">
            <v>0</v>
          </cell>
          <cell r="T1637">
            <v>0</v>
          </cell>
          <cell r="U1637" t="e">
            <v>#N/A</v>
          </cell>
        </row>
        <row r="1638">
          <cell r="A1638">
            <v>1001632</v>
          </cell>
          <cell r="B1638" t="str">
            <v>Vara Telescópica 25' 6"</v>
          </cell>
          <cell r="D1638">
            <v>5501</v>
          </cell>
          <cell r="E1638">
            <v>1000</v>
          </cell>
          <cell r="F1638" t="str">
            <v>ZALM</v>
          </cell>
          <cell r="G1638" t="str">
            <v>UN</v>
          </cell>
          <cell r="H1638" t="str">
            <v>DOP</v>
          </cell>
          <cell r="I1638">
            <v>0</v>
          </cell>
          <cell r="J1638">
            <v>0</v>
          </cell>
          <cell r="K1638">
            <v>0</v>
          </cell>
          <cell r="L1638">
            <v>0</v>
          </cell>
          <cell r="M1638">
            <v>0</v>
          </cell>
          <cell r="N1638">
            <v>0</v>
          </cell>
          <cell r="O1638">
            <v>0</v>
          </cell>
          <cell r="P1638">
            <v>0</v>
          </cell>
          <cell r="Q1638">
            <v>0</v>
          </cell>
          <cell r="R1638">
            <v>0</v>
          </cell>
          <cell r="S1638">
            <v>0</v>
          </cell>
          <cell r="T1638">
            <v>0</v>
          </cell>
          <cell r="U1638" t="e">
            <v>#N/A</v>
          </cell>
        </row>
        <row r="1639">
          <cell r="A1639">
            <v>1001633</v>
          </cell>
          <cell r="B1639" t="str">
            <v>Vara Telescópica 30' AB Chence</v>
          </cell>
          <cell r="D1639">
            <v>5501</v>
          </cell>
          <cell r="E1639">
            <v>1000</v>
          </cell>
          <cell r="F1639" t="str">
            <v>ZALM</v>
          </cell>
          <cell r="G1639" t="str">
            <v>UN</v>
          </cell>
          <cell r="H1639" t="str">
            <v>DOP</v>
          </cell>
          <cell r="I1639">
            <v>0</v>
          </cell>
          <cell r="J1639">
            <v>0</v>
          </cell>
          <cell r="K1639">
            <v>0</v>
          </cell>
          <cell r="L1639">
            <v>0</v>
          </cell>
          <cell r="M1639">
            <v>0</v>
          </cell>
          <cell r="N1639">
            <v>0</v>
          </cell>
          <cell r="O1639">
            <v>0</v>
          </cell>
          <cell r="P1639">
            <v>0</v>
          </cell>
          <cell r="Q1639">
            <v>0</v>
          </cell>
          <cell r="R1639">
            <v>0</v>
          </cell>
          <cell r="S1639">
            <v>0</v>
          </cell>
          <cell r="T1639">
            <v>0</v>
          </cell>
          <cell r="U1639" t="e">
            <v>#N/A</v>
          </cell>
        </row>
        <row r="1640">
          <cell r="A1640">
            <v>1001634</v>
          </cell>
          <cell r="B1640" t="str">
            <v>Vara Telescópica 35'</v>
          </cell>
          <cell r="D1640">
            <v>7201</v>
          </cell>
          <cell r="E1640">
            <v>1000</v>
          </cell>
          <cell r="F1640" t="str">
            <v>ZALM</v>
          </cell>
          <cell r="G1640" t="str">
            <v>UN</v>
          </cell>
          <cell r="H1640" t="str">
            <v>DOP</v>
          </cell>
          <cell r="I1640">
            <v>1</v>
          </cell>
          <cell r="J1640">
            <v>29393.85</v>
          </cell>
          <cell r="K1640">
            <v>0</v>
          </cell>
          <cell r="L1640">
            <v>0</v>
          </cell>
          <cell r="M1640">
            <v>0</v>
          </cell>
          <cell r="N1640">
            <v>0</v>
          </cell>
          <cell r="O1640">
            <v>0</v>
          </cell>
          <cell r="P1640">
            <v>0</v>
          </cell>
          <cell r="Q1640">
            <v>0</v>
          </cell>
          <cell r="R1640">
            <v>0</v>
          </cell>
          <cell r="S1640">
            <v>1</v>
          </cell>
          <cell r="T1640">
            <v>29393.85</v>
          </cell>
          <cell r="U1640">
            <v>29393.85</v>
          </cell>
        </row>
        <row r="1641">
          <cell r="A1641">
            <v>1001635</v>
          </cell>
          <cell r="B1641" t="str">
            <v>Vara Telescópica 40'</v>
          </cell>
          <cell r="D1641">
            <v>5501</v>
          </cell>
          <cell r="E1641">
            <v>1000</v>
          </cell>
          <cell r="F1641" t="str">
            <v>ZALM</v>
          </cell>
          <cell r="G1641" t="str">
            <v>UN</v>
          </cell>
          <cell r="H1641" t="str">
            <v>DOP</v>
          </cell>
          <cell r="I1641">
            <v>0</v>
          </cell>
          <cell r="J1641">
            <v>0</v>
          </cell>
          <cell r="K1641">
            <v>0</v>
          </cell>
          <cell r="L1641">
            <v>0</v>
          </cell>
          <cell r="M1641">
            <v>0</v>
          </cell>
          <cell r="N1641">
            <v>0</v>
          </cell>
          <cell r="O1641">
            <v>0</v>
          </cell>
          <cell r="P1641">
            <v>0</v>
          </cell>
          <cell r="Q1641">
            <v>0</v>
          </cell>
          <cell r="R1641">
            <v>0</v>
          </cell>
          <cell r="S1641">
            <v>0</v>
          </cell>
          <cell r="T1641">
            <v>0</v>
          </cell>
          <cell r="U1641" t="e">
            <v>#N/A</v>
          </cell>
        </row>
        <row r="1642">
          <cell r="A1642">
            <v>1001636</v>
          </cell>
          <cell r="B1642" t="str">
            <v>Ammeter With Padded St Carr Case 0-2000A</v>
          </cell>
          <cell r="D1642">
            <v>6023</v>
          </cell>
          <cell r="E1642">
            <v>1000</v>
          </cell>
          <cell r="F1642" t="str">
            <v>ZALM</v>
          </cell>
          <cell r="G1642" t="str">
            <v>UN</v>
          </cell>
          <cell r="H1642" t="str">
            <v>DOP</v>
          </cell>
          <cell r="I1642">
            <v>0</v>
          </cell>
          <cell r="J1642">
            <v>0</v>
          </cell>
          <cell r="K1642">
            <v>0</v>
          </cell>
          <cell r="L1642">
            <v>0</v>
          </cell>
          <cell r="M1642">
            <v>0</v>
          </cell>
          <cell r="N1642">
            <v>0</v>
          </cell>
          <cell r="O1642">
            <v>0</v>
          </cell>
          <cell r="P1642">
            <v>0</v>
          </cell>
          <cell r="Q1642">
            <v>0</v>
          </cell>
          <cell r="R1642">
            <v>0</v>
          </cell>
          <cell r="S1642">
            <v>0</v>
          </cell>
          <cell r="T1642">
            <v>0</v>
          </cell>
          <cell r="U1642" t="e">
            <v>#N/A</v>
          </cell>
        </row>
        <row r="1643">
          <cell r="A1643">
            <v>1001637</v>
          </cell>
          <cell r="B1643" t="str">
            <v>Amperimetro 3000 A.1 (Medicion)</v>
          </cell>
          <cell r="D1643">
            <v>6023</v>
          </cell>
          <cell r="E1643">
            <v>1000</v>
          </cell>
          <cell r="F1643" t="str">
            <v>ZALM</v>
          </cell>
          <cell r="G1643" t="str">
            <v>UN</v>
          </cell>
          <cell r="H1643" t="str">
            <v>DOP</v>
          </cell>
          <cell r="I1643">
            <v>0</v>
          </cell>
          <cell r="J1643">
            <v>0</v>
          </cell>
          <cell r="K1643">
            <v>0</v>
          </cell>
          <cell r="L1643">
            <v>0</v>
          </cell>
          <cell r="M1643">
            <v>0</v>
          </cell>
          <cell r="N1643">
            <v>0</v>
          </cell>
          <cell r="O1643">
            <v>0</v>
          </cell>
          <cell r="P1643">
            <v>0</v>
          </cell>
          <cell r="Q1643">
            <v>0</v>
          </cell>
          <cell r="R1643">
            <v>0</v>
          </cell>
          <cell r="S1643">
            <v>0</v>
          </cell>
          <cell r="T1643">
            <v>0</v>
          </cell>
          <cell r="U1643" t="e">
            <v>#N/A</v>
          </cell>
        </row>
        <row r="1644">
          <cell r="A1644">
            <v>1001638</v>
          </cell>
          <cell r="B1644" t="str">
            <v>Amperímetro AC/DC 1000A 1000V -40-1372ºC</v>
          </cell>
          <cell r="D1644">
            <v>6023</v>
          </cell>
          <cell r="E1644">
            <v>1000</v>
          </cell>
          <cell r="F1644" t="str">
            <v>ZALM</v>
          </cell>
          <cell r="G1644" t="str">
            <v>UN</v>
          </cell>
          <cell r="H1644" t="str">
            <v>DOP</v>
          </cell>
          <cell r="I1644">
            <v>0</v>
          </cell>
          <cell r="J1644">
            <v>0</v>
          </cell>
          <cell r="K1644">
            <v>0</v>
          </cell>
          <cell r="L1644">
            <v>0</v>
          </cell>
          <cell r="M1644">
            <v>0</v>
          </cell>
          <cell r="N1644">
            <v>0</v>
          </cell>
          <cell r="O1644">
            <v>0</v>
          </cell>
          <cell r="P1644">
            <v>0</v>
          </cell>
          <cell r="Q1644">
            <v>0</v>
          </cell>
          <cell r="R1644">
            <v>0</v>
          </cell>
          <cell r="S1644">
            <v>0</v>
          </cell>
          <cell r="T1644">
            <v>0</v>
          </cell>
          <cell r="U1644" t="e">
            <v>#N/A</v>
          </cell>
        </row>
        <row r="1645">
          <cell r="A1645">
            <v>1001639</v>
          </cell>
          <cell r="B1645" t="str">
            <v>Amperímetro Amprobe 1000A ACD-6 TRM</v>
          </cell>
          <cell r="D1645">
            <v>7201</v>
          </cell>
          <cell r="E1645">
            <v>1000</v>
          </cell>
          <cell r="F1645" t="str">
            <v>ZALM</v>
          </cell>
          <cell r="G1645" t="str">
            <v>UN</v>
          </cell>
          <cell r="H1645" t="str">
            <v>DOP</v>
          </cell>
          <cell r="I1645">
            <v>0</v>
          </cell>
          <cell r="J1645">
            <v>0</v>
          </cell>
          <cell r="K1645">
            <v>0</v>
          </cell>
          <cell r="L1645">
            <v>0</v>
          </cell>
          <cell r="M1645">
            <v>0</v>
          </cell>
          <cell r="N1645">
            <v>0</v>
          </cell>
          <cell r="O1645">
            <v>0</v>
          </cell>
          <cell r="P1645">
            <v>0</v>
          </cell>
          <cell r="Q1645">
            <v>0</v>
          </cell>
          <cell r="R1645">
            <v>0</v>
          </cell>
          <cell r="S1645">
            <v>0</v>
          </cell>
          <cell r="T1645">
            <v>0</v>
          </cell>
          <cell r="U1645" t="e">
            <v>#N/A</v>
          </cell>
        </row>
        <row r="1646">
          <cell r="A1646">
            <v>1001640</v>
          </cell>
          <cell r="B1646" t="str">
            <v>Amperimetro Digital 600V 600A 200Ohm</v>
          </cell>
          <cell r="D1646">
            <v>6023</v>
          </cell>
          <cell r="E1646">
            <v>1000</v>
          </cell>
          <cell r="F1646" t="str">
            <v>ZALM</v>
          </cell>
          <cell r="G1646" t="str">
            <v>UN</v>
          </cell>
          <cell r="H1646" t="str">
            <v>DOP</v>
          </cell>
          <cell r="I1646">
            <v>0</v>
          </cell>
          <cell r="J1646">
            <v>0</v>
          </cell>
          <cell r="K1646">
            <v>0</v>
          </cell>
          <cell r="L1646">
            <v>0</v>
          </cell>
          <cell r="M1646">
            <v>0</v>
          </cell>
          <cell r="N1646">
            <v>0</v>
          </cell>
          <cell r="O1646">
            <v>0</v>
          </cell>
          <cell r="P1646">
            <v>0</v>
          </cell>
          <cell r="Q1646">
            <v>0</v>
          </cell>
          <cell r="R1646">
            <v>0</v>
          </cell>
          <cell r="S1646">
            <v>0</v>
          </cell>
          <cell r="T1646">
            <v>0</v>
          </cell>
          <cell r="U1646" t="e">
            <v>#N/A</v>
          </cell>
        </row>
        <row r="1647">
          <cell r="A1647">
            <v>1001641</v>
          </cell>
          <cell r="B1647" t="str">
            <v>Amperímetro Panel Digital AC/DC 72 x 72</v>
          </cell>
          <cell r="D1647">
            <v>6023</v>
          </cell>
          <cell r="E1647">
            <v>1000</v>
          </cell>
          <cell r="F1647" t="str">
            <v>ZALM</v>
          </cell>
          <cell r="G1647" t="str">
            <v>UN</v>
          </cell>
          <cell r="H1647" t="str">
            <v>DOP</v>
          </cell>
          <cell r="I1647">
            <v>0</v>
          </cell>
          <cell r="J1647">
            <v>0</v>
          </cell>
          <cell r="K1647">
            <v>0</v>
          </cell>
          <cell r="L1647">
            <v>0</v>
          </cell>
          <cell r="M1647">
            <v>0</v>
          </cell>
          <cell r="N1647">
            <v>0</v>
          </cell>
          <cell r="O1647">
            <v>0</v>
          </cell>
          <cell r="P1647">
            <v>0</v>
          </cell>
          <cell r="Q1647">
            <v>0</v>
          </cell>
          <cell r="R1647">
            <v>0</v>
          </cell>
          <cell r="S1647">
            <v>0</v>
          </cell>
          <cell r="T1647">
            <v>0</v>
          </cell>
          <cell r="U1647" t="e">
            <v>#N/A</v>
          </cell>
        </row>
        <row r="1648">
          <cell r="A1648">
            <v>1001642</v>
          </cell>
          <cell r="B1648" t="str">
            <v>Analog 5kV Megger Ins Tester 500-5000V</v>
          </cell>
          <cell r="D1648">
            <v>6023</v>
          </cell>
          <cell r="E1648">
            <v>1000</v>
          </cell>
          <cell r="F1648" t="str">
            <v>ZALM</v>
          </cell>
          <cell r="G1648" t="str">
            <v>UN</v>
          </cell>
          <cell r="H1648" t="str">
            <v>DOP</v>
          </cell>
          <cell r="I1648">
            <v>0</v>
          </cell>
          <cell r="J1648">
            <v>0</v>
          </cell>
          <cell r="K1648">
            <v>0</v>
          </cell>
          <cell r="L1648">
            <v>0</v>
          </cell>
          <cell r="M1648">
            <v>0</v>
          </cell>
          <cell r="N1648">
            <v>0</v>
          </cell>
          <cell r="O1648">
            <v>0</v>
          </cell>
          <cell r="P1648">
            <v>0</v>
          </cell>
          <cell r="Q1648">
            <v>0</v>
          </cell>
          <cell r="R1648">
            <v>0</v>
          </cell>
          <cell r="S1648">
            <v>0</v>
          </cell>
          <cell r="T1648">
            <v>0</v>
          </cell>
          <cell r="U1648" t="e">
            <v>#N/A</v>
          </cell>
        </row>
        <row r="1649">
          <cell r="A1649">
            <v>1001643</v>
          </cell>
          <cell r="B1649" t="str">
            <v>Balanza Plataf Eléct Mettler 4'x4' 1000K</v>
          </cell>
          <cell r="D1649">
            <v>6023</v>
          </cell>
          <cell r="E1649">
            <v>1000</v>
          </cell>
          <cell r="F1649" t="str">
            <v>ZALM</v>
          </cell>
          <cell r="G1649" t="str">
            <v>UN</v>
          </cell>
          <cell r="H1649" t="str">
            <v>DOP</v>
          </cell>
          <cell r="I1649">
            <v>0</v>
          </cell>
          <cell r="J1649">
            <v>0</v>
          </cell>
          <cell r="K1649">
            <v>0</v>
          </cell>
          <cell r="L1649">
            <v>0</v>
          </cell>
          <cell r="M1649">
            <v>0</v>
          </cell>
          <cell r="N1649">
            <v>0</v>
          </cell>
          <cell r="O1649">
            <v>0</v>
          </cell>
          <cell r="P1649">
            <v>0</v>
          </cell>
          <cell r="Q1649">
            <v>0</v>
          </cell>
          <cell r="R1649">
            <v>0</v>
          </cell>
          <cell r="S1649">
            <v>0</v>
          </cell>
          <cell r="T1649">
            <v>0</v>
          </cell>
          <cell r="U1649" t="e">
            <v>#N/A</v>
          </cell>
        </row>
        <row r="1650">
          <cell r="A1650">
            <v>1001644</v>
          </cell>
          <cell r="B1650" t="str">
            <v>Camara Termográfica Pequeña</v>
          </cell>
          <cell r="D1650">
            <v>6023</v>
          </cell>
          <cell r="E1650">
            <v>1000</v>
          </cell>
          <cell r="F1650" t="str">
            <v>ZALM</v>
          </cell>
          <cell r="G1650" t="str">
            <v>UN</v>
          </cell>
          <cell r="H1650" t="str">
            <v>DOP</v>
          </cell>
          <cell r="I1650">
            <v>0</v>
          </cell>
          <cell r="J1650">
            <v>0</v>
          </cell>
          <cell r="K1650">
            <v>0</v>
          </cell>
          <cell r="L1650">
            <v>0</v>
          </cell>
          <cell r="M1650">
            <v>0</v>
          </cell>
          <cell r="N1650">
            <v>0</v>
          </cell>
          <cell r="O1650">
            <v>0</v>
          </cell>
          <cell r="P1650">
            <v>0</v>
          </cell>
          <cell r="Q1650">
            <v>0</v>
          </cell>
          <cell r="R1650">
            <v>0</v>
          </cell>
          <cell r="S1650">
            <v>0</v>
          </cell>
          <cell r="T1650">
            <v>0</v>
          </cell>
          <cell r="U1650" t="e">
            <v>#N/A</v>
          </cell>
        </row>
        <row r="1651">
          <cell r="A1651">
            <v>1001645</v>
          </cell>
          <cell r="B1651" t="str">
            <v>Camara Termográfica ThermaCam</v>
          </cell>
          <cell r="D1651">
            <v>6023</v>
          </cell>
          <cell r="E1651">
            <v>1000</v>
          </cell>
          <cell r="F1651" t="str">
            <v>ZALM</v>
          </cell>
          <cell r="G1651" t="str">
            <v>UN</v>
          </cell>
          <cell r="H1651" t="str">
            <v>DOP</v>
          </cell>
          <cell r="I1651">
            <v>0</v>
          </cell>
          <cell r="J1651">
            <v>0</v>
          </cell>
          <cell r="K1651">
            <v>0</v>
          </cell>
          <cell r="L1651">
            <v>0</v>
          </cell>
          <cell r="M1651">
            <v>0</v>
          </cell>
          <cell r="N1651">
            <v>0</v>
          </cell>
          <cell r="O1651">
            <v>0</v>
          </cell>
          <cell r="P1651">
            <v>0</v>
          </cell>
          <cell r="Q1651">
            <v>0</v>
          </cell>
          <cell r="R1651">
            <v>0</v>
          </cell>
          <cell r="S1651">
            <v>0</v>
          </cell>
          <cell r="T1651">
            <v>0</v>
          </cell>
          <cell r="U1651" t="e">
            <v>#N/A</v>
          </cell>
        </row>
        <row r="1652">
          <cell r="A1652">
            <v>1001646</v>
          </cell>
          <cell r="B1652" t="str">
            <v>Cronómetro</v>
          </cell>
          <cell r="D1652">
            <v>6023</v>
          </cell>
          <cell r="E1652">
            <v>1000</v>
          </cell>
          <cell r="F1652" t="str">
            <v>ZALM</v>
          </cell>
          <cell r="G1652" t="str">
            <v>UN</v>
          </cell>
          <cell r="H1652" t="str">
            <v>DOP</v>
          </cell>
          <cell r="I1652">
            <v>0</v>
          </cell>
          <cell r="J1652">
            <v>0</v>
          </cell>
          <cell r="K1652">
            <v>0</v>
          </cell>
          <cell r="L1652">
            <v>0</v>
          </cell>
          <cell r="M1652">
            <v>0</v>
          </cell>
          <cell r="N1652">
            <v>0</v>
          </cell>
          <cell r="O1652">
            <v>0</v>
          </cell>
          <cell r="P1652">
            <v>0</v>
          </cell>
          <cell r="Q1652">
            <v>0</v>
          </cell>
          <cell r="R1652">
            <v>0</v>
          </cell>
          <cell r="S1652">
            <v>0</v>
          </cell>
          <cell r="T1652">
            <v>0</v>
          </cell>
          <cell r="U1652" t="e">
            <v>#N/A</v>
          </cell>
        </row>
        <row r="1653">
          <cell r="A1653">
            <v>1001647</v>
          </cell>
          <cell r="B1653" t="str">
            <v>DC CLAM-ON PROGRAMMA</v>
          </cell>
          <cell r="D1653">
            <v>6023</v>
          </cell>
          <cell r="E1653">
            <v>1000</v>
          </cell>
          <cell r="F1653" t="str">
            <v>ZALM</v>
          </cell>
          <cell r="G1653" t="str">
            <v>UN</v>
          </cell>
          <cell r="H1653" t="str">
            <v>DOP</v>
          </cell>
          <cell r="I1653">
            <v>0</v>
          </cell>
          <cell r="J1653">
            <v>0</v>
          </cell>
          <cell r="K1653">
            <v>0</v>
          </cell>
          <cell r="L1653">
            <v>0</v>
          </cell>
          <cell r="M1653">
            <v>0</v>
          </cell>
          <cell r="N1653">
            <v>0</v>
          </cell>
          <cell r="O1653">
            <v>0</v>
          </cell>
          <cell r="P1653">
            <v>0</v>
          </cell>
          <cell r="Q1653">
            <v>0</v>
          </cell>
          <cell r="R1653">
            <v>0</v>
          </cell>
          <cell r="S1653">
            <v>0</v>
          </cell>
          <cell r="T1653">
            <v>0</v>
          </cell>
          <cell r="U1653" t="e">
            <v>#N/A</v>
          </cell>
        </row>
        <row r="1654">
          <cell r="A1654">
            <v>1001648</v>
          </cell>
          <cell r="B1654" t="str">
            <v>DC Dielectric Test Set 70kV</v>
          </cell>
          <cell r="D1654">
            <v>6023</v>
          </cell>
          <cell r="E1654">
            <v>1000</v>
          </cell>
          <cell r="F1654" t="str">
            <v>ZALM</v>
          </cell>
          <cell r="G1654" t="str">
            <v>UN</v>
          </cell>
          <cell r="H1654" t="str">
            <v>DOP</v>
          </cell>
          <cell r="I1654">
            <v>0</v>
          </cell>
          <cell r="J1654">
            <v>0</v>
          </cell>
          <cell r="K1654">
            <v>0</v>
          </cell>
          <cell r="L1654">
            <v>0</v>
          </cell>
          <cell r="M1654">
            <v>0</v>
          </cell>
          <cell r="N1654">
            <v>0</v>
          </cell>
          <cell r="O1654">
            <v>0</v>
          </cell>
          <cell r="P1654">
            <v>0</v>
          </cell>
          <cell r="Q1654">
            <v>0</v>
          </cell>
          <cell r="R1654">
            <v>0</v>
          </cell>
          <cell r="S1654">
            <v>0</v>
          </cell>
          <cell r="T1654">
            <v>0</v>
          </cell>
          <cell r="U1654" t="e">
            <v>#N/A</v>
          </cell>
        </row>
        <row r="1655">
          <cell r="A1655">
            <v>1001649</v>
          </cell>
          <cell r="B1655" t="str">
            <v>Densimetro y Term Programa</v>
          </cell>
          <cell r="D1655">
            <v>6023</v>
          </cell>
          <cell r="E1655">
            <v>1000</v>
          </cell>
          <cell r="F1655" t="str">
            <v>ZALM</v>
          </cell>
          <cell r="G1655" t="str">
            <v>UN</v>
          </cell>
          <cell r="H1655" t="str">
            <v>DOP</v>
          </cell>
          <cell r="I1655">
            <v>0</v>
          </cell>
          <cell r="J1655">
            <v>0</v>
          </cell>
          <cell r="K1655">
            <v>0</v>
          </cell>
          <cell r="L1655">
            <v>0</v>
          </cell>
          <cell r="M1655">
            <v>0</v>
          </cell>
          <cell r="N1655">
            <v>0</v>
          </cell>
          <cell r="O1655">
            <v>0</v>
          </cell>
          <cell r="P1655">
            <v>0</v>
          </cell>
          <cell r="Q1655">
            <v>0</v>
          </cell>
          <cell r="R1655">
            <v>0</v>
          </cell>
          <cell r="S1655">
            <v>0</v>
          </cell>
          <cell r="T1655">
            <v>0</v>
          </cell>
          <cell r="U1655" t="e">
            <v>#N/A</v>
          </cell>
        </row>
        <row r="1656">
          <cell r="A1656">
            <v>1001650</v>
          </cell>
          <cell r="B1656" t="str">
            <v>Detector Fuga de Gas SF6</v>
          </cell>
          <cell r="D1656">
            <v>6023</v>
          </cell>
          <cell r="E1656">
            <v>1000</v>
          </cell>
          <cell r="F1656" t="str">
            <v>ZALM</v>
          </cell>
          <cell r="G1656" t="str">
            <v>UN</v>
          </cell>
          <cell r="H1656" t="str">
            <v>DOP</v>
          </cell>
          <cell r="I1656">
            <v>0</v>
          </cell>
          <cell r="J1656">
            <v>0</v>
          </cell>
          <cell r="K1656">
            <v>0</v>
          </cell>
          <cell r="L1656">
            <v>0</v>
          </cell>
          <cell r="M1656">
            <v>0</v>
          </cell>
          <cell r="N1656">
            <v>0</v>
          </cell>
          <cell r="O1656">
            <v>0</v>
          </cell>
          <cell r="P1656">
            <v>0</v>
          </cell>
          <cell r="Q1656">
            <v>0</v>
          </cell>
          <cell r="R1656">
            <v>0</v>
          </cell>
          <cell r="S1656">
            <v>0</v>
          </cell>
          <cell r="T1656">
            <v>0</v>
          </cell>
          <cell r="U1656" t="e">
            <v>#N/A</v>
          </cell>
        </row>
        <row r="1657">
          <cell r="A1657">
            <v>1001651</v>
          </cell>
          <cell r="B1657" t="str">
            <v>Detector Voltaje Unipolar P/ AT 69-138kV</v>
          </cell>
          <cell r="D1657">
            <v>7201</v>
          </cell>
          <cell r="E1657">
            <v>1000</v>
          </cell>
          <cell r="F1657" t="str">
            <v>ZALM</v>
          </cell>
          <cell r="G1657" t="str">
            <v>UN</v>
          </cell>
          <cell r="H1657" t="str">
            <v>DOP</v>
          </cell>
          <cell r="I1657">
            <v>20</v>
          </cell>
          <cell r="J1657">
            <v>578941.4</v>
          </cell>
          <cell r="K1657">
            <v>0</v>
          </cell>
          <cell r="L1657">
            <v>0</v>
          </cell>
          <cell r="M1657">
            <v>0</v>
          </cell>
          <cell r="N1657">
            <v>0</v>
          </cell>
          <cell r="O1657">
            <v>0</v>
          </cell>
          <cell r="P1657">
            <v>0</v>
          </cell>
          <cell r="Q1657">
            <v>0</v>
          </cell>
          <cell r="R1657">
            <v>0</v>
          </cell>
          <cell r="S1657">
            <v>20</v>
          </cell>
          <cell r="T1657">
            <v>578941.4</v>
          </cell>
          <cell r="U1657">
            <v>28947.07</v>
          </cell>
        </row>
        <row r="1658">
          <cell r="A1658">
            <v>1001652</v>
          </cell>
          <cell r="B1658" t="str">
            <v>Detector Voltaje Unipolar P/ MT 10-35kV</v>
          </cell>
          <cell r="D1658">
            <v>7201</v>
          </cell>
          <cell r="E1658">
            <v>1000</v>
          </cell>
          <cell r="F1658" t="str">
            <v>ZALM</v>
          </cell>
          <cell r="G1658" t="str">
            <v>UN</v>
          </cell>
          <cell r="H1658" t="str">
            <v>DOP</v>
          </cell>
          <cell r="I1658">
            <v>11</v>
          </cell>
          <cell r="J1658">
            <v>281626.52</v>
          </cell>
          <cell r="K1658">
            <v>0</v>
          </cell>
          <cell r="L1658">
            <v>0</v>
          </cell>
          <cell r="M1658">
            <v>0</v>
          </cell>
          <cell r="N1658">
            <v>0</v>
          </cell>
          <cell r="O1658">
            <v>0</v>
          </cell>
          <cell r="P1658">
            <v>0</v>
          </cell>
          <cell r="Q1658">
            <v>0</v>
          </cell>
          <cell r="R1658">
            <v>0</v>
          </cell>
          <cell r="S1658">
            <v>11</v>
          </cell>
          <cell r="T1658">
            <v>281626.52</v>
          </cell>
          <cell r="U1658">
            <v>25602.410909090901</v>
          </cell>
        </row>
        <row r="1659">
          <cell r="A1659">
            <v>1001653</v>
          </cell>
          <cell r="B1659" t="str">
            <v>Detector Voltaje Unipolar P/ MT 2-6kV</v>
          </cell>
          <cell r="D1659">
            <v>7201</v>
          </cell>
          <cell r="E1659">
            <v>1000</v>
          </cell>
          <cell r="F1659" t="str">
            <v>ZALM</v>
          </cell>
          <cell r="G1659" t="str">
            <v>UN</v>
          </cell>
          <cell r="H1659" t="str">
            <v>DOP</v>
          </cell>
          <cell r="I1659">
            <v>36</v>
          </cell>
          <cell r="J1659">
            <v>885543.25</v>
          </cell>
          <cell r="K1659">
            <v>0</v>
          </cell>
          <cell r="L1659">
            <v>0</v>
          </cell>
          <cell r="M1659">
            <v>0</v>
          </cell>
          <cell r="N1659">
            <v>0</v>
          </cell>
          <cell r="O1659">
            <v>0</v>
          </cell>
          <cell r="P1659">
            <v>0</v>
          </cell>
          <cell r="Q1659">
            <v>0</v>
          </cell>
          <cell r="R1659">
            <v>0</v>
          </cell>
          <cell r="S1659">
            <v>36</v>
          </cell>
          <cell r="T1659">
            <v>885543.25</v>
          </cell>
          <cell r="U1659">
            <v>24598.423611111099</v>
          </cell>
        </row>
        <row r="1660">
          <cell r="A1660">
            <v>1001654</v>
          </cell>
          <cell r="B1660" t="str">
            <v>Detector Voltaje Unipolar P/ MT 35-69kV</v>
          </cell>
          <cell r="D1660">
            <v>7201</v>
          </cell>
          <cell r="E1660">
            <v>1000</v>
          </cell>
          <cell r="F1660" t="str">
            <v>ZALM</v>
          </cell>
          <cell r="G1660" t="str">
            <v>UN</v>
          </cell>
          <cell r="H1660" t="str">
            <v>DOP</v>
          </cell>
          <cell r="I1660">
            <v>17</v>
          </cell>
          <cell r="J1660">
            <v>363783.3</v>
          </cell>
          <cell r="K1660">
            <v>0</v>
          </cell>
          <cell r="L1660">
            <v>0</v>
          </cell>
          <cell r="M1660">
            <v>0</v>
          </cell>
          <cell r="N1660">
            <v>0</v>
          </cell>
          <cell r="O1660">
            <v>0</v>
          </cell>
          <cell r="P1660">
            <v>0</v>
          </cell>
          <cell r="Q1660">
            <v>0</v>
          </cell>
          <cell r="R1660">
            <v>0</v>
          </cell>
          <cell r="S1660">
            <v>17</v>
          </cell>
          <cell r="T1660">
            <v>363783.3</v>
          </cell>
          <cell r="U1660">
            <v>21399.017647058801</v>
          </cell>
        </row>
        <row r="1661">
          <cell r="A1661">
            <v>1001655</v>
          </cell>
          <cell r="B1661" t="str">
            <v>Detector Voltaje Unipolar P/ MT 5-15kV</v>
          </cell>
          <cell r="D1661">
            <v>6023</v>
          </cell>
          <cell r="E1661">
            <v>1000</v>
          </cell>
          <cell r="F1661" t="str">
            <v>ZALM</v>
          </cell>
          <cell r="G1661" t="str">
            <v>UN</v>
          </cell>
          <cell r="H1661" t="str">
            <v>DOP</v>
          </cell>
          <cell r="I1661">
            <v>0</v>
          </cell>
          <cell r="J1661">
            <v>0</v>
          </cell>
          <cell r="K1661">
            <v>0</v>
          </cell>
          <cell r="L1661">
            <v>0</v>
          </cell>
          <cell r="M1661">
            <v>0</v>
          </cell>
          <cell r="N1661">
            <v>0</v>
          </cell>
          <cell r="O1661">
            <v>0</v>
          </cell>
          <cell r="P1661">
            <v>0</v>
          </cell>
          <cell r="Q1661">
            <v>0</v>
          </cell>
          <cell r="R1661">
            <v>0</v>
          </cell>
          <cell r="S1661">
            <v>0</v>
          </cell>
          <cell r="T1661">
            <v>0</v>
          </cell>
          <cell r="U1661" t="e">
            <v>#N/A</v>
          </cell>
        </row>
        <row r="1662">
          <cell r="A1662">
            <v>1001656</v>
          </cell>
          <cell r="B1662" t="str">
            <v>Diaphragm Valve ¼"  fnpt x ¼" fnpt</v>
          </cell>
          <cell r="D1662">
            <v>6023</v>
          </cell>
          <cell r="E1662">
            <v>1000</v>
          </cell>
          <cell r="F1662" t="str">
            <v>ZALM</v>
          </cell>
          <cell r="G1662" t="str">
            <v>UN</v>
          </cell>
          <cell r="H1662" t="str">
            <v>DOP</v>
          </cell>
          <cell r="I1662">
            <v>0</v>
          </cell>
          <cell r="J1662">
            <v>0</v>
          </cell>
          <cell r="K1662">
            <v>0</v>
          </cell>
          <cell r="L1662">
            <v>0</v>
          </cell>
          <cell r="M1662">
            <v>0</v>
          </cell>
          <cell r="N1662">
            <v>0</v>
          </cell>
          <cell r="O1662">
            <v>0</v>
          </cell>
          <cell r="P1662">
            <v>0</v>
          </cell>
          <cell r="Q1662">
            <v>0</v>
          </cell>
          <cell r="R1662">
            <v>0</v>
          </cell>
          <cell r="S1662">
            <v>0</v>
          </cell>
          <cell r="T1662">
            <v>0</v>
          </cell>
          <cell r="U1662" t="e">
            <v>#N/A</v>
          </cell>
        </row>
        <row r="1663">
          <cell r="A1663">
            <v>1001657</v>
          </cell>
          <cell r="B1663" t="str">
            <v>Equipo Detector de Derivación Soterrada</v>
          </cell>
          <cell r="D1663">
            <v>6023</v>
          </cell>
          <cell r="E1663">
            <v>1000</v>
          </cell>
          <cell r="F1663" t="str">
            <v>ZALM</v>
          </cell>
          <cell r="G1663" t="str">
            <v>UN</v>
          </cell>
          <cell r="H1663" t="str">
            <v>DOP</v>
          </cell>
          <cell r="I1663">
            <v>0</v>
          </cell>
          <cell r="J1663">
            <v>0</v>
          </cell>
          <cell r="K1663">
            <v>0</v>
          </cell>
          <cell r="L1663">
            <v>0</v>
          </cell>
          <cell r="M1663">
            <v>0</v>
          </cell>
          <cell r="N1663">
            <v>0</v>
          </cell>
          <cell r="O1663">
            <v>0</v>
          </cell>
          <cell r="P1663">
            <v>0</v>
          </cell>
          <cell r="Q1663">
            <v>0</v>
          </cell>
          <cell r="R1663">
            <v>0</v>
          </cell>
          <cell r="S1663">
            <v>0</v>
          </cell>
          <cell r="T1663">
            <v>0</v>
          </cell>
          <cell r="U1663" t="e">
            <v>#N/A</v>
          </cell>
        </row>
        <row r="1664">
          <cell r="A1664">
            <v>1001658</v>
          </cell>
          <cell r="B1664" t="str">
            <v>Equipo Medición 20-40/5A 15/30VA 60Hz</v>
          </cell>
          <cell r="D1664">
            <v>6023</v>
          </cell>
          <cell r="E1664">
            <v>1000</v>
          </cell>
          <cell r="F1664" t="str">
            <v>ZALM</v>
          </cell>
          <cell r="G1664" t="str">
            <v>UN</v>
          </cell>
          <cell r="H1664" t="str">
            <v>DOP</v>
          </cell>
          <cell r="I1664">
            <v>0</v>
          </cell>
          <cell r="J1664">
            <v>0</v>
          </cell>
          <cell r="K1664">
            <v>0</v>
          </cell>
          <cell r="L1664">
            <v>0</v>
          </cell>
          <cell r="M1664">
            <v>0</v>
          </cell>
          <cell r="N1664">
            <v>0</v>
          </cell>
          <cell r="O1664">
            <v>0</v>
          </cell>
          <cell r="P1664">
            <v>0</v>
          </cell>
          <cell r="Q1664">
            <v>0</v>
          </cell>
          <cell r="R1664">
            <v>0</v>
          </cell>
          <cell r="S1664">
            <v>0</v>
          </cell>
          <cell r="T1664">
            <v>0</v>
          </cell>
          <cell r="U1664" t="e">
            <v>#N/A</v>
          </cell>
        </row>
        <row r="1665">
          <cell r="A1665">
            <v>1001659</v>
          </cell>
          <cell r="B1665" t="str">
            <v>Fluke 63 Mini Infrared Thermometer</v>
          </cell>
          <cell r="D1665">
            <v>6023</v>
          </cell>
          <cell r="E1665">
            <v>1000</v>
          </cell>
          <cell r="F1665" t="str">
            <v>ZALM</v>
          </cell>
          <cell r="G1665" t="str">
            <v>UN</v>
          </cell>
          <cell r="H1665" t="str">
            <v>DOP</v>
          </cell>
          <cell r="I1665">
            <v>0</v>
          </cell>
          <cell r="J1665">
            <v>0</v>
          </cell>
          <cell r="K1665">
            <v>0</v>
          </cell>
          <cell r="L1665">
            <v>0</v>
          </cell>
          <cell r="M1665">
            <v>0</v>
          </cell>
          <cell r="N1665">
            <v>0</v>
          </cell>
          <cell r="O1665">
            <v>0</v>
          </cell>
          <cell r="P1665">
            <v>0</v>
          </cell>
          <cell r="Q1665">
            <v>0</v>
          </cell>
          <cell r="R1665">
            <v>0</v>
          </cell>
          <cell r="S1665">
            <v>0</v>
          </cell>
          <cell r="T1665">
            <v>0</v>
          </cell>
          <cell r="U1665" t="e">
            <v>#N/A</v>
          </cell>
        </row>
        <row r="1666">
          <cell r="A1666">
            <v>1001660</v>
          </cell>
          <cell r="B1666" t="str">
            <v>Frecuencímetro Panel Digital 220V 72x72</v>
          </cell>
          <cell r="D1666">
            <v>6023</v>
          </cell>
          <cell r="E1666">
            <v>1000</v>
          </cell>
          <cell r="F1666" t="str">
            <v>ZALM</v>
          </cell>
          <cell r="G1666" t="str">
            <v>UN</v>
          </cell>
          <cell r="H1666" t="str">
            <v>DOP</v>
          </cell>
          <cell r="I1666">
            <v>0</v>
          </cell>
          <cell r="J1666">
            <v>0</v>
          </cell>
          <cell r="K1666">
            <v>0</v>
          </cell>
          <cell r="L1666">
            <v>0</v>
          </cell>
          <cell r="M1666">
            <v>0</v>
          </cell>
          <cell r="N1666">
            <v>0</v>
          </cell>
          <cell r="O1666">
            <v>0</v>
          </cell>
          <cell r="P1666">
            <v>0</v>
          </cell>
          <cell r="Q1666">
            <v>0</v>
          </cell>
          <cell r="R1666">
            <v>0</v>
          </cell>
          <cell r="S1666">
            <v>0</v>
          </cell>
          <cell r="T1666">
            <v>0</v>
          </cell>
          <cell r="U1666" t="e">
            <v>#N/A</v>
          </cell>
        </row>
        <row r="1667">
          <cell r="A1667">
            <v>1001661</v>
          </cell>
          <cell r="B1667" t="str">
            <v>Kilovoltímetro Digital Rango 0-40kV</v>
          </cell>
          <cell r="D1667">
            <v>6023</v>
          </cell>
          <cell r="E1667">
            <v>1000</v>
          </cell>
          <cell r="F1667" t="str">
            <v>ZALM</v>
          </cell>
          <cell r="G1667" t="str">
            <v>UN</v>
          </cell>
          <cell r="H1667" t="str">
            <v>DOP</v>
          </cell>
          <cell r="I1667">
            <v>0</v>
          </cell>
          <cell r="J1667">
            <v>0</v>
          </cell>
          <cell r="K1667">
            <v>0</v>
          </cell>
          <cell r="L1667">
            <v>0</v>
          </cell>
          <cell r="M1667">
            <v>0</v>
          </cell>
          <cell r="N1667">
            <v>0</v>
          </cell>
          <cell r="O1667">
            <v>0</v>
          </cell>
          <cell r="P1667">
            <v>0</v>
          </cell>
          <cell r="Q1667">
            <v>0</v>
          </cell>
          <cell r="R1667">
            <v>0</v>
          </cell>
          <cell r="S1667">
            <v>0</v>
          </cell>
          <cell r="T1667">
            <v>0</v>
          </cell>
          <cell r="U1667" t="e">
            <v>#N/A</v>
          </cell>
        </row>
        <row r="1668">
          <cell r="A1668">
            <v>1001662</v>
          </cell>
          <cell r="B1668" t="str">
            <v>Lente P/ Cámara Term T-400 15ºIR f=30mm</v>
          </cell>
          <cell r="D1668">
            <v>6023</v>
          </cell>
          <cell r="E1668">
            <v>1000</v>
          </cell>
          <cell r="F1668" t="str">
            <v>ZALM</v>
          </cell>
          <cell r="G1668" t="str">
            <v>UN</v>
          </cell>
          <cell r="H1668" t="str">
            <v>DOP</v>
          </cell>
          <cell r="I1668">
            <v>0</v>
          </cell>
          <cell r="J1668">
            <v>0</v>
          </cell>
          <cell r="K1668">
            <v>0</v>
          </cell>
          <cell r="L1668">
            <v>0</v>
          </cell>
          <cell r="M1668">
            <v>0</v>
          </cell>
          <cell r="N1668">
            <v>0</v>
          </cell>
          <cell r="O1668">
            <v>0</v>
          </cell>
          <cell r="P1668">
            <v>0</v>
          </cell>
          <cell r="Q1668">
            <v>0</v>
          </cell>
          <cell r="R1668">
            <v>0</v>
          </cell>
          <cell r="S1668">
            <v>0</v>
          </cell>
          <cell r="T1668">
            <v>0</v>
          </cell>
          <cell r="U1668" t="e">
            <v>#N/A</v>
          </cell>
        </row>
        <row r="1669">
          <cell r="A1669">
            <v>1001663</v>
          </cell>
          <cell r="B1669" t="str">
            <v>Lente P/ Cámara Thermo Cam P60</v>
          </cell>
          <cell r="D1669">
            <v>6023</v>
          </cell>
          <cell r="E1669">
            <v>1000</v>
          </cell>
          <cell r="F1669" t="str">
            <v>ZALM</v>
          </cell>
          <cell r="G1669" t="str">
            <v>UN</v>
          </cell>
          <cell r="H1669" t="str">
            <v>DOP</v>
          </cell>
          <cell r="I1669">
            <v>0</v>
          </cell>
          <cell r="J1669">
            <v>0</v>
          </cell>
          <cell r="K1669">
            <v>0</v>
          </cell>
          <cell r="L1669">
            <v>0</v>
          </cell>
          <cell r="M1669">
            <v>0</v>
          </cell>
          <cell r="N1669">
            <v>0</v>
          </cell>
          <cell r="O1669">
            <v>0</v>
          </cell>
          <cell r="P1669">
            <v>0</v>
          </cell>
          <cell r="Q1669">
            <v>0</v>
          </cell>
          <cell r="R1669">
            <v>0</v>
          </cell>
          <cell r="S1669">
            <v>0</v>
          </cell>
          <cell r="T1669">
            <v>0</v>
          </cell>
          <cell r="U1669" t="e">
            <v>#N/A</v>
          </cell>
        </row>
        <row r="1670">
          <cell r="A1670">
            <v>1001664</v>
          </cell>
          <cell r="B1670" t="str">
            <v>Localizador Fallas Cables Subterr C/ Bat</v>
          </cell>
          <cell r="D1670">
            <v>6023</v>
          </cell>
          <cell r="E1670">
            <v>1000</v>
          </cell>
          <cell r="F1670" t="str">
            <v>ZALM</v>
          </cell>
          <cell r="G1670" t="str">
            <v>UN</v>
          </cell>
          <cell r="H1670" t="str">
            <v>DOP</v>
          </cell>
          <cell r="I1670">
            <v>1</v>
          </cell>
          <cell r="J1670">
            <v>90622.58</v>
          </cell>
          <cell r="K1670">
            <v>0</v>
          </cell>
          <cell r="L1670">
            <v>0</v>
          </cell>
          <cell r="M1670">
            <v>0</v>
          </cell>
          <cell r="N1670">
            <v>0</v>
          </cell>
          <cell r="O1670">
            <v>0</v>
          </cell>
          <cell r="P1670">
            <v>0</v>
          </cell>
          <cell r="Q1670">
            <v>0</v>
          </cell>
          <cell r="R1670">
            <v>0</v>
          </cell>
          <cell r="S1670">
            <v>1</v>
          </cell>
          <cell r="T1670">
            <v>90622.58</v>
          </cell>
          <cell r="U1670">
            <v>90622.58</v>
          </cell>
        </row>
        <row r="1671">
          <cell r="A1671">
            <v>1001665</v>
          </cell>
          <cell r="B1671" t="str">
            <v>Med Aisl AT C/ Estu/ Cab.Cat.Metris</v>
          </cell>
          <cell r="D1671">
            <v>6023</v>
          </cell>
          <cell r="E1671">
            <v>1000</v>
          </cell>
          <cell r="F1671" t="str">
            <v>ZALM</v>
          </cell>
          <cell r="G1671" t="str">
            <v>UN</v>
          </cell>
          <cell r="H1671" t="str">
            <v>DOP</v>
          </cell>
          <cell r="I1671">
            <v>0</v>
          </cell>
          <cell r="J1671">
            <v>0</v>
          </cell>
          <cell r="K1671">
            <v>0</v>
          </cell>
          <cell r="L1671">
            <v>0</v>
          </cell>
          <cell r="M1671">
            <v>0</v>
          </cell>
          <cell r="N1671">
            <v>0</v>
          </cell>
          <cell r="O1671">
            <v>0</v>
          </cell>
          <cell r="P1671">
            <v>0</v>
          </cell>
          <cell r="Q1671">
            <v>0</v>
          </cell>
          <cell r="R1671">
            <v>0</v>
          </cell>
          <cell r="S1671">
            <v>0</v>
          </cell>
          <cell r="T1671">
            <v>0</v>
          </cell>
          <cell r="U1671" t="e">
            <v>#N/A</v>
          </cell>
        </row>
        <row r="1672">
          <cell r="A1672">
            <v>1001666</v>
          </cell>
          <cell r="B1672" t="str">
            <v>Med C/ Agua Enaceitado CAT.MK</v>
          </cell>
          <cell r="D1672">
            <v>6023</v>
          </cell>
          <cell r="E1672">
            <v>1000</v>
          </cell>
          <cell r="F1672" t="str">
            <v>ZALM</v>
          </cell>
          <cell r="G1672" t="str">
            <v>UN</v>
          </cell>
          <cell r="H1672" t="str">
            <v>DOP</v>
          </cell>
          <cell r="I1672">
            <v>0</v>
          </cell>
          <cell r="J1672">
            <v>0</v>
          </cell>
          <cell r="K1672">
            <v>0</v>
          </cell>
          <cell r="L1672">
            <v>0</v>
          </cell>
          <cell r="M1672">
            <v>0</v>
          </cell>
          <cell r="N1672">
            <v>0</v>
          </cell>
          <cell r="O1672">
            <v>0</v>
          </cell>
          <cell r="P1672">
            <v>0</v>
          </cell>
          <cell r="Q1672">
            <v>0</v>
          </cell>
          <cell r="R1672">
            <v>0</v>
          </cell>
          <cell r="S1672">
            <v>0</v>
          </cell>
          <cell r="T1672">
            <v>0</v>
          </cell>
          <cell r="U1672" t="e">
            <v>#N/A</v>
          </cell>
        </row>
        <row r="1673">
          <cell r="A1673">
            <v>1001667</v>
          </cell>
          <cell r="B1673" t="str">
            <v>Medidor de Corriente de Fuga Dig 70kV DC</v>
          </cell>
          <cell r="D1673">
            <v>6023</v>
          </cell>
          <cell r="E1673">
            <v>1000</v>
          </cell>
          <cell r="F1673" t="str">
            <v>ZALM</v>
          </cell>
          <cell r="G1673" t="str">
            <v>UN</v>
          </cell>
          <cell r="H1673" t="str">
            <v>DOP</v>
          </cell>
          <cell r="I1673">
            <v>0</v>
          </cell>
          <cell r="J1673">
            <v>0</v>
          </cell>
          <cell r="K1673">
            <v>0</v>
          </cell>
          <cell r="L1673">
            <v>0</v>
          </cell>
          <cell r="M1673">
            <v>0</v>
          </cell>
          <cell r="N1673">
            <v>0</v>
          </cell>
          <cell r="O1673">
            <v>0</v>
          </cell>
          <cell r="P1673">
            <v>0</v>
          </cell>
          <cell r="Q1673">
            <v>0</v>
          </cell>
          <cell r="R1673">
            <v>0</v>
          </cell>
          <cell r="S1673">
            <v>0</v>
          </cell>
          <cell r="T1673">
            <v>0</v>
          </cell>
          <cell r="U1673" t="e">
            <v>#N/A</v>
          </cell>
        </row>
        <row r="1674">
          <cell r="A1674">
            <v>1001668</v>
          </cell>
          <cell r="B1674" t="str">
            <v>Medidor de Resistencia 10Amp</v>
          </cell>
          <cell r="D1674">
            <v>6023</v>
          </cell>
          <cell r="E1674">
            <v>1000</v>
          </cell>
          <cell r="F1674" t="str">
            <v>ZALM</v>
          </cell>
          <cell r="G1674" t="str">
            <v>UN</v>
          </cell>
          <cell r="H1674" t="str">
            <v>DOP</v>
          </cell>
          <cell r="I1674">
            <v>0</v>
          </cell>
          <cell r="J1674">
            <v>0</v>
          </cell>
          <cell r="K1674">
            <v>0</v>
          </cell>
          <cell r="L1674">
            <v>0</v>
          </cell>
          <cell r="M1674">
            <v>0</v>
          </cell>
          <cell r="N1674">
            <v>0</v>
          </cell>
          <cell r="O1674">
            <v>0</v>
          </cell>
          <cell r="P1674">
            <v>0</v>
          </cell>
          <cell r="Q1674">
            <v>0</v>
          </cell>
          <cell r="R1674">
            <v>0</v>
          </cell>
          <cell r="S1674">
            <v>0</v>
          </cell>
          <cell r="T1674">
            <v>0</v>
          </cell>
          <cell r="U1674" t="e">
            <v>#N/A</v>
          </cell>
        </row>
        <row r="1675">
          <cell r="A1675">
            <v>1001669</v>
          </cell>
          <cell r="B1675" t="str">
            <v>Medidor de Tierra de Manivela</v>
          </cell>
          <cell r="D1675">
            <v>6023</v>
          </cell>
          <cell r="E1675">
            <v>1000</v>
          </cell>
          <cell r="F1675" t="str">
            <v>ZALM</v>
          </cell>
          <cell r="G1675" t="str">
            <v>UN</v>
          </cell>
          <cell r="H1675" t="str">
            <v>DOP</v>
          </cell>
          <cell r="I1675">
            <v>0</v>
          </cell>
          <cell r="J1675">
            <v>0</v>
          </cell>
          <cell r="K1675">
            <v>0</v>
          </cell>
          <cell r="L1675">
            <v>0</v>
          </cell>
          <cell r="M1675">
            <v>0</v>
          </cell>
          <cell r="N1675">
            <v>0</v>
          </cell>
          <cell r="O1675">
            <v>0</v>
          </cell>
          <cell r="P1675">
            <v>0</v>
          </cell>
          <cell r="Q1675">
            <v>0</v>
          </cell>
          <cell r="R1675">
            <v>0</v>
          </cell>
          <cell r="S1675">
            <v>0</v>
          </cell>
          <cell r="T1675">
            <v>0</v>
          </cell>
          <cell r="U1675" t="e">
            <v>#N/A</v>
          </cell>
        </row>
        <row r="1676">
          <cell r="A1676">
            <v>1001670</v>
          </cell>
          <cell r="B1676" t="str">
            <v>Medidor Esc Rotativ Amprobe Analg C/ Est</v>
          </cell>
          <cell r="D1676">
            <v>6023</v>
          </cell>
          <cell r="E1676">
            <v>1000</v>
          </cell>
          <cell r="F1676" t="str">
            <v>ZALM</v>
          </cell>
          <cell r="G1676" t="str">
            <v>UN</v>
          </cell>
          <cell r="H1676" t="str">
            <v>DOP</v>
          </cell>
          <cell r="I1676">
            <v>4</v>
          </cell>
          <cell r="J1676">
            <v>4</v>
          </cell>
          <cell r="K1676">
            <v>0</v>
          </cell>
          <cell r="L1676">
            <v>0</v>
          </cell>
          <cell r="M1676">
            <v>0</v>
          </cell>
          <cell r="N1676">
            <v>0</v>
          </cell>
          <cell r="O1676">
            <v>0</v>
          </cell>
          <cell r="P1676">
            <v>0</v>
          </cell>
          <cell r="Q1676">
            <v>0</v>
          </cell>
          <cell r="R1676">
            <v>0</v>
          </cell>
          <cell r="S1676">
            <v>4</v>
          </cell>
          <cell r="T1676">
            <v>4</v>
          </cell>
          <cell r="U1676">
            <v>1</v>
          </cell>
        </row>
        <row r="1677">
          <cell r="A1677">
            <v>1001671</v>
          </cell>
          <cell r="B1677" t="str">
            <v>Medidor Estado Solido Multiuncionario</v>
          </cell>
          <cell r="D1677">
            <v>6023</v>
          </cell>
          <cell r="E1677">
            <v>1000</v>
          </cell>
          <cell r="F1677" t="str">
            <v>ZALM</v>
          </cell>
          <cell r="G1677" t="str">
            <v>UN</v>
          </cell>
          <cell r="H1677" t="str">
            <v>DOP</v>
          </cell>
          <cell r="I1677">
            <v>0</v>
          </cell>
          <cell r="J1677">
            <v>0</v>
          </cell>
          <cell r="K1677">
            <v>0</v>
          </cell>
          <cell r="L1677">
            <v>0</v>
          </cell>
          <cell r="M1677">
            <v>0</v>
          </cell>
          <cell r="N1677">
            <v>0</v>
          </cell>
          <cell r="O1677">
            <v>0</v>
          </cell>
          <cell r="P1677">
            <v>0</v>
          </cell>
          <cell r="Q1677">
            <v>0</v>
          </cell>
          <cell r="R1677">
            <v>0</v>
          </cell>
          <cell r="S1677">
            <v>0</v>
          </cell>
          <cell r="T1677">
            <v>0</v>
          </cell>
          <cell r="U1677" t="e">
            <v>#N/A</v>
          </cell>
        </row>
        <row r="1678">
          <cell r="A1678">
            <v>1001672</v>
          </cell>
          <cell r="B1678" t="str">
            <v>Medidor P/ Tierra C/ Maleta S/ Tambor</v>
          </cell>
          <cell r="D1678">
            <v>6023</v>
          </cell>
          <cell r="E1678">
            <v>1000</v>
          </cell>
          <cell r="F1678" t="str">
            <v>ZALM</v>
          </cell>
          <cell r="G1678" t="str">
            <v>UN</v>
          </cell>
          <cell r="H1678" t="str">
            <v>DOP</v>
          </cell>
          <cell r="I1678">
            <v>0</v>
          </cell>
          <cell r="J1678">
            <v>0</v>
          </cell>
          <cell r="K1678">
            <v>0</v>
          </cell>
          <cell r="L1678">
            <v>0</v>
          </cell>
          <cell r="M1678">
            <v>0</v>
          </cell>
          <cell r="N1678">
            <v>0</v>
          </cell>
          <cell r="O1678">
            <v>0</v>
          </cell>
          <cell r="P1678">
            <v>0</v>
          </cell>
          <cell r="Q1678">
            <v>0</v>
          </cell>
          <cell r="R1678">
            <v>0</v>
          </cell>
          <cell r="S1678">
            <v>0</v>
          </cell>
          <cell r="T1678">
            <v>0</v>
          </cell>
          <cell r="U1678" t="e">
            <v>#N/A</v>
          </cell>
        </row>
        <row r="1679">
          <cell r="A1679">
            <v>1001673</v>
          </cell>
          <cell r="B1679" t="str">
            <v>Medidor Resist Tierra Transm Distribuc</v>
          </cell>
          <cell r="D1679">
            <v>6023</v>
          </cell>
          <cell r="E1679">
            <v>1000</v>
          </cell>
          <cell r="F1679" t="str">
            <v>ZALM</v>
          </cell>
          <cell r="G1679" t="str">
            <v>UN</v>
          </cell>
          <cell r="H1679" t="str">
            <v>DOP</v>
          </cell>
          <cell r="I1679">
            <v>0</v>
          </cell>
          <cell r="J1679">
            <v>0</v>
          </cell>
          <cell r="K1679">
            <v>0</v>
          </cell>
          <cell r="L1679">
            <v>0</v>
          </cell>
          <cell r="M1679">
            <v>0</v>
          </cell>
          <cell r="N1679">
            <v>0</v>
          </cell>
          <cell r="O1679">
            <v>0</v>
          </cell>
          <cell r="P1679">
            <v>0</v>
          </cell>
          <cell r="Q1679">
            <v>0</v>
          </cell>
          <cell r="R1679">
            <v>0</v>
          </cell>
          <cell r="S1679">
            <v>0</v>
          </cell>
          <cell r="T1679">
            <v>0</v>
          </cell>
          <cell r="U1679" t="e">
            <v>#N/A</v>
          </cell>
        </row>
        <row r="1680">
          <cell r="A1680">
            <v>1001674</v>
          </cell>
          <cell r="B1680" t="str">
            <v>Mega Onmio Mad. 5000 N/5100/5110</v>
          </cell>
          <cell r="D1680">
            <v>6023</v>
          </cell>
          <cell r="E1680">
            <v>1000</v>
          </cell>
          <cell r="F1680" t="str">
            <v>ZALM</v>
          </cell>
          <cell r="G1680" t="str">
            <v>UN</v>
          </cell>
          <cell r="H1680" t="str">
            <v>DOP</v>
          </cell>
          <cell r="I1680">
            <v>0</v>
          </cell>
          <cell r="J1680">
            <v>0</v>
          </cell>
          <cell r="K1680">
            <v>0</v>
          </cell>
          <cell r="L1680">
            <v>0</v>
          </cell>
          <cell r="M1680">
            <v>0</v>
          </cell>
          <cell r="N1680">
            <v>0</v>
          </cell>
          <cell r="O1680">
            <v>0</v>
          </cell>
          <cell r="P1680">
            <v>0</v>
          </cell>
          <cell r="Q1680">
            <v>0</v>
          </cell>
          <cell r="R1680">
            <v>0</v>
          </cell>
          <cell r="S1680">
            <v>0</v>
          </cell>
          <cell r="T1680">
            <v>0</v>
          </cell>
          <cell r="U1680" t="e">
            <v>#N/A</v>
          </cell>
        </row>
        <row r="1681">
          <cell r="A1681">
            <v>1001675</v>
          </cell>
          <cell r="B1681" t="str">
            <v>Megometro 1000 Voltios</v>
          </cell>
          <cell r="D1681">
            <v>6023</v>
          </cell>
          <cell r="E1681">
            <v>1000</v>
          </cell>
          <cell r="F1681" t="str">
            <v>ZALM</v>
          </cell>
          <cell r="G1681" t="str">
            <v>UN</v>
          </cell>
          <cell r="H1681" t="str">
            <v>DOP</v>
          </cell>
          <cell r="I1681">
            <v>0</v>
          </cell>
          <cell r="J1681">
            <v>0</v>
          </cell>
          <cell r="K1681">
            <v>0</v>
          </cell>
          <cell r="L1681">
            <v>0</v>
          </cell>
          <cell r="M1681">
            <v>0</v>
          </cell>
          <cell r="N1681">
            <v>0</v>
          </cell>
          <cell r="O1681">
            <v>0</v>
          </cell>
          <cell r="P1681">
            <v>0</v>
          </cell>
          <cell r="Q1681">
            <v>0</v>
          </cell>
          <cell r="R1681">
            <v>0</v>
          </cell>
          <cell r="S1681">
            <v>0</v>
          </cell>
          <cell r="T1681">
            <v>0</v>
          </cell>
          <cell r="U1681" t="e">
            <v>#N/A</v>
          </cell>
        </row>
        <row r="1682">
          <cell r="A1682">
            <v>1001676</v>
          </cell>
          <cell r="B1682" t="str">
            <v>Meter Evaluator &amp; Tester Ring Style</v>
          </cell>
          <cell r="D1682">
            <v>6023</v>
          </cell>
          <cell r="E1682">
            <v>1000</v>
          </cell>
          <cell r="F1682" t="str">
            <v>ZALM</v>
          </cell>
          <cell r="G1682" t="str">
            <v>UN</v>
          </cell>
          <cell r="H1682" t="str">
            <v>DOP</v>
          </cell>
          <cell r="I1682">
            <v>0</v>
          </cell>
          <cell r="J1682">
            <v>0</v>
          </cell>
          <cell r="K1682">
            <v>0</v>
          </cell>
          <cell r="L1682">
            <v>0</v>
          </cell>
          <cell r="M1682">
            <v>0</v>
          </cell>
          <cell r="N1682">
            <v>0</v>
          </cell>
          <cell r="O1682">
            <v>0</v>
          </cell>
          <cell r="P1682">
            <v>0</v>
          </cell>
          <cell r="Q1682">
            <v>0</v>
          </cell>
          <cell r="R1682">
            <v>0</v>
          </cell>
          <cell r="S1682">
            <v>0</v>
          </cell>
          <cell r="T1682">
            <v>0</v>
          </cell>
          <cell r="U1682" t="e">
            <v>#N/A</v>
          </cell>
        </row>
        <row r="1683">
          <cell r="A1683">
            <v>1001677</v>
          </cell>
          <cell r="B1683" t="str">
            <v>Multi-Tester</v>
          </cell>
          <cell r="D1683">
            <v>6023</v>
          </cell>
          <cell r="E1683">
            <v>1000</v>
          </cell>
          <cell r="F1683" t="str">
            <v>ZALM</v>
          </cell>
          <cell r="G1683" t="str">
            <v>UN</v>
          </cell>
          <cell r="H1683" t="str">
            <v>DOP</v>
          </cell>
          <cell r="I1683">
            <v>0</v>
          </cell>
          <cell r="J1683">
            <v>0</v>
          </cell>
          <cell r="K1683">
            <v>0</v>
          </cell>
          <cell r="L1683">
            <v>0</v>
          </cell>
          <cell r="M1683">
            <v>0</v>
          </cell>
          <cell r="N1683">
            <v>0</v>
          </cell>
          <cell r="O1683">
            <v>0</v>
          </cell>
          <cell r="P1683">
            <v>0</v>
          </cell>
          <cell r="Q1683">
            <v>0</v>
          </cell>
          <cell r="R1683">
            <v>0</v>
          </cell>
          <cell r="S1683">
            <v>0</v>
          </cell>
          <cell r="T1683">
            <v>0</v>
          </cell>
          <cell r="U1683" t="e">
            <v>#N/A</v>
          </cell>
        </row>
        <row r="1684">
          <cell r="A1684">
            <v>1001678</v>
          </cell>
          <cell r="B1684" t="str">
            <v>Multi-Tester AC 44-1200-200A FLK-0028</v>
          </cell>
          <cell r="D1684">
            <v>6023</v>
          </cell>
          <cell r="E1684">
            <v>1000</v>
          </cell>
          <cell r="F1684" t="str">
            <v>ZALM</v>
          </cell>
          <cell r="G1684" t="str">
            <v>UN</v>
          </cell>
          <cell r="H1684" t="str">
            <v>DOP</v>
          </cell>
          <cell r="I1684">
            <v>0</v>
          </cell>
          <cell r="J1684">
            <v>0</v>
          </cell>
          <cell r="K1684">
            <v>0</v>
          </cell>
          <cell r="L1684">
            <v>0</v>
          </cell>
          <cell r="M1684">
            <v>0</v>
          </cell>
          <cell r="N1684">
            <v>0</v>
          </cell>
          <cell r="O1684">
            <v>0</v>
          </cell>
          <cell r="P1684">
            <v>0</v>
          </cell>
          <cell r="Q1684">
            <v>0</v>
          </cell>
          <cell r="R1684">
            <v>0</v>
          </cell>
          <cell r="S1684">
            <v>0</v>
          </cell>
          <cell r="T1684">
            <v>0</v>
          </cell>
          <cell r="U1684" t="e">
            <v>#N/A</v>
          </cell>
        </row>
        <row r="1685">
          <cell r="A1685">
            <v>1001679</v>
          </cell>
          <cell r="B1685" t="str">
            <v>Multi-Tester Analogo</v>
          </cell>
          <cell r="D1685">
            <v>6023</v>
          </cell>
          <cell r="E1685">
            <v>1000</v>
          </cell>
          <cell r="F1685" t="str">
            <v>ZALM</v>
          </cell>
          <cell r="G1685" t="str">
            <v>UN</v>
          </cell>
          <cell r="H1685" t="str">
            <v>DOP</v>
          </cell>
          <cell r="I1685">
            <v>0</v>
          </cell>
          <cell r="J1685">
            <v>0</v>
          </cell>
          <cell r="K1685">
            <v>0</v>
          </cell>
          <cell r="L1685">
            <v>0</v>
          </cell>
          <cell r="M1685">
            <v>0</v>
          </cell>
          <cell r="N1685">
            <v>0</v>
          </cell>
          <cell r="O1685">
            <v>0</v>
          </cell>
          <cell r="P1685">
            <v>0</v>
          </cell>
          <cell r="Q1685">
            <v>0</v>
          </cell>
          <cell r="R1685">
            <v>0</v>
          </cell>
          <cell r="S1685">
            <v>0</v>
          </cell>
          <cell r="T1685">
            <v>0</v>
          </cell>
          <cell r="U1685" t="e">
            <v>#N/A</v>
          </cell>
        </row>
        <row r="1686">
          <cell r="A1686">
            <v>1001680</v>
          </cell>
          <cell r="B1686" t="str">
            <v>Multi-tester Digital 1000A 750V</v>
          </cell>
          <cell r="D1686">
            <v>6023</v>
          </cell>
          <cell r="E1686">
            <v>1000</v>
          </cell>
          <cell r="F1686" t="str">
            <v>ZALM</v>
          </cell>
          <cell r="G1686" t="str">
            <v>UN</v>
          </cell>
          <cell r="H1686" t="str">
            <v>DOP</v>
          </cell>
          <cell r="I1686">
            <v>0</v>
          </cell>
          <cell r="J1686">
            <v>0</v>
          </cell>
          <cell r="K1686">
            <v>0</v>
          </cell>
          <cell r="L1686">
            <v>0</v>
          </cell>
          <cell r="M1686">
            <v>0</v>
          </cell>
          <cell r="N1686">
            <v>0</v>
          </cell>
          <cell r="O1686">
            <v>0</v>
          </cell>
          <cell r="P1686">
            <v>0</v>
          </cell>
          <cell r="Q1686">
            <v>0</v>
          </cell>
          <cell r="R1686">
            <v>0</v>
          </cell>
          <cell r="S1686">
            <v>0</v>
          </cell>
          <cell r="T1686">
            <v>0</v>
          </cell>
          <cell r="U1686" t="e">
            <v>#N/A</v>
          </cell>
        </row>
        <row r="1687">
          <cell r="A1687">
            <v>1001681</v>
          </cell>
          <cell r="B1687" t="str">
            <v>Multi-Tester Digital Fluke Serie 83 III</v>
          </cell>
          <cell r="D1687">
            <v>6023</v>
          </cell>
          <cell r="E1687">
            <v>1000</v>
          </cell>
          <cell r="F1687" t="str">
            <v>ZALM</v>
          </cell>
          <cell r="G1687" t="str">
            <v>UN</v>
          </cell>
          <cell r="H1687" t="str">
            <v>DOP</v>
          </cell>
          <cell r="I1687">
            <v>0</v>
          </cell>
          <cell r="J1687">
            <v>0</v>
          </cell>
          <cell r="K1687">
            <v>0</v>
          </cell>
          <cell r="L1687">
            <v>0</v>
          </cell>
          <cell r="M1687">
            <v>0</v>
          </cell>
          <cell r="N1687">
            <v>0</v>
          </cell>
          <cell r="O1687">
            <v>0</v>
          </cell>
          <cell r="P1687">
            <v>0</v>
          </cell>
          <cell r="Q1687">
            <v>0</v>
          </cell>
          <cell r="R1687">
            <v>0</v>
          </cell>
          <cell r="S1687">
            <v>0</v>
          </cell>
          <cell r="T1687">
            <v>0</v>
          </cell>
          <cell r="U1687" t="e">
            <v>#N/A</v>
          </cell>
        </row>
        <row r="1688">
          <cell r="A1688">
            <v>1001682</v>
          </cell>
          <cell r="B1688" t="str">
            <v>Odometro Chicago</v>
          </cell>
          <cell r="D1688">
            <v>6023</v>
          </cell>
          <cell r="E1688">
            <v>1000</v>
          </cell>
          <cell r="F1688" t="str">
            <v>ZALM</v>
          </cell>
          <cell r="G1688" t="str">
            <v>UN</v>
          </cell>
          <cell r="H1688" t="str">
            <v>DOP</v>
          </cell>
          <cell r="I1688">
            <v>0</v>
          </cell>
          <cell r="J1688">
            <v>0</v>
          </cell>
          <cell r="K1688">
            <v>0</v>
          </cell>
          <cell r="L1688">
            <v>0</v>
          </cell>
          <cell r="M1688">
            <v>0</v>
          </cell>
          <cell r="N1688">
            <v>0</v>
          </cell>
          <cell r="O1688">
            <v>0</v>
          </cell>
          <cell r="P1688">
            <v>0</v>
          </cell>
          <cell r="Q1688">
            <v>0</v>
          </cell>
          <cell r="R1688">
            <v>0</v>
          </cell>
          <cell r="S1688">
            <v>0</v>
          </cell>
          <cell r="T1688">
            <v>0</v>
          </cell>
          <cell r="U1688" t="e">
            <v>#N/A</v>
          </cell>
        </row>
        <row r="1689">
          <cell r="A1689">
            <v>1001683</v>
          </cell>
          <cell r="B1689" t="str">
            <v>Odómetro Fijo P/ Medición Dist Lineales</v>
          </cell>
          <cell r="D1689">
            <v>6023</v>
          </cell>
          <cell r="E1689">
            <v>1000</v>
          </cell>
          <cell r="F1689" t="str">
            <v>ZALM</v>
          </cell>
          <cell r="G1689" t="str">
            <v>UN</v>
          </cell>
          <cell r="H1689" t="str">
            <v>DOP</v>
          </cell>
          <cell r="I1689">
            <v>0</v>
          </cell>
          <cell r="J1689">
            <v>0</v>
          </cell>
          <cell r="K1689">
            <v>0</v>
          </cell>
          <cell r="L1689">
            <v>0</v>
          </cell>
          <cell r="M1689">
            <v>0</v>
          </cell>
          <cell r="N1689">
            <v>0</v>
          </cell>
          <cell r="O1689">
            <v>0</v>
          </cell>
          <cell r="P1689">
            <v>0</v>
          </cell>
          <cell r="Q1689">
            <v>0</v>
          </cell>
          <cell r="R1689">
            <v>0</v>
          </cell>
          <cell r="S1689">
            <v>0</v>
          </cell>
          <cell r="T1689">
            <v>0</v>
          </cell>
          <cell r="U1689" t="e">
            <v>#N/A</v>
          </cell>
        </row>
        <row r="1690">
          <cell r="A1690">
            <v>1001684</v>
          </cell>
          <cell r="B1690" t="str">
            <v>Odómetro Móvil P/ Medición Dist Lineales</v>
          </cell>
          <cell r="D1690">
            <v>6023</v>
          </cell>
          <cell r="E1690">
            <v>1000</v>
          </cell>
          <cell r="F1690" t="str">
            <v>ZALM</v>
          </cell>
          <cell r="G1690" t="str">
            <v>UN</v>
          </cell>
          <cell r="H1690" t="str">
            <v>DOP</v>
          </cell>
          <cell r="I1690">
            <v>0</v>
          </cell>
          <cell r="J1690">
            <v>0</v>
          </cell>
          <cell r="K1690">
            <v>0</v>
          </cell>
          <cell r="L1690">
            <v>0</v>
          </cell>
          <cell r="M1690">
            <v>0</v>
          </cell>
          <cell r="N1690">
            <v>0</v>
          </cell>
          <cell r="O1690">
            <v>0</v>
          </cell>
          <cell r="P1690">
            <v>0</v>
          </cell>
          <cell r="Q1690">
            <v>0</v>
          </cell>
          <cell r="R1690">
            <v>0</v>
          </cell>
          <cell r="S1690">
            <v>0</v>
          </cell>
          <cell r="T1690">
            <v>0</v>
          </cell>
          <cell r="U1690" t="e">
            <v>#N/A</v>
          </cell>
        </row>
        <row r="1691">
          <cell r="A1691">
            <v>1001685</v>
          </cell>
          <cell r="B1691" t="str">
            <v>Odometro Yamayo</v>
          </cell>
          <cell r="D1691">
            <v>6023</v>
          </cell>
          <cell r="E1691">
            <v>1000</v>
          </cell>
          <cell r="F1691" t="str">
            <v>ZALM</v>
          </cell>
          <cell r="G1691" t="str">
            <v>UN</v>
          </cell>
          <cell r="H1691" t="str">
            <v>DOP</v>
          </cell>
          <cell r="I1691">
            <v>0</v>
          </cell>
          <cell r="J1691">
            <v>0</v>
          </cell>
          <cell r="K1691">
            <v>0</v>
          </cell>
          <cell r="L1691">
            <v>0</v>
          </cell>
          <cell r="M1691">
            <v>0</v>
          </cell>
          <cell r="N1691">
            <v>0</v>
          </cell>
          <cell r="O1691">
            <v>0</v>
          </cell>
          <cell r="P1691">
            <v>0</v>
          </cell>
          <cell r="Q1691">
            <v>0</v>
          </cell>
          <cell r="R1691">
            <v>0</v>
          </cell>
          <cell r="S1691">
            <v>0</v>
          </cell>
          <cell r="T1691">
            <v>0</v>
          </cell>
          <cell r="U1691" t="e">
            <v>#N/A</v>
          </cell>
        </row>
        <row r="1692">
          <cell r="A1692">
            <v>1001686</v>
          </cell>
          <cell r="B1692" t="str">
            <v>Osciloscopio Dig 60 150 250MHz Pant LCD</v>
          </cell>
          <cell r="D1692">
            <v>6023</v>
          </cell>
          <cell r="E1692">
            <v>1000</v>
          </cell>
          <cell r="F1692" t="str">
            <v>ZALM</v>
          </cell>
          <cell r="G1692" t="str">
            <v>UN</v>
          </cell>
          <cell r="H1692" t="str">
            <v>DOP</v>
          </cell>
          <cell r="I1692">
            <v>0</v>
          </cell>
          <cell r="J1692">
            <v>0</v>
          </cell>
          <cell r="K1692">
            <v>0</v>
          </cell>
          <cell r="L1692">
            <v>0</v>
          </cell>
          <cell r="M1692">
            <v>0</v>
          </cell>
          <cell r="N1692">
            <v>0</v>
          </cell>
          <cell r="O1692">
            <v>0</v>
          </cell>
          <cell r="P1692">
            <v>0</v>
          </cell>
          <cell r="Q1692">
            <v>0</v>
          </cell>
          <cell r="R1692">
            <v>0</v>
          </cell>
          <cell r="S1692">
            <v>0</v>
          </cell>
          <cell r="T1692">
            <v>0</v>
          </cell>
          <cell r="U1692" t="e">
            <v>#N/A</v>
          </cell>
        </row>
        <row r="1693">
          <cell r="A1693">
            <v>1001687</v>
          </cell>
          <cell r="B1693" t="str">
            <v>Pinza Amperim 250/ 5A 480VABMC AC</v>
          </cell>
          <cell r="D1693">
            <v>6023</v>
          </cell>
          <cell r="E1693">
            <v>1000</v>
          </cell>
          <cell r="F1693" t="str">
            <v>ZALM</v>
          </cell>
          <cell r="G1693" t="str">
            <v>UN</v>
          </cell>
          <cell r="H1693" t="str">
            <v>DOP</v>
          </cell>
          <cell r="I1693">
            <v>0</v>
          </cell>
          <cell r="J1693">
            <v>0</v>
          </cell>
          <cell r="K1693">
            <v>0</v>
          </cell>
          <cell r="L1693">
            <v>0</v>
          </cell>
          <cell r="M1693">
            <v>0</v>
          </cell>
          <cell r="N1693">
            <v>0</v>
          </cell>
          <cell r="O1693">
            <v>0</v>
          </cell>
          <cell r="P1693">
            <v>0</v>
          </cell>
          <cell r="Q1693">
            <v>0</v>
          </cell>
          <cell r="R1693">
            <v>0</v>
          </cell>
          <cell r="S1693">
            <v>0</v>
          </cell>
          <cell r="T1693">
            <v>0</v>
          </cell>
          <cell r="U1693" t="e">
            <v>#N/A</v>
          </cell>
        </row>
        <row r="1694">
          <cell r="A1694">
            <v>1001688</v>
          </cell>
          <cell r="B1694" t="str">
            <v>Pinza Amperim 500/ 5A 480VAECM AC</v>
          </cell>
          <cell r="D1694">
            <v>6023</v>
          </cell>
          <cell r="E1694">
            <v>1000</v>
          </cell>
          <cell r="F1694" t="str">
            <v>ZALM</v>
          </cell>
          <cell r="G1694" t="str">
            <v>UN</v>
          </cell>
          <cell r="H1694" t="str">
            <v>DOP</v>
          </cell>
          <cell r="I1694">
            <v>0</v>
          </cell>
          <cell r="J1694">
            <v>0</v>
          </cell>
          <cell r="K1694">
            <v>0</v>
          </cell>
          <cell r="L1694">
            <v>0</v>
          </cell>
          <cell r="M1694">
            <v>0</v>
          </cell>
          <cell r="N1694">
            <v>0</v>
          </cell>
          <cell r="O1694">
            <v>0</v>
          </cell>
          <cell r="P1694">
            <v>0</v>
          </cell>
          <cell r="Q1694">
            <v>0</v>
          </cell>
          <cell r="R1694">
            <v>0</v>
          </cell>
          <cell r="S1694">
            <v>0</v>
          </cell>
          <cell r="T1694">
            <v>0</v>
          </cell>
          <cell r="U1694" t="e">
            <v>#N/A</v>
          </cell>
        </row>
        <row r="1695">
          <cell r="A1695">
            <v>1001689</v>
          </cell>
          <cell r="B1695" t="str">
            <v>Pinza Amperim P/ Lineas BT Mod ABMC512</v>
          </cell>
          <cell r="D1695">
            <v>6023</v>
          </cell>
          <cell r="E1695">
            <v>1000</v>
          </cell>
          <cell r="F1695" t="str">
            <v>ZALM</v>
          </cell>
          <cell r="G1695" t="str">
            <v>UN</v>
          </cell>
          <cell r="H1695" t="str">
            <v>DOP</v>
          </cell>
          <cell r="I1695">
            <v>0</v>
          </cell>
          <cell r="J1695">
            <v>0</v>
          </cell>
          <cell r="K1695">
            <v>0</v>
          </cell>
          <cell r="L1695">
            <v>0</v>
          </cell>
          <cell r="M1695">
            <v>0</v>
          </cell>
          <cell r="N1695">
            <v>0</v>
          </cell>
          <cell r="O1695">
            <v>0</v>
          </cell>
          <cell r="P1695">
            <v>0</v>
          </cell>
          <cell r="Q1695">
            <v>0</v>
          </cell>
          <cell r="R1695">
            <v>0</v>
          </cell>
          <cell r="S1695">
            <v>0</v>
          </cell>
          <cell r="T1695">
            <v>0</v>
          </cell>
          <cell r="U1695" t="e">
            <v>#N/A</v>
          </cell>
        </row>
        <row r="1696">
          <cell r="A1696">
            <v>1001690</v>
          </cell>
          <cell r="B1696" t="str">
            <v>Pinza Amperim P/ Líneas MT</v>
          </cell>
          <cell r="D1696">
            <v>6023</v>
          </cell>
          <cell r="E1696">
            <v>1000</v>
          </cell>
          <cell r="F1696" t="str">
            <v>ZALM</v>
          </cell>
          <cell r="G1696" t="str">
            <v>UN</v>
          </cell>
          <cell r="H1696" t="str">
            <v>DOP</v>
          </cell>
          <cell r="I1696">
            <v>0</v>
          </cell>
          <cell r="J1696">
            <v>0</v>
          </cell>
          <cell r="K1696">
            <v>0</v>
          </cell>
          <cell r="L1696">
            <v>0</v>
          </cell>
          <cell r="M1696">
            <v>0</v>
          </cell>
          <cell r="N1696">
            <v>0</v>
          </cell>
          <cell r="O1696">
            <v>0</v>
          </cell>
          <cell r="P1696">
            <v>0</v>
          </cell>
          <cell r="Q1696">
            <v>0</v>
          </cell>
          <cell r="R1696">
            <v>0</v>
          </cell>
          <cell r="S1696">
            <v>0</v>
          </cell>
          <cell r="T1696">
            <v>0</v>
          </cell>
          <cell r="U1696" t="e">
            <v>#N/A</v>
          </cell>
        </row>
        <row r="1697">
          <cell r="A1697">
            <v>1001691</v>
          </cell>
          <cell r="B1697" t="str">
            <v>Pinza Amperimetrica 1,000 750V</v>
          </cell>
          <cell r="D1697">
            <v>6023</v>
          </cell>
          <cell r="E1697">
            <v>1000</v>
          </cell>
          <cell r="F1697" t="str">
            <v>ZALM</v>
          </cell>
          <cell r="G1697" t="str">
            <v>UN</v>
          </cell>
          <cell r="H1697" t="str">
            <v>DOP</v>
          </cell>
          <cell r="I1697">
            <v>0</v>
          </cell>
          <cell r="J1697">
            <v>0</v>
          </cell>
          <cell r="K1697">
            <v>0</v>
          </cell>
          <cell r="L1697">
            <v>0</v>
          </cell>
          <cell r="M1697">
            <v>0</v>
          </cell>
          <cell r="N1697">
            <v>0</v>
          </cell>
          <cell r="O1697">
            <v>0</v>
          </cell>
          <cell r="P1697">
            <v>0</v>
          </cell>
          <cell r="Q1697">
            <v>0</v>
          </cell>
          <cell r="R1697">
            <v>0</v>
          </cell>
          <cell r="S1697">
            <v>0</v>
          </cell>
          <cell r="T1697">
            <v>0</v>
          </cell>
          <cell r="U1697" t="e">
            <v>#N/A</v>
          </cell>
        </row>
        <row r="1698">
          <cell r="A1698">
            <v>1001692</v>
          </cell>
          <cell r="B1698" t="str">
            <v>Pinza Amperimétrica 400kV 0-2000A</v>
          </cell>
          <cell r="D1698">
            <v>6023</v>
          </cell>
          <cell r="E1698">
            <v>1000</v>
          </cell>
          <cell r="F1698" t="str">
            <v>ZALM</v>
          </cell>
          <cell r="G1698" t="str">
            <v>UN</v>
          </cell>
          <cell r="H1698" t="str">
            <v>DOP</v>
          </cell>
          <cell r="I1698">
            <v>0</v>
          </cell>
          <cell r="J1698">
            <v>0</v>
          </cell>
          <cell r="K1698">
            <v>0</v>
          </cell>
          <cell r="L1698">
            <v>0</v>
          </cell>
          <cell r="M1698">
            <v>0</v>
          </cell>
          <cell r="N1698">
            <v>0</v>
          </cell>
          <cell r="O1698">
            <v>0</v>
          </cell>
          <cell r="P1698">
            <v>0</v>
          </cell>
          <cell r="Q1698">
            <v>0</v>
          </cell>
          <cell r="R1698">
            <v>0</v>
          </cell>
          <cell r="S1698">
            <v>0</v>
          </cell>
          <cell r="T1698">
            <v>0</v>
          </cell>
          <cell r="U1698" t="e">
            <v>#N/A</v>
          </cell>
        </row>
        <row r="1699">
          <cell r="A1699">
            <v>1001693</v>
          </cell>
          <cell r="B1699" t="str">
            <v>Pinza Amperimétrica 500kV 0-2000A</v>
          </cell>
          <cell r="D1699">
            <v>6023</v>
          </cell>
          <cell r="E1699">
            <v>1000</v>
          </cell>
          <cell r="F1699" t="str">
            <v>ZALM</v>
          </cell>
          <cell r="G1699" t="str">
            <v>UN</v>
          </cell>
          <cell r="H1699" t="str">
            <v>DOP</v>
          </cell>
          <cell r="I1699">
            <v>0</v>
          </cell>
          <cell r="J1699">
            <v>0</v>
          </cell>
          <cell r="K1699">
            <v>0</v>
          </cell>
          <cell r="L1699">
            <v>0</v>
          </cell>
          <cell r="M1699">
            <v>0</v>
          </cell>
          <cell r="N1699">
            <v>0</v>
          </cell>
          <cell r="O1699">
            <v>0</v>
          </cell>
          <cell r="P1699">
            <v>0</v>
          </cell>
          <cell r="Q1699">
            <v>0</v>
          </cell>
          <cell r="R1699">
            <v>0</v>
          </cell>
          <cell r="S1699">
            <v>0</v>
          </cell>
          <cell r="T1699">
            <v>0</v>
          </cell>
          <cell r="U1699" t="e">
            <v>#N/A</v>
          </cell>
        </row>
        <row r="1700">
          <cell r="A1700">
            <v>1001694</v>
          </cell>
          <cell r="B1700" t="str">
            <v>Pinza Amperimétrica AMPROBE 1000V</v>
          </cell>
          <cell r="D1700">
            <v>6023</v>
          </cell>
          <cell r="E1700">
            <v>1000</v>
          </cell>
          <cell r="F1700" t="str">
            <v>ZALM</v>
          </cell>
          <cell r="G1700" t="str">
            <v>UN</v>
          </cell>
          <cell r="H1700" t="str">
            <v>DOP</v>
          </cell>
          <cell r="I1700">
            <v>0</v>
          </cell>
          <cell r="J1700">
            <v>0</v>
          </cell>
          <cell r="K1700">
            <v>0</v>
          </cell>
          <cell r="L1700">
            <v>0</v>
          </cell>
          <cell r="M1700">
            <v>0</v>
          </cell>
          <cell r="N1700">
            <v>0</v>
          </cell>
          <cell r="O1700">
            <v>0</v>
          </cell>
          <cell r="P1700">
            <v>0</v>
          </cell>
          <cell r="Q1700">
            <v>0</v>
          </cell>
          <cell r="R1700">
            <v>0</v>
          </cell>
          <cell r="S1700">
            <v>0</v>
          </cell>
          <cell r="T1700">
            <v>0</v>
          </cell>
          <cell r="U1700" t="e">
            <v>#N/A</v>
          </cell>
        </row>
        <row r="1701">
          <cell r="A1701">
            <v>1001695</v>
          </cell>
          <cell r="B1701" t="str">
            <v>Printer Kit P/ Prob Rigidez Diel 60kV</v>
          </cell>
          <cell r="D1701">
            <v>6023</v>
          </cell>
          <cell r="E1701">
            <v>1000</v>
          </cell>
          <cell r="F1701" t="str">
            <v>ZALM</v>
          </cell>
          <cell r="G1701" t="str">
            <v>UN</v>
          </cell>
          <cell r="H1701" t="str">
            <v>DOP</v>
          </cell>
          <cell r="I1701">
            <v>0</v>
          </cell>
          <cell r="J1701">
            <v>0</v>
          </cell>
          <cell r="K1701">
            <v>0</v>
          </cell>
          <cell r="L1701">
            <v>0</v>
          </cell>
          <cell r="M1701">
            <v>0</v>
          </cell>
          <cell r="N1701">
            <v>0</v>
          </cell>
          <cell r="O1701">
            <v>0</v>
          </cell>
          <cell r="P1701">
            <v>0</v>
          </cell>
          <cell r="Q1701">
            <v>0</v>
          </cell>
          <cell r="R1701">
            <v>0</v>
          </cell>
          <cell r="S1701">
            <v>0</v>
          </cell>
          <cell r="T1701">
            <v>0</v>
          </cell>
          <cell r="U1701" t="e">
            <v>#N/A</v>
          </cell>
        </row>
        <row r="1702">
          <cell r="A1702">
            <v>1001696</v>
          </cell>
          <cell r="B1702" t="str">
            <v>Probador Rigidez Diel Aut 60kV Oil Test</v>
          </cell>
          <cell r="D1702">
            <v>6023</v>
          </cell>
          <cell r="E1702">
            <v>1000</v>
          </cell>
          <cell r="F1702" t="str">
            <v>ZALM</v>
          </cell>
          <cell r="G1702" t="str">
            <v>UN</v>
          </cell>
          <cell r="H1702" t="str">
            <v>DOP</v>
          </cell>
          <cell r="I1702">
            <v>0</v>
          </cell>
          <cell r="J1702">
            <v>0</v>
          </cell>
          <cell r="K1702">
            <v>0</v>
          </cell>
          <cell r="L1702">
            <v>0</v>
          </cell>
          <cell r="M1702">
            <v>0</v>
          </cell>
          <cell r="N1702">
            <v>0</v>
          </cell>
          <cell r="O1702">
            <v>0</v>
          </cell>
          <cell r="P1702">
            <v>0</v>
          </cell>
          <cell r="Q1702">
            <v>0</v>
          </cell>
          <cell r="R1702">
            <v>0</v>
          </cell>
          <cell r="S1702">
            <v>0</v>
          </cell>
          <cell r="T1702">
            <v>0</v>
          </cell>
          <cell r="U1702" t="e">
            <v>#N/A</v>
          </cell>
        </row>
        <row r="1703">
          <cell r="A1703">
            <v>1001697</v>
          </cell>
          <cell r="B1703" t="str">
            <v>Rectificador Bat SCR 120-240AC/125DC 30A</v>
          </cell>
          <cell r="D1703">
            <v>6023</v>
          </cell>
          <cell r="E1703">
            <v>1000</v>
          </cell>
          <cell r="F1703" t="str">
            <v>ZALM</v>
          </cell>
          <cell r="G1703" t="str">
            <v>UN</v>
          </cell>
          <cell r="H1703" t="str">
            <v>DOP</v>
          </cell>
          <cell r="I1703">
            <v>0</v>
          </cell>
          <cell r="J1703">
            <v>0</v>
          </cell>
          <cell r="K1703">
            <v>0</v>
          </cell>
          <cell r="L1703">
            <v>0</v>
          </cell>
          <cell r="M1703">
            <v>4</v>
          </cell>
          <cell r="N1703">
            <v>1003855.76</v>
          </cell>
          <cell r="O1703">
            <v>0</v>
          </cell>
          <cell r="P1703">
            <v>0</v>
          </cell>
          <cell r="Q1703">
            <v>0</v>
          </cell>
          <cell r="R1703">
            <v>0</v>
          </cell>
          <cell r="S1703">
            <v>4</v>
          </cell>
          <cell r="T1703">
            <v>1003855.76</v>
          </cell>
          <cell r="U1703">
            <v>250963.94</v>
          </cell>
        </row>
        <row r="1704">
          <cell r="A1704">
            <v>1001698</v>
          </cell>
          <cell r="B1704" t="str">
            <v>Registrador de Medicion RR2-12 1A20</v>
          </cell>
          <cell r="D1704">
            <v>6023</v>
          </cell>
          <cell r="E1704">
            <v>1000</v>
          </cell>
          <cell r="F1704" t="str">
            <v>ZALM</v>
          </cell>
          <cell r="G1704" t="str">
            <v>UN</v>
          </cell>
          <cell r="H1704" t="str">
            <v>DOP</v>
          </cell>
          <cell r="I1704">
            <v>0</v>
          </cell>
          <cell r="J1704">
            <v>0</v>
          </cell>
          <cell r="K1704">
            <v>0</v>
          </cell>
          <cell r="L1704">
            <v>0</v>
          </cell>
          <cell r="M1704">
            <v>0</v>
          </cell>
          <cell r="N1704">
            <v>0</v>
          </cell>
          <cell r="O1704">
            <v>0</v>
          </cell>
          <cell r="P1704">
            <v>0</v>
          </cell>
          <cell r="Q1704">
            <v>0</v>
          </cell>
          <cell r="R1704">
            <v>0</v>
          </cell>
          <cell r="S1704">
            <v>0</v>
          </cell>
          <cell r="T1704">
            <v>0</v>
          </cell>
          <cell r="U1704" t="e">
            <v>#N/A</v>
          </cell>
        </row>
        <row r="1705">
          <cell r="A1705">
            <v>1001699</v>
          </cell>
          <cell r="B1705" t="str">
            <v>Registrador de Medicion RR2-1231A 200</v>
          </cell>
          <cell r="D1705">
            <v>6023</v>
          </cell>
          <cell r="E1705">
            <v>1000</v>
          </cell>
          <cell r="F1705" t="str">
            <v>ZALM</v>
          </cell>
          <cell r="G1705" t="str">
            <v>UN</v>
          </cell>
          <cell r="H1705" t="str">
            <v>DOP</v>
          </cell>
          <cell r="I1705">
            <v>0</v>
          </cell>
          <cell r="J1705">
            <v>0</v>
          </cell>
          <cell r="K1705">
            <v>0</v>
          </cell>
          <cell r="L1705">
            <v>0</v>
          </cell>
          <cell r="M1705">
            <v>0</v>
          </cell>
          <cell r="N1705">
            <v>0</v>
          </cell>
          <cell r="O1705">
            <v>0</v>
          </cell>
          <cell r="P1705">
            <v>0</v>
          </cell>
          <cell r="Q1705">
            <v>0</v>
          </cell>
          <cell r="R1705">
            <v>0</v>
          </cell>
          <cell r="S1705">
            <v>0</v>
          </cell>
          <cell r="T1705">
            <v>0</v>
          </cell>
          <cell r="U1705" t="e">
            <v>#N/A</v>
          </cell>
        </row>
        <row r="1706">
          <cell r="A1706">
            <v>1001700</v>
          </cell>
          <cell r="B1706" t="str">
            <v>Regulador Voltaje 0-250V 2000W</v>
          </cell>
          <cell r="D1706">
            <v>6023</v>
          </cell>
          <cell r="E1706">
            <v>1000</v>
          </cell>
          <cell r="F1706" t="str">
            <v>ZALM</v>
          </cell>
          <cell r="G1706" t="str">
            <v>UN</v>
          </cell>
          <cell r="H1706" t="str">
            <v>DOP</v>
          </cell>
          <cell r="I1706">
            <v>0</v>
          </cell>
          <cell r="J1706">
            <v>0</v>
          </cell>
          <cell r="K1706">
            <v>0</v>
          </cell>
          <cell r="L1706">
            <v>0</v>
          </cell>
          <cell r="M1706">
            <v>0</v>
          </cell>
          <cell r="N1706">
            <v>0</v>
          </cell>
          <cell r="O1706">
            <v>0</v>
          </cell>
          <cell r="P1706">
            <v>0</v>
          </cell>
          <cell r="Q1706">
            <v>0</v>
          </cell>
          <cell r="R1706">
            <v>0</v>
          </cell>
          <cell r="S1706">
            <v>0</v>
          </cell>
          <cell r="T1706">
            <v>0</v>
          </cell>
          <cell r="U1706" t="e">
            <v>#N/A</v>
          </cell>
        </row>
        <row r="1707">
          <cell r="A1707">
            <v>1001701</v>
          </cell>
          <cell r="B1707" t="str">
            <v>Secuencímetro</v>
          </cell>
          <cell r="D1707">
            <v>6023</v>
          </cell>
          <cell r="E1707">
            <v>1000</v>
          </cell>
          <cell r="F1707" t="str">
            <v>ZALM</v>
          </cell>
          <cell r="G1707" t="str">
            <v>UN</v>
          </cell>
          <cell r="H1707" t="str">
            <v>DOP</v>
          </cell>
          <cell r="I1707">
            <v>0</v>
          </cell>
          <cell r="J1707">
            <v>0</v>
          </cell>
          <cell r="K1707">
            <v>0</v>
          </cell>
          <cell r="L1707">
            <v>0</v>
          </cell>
          <cell r="M1707">
            <v>0</v>
          </cell>
          <cell r="N1707">
            <v>0</v>
          </cell>
          <cell r="O1707">
            <v>0</v>
          </cell>
          <cell r="P1707">
            <v>0</v>
          </cell>
          <cell r="Q1707">
            <v>0</v>
          </cell>
          <cell r="R1707">
            <v>0</v>
          </cell>
          <cell r="S1707">
            <v>0</v>
          </cell>
          <cell r="T1707">
            <v>0</v>
          </cell>
          <cell r="U1707" t="e">
            <v>#N/A</v>
          </cell>
        </row>
        <row r="1708">
          <cell r="A1708">
            <v>1001702</v>
          </cell>
          <cell r="B1708" t="str">
            <v>Sensor de Corriente Mod SR634</v>
          </cell>
          <cell r="D1708">
            <v>6023</v>
          </cell>
          <cell r="E1708">
            <v>1000</v>
          </cell>
          <cell r="F1708" t="str">
            <v>ZALM</v>
          </cell>
          <cell r="G1708" t="str">
            <v>UN</v>
          </cell>
          <cell r="H1708" t="str">
            <v>DOP</v>
          </cell>
          <cell r="I1708">
            <v>0</v>
          </cell>
          <cell r="J1708">
            <v>0</v>
          </cell>
          <cell r="K1708">
            <v>0</v>
          </cell>
          <cell r="L1708">
            <v>0</v>
          </cell>
          <cell r="M1708">
            <v>0</v>
          </cell>
          <cell r="N1708">
            <v>0</v>
          </cell>
          <cell r="O1708">
            <v>0</v>
          </cell>
          <cell r="P1708">
            <v>0</v>
          </cell>
          <cell r="Q1708">
            <v>0</v>
          </cell>
          <cell r="R1708">
            <v>0</v>
          </cell>
          <cell r="S1708">
            <v>0</v>
          </cell>
          <cell r="T1708">
            <v>0</v>
          </cell>
          <cell r="U1708" t="e">
            <v>#N/A</v>
          </cell>
        </row>
        <row r="1709">
          <cell r="A1709">
            <v>1001703</v>
          </cell>
          <cell r="B1709" t="str">
            <v>Test Switch</v>
          </cell>
          <cell r="D1709">
            <v>6023</v>
          </cell>
          <cell r="E1709">
            <v>1000</v>
          </cell>
          <cell r="F1709" t="str">
            <v>ZALM</v>
          </cell>
          <cell r="G1709" t="str">
            <v>UN</v>
          </cell>
          <cell r="H1709" t="str">
            <v>DOP</v>
          </cell>
          <cell r="I1709">
            <v>6</v>
          </cell>
          <cell r="J1709">
            <v>39348</v>
          </cell>
          <cell r="K1709">
            <v>0</v>
          </cell>
          <cell r="L1709">
            <v>0</v>
          </cell>
          <cell r="M1709">
            <v>0</v>
          </cell>
          <cell r="N1709">
            <v>0</v>
          </cell>
          <cell r="O1709">
            <v>0</v>
          </cell>
          <cell r="P1709">
            <v>0</v>
          </cell>
          <cell r="Q1709">
            <v>0</v>
          </cell>
          <cell r="R1709">
            <v>0</v>
          </cell>
          <cell r="S1709">
            <v>6</v>
          </cell>
          <cell r="T1709">
            <v>39348</v>
          </cell>
          <cell r="U1709">
            <v>6558</v>
          </cell>
        </row>
        <row r="1710">
          <cell r="A1710">
            <v>1001704</v>
          </cell>
          <cell r="B1710" t="str">
            <v>Vatímetro 2000V</v>
          </cell>
          <cell r="D1710">
            <v>6023</v>
          </cell>
          <cell r="E1710">
            <v>1000</v>
          </cell>
          <cell r="F1710" t="str">
            <v>ZALM</v>
          </cell>
          <cell r="G1710" t="str">
            <v>UN</v>
          </cell>
          <cell r="H1710" t="str">
            <v>DOP</v>
          </cell>
          <cell r="I1710">
            <v>0</v>
          </cell>
          <cell r="J1710">
            <v>0</v>
          </cell>
          <cell r="K1710">
            <v>0</v>
          </cell>
          <cell r="L1710">
            <v>0</v>
          </cell>
          <cell r="M1710">
            <v>0</v>
          </cell>
          <cell r="N1710">
            <v>0</v>
          </cell>
          <cell r="O1710">
            <v>0</v>
          </cell>
          <cell r="P1710">
            <v>0</v>
          </cell>
          <cell r="Q1710">
            <v>0</v>
          </cell>
          <cell r="R1710">
            <v>0</v>
          </cell>
          <cell r="S1710">
            <v>0</v>
          </cell>
          <cell r="T1710">
            <v>0</v>
          </cell>
          <cell r="U1710" t="e">
            <v>#N/A</v>
          </cell>
        </row>
        <row r="1711">
          <cell r="A1711">
            <v>1001705</v>
          </cell>
          <cell r="B1711" t="str">
            <v>Vatímetro BIRD Rango 5-500W</v>
          </cell>
          <cell r="D1711">
            <v>6023</v>
          </cell>
          <cell r="E1711">
            <v>1000</v>
          </cell>
          <cell r="F1711" t="str">
            <v>ZALM</v>
          </cell>
          <cell r="G1711" t="str">
            <v>UN</v>
          </cell>
          <cell r="H1711" t="str">
            <v>DOP</v>
          </cell>
          <cell r="I1711">
            <v>0</v>
          </cell>
          <cell r="J1711">
            <v>0</v>
          </cell>
          <cell r="K1711">
            <v>0</v>
          </cell>
          <cell r="L1711">
            <v>0</v>
          </cell>
          <cell r="M1711">
            <v>0</v>
          </cell>
          <cell r="N1711">
            <v>0</v>
          </cell>
          <cell r="O1711">
            <v>0</v>
          </cell>
          <cell r="P1711">
            <v>0</v>
          </cell>
          <cell r="Q1711">
            <v>0</v>
          </cell>
          <cell r="R1711">
            <v>0</v>
          </cell>
          <cell r="S1711">
            <v>0</v>
          </cell>
          <cell r="T1711">
            <v>0</v>
          </cell>
          <cell r="U1711" t="e">
            <v>#N/A</v>
          </cell>
        </row>
        <row r="1712">
          <cell r="A1712">
            <v>1001706</v>
          </cell>
          <cell r="B1712" t="str">
            <v>Voltímetro Digital AC/DC 72 x 72</v>
          </cell>
          <cell r="D1712">
            <v>6023</v>
          </cell>
          <cell r="E1712">
            <v>1000</v>
          </cell>
          <cell r="F1712" t="str">
            <v>ZALM</v>
          </cell>
          <cell r="G1712" t="str">
            <v>UN</v>
          </cell>
          <cell r="H1712" t="str">
            <v>DOP</v>
          </cell>
          <cell r="I1712">
            <v>0</v>
          </cell>
          <cell r="J1712">
            <v>0</v>
          </cell>
          <cell r="K1712">
            <v>0</v>
          </cell>
          <cell r="L1712">
            <v>0</v>
          </cell>
          <cell r="M1712">
            <v>0</v>
          </cell>
          <cell r="N1712">
            <v>0</v>
          </cell>
          <cell r="O1712">
            <v>0</v>
          </cell>
          <cell r="P1712">
            <v>0</v>
          </cell>
          <cell r="Q1712">
            <v>0</v>
          </cell>
          <cell r="R1712">
            <v>0</v>
          </cell>
          <cell r="S1712">
            <v>0</v>
          </cell>
          <cell r="T1712">
            <v>0</v>
          </cell>
          <cell r="U1712" t="e">
            <v>#N/A</v>
          </cell>
        </row>
        <row r="1713">
          <cell r="A1713">
            <v>1001707</v>
          </cell>
          <cell r="B1713" t="str">
            <v>Adapt Al-Cu Cond 477Al-ACSR Filam 4/0 Cu</v>
          </cell>
          <cell r="D1713">
            <v>6003</v>
          </cell>
          <cell r="E1713">
            <v>1000</v>
          </cell>
          <cell r="F1713" t="str">
            <v>ZALM</v>
          </cell>
          <cell r="G1713" t="str">
            <v>UN</v>
          </cell>
          <cell r="H1713" t="str">
            <v>DOP</v>
          </cell>
          <cell r="I1713">
            <v>0</v>
          </cell>
          <cell r="J1713">
            <v>0</v>
          </cell>
          <cell r="K1713">
            <v>0</v>
          </cell>
          <cell r="L1713">
            <v>0</v>
          </cell>
          <cell r="M1713">
            <v>0</v>
          </cell>
          <cell r="N1713">
            <v>0</v>
          </cell>
          <cell r="O1713">
            <v>0</v>
          </cell>
          <cell r="P1713">
            <v>0</v>
          </cell>
          <cell r="Q1713">
            <v>7</v>
          </cell>
          <cell r="R1713">
            <v>4628.3999999999996</v>
          </cell>
          <cell r="S1713">
            <v>7</v>
          </cell>
          <cell r="T1713">
            <v>4628.3999999999996</v>
          </cell>
          <cell r="U1713">
            <v>661.2</v>
          </cell>
        </row>
        <row r="1714">
          <cell r="A1714">
            <v>1001708</v>
          </cell>
          <cell r="B1714" t="str">
            <v>Adapt Al-Cu P/Cond 4/0Al-ACSR 1/0 Cu</v>
          </cell>
          <cell r="D1714">
            <v>6003</v>
          </cell>
          <cell r="E1714">
            <v>1000</v>
          </cell>
          <cell r="F1714" t="str">
            <v>ZALM</v>
          </cell>
          <cell r="G1714" t="str">
            <v>UN</v>
          </cell>
          <cell r="H1714" t="str">
            <v>DOP</v>
          </cell>
          <cell r="I1714">
            <v>120</v>
          </cell>
          <cell r="J1714">
            <v>78071.360000000001</v>
          </cell>
          <cell r="K1714">
            <v>0</v>
          </cell>
          <cell r="L1714">
            <v>0</v>
          </cell>
          <cell r="M1714">
            <v>13</v>
          </cell>
          <cell r="N1714">
            <v>8457.73</v>
          </cell>
          <cell r="O1714">
            <v>0</v>
          </cell>
          <cell r="P1714">
            <v>0</v>
          </cell>
          <cell r="Q1714">
            <v>735</v>
          </cell>
          <cell r="R1714">
            <v>478187.06</v>
          </cell>
          <cell r="S1714">
            <v>868</v>
          </cell>
          <cell r="T1714">
            <v>564716.15</v>
          </cell>
          <cell r="U1714">
            <v>650.59464285714296</v>
          </cell>
        </row>
        <row r="1715">
          <cell r="A1715">
            <v>1001709</v>
          </cell>
          <cell r="B1715" t="str">
            <v>Adapt Copling 1/8-1 1/2" Bronce-Cu</v>
          </cell>
          <cell r="D1715">
            <v>6003</v>
          </cell>
          <cell r="E1715">
            <v>1000</v>
          </cell>
          <cell r="F1715" t="str">
            <v>ZALM</v>
          </cell>
          <cell r="G1715" t="str">
            <v>UN</v>
          </cell>
          <cell r="H1715" t="str">
            <v>DOP</v>
          </cell>
          <cell r="I1715">
            <v>0</v>
          </cell>
          <cell r="J1715">
            <v>0</v>
          </cell>
          <cell r="K1715">
            <v>0</v>
          </cell>
          <cell r="L1715">
            <v>0</v>
          </cell>
          <cell r="M1715">
            <v>0</v>
          </cell>
          <cell r="N1715">
            <v>0</v>
          </cell>
          <cell r="O1715">
            <v>0</v>
          </cell>
          <cell r="P1715">
            <v>0</v>
          </cell>
          <cell r="Q1715">
            <v>0</v>
          </cell>
          <cell r="R1715">
            <v>0</v>
          </cell>
          <cell r="S1715">
            <v>0</v>
          </cell>
          <cell r="T1715">
            <v>0</v>
          </cell>
          <cell r="U1715" t="e">
            <v>#N/A</v>
          </cell>
        </row>
        <row r="1716">
          <cell r="A1716">
            <v>1001710</v>
          </cell>
          <cell r="B1716" t="str">
            <v>Adaptador Cu P/ Soldadura Cu-Al</v>
          </cell>
          <cell r="D1716">
            <v>6003</v>
          </cell>
          <cell r="E1716">
            <v>1000</v>
          </cell>
          <cell r="F1716" t="str">
            <v>ZALM</v>
          </cell>
          <cell r="G1716" t="str">
            <v>UN</v>
          </cell>
          <cell r="H1716" t="str">
            <v>DOP</v>
          </cell>
          <cell r="I1716">
            <v>11185</v>
          </cell>
          <cell r="J1716">
            <v>43509.65</v>
          </cell>
          <cell r="K1716">
            <v>0</v>
          </cell>
          <cell r="L1716">
            <v>0</v>
          </cell>
          <cell r="M1716">
            <v>0</v>
          </cell>
          <cell r="N1716">
            <v>0</v>
          </cell>
          <cell r="O1716">
            <v>0</v>
          </cell>
          <cell r="P1716">
            <v>0</v>
          </cell>
          <cell r="Q1716">
            <v>12</v>
          </cell>
          <cell r="R1716">
            <v>46.68</v>
          </cell>
          <cell r="S1716">
            <v>11197</v>
          </cell>
          <cell r="T1716">
            <v>43556.33</v>
          </cell>
          <cell r="U1716">
            <v>3.89</v>
          </cell>
        </row>
        <row r="1717">
          <cell r="A1717">
            <v>1001711</v>
          </cell>
          <cell r="B1717" t="str">
            <v>Adaptador Liquid Tight 1" Macho</v>
          </cell>
          <cell r="D1717">
            <v>6003</v>
          </cell>
          <cell r="E1717">
            <v>1000</v>
          </cell>
          <cell r="F1717" t="str">
            <v>ZALM</v>
          </cell>
          <cell r="G1717" t="str">
            <v>UN</v>
          </cell>
          <cell r="H1717" t="str">
            <v>DOP</v>
          </cell>
          <cell r="I1717">
            <v>0</v>
          </cell>
          <cell r="J1717">
            <v>0</v>
          </cell>
          <cell r="K1717">
            <v>0</v>
          </cell>
          <cell r="L1717">
            <v>0</v>
          </cell>
          <cell r="M1717">
            <v>0</v>
          </cell>
          <cell r="N1717">
            <v>0</v>
          </cell>
          <cell r="O1717">
            <v>0</v>
          </cell>
          <cell r="P1717">
            <v>0</v>
          </cell>
          <cell r="Q1717">
            <v>13054</v>
          </cell>
          <cell r="R1717">
            <v>848591.2</v>
          </cell>
          <cell r="S1717">
            <v>13054</v>
          </cell>
          <cell r="T1717">
            <v>848591.2</v>
          </cell>
          <cell r="U1717">
            <v>65.006220315612097</v>
          </cell>
        </row>
        <row r="1718">
          <cell r="A1718">
            <v>1001712</v>
          </cell>
          <cell r="B1718" t="str">
            <v>Adaptador Liquid Tight 1/2" Macho</v>
          </cell>
          <cell r="D1718">
            <v>6003</v>
          </cell>
          <cell r="E1718">
            <v>1000</v>
          </cell>
          <cell r="F1718" t="str">
            <v>ZALM</v>
          </cell>
          <cell r="G1718" t="str">
            <v>UN</v>
          </cell>
          <cell r="H1718" t="str">
            <v>DOP</v>
          </cell>
          <cell r="I1718">
            <v>75</v>
          </cell>
          <cell r="J1718">
            <v>1848.75</v>
          </cell>
          <cell r="K1718">
            <v>0</v>
          </cell>
          <cell r="L1718">
            <v>0</v>
          </cell>
          <cell r="M1718">
            <v>0</v>
          </cell>
          <cell r="N1718">
            <v>0</v>
          </cell>
          <cell r="O1718">
            <v>0</v>
          </cell>
          <cell r="P1718">
            <v>0</v>
          </cell>
          <cell r="Q1718">
            <v>0</v>
          </cell>
          <cell r="R1718">
            <v>0</v>
          </cell>
          <cell r="S1718">
            <v>75</v>
          </cell>
          <cell r="T1718">
            <v>1848.75</v>
          </cell>
          <cell r="U1718">
            <v>24.65</v>
          </cell>
        </row>
        <row r="1719">
          <cell r="A1719">
            <v>1001713</v>
          </cell>
          <cell r="B1719" t="str">
            <v>Adaptador Liquid Tight 2" Curvo</v>
          </cell>
          <cell r="D1719">
            <v>6003</v>
          </cell>
          <cell r="E1719">
            <v>1000</v>
          </cell>
          <cell r="F1719" t="str">
            <v>ZALM</v>
          </cell>
          <cell r="G1719" t="str">
            <v>UN</v>
          </cell>
          <cell r="H1719" t="str">
            <v>DOP</v>
          </cell>
          <cell r="I1719">
            <v>1355</v>
          </cell>
          <cell r="J1719">
            <v>468138.95</v>
          </cell>
          <cell r="K1719">
            <v>0</v>
          </cell>
          <cell r="L1719">
            <v>0</v>
          </cell>
          <cell r="M1719">
            <v>0</v>
          </cell>
          <cell r="N1719">
            <v>0</v>
          </cell>
          <cell r="O1719">
            <v>0</v>
          </cell>
          <cell r="P1719">
            <v>0</v>
          </cell>
          <cell r="Q1719">
            <v>0</v>
          </cell>
          <cell r="R1719">
            <v>0</v>
          </cell>
          <cell r="S1719">
            <v>1355</v>
          </cell>
          <cell r="T1719">
            <v>468138.95</v>
          </cell>
          <cell r="U1719">
            <v>345.49</v>
          </cell>
        </row>
        <row r="1720">
          <cell r="A1720">
            <v>1001714</v>
          </cell>
          <cell r="B1720" t="str">
            <v>Adaptador Mod AK000305 Patrón WECO</v>
          </cell>
          <cell r="D1720">
            <v>6003</v>
          </cell>
          <cell r="E1720">
            <v>1000</v>
          </cell>
          <cell r="F1720" t="str">
            <v>ZALM</v>
          </cell>
          <cell r="G1720" t="str">
            <v>UN</v>
          </cell>
          <cell r="H1720" t="str">
            <v>DOP</v>
          </cell>
          <cell r="I1720">
            <v>0</v>
          </cell>
          <cell r="J1720">
            <v>0</v>
          </cell>
          <cell r="K1720">
            <v>0</v>
          </cell>
          <cell r="L1720">
            <v>0</v>
          </cell>
          <cell r="M1720">
            <v>0</v>
          </cell>
          <cell r="N1720">
            <v>0</v>
          </cell>
          <cell r="O1720">
            <v>0</v>
          </cell>
          <cell r="P1720">
            <v>0</v>
          </cell>
          <cell r="Q1720">
            <v>0</v>
          </cell>
          <cell r="R1720">
            <v>0</v>
          </cell>
          <cell r="S1720">
            <v>0</v>
          </cell>
          <cell r="T1720">
            <v>0</v>
          </cell>
          <cell r="U1720" t="e">
            <v>#N/A</v>
          </cell>
        </row>
        <row r="1721">
          <cell r="A1721">
            <v>1001715</v>
          </cell>
          <cell r="B1721" t="str">
            <v>Aluminium Stud to Flat ADSF-11-1-D-41124</v>
          </cell>
          <cell r="D1721">
            <v>6003</v>
          </cell>
          <cell r="E1721">
            <v>1000</v>
          </cell>
          <cell r="F1721" t="str">
            <v>ZALM</v>
          </cell>
          <cell r="G1721" t="str">
            <v>UN</v>
          </cell>
          <cell r="H1721" t="str">
            <v>DOP</v>
          </cell>
          <cell r="I1721">
            <v>3</v>
          </cell>
          <cell r="J1721">
            <v>9330.33</v>
          </cell>
          <cell r="K1721">
            <v>0</v>
          </cell>
          <cell r="L1721">
            <v>0</v>
          </cell>
          <cell r="M1721">
            <v>0</v>
          </cell>
          <cell r="N1721">
            <v>0</v>
          </cell>
          <cell r="O1721">
            <v>0</v>
          </cell>
          <cell r="P1721">
            <v>0</v>
          </cell>
          <cell r="Q1721">
            <v>0</v>
          </cell>
          <cell r="R1721">
            <v>0</v>
          </cell>
          <cell r="S1721">
            <v>3</v>
          </cell>
          <cell r="T1721">
            <v>9330.33</v>
          </cell>
          <cell r="U1721">
            <v>3110.11</v>
          </cell>
        </row>
        <row r="1722">
          <cell r="A1722">
            <v>1001716</v>
          </cell>
          <cell r="B1722" t="str">
            <v>Aluminium Stud to Flat ADSF-14-1-D-40940</v>
          </cell>
          <cell r="D1722">
            <v>6003</v>
          </cell>
          <cell r="E1722">
            <v>1000</v>
          </cell>
          <cell r="F1722" t="str">
            <v>ZALM</v>
          </cell>
          <cell r="G1722" t="str">
            <v>UN</v>
          </cell>
          <cell r="H1722" t="str">
            <v>DOP</v>
          </cell>
          <cell r="I1722">
            <v>0</v>
          </cell>
          <cell r="J1722">
            <v>0</v>
          </cell>
          <cell r="K1722">
            <v>0</v>
          </cell>
          <cell r="L1722">
            <v>0</v>
          </cell>
          <cell r="M1722">
            <v>0</v>
          </cell>
          <cell r="N1722">
            <v>0</v>
          </cell>
          <cell r="O1722">
            <v>0</v>
          </cell>
          <cell r="P1722">
            <v>0</v>
          </cell>
          <cell r="Q1722">
            <v>0</v>
          </cell>
          <cell r="R1722">
            <v>0</v>
          </cell>
          <cell r="S1722">
            <v>0</v>
          </cell>
          <cell r="T1722">
            <v>0</v>
          </cell>
          <cell r="U1722" t="e">
            <v>#N/A</v>
          </cell>
        </row>
        <row r="1723">
          <cell r="A1723">
            <v>1001717</v>
          </cell>
          <cell r="B1723" t="str">
            <v>Aluminum Compr Term VAUL500-12BN Bim</v>
          </cell>
          <cell r="D1723">
            <v>6003</v>
          </cell>
          <cell r="E1723">
            <v>1000</v>
          </cell>
          <cell r="F1723" t="str">
            <v>ZALM</v>
          </cell>
          <cell r="G1723" t="str">
            <v>UN</v>
          </cell>
          <cell r="H1723" t="str">
            <v>DOP</v>
          </cell>
          <cell r="I1723">
            <v>0</v>
          </cell>
          <cell r="J1723">
            <v>0</v>
          </cell>
          <cell r="K1723">
            <v>0</v>
          </cell>
          <cell r="L1723">
            <v>0</v>
          </cell>
          <cell r="M1723">
            <v>0</v>
          </cell>
          <cell r="N1723">
            <v>0</v>
          </cell>
          <cell r="O1723">
            <v>0</v>
          </cell>
          <cell r="P1723">
            <v>0</v>
          </cell>
          <cell r="Q1723">
            <v>0</v>
          </cell>
          <cell r="R1723">
            <v>0</v>
          </cell>
          <cell r="S1723">
            <v>0</v>
          </cell>
          <cell r="T1723">
            <v>0</v>
          </cell>
          <cell r="U1723" t="e">
            <v>#N/A</v>
          </cell>
        </row>
        <row r="1724">
          <cell r="A1724">
            <v>1001718</v>
          </cell>
          <cell r="B1724" t="str">
            <v>Aluminum Horiz Bus SuportCabl Aisl ASR-3</v>
          </cell>
          <cell r="D1724">
            <v>6003</v>
          </cell>
          <cell r="E1724">
            <v>1000</v>
          </cell>
          <cell r="F1724" t="str">
            <v>ZALM</v>
          </cell>
          <cell r="G1724" t="str">
            <v>UN</v>
          </cell>
          <cell r="H1724" t="str">
            <v>DOP</v>
          </cell>
          <cell r="I1724">
            <v>18</v>
          </cell>
          <cell r="J1724">
            <v>51091.91</v>
          </cell>
          <cell r="K1724">
            <v>0</v>
          </cell>
          <cell r="L1724">
            <v>0</v>
          </cell>
          <cell r="M1724">
            <v>0</v>
          </cell>
          <cell r="N1724">
            <v>0</v>
          </cell>
          <cell r="O1724">
            <v>0</v>
          </cell>
          <cell r="P1724">
            <v>0</v>
          </cell>
          <cell r="Q1724">
            <v>0</v>
          </cell>
          <cell r="R1724">
            <v>0</v>
          </cell>
          <cell r="S1724">
            <v>18</v>
          </cell>
          <cell r="T1724">
            <v>51091.91</v>
          </cell>
          <cell r="U1724">
            <v>2838.4394444444401</v>
          </cell>
        </row>
        <row r="1725">
          <cell r="A1725">
            <v>1001719</v>
          </cell>
          <cell r="B1725" t="str">
            <v>Aluminum Straight Tee Tubing-Flat</v>
          </cell>
          <cell r="D1725">
            <v>6003</v>
          </cell>
          <cell r="E1725">
            <v>1000</v>
          </cell>
          <cell r="F1725" t="str">
            <v>ZALM</v>
          </cell>
          <cell r="G1725" t="str">
            <v>UN</v>
          </cell>
          <cell r="H1725" t="str">
            <v>DOP</v>
          </cell>
          <cell r="I1725">
            <v>72</v>
          </cell>
          <cell r="J1725">
            <v>119037.6</v>
          </cell>
          <cell r="K1725">
            <v>0</v>
          </cell>
          <cell r="L1725">
            <v>0</v>
          </cell>
          <cell r="M1725">
            <v>0</v>
          </cell>
          <cell r="N1725">
            <v>0</v>
          </cell>
          <cell r="O1725">
            <v>0</v>
          </cell>
          <cell r="P1725">
            <v>0</v>
          </cell>
          <cell r="Q1725">
            <v>0</v>
          </cell>
          <cell r="R1725">
            <v>0</v>
          </cell>
          <cell r="S1725">
            <v>72</v>
          </cell>
          <cell r="T1725">
            <v>119037.6</v>
          </cell>
          <cell r="U1725">
            <v>1653.3</v>
          </cell>
        </row>
        <row r="1726">
          <cell r="A1726">
            <v>1001720</v>
          </cell>
          <cell r="B1726" t="str">
            <v>Aluminum Strait Tee  Main-Tap</v>
          </cell>
          <cell r="D1726">
            <v>6003</v>
          </cell>
          <cell r="E1726">
            <v>1000</v>
          </cell>
          <cell r="F1726" t="str">
            <v>ZALM</v>
          </cell>
          <cell r="G1726" t="str">
            <v>UN</v>
          </cell>
          <cell r="H1726" t="str">
            <v>DOP</v>
          </cell>
          <cell r="I1726">
            <v>71</v>
          </cell>
          <cell r="J1726">
            <v>110424.62</v>
          </cell>
          <cell r="K1726">
            <v>0</v>
          </cell>
          <cell r="L1726">
            <v>0</v>
          </cell>
          <cell r="M1726">
            <v>0</v>
          </cell>
          <cell r="N1726">
            <v>0</v>
          </cell>
          <cell r="O1726">
            <v>0</v>
          </cell>
          <cell r="P1726">
            <v>0</v>
          </cell>
          <cell r="Q1726">
            <v>0</v>
          </cell>
          <cell r="R1726">
            <v>0</v>
          </cell>
          <cell r="S1726">
            <v>71</v>
          </cell>
          <cell r="T1726">
            <v>110424.62</v>
          </cell>
          <cell r="U1726">
            <v>1555.2763380281699</v>
          </cell>
        </row>
        <row r="1727">
          <cell r="A1727">
            <v>1001721</v>
          </cell>
          <cell r="B1727" t="str">
            <v>Baquelita P/ Base de Medidor 5 Clips</v>
          </cell>
          <cell r="D1727">
            <v>6003</v>
          </cell>
          <cell r="E1727">
            <v>1000</v>
          </cell>
          <cell r="F1727" t="str">
            <v>ZALM</v>
          </cell>
          <cell r="G1727" t="str">
            <v>UN</v>
          </cell>
          <cell r="H1727" t="str">
            <v>DOP</v>
          </cell>
          <cell r="I1727">
            <v>0</v>
          </cell>
          <cell r="J1727">
            <v>0</v>
          </cell>
          <cell r="K1727">
            <v>0</v>
          </cell>
          <cell r="L1727">
            <v>0</v>
          </cell>
          <cell r="M1727">
            <v>0</v>
          </cell>
          <cell r="N1727">
            <v>0</v>
          </cell>
          <cell r="O1727">
            <v>0</v>
          </cell>
          <cell r="P1727">
            <v>0</v>
          </cell>
          <cell r="Q1727">
            <v>0</v>
          </cell>
          <cell r="R1727">
            <v>0</v>
          </cell>
          <cell r="S1727">
            <v>0</v>
          </cell>
          <cell r="T1727">
            <v>0</v>
          </cell>
          <cell r="U1727" t="e">
            <v>#N/A</v>
          </cell>
        </row>
        <row r="1728">
          <cell r="A1728">
            <v>1001722</v>
          </cell>
          <cell r="B1728" t="str">
            <v>Baquelita P/ Base de Medidor 7 Clips</v>
          </cell>
          <cell r="D1728">
            <v>6003</v>
          </cell>
          <cell r="E1728">
            <v>1000</v>
          </cell>
          <cell r="F1728" t="str">
            <v>ZALM</v>
          </cell>
          <cell r="G1728" t="str">
            <v>UN</v>
          </cell>
          <cell r="H1728" t="str">
            <v>DOP</v>
          </cell>
          <cell r="I1728">
            <v>3</v>
          </cell>
          <cell r="J1728">
            <v>4938.57</v>
          </cell>
          <cell r="K1728">
            <v>0</v>
          </cell>
          <cell r="L1728">
            <v>0</v>
          </cell>
          <cell r="M1728">
            <v>0</v>
          </cell>
          <cell r="N1728">
            <v>0</v>
          </cell>
          <cell r="O1728">
            <v>0</v>
          </cell>
          <cell r="P1728">
            <v>0</v>
          </cell>
          <cell r="Q1728">
            <v>1065</v>
          </cell>
          <cell r="R1728">
            <v>1753192.57</v>
          </cell>
          <cell r="S1728">
            <v>1068</v>
          </cell>
          <cell r="T1728">
            <v>1758131.14</v>
          </cell>
          <cell r="U1728">
            <v>1646.1902059925101</v>
          </cell>
        </row>
        <row r="1729">
          <cell r="A1729">
            <v>1001723</v>
          </cell>
          <cell r="B1729" t="str">
            <v>Baquelitas de 2 Clips a 240 Voltios</v>
          </cell>
          <cell r="D1729">
            <v>6003</v>
          </cell>
          <cell r="E1729">
            <v>1000</v>
          </cell>
          <cell r="F1729" t="str">
            <v>ZALM</v>
          </cell>
          <cell r="G1729" t="str">
            <v>UN</v>
          </cell>
          <cell r="H1729" t="str">
            <v>DOP</v>
          </cell>
          <cell r="I1729">
            <v>0</v>
          </cell>
          <cell r="J1729">
            <v>0</v>
          </cell>
          <cell r="K1729">
            <v>0</v>
          </cell>
          <cell r="L1729">
            <v>0</v>
          </cell>
          <cell r="M1729">
            <v>0</v>
          </cell>
          <cell r="N1729">
            <v>0</v>
          </cell>
          <cell r="O1729">
            <v>0</v>
          </cell>
          <cell r="P1729">
            <v>0</v>
          </cell>
          <cell r="Q1729">
            <v>0</v>
          </cell>
          <cell r="R1729">
            <v>0</v>
          </cell>
          <cell r="S1729">
            <v>0</v>
          </cell>
          <cell r="T1729">
            <v>0</v>
          </cell>
          <cell r="U1729" t="e">
            <v>#N/A</v>
          </cell>
        </row>
        <row r="1730">
          <cell r="A1730">
            <v>1001724</v>
          </cell>
          <cell r="B1730" t="str">
            <v>Baquelitas de 4 Clips</v>
          </cell>
          <cell r="D1730">
            <v>6003</v>
          </cell>
          <cell r="E1730">
            <v>1000</v>
          </cell>
          <cell r="F1730" t="str">
            <v>ZALM</v>
          </cell>
          <cell r="G1730" t="str">
            <v>UN</v>
          </cell>
          <cell r="H1730" t="str">
            <v>DOP</v>
          </cell>
          <cell r="I1730">
            <v>0</v>
          </cell>
          <cell r="J1730">
            <v>0</v>
          </cell>
          <cell r="K1730">
            <v>0</v>
          </cell>
          <cell r="L1730">
            <v>0</v>
          </cell>
          <cell r="M1730">
            <v>0</v>
          </cell>
          <cell r="N1730">
            <v>0</v>
          </cell>
          <cell r="O1730">
            <v>0</v>
          </cell>
          <cell r="P1730">
            <v>0</v>
          </cell>
          <cell r="Q1730">
            <v>0</v>
          </cell>
          <cell r="R1730">
            <v>0</v>
          </cell>
          <cell r="S1730">
            <v>0</v>
          </cell>
          <cell r="T1730">
            <v>0</v>
          </cell>
          <cell r="U1730" t="e">
            <v>#N/A</v>
          </cell>
        </row>
        <row r="1731">
          <cell r="A1731">
            <v>1001725</v>
          </cell>
          <cell r="B1731" t="str">
            <v>Baquelitas de 8 Clips</v>
          </cell>
          <cell r="D1731">
            <v>6003</v>
          </cell>
          <cell r="E1731">
            <v>1000</v>
          </cell>
          <cell r="F1731" t="str">
            <v>ZALM</v>
          </cell>
          <cell r="G1731" t="str">
            <v>UN</v>
          </cell>
          <cell r="H1731" t="str">
            <v>DOP</v>
          </cell>
          <cell r="I1731">
            <v>0</v>
          </cell>
          <cell r="J1731">
            <v>0</v>
          </cell>
          <cell r="K1731">
            <v>0</v>
          </cell>
          <cell r="L1731">
            <v>0</v>
          </cell>
          <cell r="M1731">
            <v>0</v>
          </cell>
          <cell r="N1731">
            <v>0</v>
          </cell>
          <cell r="O1731">
            <v>0</v>
          </cell>
          <cell r="P1731">
            <v>0</v>
          </cell>
          <cell r="Q1731">
            <v>0</v>
          </cell>
          <cell r="R1731">
            <v>0</v>
          </cell>
          <cell r="S1731">
            <v>0</v>
          </cell>
          <cell r="T1731">
            <v>0</v>
          </cell>
          <cell r="U1731" t="e">
            <v>#N/A</v>
          </cell>
        </row>
        <row r="1732">
          <cell r="A1732">
            <v>1001726</v>
          </cell>
          <cell r="B1732" t="str">
            <v>Barra Coneccion P/ Neutro 7 Sal #2</v>
          </cell>
          <cell r="D1732">
            <v>6003</v>
          </cell>
          <cell r="E1732">
            <v>1000</v>
          </cell>
          <cell r="F1732" t="str">
            <v>ZALM</v>
          </cell>
          <cell r="G1732" t="str">
            <v>UN</v>
          </cell>
          <cell r="H1732" t="str">
            <v>DOP</v>
          </cell>
          <cell r="I1732">
            <v>336</v>
          </cell>
          <cell r="J1732">
            <v>12700.8</v>
          </cell>
          <cell r="K1732">
            <v>0</v>
          </cell>
          <cell r="L1732">
            <v>0</v>
          </cell>
          <cell r="M1732">
            <v>0</v>
          </cell>
          <cell r="N1732">
            <v>0</v>
          </cell>
          <cell r="O1732">
            <v>0</v>
          </cell>
          <cell r="P1732">
            <v>0</v>
          </cell>
          <cell r="Q1732">
            <v>0</v>
          </cell>
          <cell r="R1732">
            <v>0</v>
          </cell>
          <cell r="S1732">
            <v>336</v>
          </cell>
          <cell r="T1732">
            <v>12700.8</v>
          </cell>
          <cell r="U1732">
            <v>37.799999999999997</v>
          </cell>
        </row>
        <row r="1733">
          <cell r="A1733">
            <v>1001727</v>
          </cell>
          <cell r="B1733" t="str">
            <v>Barra Coneccion P/ Neutro 9 Sal #2</v>
          </cell>
          <cell r="D1733">
            <v>6003</v>
          </cell>
          <cell r="E1733">
            <v>1000</v>
          </cell>
          <cell r="F1733" t="str">
            <v>ZALM</v>
          </cell>
          <cell r="G1733" t="str">
            <v>UN</v>
          </cell>
          <cell r="H1733" t="str">
            <v>DOP</v>
          </cell>
          <cell r="I1733">
            <v>111</v>
          </cell>
          <cell r="J1733">
            <v>38850</v>
          </cell>
          <cell r="K1733">
            <v>0</v>
          </cell>
          <cell r="L1733">
            <v>0</v>
          </cell>
          <cell r="M1733">
            <v>0</v>
          </cell>
          <cell r="N1733">
            <v>0</v>
          </cell>
          <cell r="O1733">
            <v>0</v>
          </cell>
          <cell r="P1733">
            <v>0</v>
          </cell>
          <cell r="Q1733">
            <v>0</v>
          </cell>
          <cell r="R1733">
            <v>0</v>
          </cell>
          <cell r="S1733">
            <v>111</v>
          </cell>
          <cell r="T1733">
            <v>38850</v>
          </cell>
          <cell r="U1733">
            <v>350</v>
          </cell>
        </row>
        <row r="1734">
          <cell r="A1734">
            <v>1001728</v>
          </cell>
          <cell r="B1734" t="str">
            <v>Bronze Paral Conec Sing Center Bolt ST-4</v>
          </cell>
          <cell r="D1734">
            <v>6003</v>
          </cell>
          <cell r="E1734">
            <v>1000</v>
          </cell>
          <cell r="F1734" t="str">
            <v>ZALM</v>
          </cell>
          <cell r="G1734" t="str">
            <v>UN</v>
          </cell>
          <cell r="H1734" t="str">
            <v>DOP</v>
          </cell>
          <cell r="I1734">
            <v>0</v>
          </cell>
          <cell r="J1734">
            <v>0</v>
          </cell>
          <cell r="K1734">
            <v>0</v>
          </cell>
          <cell r="L1734">
            <v>0</v>
          </cell>
          <cell r="M1734">
            <v>0</v>
          </cell>
          <cell r="N1734">
            <v>0</v>
          </cell>
          <cell r="O1734">
            <v>0</v>
          </cell>
          <cell r="P1734">
            <v>0</v>
          </cell>
          <cell r="Q1734">
            <v>0</v>
          </cell>
          <cell r="R1734">
            <v>0</v>
          </cell>
          <cell r="S1734">
            <v>0</v>
          </cell>
          <cell r="T1734">
            <v>0</v>
          </cell>
          <cell r="U1734" t="e">
            <v>#N/A</v>
          </cell>
        </row>
        <row r="1735">
          <cell r="A1735">
            <v>1001729</v>
          </cell>
          <cell r="B1735" t="str">
            <v>Cabezal Grande (Referencia 69633-2)</v>
          </cell>
          <cell r="D1735">
            <v>6003</v>
          </cell>
          <cell r="E1735">
            <v>1000</v>
          </cell>
          <cell r="F1735" t="str">
            <v>ZALM</v>
          </cell>
          <cell r="G1735" t="str">
            <v>UN</v>
          </cell>
          <cell r="H1735" t="str">
            <v>DOP</v>
          </cell>
          <cell r="I1735">
            <v>0</v>
          </cell>
          <cell r="J1735">
            <v>0</v>
          </cell>
          <cell r="K1735">
            <v>0</v>
          </cell>
          <cell r="L1735">
            <v>0</v>
          </cell>
          <cell r="M1735">
            <v>0</v>
          </cell>
          <cell r="N1735">
            <v>0</v>
          </cell>
          <cell r="O1735">
            <v>0</v>
          </cell>
          <cell r="P1735">
            <v>0</v>
          </cell>
          <cell r="Q1735">
            <v>0</v>
          </cell>
          <cell r="R1735">
            <v>0</v>
          </cell>
          <cell r="S1735">
            <v>0</v>
          </cell>
          <cell r="T1735">
            <v>0</v>
          </cell>
          <cell r="U1735" t="e">
            <v>#N/A</v>
          </cell>
        </row>
        <row r="1736">
          <cell r="A1736">
            <v>1001730</v>
          </cell>
          <cell r="B1736" t="str">
            <v>Cartucho Amarillo P/ Ampact 465.4 MCM</v>
          </cell>
          <cell r="D1736">
            <v>6003</v>
          </cell>
          <cell r="E1736">
            <v>1000</v>
          </cell>
          <cell r="F1736" t="str">
            <v>ZALM</v>
          </cell>
          <cell r="G1736" t="str">
            <v>UN</v>
          </cell>
          <cell r="H1736" t="str">
            <v>DOP</v>
          </cell>
          <cell r="I1736">
            <v>5060</v>
          </cell>
          <cell r="J1736">
            <v>310077.39</v>
          </cell>
          <cell r="K1736">
            <v>0</v>
          </cell>
          <cell r="L1736">
            <v>0</v>
          </cell>
          <cell r="M1736">
            <v>0</v>
          </cell>
          <cell r="N1736">
            <v>0</v>
          </cell>
          <cell r="O1736">
            <v>0</v>
          </cell>
          <cell r="P1736">
            <v>0</v>
          </cell>
          <cell r="Q1736">
            <v>0</v>
          </cell>
          <cell r="R1736">
            <v>0</v>
          </cell>
          <cell r="S1736">
            <v>5060</v>
          </cell>
          <cell r="T1736">
            <v>310077.39</v>
          </cell>
          <cell r="U1736">
            <v>61.2801166007905</v>
          </cell>
        </row>
        <row r="1737">
          <cell r="A1737">
            <v>1001731</v>
          </cell>
          <cell r="B1737" t="str">
            <v>Cartucho Azul P/ Ampact Menor 465.4 MCM</v>
          </cell>
          <cell r="D1737">
            <v>6003</v>
          </cell>
          <cell r="E1737">
            <v>1000</v>
          </cell>
          <cell r="F1737" t="str">
            <v>ZALM</v>
          </cell>
          <cell r="G1737" t="str">
            <v>UN</v>
          </cell>
          <cell r="H1737" t="str">
            <v>DOP</v>
          </cell>
          <cell r="I1737">
            <v>4179</v>
          </cell>
          <cell r="J1737">
            <v>212844.23</v>
          </cell>
          <cell r="K1737">
            <v>0</v>
          </cell>
          <cell r="L1737">
            <v>0</v>
          </cell>
          <cell r="M1737">
            <v>0</v>
          </cell>
          <cell r="N1737">
            <v>0</v>
          </cell>
          <cell r="O1737">
            <v>0</v>
          </cell>
          <cell r="P1737">
            <v>0</v>
          </cell>
          <cell r="Q1737">
            <v>0</v>
          </cell>
          <cell r="R1737">
            <v>0</v>
          </cell>
          <cell r="S1737">
            <v>4179</v>
          </cell>
          <cell r="T1737">
            <v>212844.23</v>
          </cell>
          <cell r="U1737">
            <v>50.931856903565397</v>
          </cell>
        </row>
        <row r="1738">
          <cell r="A1738">
            <v>1001732</v>
          </cell>
          <cell r="B1738" t="str">
            <v>Cartucho Rojo P/ Ampact Menor 2/0 MCM</v>
          </cell>
          <cell r="D1738">
            <v>6003</v>
          </cell>
          <cell r="E1738">
            <v>1000</v>
          </cell>
          <cell r="F1738" t="str">
            <v>ZALM</v>
          </cell>
          <cell r="G1738" t="str">
            <v>UN</v>
          </cell>
          <cell r="H1738" t="str">
            <v>DOP</v>
          </cell>
          <cell r="I1738">
            <v>1613</v>
          </cell>
          <cell r="J1738">
            <v>93850.95</v>
          </cell>
          <cell r="K1738">
            <v>0</v>
          </cell>
          <cell r="L1738">
            <v>0</v>
          </cell>
          <cell r="M1738">
            <v>0</v>
          </cell>
          <cell r="N1738">
            <v>0</v>
          </cell>
          <cell r="O1738">
            <v>0</v>
          </cell>
          <cell r="P1738">
            <v>0</v>
          </cell>
          <cell r="Q1738">
            <v>0</v>
          </cell>
          <cell r="R1738">
            <v>0</v>
          </cell>
          <cell r="S1738">
            <v>1613</v>
          </cell>
          <cell r="T1738">
            <v>93850.95</v>
          </cell>
          <cell r="U1738">
            <v>58.184097954122699</v>
          </cell>
        </row>
        <row r="1739">
          <cell r="A1739">
            <v>1001733</v>
          </cell>
          <cell r="B1739" t="str">
            <v>Condulet Galv de 4"</v>
          </cell>
          <cell r="D1739">
            <v>6003</v>
          </cell>
          <cell r="E1739">
            <v>1000</v>
          </cell>
          <cell r="F1739" t="str">
            <v>ZALM</v>
          </cell>
          <cell r="G1739" t="str">
            <v>UN</v>
          </cell>
          <cell r="H1739" t="str">
            <v>DOP</v>
          </cell>
          <cell r="I1739">
            <v>0</v>
          </cell>
          <cell r="J1739">
            <v>0</v>
          </cell>
          <cell r="K1739">
            <v>0</v>
          </cell>
          <cell r="L1739">
            <v>0</v>
          </cell>
          <cell r="M1739">
            <v>0</v>
          </cell>
          <cell r="N1739">
            <v>0</v>
          </cell>
          <cell r="O1739">
            <v>0</v>
          </cell>
          <cell r="P1739">
            <v>0</v>
          </cell>
          <cell r="Q1739">
            <v>0</v>
          </cell>
          <cell r="R1739">
            <v>0</v>
          </cell>
          <cell r="S1739">
            <v>0</v>
          </cell>
          <cell r="T1739">
            <v>0</v>
          </cell>
          <cell r="U1739" t="e">
            <v>#N/A</v>
          </cell>
        </row>
        <row r="1740">
          <cell r="A1740">
            <v>1001734</v>
          </cell>
          <cell r="B1740" t="str">
            <v>Conect Aterrizaje Ground Clamp</v>
          </cell>
          <cell r="D1740">
            <v>6003</v>
          </cell>
          <cell r="E1740">
            <v>1000</v>
          </cell>
          <cell r="F1740" t="str">
            <v>ZALM</v>
          </cell>
          <cell r="G1740" t="str">
            <v>UN</v>
          </cell>
          <cell r="H1740" t="str">
            <v>DOP</v>
          </cell>
          <cell r="I1740">
            <v>152</v>
          </cell>
          <cell r="J1740">
            <v>14604.16</v>
          </cell>
          <cell r="K1740">
            <v>0</v>
          </cell>
          <cell r="L1740">
            <v>0</v>
          </cell>
          <cell r="M1740">
            <v>0</v>
          </cell>
          <cell r="N1740">
            <v>0</v>
          </cell>
          <cell r="O1740">
            <v>0</v>
          </cell>
          <cell r="P1740">
            <v>0</v>
          </cell>
          <cell r="Q1740">
            <v>0</v>
          </cell>
          <cell r="R1740">
            <v>0</v>
          </cell>
          <cell r="S1740">
            <v>152</v>
          </cell>
          <cell r="T1740">
            <v>14604.16</v>
          </cell>
          <cell r="U1740">
            <v>96.08</v>
          </cell>
        </row>
        <row r="1741">
          <cell r="A1741">
            <v>1001735</v>
          </cell>
          <cell r="B1741" t="str">
            <v>Conect Auxime Borna Cable T/ 7431-2020</v>
          </cell>
          <cell r="D1741">
            <v>6003</v>
          </cell>
          <cell r="E1741">
            <v>1000</v>
          </cell>
          <cell r="F1741" t="str">
            <v>ZALM</v>
          </cell>
          <cell r="G1741" t="str">
            <v>UN</v>
          </cell>
          <cell r="H1741" t="str">
            <v>DOP</v>
          </cell>
          <cell r="I1741">
            <v>0</v>
          </cell>
          <cell r="J1741">
            <v>0</v>
          </cell>
          <cell r="K1741">
            <v>0</v>
          </cell>
          <cell r="L1741">
            <v>0</v>
          </cell>
          <cell r="M1741">
            <v>0</v>
          </cell>
          <cell r="N1741">
            <v>0</v>
          </cell>
          <cell r="O1741">
            <v>0</v>
          </cell>
          <cell r="P1741">
            <v>0</v>
          </cell>
          <cell r="Q1741">
            <v>0</v>
          </cell>
          <cell r="R1741">
            <v>0</v>
          </cell>
          <cell r="S1741">
            <v>0</v>
          </cell>
          <cell r="T1741">
            <v>0</v>
          </cell>
          <cell r="U1741" t="e">
            <v>#N/A</v>
          </cell>
        </row>
        <row r="1742">
          <cell r="A1742">
            <v>1001736</v>
          </cell>
          <cell r="B1742" t="str">
            <v>Conect Auxime T/ 7412A-2020 P/ Cable 477</v>
          </cell>
          <cell r="D1742">
            <v>6003</v>
          </cell>
          <cell r="E1742">
            <v>1000</v>
          </cell>
          <cell r="F1742" t="str">
            <v>ZALM</v>
          </cell>
          <cell r="G1742" t="str">
            <v>UN</v>
          </cell>
          <cell r="H1742" t="str">
            <v>DOP</v>
          </cell>
          <cell r="I1742">
            <v>0</v>
          </cell>
          <cell r="J1742">
            <v>0</v>
          </cell>
          <cell r="K1742">
            <v>0</v>
          </cell>
          <cell r="L1742">
            <v>0</v>
          </cell>
          <cell r="M1742">
            <v>0</v>
          </cell>
          <cell r="N1742">
            <v>0</v>
          </cell>
          <cell r="O1742">
            <v>0</v>
          </cell>
          <cell r="P1742">
            <v>0</v>
          </cell>
          <cell r="Q1742">
            <v>0</v>
          </cell>
          <cell r="R1742">
            <v>0</v>
          </cell>
          <cell r="S1742">
            <v>0</v>
          </cell>
          <cell r="T1742">
            <v>0</v>
          </cell>
          <cell r="U1742" t="e">
            <v>#N/A</v>
          </cell>
        </row>
        <row r="1743">
          <cell r="A1743">
            <v>1001737</v>
          </cell>
          <cell r="B1743" t="str">
            <v>Conect Bimestral Transición P/ Elect</v>
          </cell>
          <cell r="D1743">
            <v>6003</v>
          </cell>
          <cell r="E1743">
            <v>1000</v>
          </cell>
          <cell r="F1743" t="str">
            <v>ZALM</v>
          </cell>
          <cell r="G1743" t="str">
            <v>UN</v>
          </cell>
          <cell r="H1743" t="str">
            <v>DOP</v>
          </cell>
          <cell r="I1743">
            <v>0</v>
          </cell>
          <cell r="J1743">
            <v>0</v>
          </cell>
          <cell r="K1743">
            <v>0</v>
          </cell>
          <cell r="L1743">
            <v>0</v>
          </cell>
          <cell r="M1743">
            <v>0</v>
          </cell>
          <cell r="N1743">
            <v>0</v>
          </cell>
          <cell r="O1743">
            <v>0</v>
          </cell>
          <cell r="P1743">
            <v>0</v>
          </cell>
          <cell r="Q1743">
            <v>0</v>
          </cell>
          <cell r="R1743">
            <v>0</v>
          </cell>
          <cell r="S1743">
            <v>0</v>
          </cell>
          <cell r="T1743">
            <v>0</v>
          </cell>
          <cell r="U1743" t="e">
            <v>#N/A</v>
          </cell>
        </row>
        <row r="1744">
          <cell r="A1744">
            <v>1001738</v>
          </cell>
          <cell r="B1744" t="str">
            <v>Conect Borna Cable T/ 7431-2020 Bimet</v>
          </cell>
          <cell r="D1744">
            <v>6003</v>
          </cell>
          <cell r="E1744">
            <v>1000</v>
          </cell>
          <cell r="F1744" t="str">
            <v>ZALM</v>
          </cell>
          <cell r="G1744" t="str">
            <v>UN</v>
          </cell>
          <cell r="H1744" t="str">
            <v>DOP</v>
          </cell>
          <cell r="I1744">
            <v>42</v>
          </cell>
          <cell r="J1744">
            <v>116197.2</v>
          </cell>
          <cell r="K1744">
            <v>0</v>
          </cell>
          <cell r="L1744">
            <v>0</v>
          </cell>
          <cell r="M1744">
            <v>0</v>
          </cell>
          <cell r="N1744">
            <v>0</v>
          </cell>
          <cell r="O1744">
            <v>0</v>
          </cell>
          <cell r="P1744">
            <v>0</v>
          </cell>
          <cell r="Q1744">
            <v>0</v>
          </cell>
          <cell r="R1744">
            <v>0</v>
          </cell>
          <cell r="S1744">
            <v>42</v>
          </cell>
          <cell r="T1744">
            <v>116197.2</v>
          </cell>
          <cell r="U1744">
            <v>2766.6</v>
          </cell>
        </row>
        <row r="1745">
          <cell r="A1745">
            <v>1001739</v>
          </cell>
          <cell r="B1745" t="str">
            <v>Conect Comp 4/0-2/0 477 ACSR YHN550</v>
          </cell>
          <cell r="D1745">
            <v>6003</v>
          </cell>
          <cell r="E1745">
            <v>1000</v>
          </cell>
          <cell r="F1745" t="str">
            <v>ZALM</v>
          </cell>
          <cell r="G1745" t="str">
            <v>UN</v>
          </cell>
          <cell r="H1745" t="str">
            <v>DOP</v>
          </cell>
          <cell r="I1745">
            <v>206</v>
          </cell>
          <cell r="J1745">
            <v>13790.7</v>
          </cell>
          <cell r="K1745">
            <v>0</v>
          </cell>
          <cell r="L1745">
            <v>0</v>
          </cell>
          <cell r="M1745">
            <v>0</v>
          </cell>
          <cell r="N1745">
            <v>0</v>
          </cell>
          <cell r="O1745">
            <v>0</v>
          </cell>
          <cell r="P1745">
            <v>0</v>
          </cell>
          <cell r="Q1745">
            <v>7</v>
          </cell>
          <cell r="R1745">
            <v>468.62</v>
          </cell>
          <cell r="S1745">
            <v>213</v>
          </cell>
          <cell r="T1745">
            <v>14259.32</v>
          </cell>
          <cell r="U1745">
            <v>66.945164319248804</v>
          </cell>
        </row>
        <row r="1746">
          <cell r="A1746">
            <v>1001740</v>
          </cell>
          <cell r="B1746" t="str">
            <v>Conect Comp 4/0-3/0 a 4/0-3/0 AWG #7 H</v>
          </cell>
          <cell r="D1746">
            <v>6003</v>
          </cell>
          <cell r="E1746">
            <v>1000</v>
          </cell>
          <cell r="F1746" t="str">
            <v>ZALM</v>
          </cell>
          <cell r="G1746" t="str">
            <v>UN</v>
          </cell>
          <cell r="H1746" t="str">
            <v>DOP</v>
          </cell>
          <cell r="I1746">
            <v>417</v>
          </cell>
          <cell r="J1746">
            <v>19583.05</v>
          </cell>
          <cell r="K1746">
            <v>0</v>
          </cell>
          <cell r="L1746">
            <v>0</v>
          </cell>
          <cell r="M1746">
            <v>10</v>
          </cell>
          <cell r="N1746">
            <v>469.62</v>
          </cell>
          <cell r="O1746">
            <v>0</v>
          </cell>
          <cell r="P1746">
            <v>0</v>
          </cell>
          <cell r="Q1746">
            <v>737</v>
          </cell>
          <cell r="R1746">
            <v>34610.82</v>
          </cell>
          <cell r="S1746">
            <v>1164</v>
          </cell>
          <cell r="T1746">
            <v>54663.49</v>
          </cell>
          <cell r="U1746">
            <v>46.961761168384903</v>
          </cell>
        </row>
        <row r="1747">
          <cell r="A1747">
            <v>1001741</v>
          </cell>
          <cell r="B1747" t="str">
            <v>Conect Comp Cu 10-8 STR YC8C8</v>
          </cell>
          <cell r="D1747">
            <v>6003</v>
          </cell>
          <cell r="E1747">
            <v>1000</v>
          </cell>
          <cell r="F1747" t="str">
            <v>ZALM</v>
          </cell>
          <cell r="G1747" t="str">
            <v>UN</v>
          </cell>
          <cell r="H1747" t="str">
            <v>DOP</v>
          </cell>
          <cell r="I1747">
            <v>6000</v>
          </cell>
          <cell r="J1747">
            <v>186000</v>
          </cell>
          <cell r="K1747">
            <v>0</v>
          </cell>
          <cell r="L1747">
            <v>0</v>
          </cell>
          <cell r="M1747">
            <v>0</v>
          </cell>
          <cell r="N1747">
            <v>0</v>
          </cell>
          <cell r="O1747">
            <v>0</v>
          </cell>
          <cell r="P1747">
            <v>0</v>
          </cell>
          <cell r="Q1747">
            <v>0</v>
          </cell>
          <cell r="R1747">
            <v>0</v>
          </cell>
          <cell r="S1747">
            <v>6000</v>
          </cell>
          <cell r="T1747">
            <v>186000</v>
          </cell>
          <cell r="U1747">
            <v>31</v>
          </cell>
        </row>
        <row r="1748">
          <cell r="A1748">
            <v>1001742</v>
          </cell>
          <cell r="B1748" t="str">
            <v>Conect Comp Hidraulic MDD VC6-F Manual</v>
          </cell>
          <cell r="D1748">
            <v>6003</v>
          </cell>
          <cell r="E1748">
            <v>1000</v>
          </cell>
          <cell r="F1748" t="str">
            <v>ZALM</v>
          </cell>
          <cell r="G1748" t="str">
            <v>UN</v>
          </cell>
          <cell r="H1748" t="str">
            <v>DOP</v>
          </cell>
          <cell r="I1748">
            <v>0</v>
          </cell>
          <cell r="J1748">
            <v>0</v>
          </cell>
          <cell r="K1748">
            <v>0</v>
          </cell>
          <cell r="L1748">
            <v>0</v>
          </cell>
          <cell r="M1748">
            <v>0</v>
          </cell>
          <cell r="N1748">
            <v>0</v>
          </cell>
          <cell r="O1748">
            <v>0</v>
          </cell>
          <cell r="P1748">
            <v>0</v>
          </cell>
          <cell r="Q1748">
            <v>0</v>
          </cell>
          <cell r="R1748">
            <v>0</v>
          </cell>
          <cell r="S1748">
            <v>0</v>
          </cell>
          <cell r="T1748">
            <v>0</v>
          </cell>
          <cell r="U1748" t="e">
            <v>#N/A</v>
          </cell>
        </row>
        <row r="1749">
          <cell r="A1749">
            <v>1001743</v>
          </cell>
          <cell r="B1749" t="str">
            <v>Conect Comp P/ Cond 1-6 1-6 AWG 4, 6 Cu</v>
          </cell>
          <cell r="D1749">
            <v>6003</v>
          </cell>
          <cell r="E1749">
            <v>1000</v>
          </cell>
          <cell r="F1749" t="str">
            <v>ZALM</v>
          </cell>
          <cell r="G1749" t="str">
            <v>UN</v>
          </cell>
          <cell r="H1749" t="str">
            <v>DOP</v>
          </cell>
          <cell r="I1749">
            <v>1750</v>
          </cell>
          <cell r="J1749">
            <v>20125</v>
          </cell>
          <cell r="K1749">
            <v>0</v>
          </cell>
          <cell r="L1749">
            <v>0</v>
          </cell>
          <cell r="M1749">
            <v>0</v>
          </cell>
          <cell r="N1749">
            <v>0</v>
          </cell>
          <cell r="O1749">
            <v>0</v>
          </cell>
          <cell r="P1749">
            <v>0</v>
          </cell>
          <cell r="Q1749">
            <v>0</v>
          </cell>
          <cell r="R1749">
            <v>0</v>
          </cell>
          <cell r="S1749">
            <v>1750</v>
          </cell>
          <cell r="T1749">
            <v>20125</v>
          </cell>
          <cell r="U1749">
            <v>11.5</v>
          </cell>
        </row>
        <row r="1750">
          <cell r="A1750">
            <v>1001744</v>
          </cell>
          <cell r="B1750" t="str">
            <v>Conect Comp P/ Cond 2/0-1/0 AWG Al-Cu</v>
          </cell>
          <cell r="D1750">
            <v>6003</v>
          </cell>
          <cell r="E1750">
            <v>1000</v>
          </cell>
          <cell r="F1750" t="str">
            <v>ZALM</v>
          </cell>
          <cell r="G1750" t="str">
            <v>UN</v>
          </cell>
          <cell r="H1750" t="str">
            <v>DOP</v>
          </cell>
          <cell r="I1750">
            <v>0</v>
          </cell>
          <cell r="J1750">
            <v>0</v>
          </cell>
          <cell r="K1750">
            <v>0</v>
          </cell>
          <cell r="L1750">
            <v>0</v>
          </cell>
          <cell r="M1750">
            <v>0</v>
          </cell>
          <cell r="N1750">
            <v>0</v>
          </cell>
          <cell r="O1750">
            <v>0</v>
          </cell>
          <cell r="P1750">
            <v>0</v>
          </cell>
          <cell r="Q1750">
            <v>0</v>
          </cell>
          <cell r="R1750">
            <v>0</v>
          </cell>
          <cell r="S1750">
            <v>0</v>
          </cell>
          <cell r="T1750">
            <v>0</v>
          </cell>
          <cell r="U1750" t="e">
            <v>#N/A</v>
          </cell>
        </row>
        <row r="1751">
          <cell r="A1751">
            <v>1001745</v>
          </cell>
          <cell r="B1751" t="str">
            <v>Conect Comp P/ Cond 2/0-2 6-14 AWG</v>
          </cell>
          <cell r="D1751">
            <v>6003</v>
          </cell>
          <cell r="E1751">
            <v>1000</v>
          </cell>
          <cell r="F1751" t="str">
            <v>ZALM</v>
          </cell>
          <cell r="G1751" t="str">
            <v>UN</v>
          </cell>
          <cell r="H1751" t="str">
            <v>DOP</v>
          </cell>
          <cell r="I1751">
            <v>4081</v>
          </cell>
          <cell r="J1751">
            <v>118838.72</v>
          </cell>
          <cell r="K1751">
            <v>0</v>
          </cell>
          <cell r="L1751">
            <v>0</v>
          </cell>
          <cell r="M1751">
            <v>0</v>
          </cell>
          <cell r="N1751">
            <v>0</v>
          </cell>
          <cell r="O1751">
            <v>0</v>
          </cell>
          <cell r="P1751">
            <v>0</v>
          </cell>
          <cell r="Q1751">
            <v>0</v>
          </cell>
          <cell r="R1751">
            <v>0</v>
          </cell>
          <cell r="S1751">
            <v>4081</v>
          </cell>
          <cell r="T1751">
            <v>118838.72</v>
          </cell>
          <cell r="U1751">
            <v>29.12</v>
          </cell>
        </row>
        <row r="1752">
          <cell r="A1752">
            <v>1001746</v>
          </cell>
          <cell r="B1752" t="str">
            <v>Conect Comp P/ Cond 2-6 a 2-6 AWG 46 Cu</v>
          </cell>
          <cell r="D1752">
            <v>6003</v>
          </cell>
          <cell r="E1752">
            <v>1000</v>
          </cell>
          <cell r="F1752" t="str">
            <v>ZALM</v>
          </cell>
          <cell r="G1752" t="str">
            <v>UN</v>
          </cell>
          <cell r="H1752" t="str">
            <v>DOP</v>
          </cell>
          <cell r="I1752">
            <v>0</v>
          </cell>
          <cell r="J1752">
            <v>0</v>
          </cell>
          <cell r="K1752">
            <v>0</v>
          </cell>
          <cell r="L1752">
            <v>0</v>
          </cell>
          <cell r="M1752">
            <v>201</v>
          </cell>
          <cell r="N1752">
            <v>7227.96</v>
          </cell>
          <cell r="O1752">
            <v>0</v>
          </cell>
          <cell r="P1752">
            <v>0</v>
          </cell>
          <cell r="Q1752">
            <v>0</v>
          </cell>
          <cell r="R1752">
            <v>0</v>
          </cell>
          <cell r="S1752">
            <v>201</v>
          </cell>
          <cell r="T1752">
            <v>7227.96</v>
          </cell>
          <cell r="U1752">
            <v>35.96</v>
          </cell>
        </row>
        <row r="1753">
          <cell r="A1753">
            <v>1001747</v>
          </cell>
          <cell r="B1753" t="str">
            <v>Conect Comp P/ Cond 3/0-1/0 AWG Al-Cu</v>
          </cell>
          <cell r="D1753">
            <v>6003</v>
          </cell>
          <cell r="E1753">
            <v>1000</v>
          </cell>
          <cell r="F1753" t="str">
            <v>ZALM</v>
          </cell>
          <cell r="G1753" t="str">
            <v>UN</v>
          </cell>
          <cell r="H1753" t="str">
            <v>DOP</v>
          </cell>
          <cell r="I1753">
            <v>3347</v>
          </cell>
          <cell r="J1753">
            <v>128737.36</v>
          </cell>
          <cell r="K1753">
            <v>0</v>
          </cell>
          <cell r="L1753">
            <v>0</v>
          </cell>
          <cell r="M1753">
            <v>0</v>
          </cell>
          <cell r="N1753">
            <v>0</v>
          </cell>
          <cell r="O1753">
            <v>0</v>
          </cell>
          <cell r="P1753">
            <v>0</v>
          </cell>
          <cell r="Q1753">
            <v>3</v>
          </cell>
          <cell r="R1753">
            <v>115.39</v>
          </cell>
          <cell r="S1753">
            <v>3350</v>
          </cell>
          <cell r="T1753">
            <v>128852.75</v>
          </cell>
          <cell r="U1753">
            <v>38.4635074626866</v>
          </cell>
        </row>
        <row r="1754">
          <cell r="A1754">
            <v>1001748</v>
          </cell>
          <cell r="B1754" t="str">
            <v>Conect Comp P/ Cond 4/0-3/0a1-6AWG Al-Cu</v>
          </cell>
          <cell r="D1754">
            <v>6003</v>
          </cell>
          <cell r="E1754">
            <v>1000</v>
          </cell>
          <cell r="F1754" t="str">
            <v>ZALM</v>
          </cell>
          <cell r="G1754" t="str">
            <v>UN</v>
          </cell>
          <cell r="H1754" t="str">
            <v>DOP</v>
          </cell>
          <cell r="I1754">
            <v>12489</v>
          </cell>
          <cell r="J1754">
            <v>111394.41</v>
          </cell>
          <cell r="K1754">
            <v>0</v>
          </cell>
          <cell r="L1754">
            <v>0</v>
          </cell>
          <cell r="M1754">
            <v>0</v>
          </cell>
          <cell r="N1754">
            <v>0</v>
          </cell>
          <cell r="O1754">
            <v>0</v>
          </cell>
          <cell r="P1754">
            <v>0</v>
          </cell>
          <cell r="Q1754">
            <v>0</v>
          </cell>
          <cell r="R1754">
            <v>0</v>
          </cell>
          <cell r="S1754">
            <v>12489</v>
          </cell>
          <cell r="T1754">
            <v>111394.41</v>
          </cell>
          <cell r="U1754">
            <v>8.9194018736488108</v>
          </cell>
        </row>
        <row r="1755">
          <cell r="A1755">
            <v>1001749</v>
          </cell>
          <cell r="B1755" t="str">
            <v>Conect Comp P/ Cond 477 ACSR-250 STR 2</v>
          </cell>
          <cell r="D1755">
            <v>6003</v>
          </cell>
          <cell r="E1755">
            <v>1000</v>
          </cell>
          <cell r="F1755" t="str">
            <v>ZALM</v>
          </cell>
          <cell r="G1755" t="str">
            <v>UN</v>
          </cell>
          <cell r="H1755" t="str">
            <v>DOP</v>
          </cell>
          <cell r="I1755">
            <v>2746</v>
          </cell>
          <cell r="J1755">
            <v>111240.46</v>
          </cell>
          <cell r="K1755">
            <v>0</v>
          </cell>
          <cell r="L1755">
            <v>0</v>
          </cell>
          <cell r="M1755">
            <v>0</v>
          </cell>
          <cell r="N1755">
            <v>0</v>
          </cell>
          <cell r="O1755">
            <v>0</v>
          </cell>
          <cell r="P1755">
            <v>0</v>
          </cell>
          <cell r="Q1755">
            <v>6</v>
          </cell>
          <cell r="R1755">
            <v>243.06</v>
          </cell>
          <cell r="S1755">
            <v>2752</v>
          </cell>
          <cell r="T1755">
            <v>111483.52</v>
          </cell>
          <cell r="U1755">
            <v>40.51</v>
          </cell>
        </row>
        <row r="1756">
          <cell r="A1756">
            <v>1001750</v>
          </cell>
          <cell r="B1756" t="str">
            <v>Conect Comp P/Cond 4/0-1/0 a 8/10-12/14</v>
          </cell>
          <cell r="D1756">
            <v>6003</v>
          </cell>
          <cell r="E1756">
            <v>1000</v>
          </cell>
          <cell r="F1756" t="str">
            <v>ZALM</v>
          </cell>
          <cell r="G1756" t="str">
            <v>UN</v>
          </cell>
          <cell r="H1756" t="str">
            <v>DOP</v>
          </cell>
          <cell r="I1756">
            <v>12174</v>
          </cell>
          <cell r="J1756">
            <v>91080.94</v>
          </cell>
          <cell r="K1756">
            <v>0</v>
          </cell>
          <cell r="L1756">
            <v>0</v>
          </cell>
          <cell r="M1756">
            <v>0</v>
          </cell>
          <cell r="N1756">
            <v>0</v>
          </cell>
          <cell r="O1756">
            <v>0</v>
          </cell>
          <cell r="P1756">
            <v>0</v>
          </cell>
          <cell r="Q1756">
            <v>3709</v>
          </cell>
          <cell r="R1756">
            <v>27749.24</v>
          </cell>
          <cell r="S1756">
            <v>15883</v>
          </cell>
          <cell r="T1756">
            <v>118830.18</v>
          </cell>
          <cell r="U1756">
            <v>7.4815954164830298</v>
          </cell>
        </row>
        <row r="1757">
          <cell r="A1757">
            <v>1001751</v>
          </cell>
          <cell r="B1757" t="str">
            <v>Conect Comp P/Cond 500-336.5 3/0-1/0 AWG</v>
          </cell>
          <cell r="D1757">
            <v>6003</v>
          </cell>
          <cell r="E1757">
            <v>1000</v>
          </cell>
          <cell r="F1757" t="str">
            <v>ZALM</v>
          </cell>
          <cell r="G1757" t="str">
            <v>UN</v>
          </cell>
          <cell r="H1757" t="str">
            <v>DOP</v>
          </cell>
          <cell r="I1757">
            <v>0</v>
          </cell>
          <cell r="J1757">
            <v>0</v>
          </cell>
          <cell r="K1757">
            <v>0</v>
          </cell>
          <cell r="L1757">
            <v>0</v>
          </cell>
          <cell r="M1757">
            <v>0</v>
          </cell>
          <cell r="N1757">
            <v>0</v>
          </cell>
          <cell r="O1757">
            <v>0</v>
          </cell>
          <cell r="P1757">
            <v>0</v>
          </cell>
          <cell r="Q1757">
            <v>0</v>
          </cell>
          <cell r="R1757">
            <v>0</v>
          </cell>
          <cell r="S1757">
            <v>0</v>
          </cell>
          <cell r="T1757">
            <v>0</v>
          </cell>
          <cell r="U1757" t="e">
            <v>#N/A</v>
          </cell>
        </row>
        <row r="1758">
          <cell r="A1758">
            <v>1001752</v>
          </cell>
          <cell r="B1758" t="str">
            <v>Conect Comp P/Cond 500-4/0 500-4/0 AWG</v>
          </cell>
          <cell r="D1758">
            <v>6003</v>
          </cell>
          <cell r="E1758">
            <v>1000</v>
          </cell>
          <cell r="F1758" t="str">
            <v>ZALM</v>
          </cell>
          <cell r="G1758" t="str">
            <v>UN</v>
          </cell>
          <cell r="H1758" t="str">
            <v>DOP</v>
          </cell>
          <cell r="I1758">
            <v>0</v>
          </cell>
          <cell r="J1758">
            <v>0</v>
          </cell>
          <cell r="K1758">
            <v>0</v>
          </cell>
          <cell r="L1758">
            <v>0</v>
          </cell>
          <cell r="M1758">
            <v>0</v>
          </cell>
          <cell r="N1758">
            <v>0</v>
          </cell>
          <cell r="O1758">
            <v>0</v>
          </cell>
          <cell r="P1758">
            <v>0</v>
          </cell>
          <cell r="Q1758">
            <v>0</v>
          </cell>
          <cell r="R1758">
            <v>0</v>
          </cell>
          <cell r="S1758">
            <v>0</v>
          </cell>
          <cell r="T1758">
            <v>0</v>
          </cell>
          <cell r="U1758" t="e">
            <v>#N/A</v>
          </cell>
        </row>
        <row r="1759">
          <cell r="A1759">
            <v>1001753</v>
          </cell>
          <cell r="B1759" t="str">
            <v>Conect Cu P/ Varilla Tierra 5/8"-1/2"</v>
          </cell>
          <cell r="D1759">
            <v>6003</v>
          </cell>
          <cell r="E1759">
            <v>1000</v>
          </cell>
          <cell r="F1759" t="str">
            <v>ZALM</v>
          </cell>
          <cell r="G1759" t="str">
            <v>UN</v>
          </cell>
          <cell r="H1759" t="str">
            <v>DOP</v>
          </cell>
          <cell r="I1759">
            <v>2663</v>
          </cell>
          <cell r="J1759">
            <v>169841.17</v>
          </cell>
          <cell r="K1759">
            <v>6505</v>
          </cell>
          <cell r="L1759">
            <v>414876.75</v>
          </cell>
          <cell r="M1759">
            <v>0</v>
          </cell>
          <cell r="N1759">
            <v>0</v>
          </cell>
          <cell r="O1759">
            <v>0</v>
          </cell>
          <cell r="P1759">
            <v>0</v>
          </cell>
          <cell r="Q1759">
            <v>86510</v>
          </cell>
          <cell r="R1759">
            <v>5517446.2800000003</v>
          </cell>
          <cell r="S1759">
            <v>95678</v>
          </cell>
          <cell r="T1759">
            <v>6102164.2000000002</v>
          </cell>
          <cell r="U1759">
            <v>63.7781329041159</v>
          </cell>
        </row>
        <row r="1760">
          <cell r="A1760">
            <v>1001754</v>
          </cell>
          <cell r="B1760" t="str">
            <v>Conect Cu P/ Varilla Tierra 5/8"-3/4"</v>
          </cell>
          <cell r="D1760">
            <v>6003</v>
          </cell>
          <cell r="E1760">
            <v>1000</v>
          </cell>
          <cell r="F1760" t="str">
            <v>ZALM</v>
          </cell>
          <cell r="G1760" t="str">
            <v>UN</v>
          </cell>
          <cell r="H1760" t="str">
            <v>DOP</v>
          </cell>
          <cell r="I1760">
            <v>0</v>
          </cell>
          <cell r="J1760">
            <v>0</v>
          </cell>
          <cell r="K1760">
            <v>0</v>
          </cell>
          <cell r="L1760">
            <v>0</v>
          </cell>
          <cell r="M1760">
            <v>0</v>
          </cell>
          <cell r="N1760">
            <v>0</v>
          </cell>
          <cell r="O1760">
            <v>0</v>
          </cell>
          <cell r="P1760">
            <v>0</v>
          </cell>
          <cell r="Q1760">
            <v>0</v>
          </cell>
          <cell r="R1760">
            <v>0</v>
          </cell>
          <cell r="S1760">
            <v>0</v>
          </cell>
          <cell r="T1760">
            <v>0</v>
          </cell>
          <cell r="U1760" t="e">
            <v>#N/A</v>
          </cell>
        </row>
        <row r="1761">
          <cell r="A1761">
            <v>1001755</v>
          </cell>
          <cell r="B1761" t="str">
            <v>Conect Cuña C/ Estr 4/0-2/0 Estr 2/0</v>
          </cell>
          <cell r="D1761">
            <v>6003</v>
          </cell>
          <cell r="E1761">
            <v>1000</v>
          </cell>
          <cell r="F1761" t="str">
            <v>ZALM</v>
          </cell>
          <cell r="G1761" t="str">
            <v>UN</v>
          </cell>
          <cell r="H1761" t="str">
            <v>DOP</v>
          </cell>
          <cell r="I1761">
            <v>425</v>
          </cell>
          <cell r="J1761">
            <v>117827</v>
          </cell>
          <cell r="K1761">
            <v>0</v>
          </cell>
          <cell r="L1761">
            <v>0</v>
          </cell>
          <cell r="M1761">
            <v>0</v>
          </cell>
          <cell r="N1761">
            <v>0</v>
          </cell>
          <cell r="O1761">
            <v>0</v>
          </cell>
          <cell r="P1761">
            <v>0</v>
          </cell>
          <cell r="Q1761">
            <v>28</v>
          </cell>
          <cell r="R1761">
            <v>7762.72</v>
          </cell>
          <cell r="S1761">
            <v>453</v>
          </cell>
          <cell r="T1761">
            <v>125589.72</v>
          </cell>
          <cell r="U1761">
            <v>277.24</v>
          </cell>
        </row>
        <row r="1762">
          <cell r="A1762">
            <v>1001756</v>
          </cell>
          <cell r="B1762" t="str">
            <v>Conect Cuña C/Estr 477 o Cair Estr 2/0</v>
          </cell>
          <cell r="D1762">
            <v>6003</v>
          </cell>
          <cell r="E1762">
            <v>1000</v>
          </cell>
          <cell r="F1762" t="str">
            <v>ZALM</v>
          </cell>
          <cell r="G1762" t="str">
            <v>UN</v>
          </cell>
          <cell r="H1762" t="str">
            <v>DOP</v>
          </cell>
          <cell r="I1762">
            <v>413</v>
          </cell>
          <cell r="J1762">
            <v>347074</v>
          </cell>
          <cell r="K1762">
            <v>0</v>
          </cell>
          <cell r="L1762">
            <v>0</v>
          </cell>
          <cell r="M1762">
            <v>6</v>
          </cell>
          <cell r="N1762">
            <v>5042.24</v>
          </cell>
          <cell r="O1762">
            <v>0</v>
          </cell>
          <cell r="P1762">
            <v>0</v>
          </cell>
          <cell r="Q1762">
            <v>0</v>
          </cell>
          <cell r="R1762">
            <v>0</v>
          </cell>
          <cell r="S1762">
            <v>419</v>
          </cell>
          <cell r="T1762">
            <v>352116.24</v>
          </cell>
          <cell r="U1762">
            <v>840.37288782816199</v>
          </cell>
        </row>
        <row r="1763">
          <cell r="A1763">
            <v>1001757</v>
          </cell>
          <cell r="B1763" t="str">
            <v>Conect Cuña P/ Cond 4/0 Deriv 4/0-3/0</v>
          </cell>
          <cell r="D1763">
            <v>6003</v>
          </cell>
          <cell r="E1763">
            <v>1000</v>
          </cell>
          <cell r="F1763" t="str">
            <v>ZALM</v>
          </cell>
          <cell r="G1763" t="str">
            <v>UN</v>
          </cell>
          <cell r="H1763" t="str">
            <v>DOP</v>
          </cell>
          <cell r="I1763">
            <v>0</v>
          </cell>
          <cell r="J1763">
            <v>0</v>
          </cell>
          <cell r="K1763">
            <v>0</v>
          </cell>
          <cell r="L1763">
            <v>0</v>
          </cell>
          <cell r="M1763">
            <v>124</v>
          </cell>
          <cell r="N1763">
            <v>14384</v>
          </cell>
          <cell r="O1763">
            <v>0</v>
          </cell>
          <cell r="P1763">
            <v>0</v>
          </cell>
          <cell r="Q1763">
            <v>0</v>
          </cell>
          <cell r="R1763">
            <v>0</v>
          </cell>
          <cell r="S1763">
            <v>124</v>
          </cell>
          <cell r="T1763">
            <v>14384</v>
          </cell>
          <cell r="U1763">
            <v>116</v>
          </cell>
        </row>
        <row r="1764">
          <cell r="A1764">
            <v>1001758</v>
          </cell>
          <cell r="B1764" t="str">
            <v>Conect Cuña P/ Cond 4/0-1/0 Der2/0-1/0</v>
          </cell>
          <cell r="D1764">
            <v>6003</v>
          </cell>
          <cell r="E1764">
            <v>1000</v>
          </cell>
          <cell r="F1764" t="str">
            <v>ZALM</v>
          </cell>
          <cell r="G1764" t="str">
            <v>UN</v>
          </cell>
          <cell r="H1764" t="str">
            <v>DOP</v>
          </cell>
          <cell r="I1764">
            <v>0</v>
          </cell>
          <cell r="J1764">
            <v>0</v>
          </cell>
          <cell r="K1764">
            <v>0</v>
          </cell>
          <cell r="L1764">
            <v>0</v>
          </cell>
          <cell r="M1764">
            <v>244</v>
          </cell>
          <cell r="N1764">
            <v>28075.85</v>
          </cell>
          <cell r="O1764">
            <v>0</v>
          </cell>
          <cell r="P1764">
            <v>0</v>
          </cell>
          <cell r="Q1764">
            <v>0</v>
          </cell>
          <cell r="R1764">
            <v>0</v>
          </cell>
          <cell r="S1764">
            <v>244</v>
          </cell>
          <cell r="T1764">
            <v>28075.85</v>
          </cell>
          <cell r="U1764">
            <v>115.064959016393</v>
          </cell>
        </row>
        <row r="1765">
          <cell r="A1765">
            <v>1001759</v>
          </cell>
          <cell r="B1765" t="str">
            <v>Conect Cuña P/ Cond 4/0-1/0 Der2/0-2/0</v>
          </cell>
          <cell r="D1765">
            <v>6003</v>
          </cell>
          <cell r="E1765">
            <v>1000</v>
          </cell>
          <cell r="F1765" t="str">
            <v>ZALM</v>
          </cell>
          <cell r="G1765" t="str">
            <v>UN</v>
          </cell>
          <cell r="H1765" t="str">
            <v>DOP</v>
          </cell>
          <cell r="I1765">
            <v>0</v>
          </cell>
          <cell r="J1765">
            <v>0</v>
          </cell>
          <cell r="K1765">
            <v>0</v>
          </cell>
          <cell r="L1765">
            <v>0</v>
          </cell>
          <cell r="M1765">
            <v>0</v>
          </cell>
          <cell r="N1765">
            <v>0</v>
          </cell>
          <cell r="O1765">
            <v>0</v>
          </cell>
          <cell r="P1765">
            <v>0</v>
          </cell>
          <cell r="Q1765">
            <v>0</v>
          </cell>
          <cell r="R1765">
            <v>0</v>
          </cell>
          <cell r="S1765">
            <v>0</v>
          </cell>
          <cell r="T1765">
            <v>0</v>
          </cell>
          <cell r="U1765" t="e">
            <v>#N/A</v>
          </cell>
        </row>
        <row r="1766">
          <cell r="A1766">
            <v>1001760</v>
          </cell>
          <cell r="B1766" t="str">
            <v>Conect Cuña P/ Cond 477 Cair 3/0-2/0</v>
          </cell>
          <cell r="D1766">
            <v>6003</v>
          </cell>
          <cell r="E1766">
            <v>1000</v>
          </cell>
          <cell r="F1766" t="str">
            <v>ZALM</v>
          </cell>
          <cell r="G1766" t="str">
            <v>UN</v>
          </cell>
          <cell r="H1766" t="str">
            <v>DOP</v>
          </cell>
          <cell r="I1766">
            <v>0</v>
          </cell>
          <cell r="J1766">
            <v>0</v>
          </cell>
          <cell r="K1766">
            <v>0</v>
          </cell>
          <cell r="L1766">
            <v>0</v>
          </cell>
          <cell r="M1766">
            <v>0</v>
          </cell>
          <cell r="N1766">
            <v>0</v>
          </cell>
          <cell r="O1766">
            <v>0</v>
          </cell>
          <cell r="P1766">
            <v>0</v>
          </cell>
          <cell r="Q1766">
            <v>0</v>
          </cell>
          <cell r="R1766">
            <v>0</v>
          </cell>
          <cell r="S1766">
            <v>0</v>
          </cell>
          <cell r="T1766">
            <v>0</v>
          </cell>
          <cell r="U1766" t="e">
            <v>#N/A</v>
          </cell>
        </row>
        <row r="1767">
          <cell r="A1767">
            <v>1001761</v>
          </cell>
          <cell r="B1767" t="str">
            <v>Conect Cuña P/ Cond 477 Cair Der 1/0</v>
          </cell>
          <cell r="D1767">
            <v>6003</v>
          </cell>
          <cell r="E1767">
            <v>1000</v>
          </cell>
          <cell r="F1767" t="str">
            <v>ZALM</v>
          </cell>
          <cell r="G1767" t="str">
            <v>UN</v>
          </cell>
          <cell r="H1767" t="str">
            <v>DOP</v>
          </cell>
          <cell r="I1767">
            <v>52</v>
          </cell>
          <cell r="J1767">
            <v>14929.2</v>
          </cell>
          <cell r="K1767">
            <v>0</v>
          </cell>
          <cell r="L1767">
            <v>0</v>
          </cell>
          <cell r="M1767">
            <v>0</v>
          </cell>
          <cell r="N1767">
            <v>0</v>
          </cell>
          <cell r="O1767">
            <v>0</v>
          </cell>
          <cell r="P1767">
            <v>0</v>
          </cell>
          <cell r="Q1767">
            <v>0</v>
          </cell>
          <cell r="R1767">
            <v>0</v>
          </cell>
          <cell r="S1767">
            <v>52</v>
          </cell>
          <cell r="T1767">
            <v>14929.2</v>
          </cell>
          <cell r="U1767">
            <v>287.10000000000002</v>
          </cell>
        </row>
        <row r="1768">
          <cell r="A1768">
            <v>1001762</v>
          </cell>
          <cell r="B1768" t="str">
            <v>Conect Cuña P/ Cond 477 Cair Der 477</v>
          </cell>
          <cell r="D1768">
            <v>6003</v>
          </cell>
          <cell r="E1768">
            <v>1000</v>
          </cell>
          <cell r="F1768" t="str">
            <v>ZALM</v>
          </cell>
          <cell r="G1768" t="str">
            <v>UN</v>
          </cell>
          <cell r="H1768" t="str">
            <v>DOP</v>
          </cell>
          <cell r="I1768">
            <v>541</v>
          </cell>
          <cell r="J1768">
            <v>133301.59</v>
          </cell>
          <cell r="K1768">
            <v>0</v>
          </cell>
          <cell r="L1768">
            <v>0</v>
          </cell>
          <cell r="M1768">
            <v>727</v>
          </cell>
          <cell r="N1768">
            <v>179131.71</v>
          </cell>
          <cell r="O1768">
            <v>0</v>
          </cell>
          <cell r="P1768">
            <v>0</v>
          </cell>
          <cell r="Q1768">
            <v>370</v>
          </cell>
          <cell r="R1768">
            <v>91167.44</v>
          </cell>
          <cell r="S1768">
            <v>1638</v>
          </cell>
          <cell r="T1768">
            <v>403600.74</v>
          </cell>
          <cell r="U1768">
            <v>246.39849816849801</v>
          </cell>
        </row>
        <row r="1769">
          <cell r="A1769">
            <v>1001763</v>
          </cell>
          <cell r="B1769" t="str">
            <v>Conect Cuña P/ Cond 477 Cairo 4/0-3/0</v>
          </cell>
          <cell r="D1769">
            <v>6003</v>
          </cell>
          <cell r="E1769">
            <v>1000</v>
          </cell>
          <cell r="F1769" t="str">
            <v>ZALM</v>
          </cell>
          <cell r="G1769" t="str">
            <v>UN</v>
          </cell>
          <cell r="H1769" t="str">
            <v>DOP</v>
          </cell>
          <cell r="I1769">
            <v>4</v>
          </cell>
          <cell r="J1769">
            <v>740.03</v>
          </cell>
          <cell r="K1769">
            <v>0</v>
          </cell>
          <cell r="L1769">
            <v>0</v>
          </cell>
          <cell r="M1769">
            <v>321</v>
          </cell>
          <cell r="N1769">
            <v>59387.68</v>
          </cell>
          <cell r="O1769">
            <v>0</v>
          </cell>
          <cell r="P1769">
            <v>0</v>
          </cell>
          <cell r="Q1769">
            <v>406</v>
          </cell>
          <cell r="R1769">
            <v>75113.39</v>
          </cell>
          <cell r="S1769">
            <v>731</v>
          </cell>
          <cell r="T1769">
            <v>135241.1</v>
          </cell>
          <cell r="U1769">
            <v>185.00834473324201</v>
          </cell>
        </row>
        <row r="1770">
          <cell r="A1770">
            <v>1001764</v>
          </cell>
          <cell r="B1770" t="str">
            <v>Conect Cuña P/ Cond 477 MCM #2 AWG</v>
          </cell>
          <cell r="D1770">
            <v>6003</v>
          </cell>
          <cell r="E1770">
            <v>1000</v>
          </cell>
          <cell r="F1770" t="str">
            <v>ZALM</v>
          </cell>
          <cell r="G1770" t="str">
            <v>UN</v>
          </cell>
          <cell r="H1770" t="str">
            <v>DOP</v>
          </cell>
          <cell r="I1770">
            <v>0</v>
          </cell>
          <cell r="J1770">
            <v>0</v>
          </cell>
          <cell r="K1770">
            <v>0</v>
          </cell>
          <cell r="L1770">
            <v>0</v>
          </cell>
          <cell r="M1770">
            <v>0</v>
          </cell>
          <cell r="N1770">
            <v>0</v>
          </cell>
          <cell r="O1770">
            <v>0</v>
          </cell>
          <cell r="P1770">
            <v>0</v>
          </cell>
          <cell r="Q1770">
            <v>0</v>
          </cell>
          <cell r="R1770">
            <v>0</v>
          </cell>
          <cell r="S1770">
            <v>0</v>
          </cell>
          <cell r="T1770">
            <v>0</v>
          </cell>
          <cell r="U1770" t="e">
            <v>#N/A</v>
          </cell>
        </row>
        <row r="1771">
          <cell r="A1771">
            <v>1001765</v>
          </cell>
          <cell r="B1771" t="str">
            <v>Conect Cuña P/ Puesta Tierra 5/8"-3/4"</v>
          </cell>
          <cell r="D1771">
            <v>6003</v>
          </cell>
          <cell r="E1771">
            <v>1000</v>
          </cell>
          <cell r="F1771" t="str">
            <v>ZALM</v>
          </cell>
          <cell r="G1771" t="str">
            <v>UN</v>
          </cell>
          <cell r="H1771" t="str">
            <v>DOP</v>
          </cell>
          <cell r="I1771">
            <v>0</v>
          </cell>
          <cell r="J1771">
            <v>0</v>
          </cell>
          <cell r="K1771">
            <v>0</v>
          </cell>
          <cell r="L1771">
            <v>0</v>
          </cell>
          <cell r="M1771">
            <v>0</v>
          </cell>
          <cell r="N1771">
            <v>0</v>
          </cell>
          <cell r="O1771">
            <v>0</v>
          </cell>
          <cell r="P1771">
            <v>0</v>
          </cell>
          <cell r="Q1771">
            <v>0</v>
          </cell>
          <cell r="R1771">
            <v>0</v>
          </cell>
          <cell r="S1771">
            <v>0</v>
          </cell>
          <cell r="T1771">
            <v>0</v>
          </cell>
          <cell r="U1771" t="e">
            <v>#N/A</v>
          </cell>
        </row>
        <row r="1772">
          <cell r="A1772">
            <v>1001766</v>
          </cell>
          <cell r="B1772" t="str">
            <v>Conect Dent 25/150-25/150 mm² 4-1/0 AWG</v>
          </cell>
          <cell r="D1772">
            <v>6003</v>
          </cell>
          <cell r="E1772">
            <v>1000</v>
          </cell>
          <cell r="F1772" t="str">
            <v>ZALM</v>
          </cell>
          <cell r="G1772" t="str">
            <v>UN</v>
          </cell>
          <cell r="H1772" t="str">
            <v>DOP</v>
          </cell>
          <cell r="I1772">
            <v>0</v>
          </cell>
          <cell r="J1772">
            <v>0</v>
          </cell>
          <cell r="K1772">
            <v>0</v>
          </cell>
          <cell r="L1772">
            <v>0</v>
          </cell>
          <cell r="M1772">
            <v>0</v>
          </cell>
          <cell r="N1772">
            <v>0</v>
          </cell>
          <cell r="O1772">
            <v>0</v>
          </cell>
          <cell r="P1772">
            <v>0</v>
          </cell>
          <cell r="Q1772">
            <v>0</v>
          </cell>
          <cell r="R1772">
            <v>0</v>
          </cell>
          <cell r="S1772">
            <v>0</v>
          </cell>
          <cell r="T1772">
            <v>0</v>
          </cell>
          <cell r="U1772" t="e">
            <v>#N/A</v>
          </cell>
        </row>
        <row r="1773">
          <cell r="A1773">
            <v>1001767</v>
          </cell>
          <cell r="B1773" t="str">
            <v>Conect Dent 25/150-25/150mm² 3-300 AWG</v>
          </cell>
          <cell r="D1773">
            <v>6003</v>
          </cell>
          <cell r="E1773">
            <v>1000</v>
          </cell>
          <cell r="F1773" t="str">
            <v>ZALM</v>
          </cell>
          <cell r="G1773" t="str">
            <v>UN</v>
          </cell>
          <cell r="H1773" t="str">
            <v>DOP</v>
          </cell>
          <cell r="I1773">
            <v>13</v>
          </cell>
          <cell r="J1773">
            <v>2864.11</v>
          </cell>
          <cell r="K1773">
            <v>0</v>
          </cell>
          <cell r="L1773">
            <v>0</v>
          </cell>
          <cell r="M1773">
            <v>71</v>
          </cell>
          <cell r="N1773">
            <v>15642.44</v>
          </cell>
          <cell r="O1773">
            <v>0</v>
          </cell>
          <cell r="P1773">
            <v>0</v>
          </cell>
          <cell r="Q1773">
            <v>3</v>
          </cell>
          <cell r="R1773">
            <v>660.95</v>
          </cell>
          <cell r="S1773">
            <v>87</v>
          </cell>
          <cell r="T1773">
            <v>19167.5</v>
          </cell>
          <cell r="U1773">
            <v>220.31609195402299</v>
          </cell>
        </row>
        <row r="1774">
          <cell r="A1774">
            <v>1001768</v>
          </cell>
          <cell r="B1774" t="str">
            <v>Conect Dent Doble P/Cond 50/150-50/150mm</v>
          </cell>
          <cell r="D1774">
            <v>6003</v>
          </cell>
          <cell r="E1774">
            <v>1000</v>
          </cell>
          <cell r="F1774" t="str">
            <v>ZALM</v>
          </cell>
          <cell r="G1774" t="str">
            <v>UN</v>
          </cell>
          <cell r="H1774" t="str">
            <v>DOP</v>
          </cell>
          <cell r="I1774">
            <v>0</v>
          </cell>
          <cell r="J1774">
            <v>0</v>
          </cell>
          <cell r="K1774">
            <v>0</v>
          </cell>
          <cell r="L1774">
            <v>0</v>
          </cell>
          <cell r="M1774">
            <v>0</v>
          </cell>
          <cell r="N1774">
            <v>0</v>
          </cell>
          <cell r="O1774">
            <v>0</v>
          </cell>
          <cell r="P1774">
            <v>0</v>
          </cell>
          <cell r="Q1774">
            <v>0</v>
          </cell>
          <cell r="R1774">
            <v>0</v>
          </cell>
          <cell r="S1774">
            <v>0</v>
          </cell>
          <cell r="T1774">
            <v>0</v>
          </cell>
          <cell r="U1774" t="e">
            <v>#N/A</v>
          </cell>
        </row>
        <row r="1775">
          <cell r="A1775">
            <v>1001769</v>
          </cell>
          <cell r="B1775" t="str">
            <v>Conect Elbow T/ Codo P/Cable 4/0 15kV</v>
          </cell>
          <cell r="D1775">
            <v>6003</v>
          </cell>
          <cell r="E1775">
            <v>1000</v>
          </cell>
          <cell r="F1775" t="str">
            <v>ZALM</v>
          </cell>
          <cell r="G1775" t="str">
            <v>UN</v>
          </cell>
          <cell r="H1775" t="str">
            <v>DOP</v>
          </cell>
          <cell r="I1775">
            <v>0</v>
          </cell>
          <cell r="J1775">
            <v>0</v>
          </cell>
          <cell r="K1775">
            <v>0</v>
          </cell>
          <cell r="L1775">
            <v>0</v>
          </cell>
          <cell r="M1775">
            <v>0</v>
          </cell>
          <cell r="N1775">
            <v>0</v>
          </cell>
          <cell r="O1775">
            <v>0</v>
          </cell>
          <cell r="P1775">
            <v>0</v>
          </cell>
          <cell r="Q1775">
            <v>0</v>
          </cell>
          <cell r="R1775">
            <v>0</v>
          </cell>
          <cell r="S1775">
            <v>0</v>
          </cell>
          <cell r="T1775">
            <v>0</v>
          </cell>
          <cell r="U1775" t="e">
            <v>#N/A</v>
          </cell>
        </row>
        <row r="1776">
          <cell r="A1776">
            <v>1001770</v>
          </cell>
          <cell r="B1776" t="str">
            <v>Conect Espec T/ T P/Barra Subest 1000MCM</v>
          </cell>
          <cell r="D1776">
            <v>6003</v>
          </cell>
          <cell r="E1776">
            <v>1000</v>
          </cell>
          <cell r="F1776" t="str">
            <v>ZALM</v>
          </cell>
          <cell r="G1776" t="str">
            <v>UN</v>
          </cell>
          <cell r="H1776" t="str">
            <v>DOP</v>
          </cell>
          <cell r="I1776">
            <v>0</v>
          </cell>
          <cell r="J1776">
            <v>0</v>
          </cell>
          <cell r="K1776">
            <v>0</v>
          </cell>
          <cell r="L1776">
            <v>0</v>
          </cell>
          <cell r="M1776">
            <v>0</v>
          </cell>
          <cell r="N1776">
            <v>0</v>
          </cell>
          <cell r="O1776">
            <v>0</v>
          </cell>
          <cell r="P1776">
            <v>0</v>
          </cell>
          <cell r="Q1776">
            <v>0</v>
          </cell>
          <cell r="R1776">
            <v>0</v>
          </cell>
          <cell r="S1776">
            <v>0</v>
          </cell>
          <cell r="T1776">
            <v>0</v>
          </cell>
          <cell r="U1776" t="e">
            <v>#N/A</v>
          </cell>
        </row>
        <row r="1777">
          <cell r="A1777">
            <v>1001771</v>
          </cell>
          <cell r="B1777" t="str">
            <v>Conect Mec Paral C/Estr Bim P/ 2/0 #2</v>
          </cell>
          <cell r="D1777">
            <v>6003</v>
          </cell>
          <cell r="E1777">
            <v>1000</v>
          </cell>
          <cell r="F1777" t="str">
            <v>ZALM</v>
          </cell>
          <cell r="G1777" t="str">
            <v>UN</v>
          </cell>
          <cell r="H1777" t="str">
            <v>DOP</v>
          </cell>
          <cell r="I1777">
            <v>4916</v>
          </cell>
          <cell r="J1777">
            <v>1640684.67</v>
          </cell>
          <cell r="K1777">
            <v>0</v>
          </cell>
          <cell r="L1777">
            <v>0</v>
          </cell>
          <cell r="M1777">
            <v>698</v>
          </cell>
          <cell r="N1777">
            <v>232953.19</v>
          </cell>
          <cell r="O1777">
            <v>0</v>
          </cell>
          <cell r="P1777">
            <v>0</v>
          </cell>
          <cell r="Q1777">
            <v>136</v>
          </cell>
          <cell r="R1777">
            <v>45389.16</v>
          </cell>
          <cell r="S1777">
            <v>5750</v>
          </cell>
          <cell r="T1777">
            <v>1919027.02</v>
          </cell>
          <cell r="U1777">
            <v>333.74382956521703</v>
          </cell>
        </row>
        <row r="1778">
          <cell r="A1778">
            <v>1001772</v>
          </cell>
          <cell r="B1778" t="str">
            <v>Conect Mec Paral C/Estr Bim P/ 4/0-2/0</v>
          </cell>
          <cell r="D1778">
            <v>6003</v>
          </cell>
          <cell r="E1778">
            <v>1000</v>
          </cell>
          <cell r="F1778" t="str">
            <v>ZALM</v>
          </cell>
          <cell r="G1778" t="str">
            <v>UN</v>
          </cell>
          <cell r="H1778" t="str">
            <v>DOP</v>
          </cell>
          <cell r="I1778">
            <v>2397</v>
          </cell>
          <cell r="J1778">
            <v>1606651.12</v>
          </cell>
          <cell r="K1778">
            <v>0</v>
          </cell>
          <cell r="L1778">
            <v>0</v>
          </cell>
          <cell r="M1778">
            <v>0</v>
          </cell>
          <cell r="N1778">
            <v>0</v>
          </cell>
          <cell r="O1778">
            <v>0</v>
          </cell>
          <cell r="P1778">
            <v>0</v>
          </cell>
          <cell r="Q1778">
            <v>0</v>
          </cell>
          <cell r="R1778">
            <v>0</v>
          </cell>
          <cell r="S1778">
            <v>2397</v>
          </cell>
          <cell r="T1778">
            <v>1606651.12</v>
          </cell>
          <cell r="U1778">
            <v>670.27581143095495</v>
          </cell>
        </row>
        <row r="1779">
          <cell r="A1779">
            <v>1001773</v>
          </cell>
          <cell r="B1779" t="str">
            <v>Conect N Hemb P/Cable Heliax 1/2" Cu</v>
          </cell>
          <cell r="D1779">
            <v>6003</v>
          </cell>
          <cell r="E1779">
            <v>1000</v>
          </cell>
          <cell r="F1779" t="str">
            <v>ZALM</v>
          </cell>
          <cell r="G1779" t="str">
            <v>UN</v>
          </cell>
          <cell r="H1779" t="str">
            <v>DOP</v>
          </cell>
          <cell r="I1779">
            <v>0</v>
          </cell>
          <cell r="J1779">
            <v>0</v>
          </cell>
          <cell r="K1779">
            <v>0</v>
          </cell>
          <cell r="L1779">
            <v>0</v>
          </cell>
          <cell r="M1779">
            <v>0</v>
          </cell>
          <cell r="N1779">
            <v>0</v>
          </cell>
          <cell r="O1779">
            <v>0</v>
          </cell>
          <cell r="P1779">
            <v>0</v>
          </cell>
          <cell r="Q1779">
            <v>0</v>
          </cell>
          <cell r="R1779">
            <v>0</v>
          </cell>
          <cell r="S1779">
            <v>0</v>
          </cell>
          <cell r="T1779">
            <v>0</v>
          </cell>
          <cell r="U1779" t="e">
            <v>#N/A</v>
          </cell>
        </row>
        <row r="1780">
          <cell r="A1780">
            <v>1001774</v>
          </cell>
          <cell r="B1780" t="str">
            <v>Conect N Mach P/Cable Heliax 1/2" Cu</v>
          </cell>
          <cell r="D1780">
            <v>6003</v>
          </cell>
          <cell r="E1780">
            <v>1000</v>
          </cell>
          <cell r="F1780" t="str">
            <v>ZALM</v>
          </cell>
          <cell r="G1780" t="str">
            <v>UN</v>
          </cell>
          <cell r="H1780" t="str">
            <v>DOP</v>
          </cell>
          <cell r="I1780">
            <v>0</v>
          </cell>
          <cell r="J1780">
            <v>0</v>
          </cell>
          <cell r="K1780">
            <v>0</v>
          </cell>
          <cell r="L1780">
            <v>0</v>
          </cell>
          <cell r="M1780">
            <v>0</v>
          </cell>
          <cell r="N1780">
            <v>0</v>
          </cell>
          <cell r="O1780">
            <v>0</v>
          </cell>
          <cell r="P1780">
            <v>0</v>
          </cell>
          <cell r="Q1780">
            <v>0</v>
          </cell>
          <cell r="R1780">
            <v>0</v>
          </cell>
          <cell r="S1780">
            <v>0</v>
          </cell>
          <cell r="T1780">
            <v>0</v>
          </cell>
          <cell r="U1780" t="e">
            <v>#N/A</v>
          </cell>
        </row>
        <row r="1781">
          <cell r="A1781">
            <v>1001775</v>
          </cell>
          <cell r="B1781" t="str">
            <v>Conect Neut 2 Vía C/Pern Arand 2/0 Alloy</v>
          </cell>
          <cell r="D1781">
            <v>6003</v>
          </cell>
          <cell r="E1781">
            <v>1000</v>
          </cell>
          <cell r="F1781" t="str">
            <v>ZALM</v>
          </cell>
          <cell r="G1781" t="str">
            <v>UN</v>
          </cell>
          <cell r="H1781" t="str">
            <v>DOP</v>
          </cell>
          <cell r="I1781">
            <v>0</v>
          </cell>
          <cell r="J1781">
            <v>0</v>
          </cell>
          <cell r="K1781">
            <v>0</v>
          </cell>
          <cell r="L1781">
            <v>0</v>
          </cell>
          <cell r="M1781">
            <v>0</v>
          </cell>
          <cell r="N1781">
            <v>0</v>
          </cell>
          <cell r="O1781">
            <v>0</v>
          </cell>
          <cell r="P1781">
            <v>0</v>
          </cell>
          <cell r="Q1781">
            <v>0</v>
          </cell>
          <cell r="R1781">
            <v>0</v>
          </cell>
          <cell r="S1781">
            <v>0</v>
          </cell>
          <cell r="T1781">
            <v>0</v>
          </cell>
          <cell r="U1781" t="e">
            <v>#N/A</v>
          </cell>
        </row>
        <row r="1782">
          <cell r="A1782">
            <v>1001776</v>
          </cell>
          <cell r="B1782" t="str">
            <v>Conect ParaloGround Conect 2709-2-30EH</v>
          </cell>
          <cell r="D1782">
            <v>6003</v>
          </cell>
          <cell r="E1782">
            <v>1000</v>
          </cell>
          <cell r="F1782" t="str">
            <v>ZALM</v>
          </cell>
          <cell r="G1782" t="str">
            <v>UN</v>
          </cell>
          <cell r="H1782" t="str">
            <v>DOP</v>
          </cell>
          <cell r="I1782">
            <v>0</v>
          </cell>
          <cell r="J1782">
            <v>0</v>
          </cell>
          <cell r="K1782">
            <v>0</v>
          </cell>
          <cell r="L1782">
            <v>0</v>
          </cell>
          <cell r="M1782">
            <v>0</v>
          </cell>
          <cell r="N1782">
            <v>0</v>
          </cell>
          <cell r="O1782">
            <v>0</v>
          </cell>
          <cell r="P1782">
            <v>0</v>
          </cell>
          <cell r="Q1782">
            <v>0</v>
          </cell>
          <cell r="R1782">
            <v>0</v>
          </cell>
          <cell r="S1782">
            <v>0</v>
          </cell>
          <cell r="T1782">
            <v>0</v>
          </cell>
          <cell r="U1782" t="e">
            <v>#N/A</v>
          </cell>
        </row>
        <row r="1783">
          <cell r="A1783">
            <v>1001777</v>
          </cell>
          <cell r="B1783" t="str">
            <v>Conect Perno Part Bronce Split Bolt 4/0</v>
          </cell>
          <cell r="D1783">
            <v>6003</v>
          </cell>
          <cell r="E1783">
            <v>1000</v>
          </cell>
          <cell r="F1783" t="str">
            <v>ZALM</v>
          </cell>
          <cell r="G1783" t="str">
            <v>UN</v>
          </cell>
          <cell r="H1783" t="str">
            <v>DOP</v>
          </cell>
          <cell r="I1783">
            <v>87</v>
          </cell>
          <cell r="J1783">
            <v>23964.29</v>
          </cell>
          <cell r="K1783">
            <v>0</v>
          </cell>
          <cell r="L1783">
            <v>0</v>
          </cell>
          <cell r="M1783">
            <v>0</v>
          </cell>
          <cell r="N1783">
            <v>0</v>
          </cell>
          <cell r="O1783">
            <v>0</v>
          </cell>
          <cell r="P1783">
            <v>0</v>
          </cell>
          <cell r="Q1783">
            <v>0</v>
          </cell>
          <cell r="R1783">
            <v>0</v>
          </cell>
          <cell r="S1783">
            <v>87</v>
          </cell>
          <cell r="T1783">
            <v>23964.29</v>
          </cell>
          <cell r="U1783">
            <v>275.451609195402</v>
          </cell>
        </row>
        <row r="1784">
          <cell r="A1784">
            <v>1001778</v>
          </cell>
          <cell r="B1784" t="str">
            <v>Conect Perno Part P/ Cabl No.2 al 2/0 Cu</v>
          </cell>
          <cell r="D1784">
            <v>6003</v>
          </cell>
          <cell r="E1784">
            <v>1000</v>
          </cell>
          <cell r="F1784" t="str">
            <v>ZALM</v>
          </cell>
          <cell r="G1784" t="str">
            <v>UN</v>
          </cell>
          <cell r="H1784" t="str">
            <v>DOP</v>
          </cell>
          <cell r="I1784">
            <v>0</v>
          </cell>
          <cell r="J1784">
            <v>0</v>
          </cell>
          <cell r="K1784">
            <v>0</v>
          </cell>
          <cell r="L1784">
            <v>0</v>
          </cell>
          <cell r="M1784">
            <v>0</v>
          </cell>
          <cell r="N1784">
            <v>0</v>
          </cell>
          <cell r="O1784">
            <v>0</v>
          </cell>
          <cell r="P1784">
            <v>0</v>
          </cell>
          <cell r="Q1784">
            <v>0</v>
          </cell>
          <cell r="R1784">
            <v>0</v>
          </cell>
          <cell r="S1784">
            <v>0</v>
          </cell>
          <cell r="T1784">
            <v>0</v>
          </cell>
          <cell r="U1784" t="e">
            <v>#N/A</v>
          </cell>
        </row>
        <row r="1785">
          <cell r="A1785">
            <v>1001779</v>
          </cell>
          <cell r="B1785" t="str">
            <v>Conect Perno Part P/ Cable No.2 al 1/0</v>
          </cell>
          <cell r="D1785">
            <v>6003</v>
          </cell>
          <cell r="E1785">
            <v>1000</v>
          </cell>
          <cell r="F1785" t="str">
            <v>ZALM</v>
          </cell>
          <cell r="G1785" t="str">
            <v>UN</v>
          </cell>
          <cell r="H1785" t="str">
            <v>DOP</v>
          </cell>
          <cell r="I1785">
            <v>0</v>
          </cell>
          <cell r="J1785">
            <v>0</v>
          </cell>
          <cell r="K1785">
            <v>0</v>
          </cell>
          <cell r="L1785">
            <v>0</v>
          </cell>
          <cell r="M1785">
            <v>0</v>
          </cell>
          <cell r="N1785">
            <v>0</v>
          </cell>
          <cell r="O1785">
            <v>0</v>
          </cell>
          <cell r="P1785">
            <v>0</v>
          </cell>
          <cell r="Q1785">
            <v>0</v>
          </cell>
          <cell r="R1785">
            <v>0</v>
          </cell>
          <cell r="S1785">
            <v>0</v>
          </cell>
          <cell r="T1785">
            <v>0</v>
          </cell>
          <cell r="U1785" t="e">
            <v>#N/A</v>
          </cell>
        </row>
        <row r="1786">
          <cell r="A1786">
            <v>1001780</v>
          </cell>
          <cell r="B1786" t="str">
            <v>Conect Perno Part P/ Cable No.2 al 2/0</v>
          </cell>
          <cell r="D1786">
            <v>6003</v>
          </cell>
          <cell r="E1786">
            <v>1000</v>
          </cell>
          <cell r="F1786" t="str">
            <v>ZALM</v>
          </cell>
          <cell r="G1786" t="str">
            <v>UN</v>
          </cell>
          <cell r="H1786" t="str">
            <v>DOP</v>
          </cell>
          <cell r="I1786">
            <v>0</v>
          </cell>
          <cell r="J1786">
            <v>0</v>
          </cell>
          <cell r="K1786">
            <v>0</v>
          </cell>
          <cell r="L1786">
            <v>0</v>
          </cell>
          <cell r="M1786">
            <v>0</v>
          </cell>
          <cell r="N1786">
            <v>0</v>
          </cell>
          <cell r="O1786">
            <v>0</v>
          </cell>
          <cell r="P1786">
            <v>0</v>
          </cell>
          <cell r="Q1786">
            <v>0</v>
          </cell>
          <cell r="R1786">
            <v>0</v>
          </cell>
          <cell r="S1786">
            <v>0</v>
          </cell>
          <cell r="T1786">
            <v>0</v>
          </cell>
          <cell r="U1786" t="e">
            <v>#N/A</v>
          </cell>
        </row>
        <row r="1787">
          <cell r="A1787">
            <v>1001781</v>
          </cell>
          <cell r="B1787" t="str">
            <v>Conect Perno Part P/ Cable No.8 al 2</v>
          </cell>
          <cell r="D1787">
            <v>6003</v>
          </cell>
          <cell r="E1787">
            <v>1000</v>
          </cell>
          <cell r="F1787" t="str">
            <v>ZALM</v>
          </cell>
          <cell r="G1787" t="str">
            <v>UN</v>
          </cell>
          <cell r="H1787" t="str">
            <v>DOP</v>
          </cell>
          <cell r="I1787">
            <v>15</v>
          </cell>
          <cell r="J1787">
            <v>870</v>
          </cell>
          <cell r="K1787">
            <v>0</v>
          </cell>
          <cell r="L1787">
            <v>0</v>
          </cell>
          <cell r="M1787">
            <v>0</v>
          </cell>
          <cell r="N1787">
            <v>0</v>
          </cell>
          <cell r="O1787">
            <v>0</v>
          </cell>
          <cell r="P1787">
            <v>0</v>
          </cell>
          <cell r="Q1787">
            <v>212</v>
          </cell>
          <cell r="R1787">
            <v>12296</v>
          </cell>
          <cell r="S1787">
            <v>227</v>
          </cell>
          <cell r="T1787">
            <v>13166</v>
          </cell>
          <cell r="U1787">
            <v>58</v>
          </cell>
        </row>
        <row r="1788">
          <cell r="A1788">
            <v>1001782</v>
          </cell>
          <cell r="B1788" t="str">
            <v>Conect Perno Part P/Cable Viento 1/4"</v>
          </cell>
          <cell r="D1788">
            <v>6003</v>
          </cell>
          <cell r="E1788">
            <v>1000</v>
          </cell>
          <cell r="F1788" t="str">
            <v>ZALM</v>
          </cell>
          <cell r="G1788" t="str">
            <v>UN</v>
          </cell>
          <cell r="H1788" t="str">
            <v>DOP</v>
          </cell>
          <cell r="I1788">
            <v>0</v>
          </cell>
          <cell r="J1788">
            <v>0</v>
          </cell>
          <cell r="K1788">
            <v>0</v>
          </cell>
          <cell r="L1788">
            <v>0</v>
          </cell>
          <cell r="M1788">
            <v>0</v>
          </cell>
          <cell r="N1788">
            <v>0</v>
          </cell>
          <cell r="O1788">
            <v>0</v>
          </cell>
          <cell r="P1788">
            <v>0</v>
          </cell>
          <cell r="Q1788">
            <v>0</v>
          </cell>
          <cell r="R1788">
            <v>0</v>
          </cell>
          <cell r="S1788">
            <v>0</v>
          </cell>
          <cell r="T1788">
            <v>0</v>
          </cell>
          <cell r="U1788" t="e">
            <v>#N/A</v>
          </cell>
        </row>
        <row r="1789">
          <cell r="A1789">
            <v>1001783</v>
          </cell>
          <cell r="B1789" t="str">
            <v>Conect Prue Agua P/ SEU1-1/4 Caj T/Sock</v>
          </cell>
          <cell r="D1789">
            <v>6003</v>
          </cell>
          <cell r="E1789">
            <v>1000</v>
          </cell>
          <cell r="F1789" t="str">
            <v>ZALM</v>
          </cell>
          <cell r="G1789" t="str">
            <v>UN</v>
          </cell>
          <cell r="H1789" t="str">
            <v>DOP</v>
          </cell>
          <cell r="I1789">
            <v>0</v>
          </cell>
          <cell r="J1789">
            <v>0</v>
          </cell>
          <cell r="K1789">
            <v>0</v>
          </cell>
          <cell r="L1789">
            <v>0</v>
          </cell>
          <cell r="M1789">
            <v>0</v>
          </cell>
          <cell r="N1789">
            <v>0</v>
          </cell>
          <cell r="O1789">
            <v>0</v>
          </cell>
          <cell r="P1789">
            <v>0</v>
          </cell>
          <cell r="Q1789">
            <v>0</v>
          </cell>
          <cell r="R1789">
            <v>0</v>
          </cell>
          <cell r="S1789">
            <v>0</v>
          </cell>
          <cell r="T1789">
            <v>0</v>
          </cell>
          <cell r="U1789" t="e">
            <v>#N/A</v>
          </cell>
        </row>
        <row r="1790">
          <cell r="A1790">
            <v>1001784</v>
          </cell>
          <cell r="B1790" t="str">
            <v>Conect Prue Agua P/ SEU3No.4 Caj T/Sock</v>
          </cell>
          <cell r="D1790">
            <v>6003</v>
          </cell>
          <cell r="E1790">
            <v>1000</v>
          </cell>
          <cell r="F1790" t="str">
            <v>ZALM</v>
          </cell>
          <cell r="G1790" t="str">
            <v>UN</v>
          </cell>
          <cell r="H1790" t="str">
            <v>DOP</v>
          </cell>
          <cell r="I1790">
            <v>0</v>
          </cell>
          <cell r="J1790">
            <v>0</v>
          </cell>
          <cell r="K1790">
            <v>0</v>
          </cell>
          <cell r="L1790">
            <v>0</v>
          </cell>
          <cell r="M1790">
            <v>0</v>
          </cell>
          <cell r="N1790">
            <v>0</v>
          </cell>
          <cell r="O1790">
            <v>0</v>
          </cell>
          <cell r="P1790">
            <v>0</v>
          </cell>
          <cell r="Q1790">
            <v>0</v>
          </cell>
          <cell r="R1790">
            <v>0</v>
          </cell>
          <cell r="S1790">
            <v>0</v>
          </cell>
          <cell r="T1790">
            <v>0</v>
          </cell>
          <cell r="U1790" t="e">
            <v>#N/A</v>
          </cell>
        </row>
        <row r="1791">
          <cell r="A1791">
            <v>1001785</v>
          </cell>
          <cell r="B1791" t="str">
            <v>Conect Prue Agua P/ SEU4No.6 Caj T/Sock</v>
          </cell>
          <cell r="D1791">
            <v>6003</v>
          </cell>
          <cell r="E1791">
            <v>1000</v>
          </cell>
          <cell r="F1791" t="str">
            <v>ZALM</v>
          </cell>
          <cell r="G1791" t="str">
            <v>UN</v>
          </cell>
          <cell r="H1791" t="str">
            <v>DOP</v>
          </cell>
          <cell r="I1791">
            <v>0</v>
          </cell>
          <cell r="J1791">
            <v>0</v>
          </cell>
          <cell r="K1791">
            <v>0</v>
          </cell>
          <cell r="L1791">
            <v>0</v>
          </cell>
          <cell r="M1791">
            <v>0</v>
          </cell>
          <cell r="N1791">
            <v>0</v>
          </cell>
          <cell r="O1791">
            <v>0</v>
          </cell>
          <cell r="P1791">
            <v>0</v>
          </cell>
          <cell r="Q1791">
            <v>0</v>
          </cell>
          <cell r="R1791">
            <v>0</v>
          </cell>
          <cell r="S1791">
            <v>0</v>
          </cell>
          <cell r="T1791">
            <v>0</v>
          </cell>
          <cell r="U1791" t="e">
            <v>#N/A</v>
          </cell>
        </row>
        <row r="1792">
          <cell r="A1792">
            <v>1001786</v>
          </cell>
          <cell r="B1792" t="str">
            <v>Conect Prueb Agua Cabl SEU 2 No.8</v>
          </cell>
          <cell r="D1792">
            <v>6003</v>
          </cell>
          <cell r="E1792">
            <v>1000</v>
          </cell>
          <cell r="F1792" t="str">
            <v>ZALM</v>
          </cell>
          <cell r="G1792" t="str">
            <v>UN</v>
          </cell>
          <cell r="H1792" t="str">
            <v>DOP</v>
          </cell>
          <cell r="I1792">
            <v>50</v>
          </cell>
          <cell r="J1792">
            <v>1750</v>
          </cell>
          <cell r="K1792">
            <v>0</v>
          </cell>
          <cell r="L1792">
            <v>0</v>
          </cell>
          <cell r="M1792">
            <v>0</v>
          </cell>
          <cell r="N1792">
            <v>0</v>
          </cell>
          <cell r="O1792">
            <v>0</v>
          </cell>
          <cell r="P1792">
            <v>0</v>
          </cell>
          <cell r="Q1792">
            <v>0</v>
          </cell>
          <cell r="R1792">
            <v>0</v>
          </cell>
          <cell r="S1792">
            <v>50</v>
          </cell>
          <cell r="T1792">
            <v>1750</v>
          </cell>
          <cell r="U1792">
            <v>35</v>
          </cell>
        </row>
        <row r="1793">
          <cell r="A1793">
            <v>1001787</v>
          </cell>
          <cell r="B1793" t="str">
            <v>Conect Prueb Agua Cabl SEU 3 No.6</v>
          </cell>
          <cell r="D1793">
            <v>6003</v>
          </cell>
          <cell r="E1793">
            <v>1000</v>
          </cell>
          <cell r="F1793" t="str">
            <v>ZALM</v>
          </cell>
          <cell r="G1793" t="str">
            <v>UN</v>
          </cell>
          <cell r="H1793" t="str">
            <v>DOP</v>
          </cell>
          <cell r="I1793">
            <v>29801</v>
          </cell>
          <cell r="J1793">
            <v>1357180.08</v>
          </cell>
          <cell r="K1793">
            <v>0</v>
          </cell>
          <cell r="L1793">
            <v>0</v>
          </cell>
          <cell r="M1793">
            <v>0</v>
          </cell>
          <cell r="N1793">
            <v>0</v>
          </cell>
          <cell r="O1793">
            <v>0</v>
          </cell>
          <cell r="P1793">
            <v>0</v>
          </cell>
          <cell r="Q1793">
            <v>0</v>
          </cell>
          <cell r="R1793">
            <v>0</v>
          </cell>
          <cell r="S1793">
            <v>29801</v>
          </cell>
          <cell r="T1793">
            <v>1357180.08</v>
          </cell>
          <cell r="U1793">
            <v>45.541427468876897</v>
          </cell>
        </row>
        <row r="1794">
          <cell r="A1794">
            <v>1001788</v>
          </cell>
          <cell r="B1794" t="str">
            <v>Conect PWR Includer Feedthru J2</v>
          </cell>
          <cell r="D1794">
            <v>6003</v>
          </cell>
          <cell r="E1794">
            <v>1000</v>
          </cell>
          <cell r="F1794" t="str">
            <v>ZALM</v>
          </cell>
          <cell r="G1794" t="str">
            <v>UN</v>
          </cell>
          <cell r="H1794" t="str">
            <v>DOP</v>
          </cell>
          <cell r="I1794">
            <v>0</v>
          </cell>
          <cell r="J1794">
            <v>0</v>
          </cell>
          <cell r="K1794">
            <v>0</v>
          </cell>
          <cell r="L1794">
            <v>0</v>
          </cell>
          <cell r="M1794">
            <v>0</v>
          </cell>
          <cell r="N1794">
            <v>0</v>
          </cell>
          <cell r="O1794">
            <v>0</v>
          </cell>
          <cell r="P1794">
            <v>0</v>
          </cell>
          <cell r="Q1794">
            <v>0</v>
          </cell>
          <cell r="R1794">
            <v>0</v>
          </cell>
          <cell r="S1794">
            <v>0</v>
          </cell>
          <cell r="T1794">
            <v>0</v>
          </cell>
          <cell r="U1794" t="e">
            <v>#N/A</v>
          </cell>
        </row>
        <row r="1795">
          <cell r="A1795">
            <v>1001789</v>
          </cell>
          <cell r="B1795" t="str">
            <v>Conect Simp Dent P/ Cabl Desn 1/0-300AWG</v>
          </cell>
          <cell r="D1795">
            <v>6003</v>
          </cell>
          <cell r="E1795">
            <v>1000</v>
          </cell>
          <cell r="F1795" t="str">
            <v>ZALM</v>
          </cell>
          <cell r="G1795" t="str">
            <v>UN</v>
          </cell>
          <cell r="H1795" t="str">
            <v>DOP</v>
          </cell>
          <cell r="I1795">
            <v>0</v>
          </cell>
          <cell r="J1795">
            <v>0</v>
          </cell>
          <cell r="K1795">
            <v>0</v>
          </cell>
          <cell r="L1795">
            <v>0</v>
          </cell>
          <cell r="M1795">
            <v>0</v>
          </cell>
          <cell r="N1795">
            <v>0</v>
          </cell>
          <cell r="O1795">
            <v>0</v>
          </cell>
          <cell r="P1795">
            <v>0</v>
          </cell>
          <cell r="Q1795">
            <v>0</v>
          </cell>
          <cell r="R1795">
            <v>0</v>
          </cell>
          <cell r="S1795">
            <v>0</v>
          </cell>
          <cell r="T1795">
            <v>0</v>
          </cell>
          <cell r="U1795" t="e">
            <v>#N/A</v>
          </cell>
        </row>
        <row r="1796">
          <cell r="A1796">
            <v>1001790</v>
          </cell>
          <cell r="B1796" t="str">
            <v>Conect Simp Dent P/ Cond 2/0-4/0 Aisl Al</v>
          </cell>
          <cell r="D1796">
            <v>6003</v>
          </cell>
          <cell r="E1796">
            <v>1000</v>
          </cell>
          <cell r="F1796" t="str">
            <v>ZALM</v>
          </cell>
          <cell r="G1796" t="str">
            <v>UN</v>
          </cell>
          <cell r="H1796" t="str">
            <v>DOP</v>
          </cell>
          <cell r="I1796">
            <v>0</v>
          </cell>
          <cell r="J1796">
            <v>0</v>
          </cell>
          <cell r="K1796">
            <v>0</v>
          </cell>
          <cell r="L1796">
            <v>0</v>
          </cell>
          <cell r="M1796">
            <v>0</v>
          </cell>
          <cell r="N1796">
            <v>0</v>
          </cell>
          <cell r="O1796">
            <v>0</v>
          </cell>
          <cell r="P1796">
            <v>0</v>
          </cell>
          <cell r="Q1796">
            <v>0</v>
          </cell>
          <cell r="R1796">
            <v>0</v>
          </cell>
          <cell r="S1796">
            <v>0</v>
          </cell>
          <cell r="T1796">
            <v>0</v>
          </cell>
          <cell r="U1796" t="e">
            <v>#N/A</v>
          </cell>
        </row>
        <row r="1797">
          <cell r="A1797">
            <v>1001791</v>
          </cell>
          <cell r="B1797" t="str">
            <v>Conect Simp Dent P/Cabl Aisl16-954-35mm²</v>
          </cell>
          <cell r="D1797">
            <v>6003</v>
          </cell>
          <cell r="E1797">
            <v>1000</v>
          </cell>
          <cell r="F1797" t="str">
            <v>ZALM</v>
          </cell>
          <cell r="G1797" t="str">
            <v>UN</v>
          </cell>
          <cell r="H1797" t="str">
            <v>DOP</v>
          </cell>
          <cell r="I1797">
            <v>12994</v>
          </cell>
          <cell r="J1797">
            <v>821866.8</v>
          </cell>
          <cell r="K1797">
            <v>19</v>
          </cell>
          <cell r="L1797">
            <v>1201.74</v>
          </cell>
          <cell r="M1797">
            <v>30235</v>
          </cell>
          <cell r="N1797">
            <v>1912355.14</v>
          </cell>
          <cell r="O1797">
            <v>0</v>
          </cell>
          <cell r="P1797">
            <v>0</v>
          </cell>
          <cell r="Q1797">
            <v>17917</v>
          </cell>
          <cell r="R1797">
            <v>1133245.1499999999</v>
          </cell>
          <cell r="S1797">
            <v>61165</v>
          </cell>
          <cell r="T1797">
            <v>3868668.83</v>
          </cell>
          <cell r="U1797">
            <v>63.249715196599396</v>
          </cell>
        </row>
        <row r="1798">
          <cell r="A1798">
            <v>1001792</v>
          </cell>
          <cell r="B1798" t="str">
            <v>Conect Sop P/Cab Aisl Dobl C/Torn 2"</v>
          </cell>
          <cell r="D1798">
            <v>6003</v>
          </cell>
          <cell r="E1798">
            <v>1000</v>
          </cell>
          <cell r="F1798" t="str">
            <v>ZALM</v>
          </cell>
          <cell r="G1798" t="str">
            <v>UN</v>
          </cell>
          <cell r="H1798" t="str">
            <v>DOP</v>
          </cell>
          <cell r="I1798">
            <v>0</v>
          </cell>
          <cell r="J1798">
            <v>0</v>
          </cell>
          <cell r="K1798">
            <v>0</v>
          </cell>
          <cell r="L1798">
            <v>0</v>
          </cell>
          <cell r="M1798">
            <v>0</v>
          </cell>
          <cell r="N1798">
            <v>0</v>
          </cell>
          <cell r="O1798">
            <v>0</v>
          </cell>
          <cell r="P1798">
            <v>0</v>
          </cell>
          <cell r="Q1798">
            <v>0</v>
          </cell>
          <cell r="R1798">
            <v>0</v>
          </cell>
          <cell r="S1798">
            <v>0</v>
          </cell>
          <cell r="T1798">
            <v>0</v>
          </cell>
          <cell r="U1798" t="e">
            <v>#N/A</v>
          </cell>
        </row>
        <row r="1799">
          <cell r="A1799">
            <v>1001793</v>
          </cell>
          <cell r="B1799" t="str">
            <v>Conect Sop P/Cab Aisl Dobl Torn 3-3 1/2"</v>
          </cell>
          <cell r="D1799">
            <v>6003</v>
          </cell>
          <cell r="E1799">
            <v>1000</v>
          </cell>
          <cell r="F1799" t="str">
            <v>ZALM</v>
          </cell>
          <cell r="G1799" t="str">
            <v>UN</v>
          </cell>
          <cell r="H1799" t="str">
            <v>DOP</v>
          </cell>
          <cell r="I1799">
            <v>0</v>
          </cell>
          <cell r="J1799">
            <v>0</v>
          </cell>
          <cell r="K1799">
            <v>0</v>
          </cell>
          <cell r="L1799">
            <v>0</v>
          </cell>
          <cell r="M1799">
            <v>0</v>
          </cell>
          <cell r="N1799">
            <v>0</v>
          </cell>
          <cell r="O1799">
            <v>0</v>
          </cell>
          <cell r="P1799">
            <v>0</v>
          </cell>
          <cell r="Q1799">
            <v>0</v>
          </cell>
          <cell r="R1799">
            <v>0</v>
          </cell>
          <cell r="S1799">
            <v>0</v>
          </cell>
          <cell r="T1799">
            <v>0</v>
          </cell>
          <cell r="U1799" t="e">
            <v>#N/A</v>
          </cell>
        </row>
        <row r="1800">
          <cell r="A1800">
            <v>1001794</v>
          </cell>
          <cell r="B1800" t="str">
            <v>Conector Acodado P/ Cable URD #2</v>
          </cell>
          <cell r="D1800">
            <v>6003</v>
          </cell>
          <cell r="E1800">
            <v>1000</v>
          </cell>
          <cell r="F1800" t="str">
            <v>ZALM</v>
          </cell>
          <cell r="G1800" t="str">
            <v>UN</v>
          </cell>
          <cell r="H1800" t="str">
            <v>DOP</v>
          </cell>
          <cell r="I1800">
            <v>13</v>
          </cell>
          <cell r="J1800">
            <v>21196.43</v>
          </cell>
          <cell r="K1800">
            <v>0</v>
          </cell>
          <cell r="L1800">
            <v>0</v>
          </cell>
          <cell r="M1800">
            <v>16</v>
          </cell>
          <cell r="N1800">
            <v>26087.919999999998</v>
          </cell>
          <cell r="O1800">
            <v>0</v>
          </cell>
          <cell r="P1800">
            <v>0</v>
          </cell>
          <cell r="Q1800">
            <v>0</v>
          </cell>
          <cell r="R1800">
            <v>0</v>
          </cell>
          <cell r="S1800">
            <v>29</v>
          </cell>
          <cell r="T1800">
            <v>47284.35</v>
          </cell>
          <cell r="U1800">
            <v>1630.49482758621</v>
          </cell>
        </row>
        <row r="1801">
          <cell r="A1801">
            <v>1001795</v>
          </cell>
          <cell r="B1801" t="str">
            <v>Conector Acodado P/ Cable URD #2/0</v>
          </cell>
          <cell r="D1801">
            <v>6003</v>
          </cell>
          <cell r="E1801">
            <v>1000</v>
          </cell>
          <cell r="F1801" t="str">
            <v>ZALM</v>
          </cell>
          <cell r="G1801" t="str">
            <v>UN</v>
          </cell>
          <cell r="H1801" t="str">
            <v>DOP</v>
          </cell>
          <cell r="I1801">
            <v>0</v>
          </cell>
          <cell r="J1801">
            <v>0</v>
          </cell>
          <cell r="K1801">
            <v>0</v>
          </cell>
          <cell r="L1801">
            <v>0</v>
          </cell>
          <cell r="M1801">
            <v>0</v>
          </cell>
          <cell r="N1801">
            <v>0</v>
          </cell>
          <cell r="O1801">
            <v>0</v>
          </cell>
          <cell r="P1801">
            <v>0</v>
          </cell>
          <cell r="Q1801">
            <v>0</v>
          </cell>
          <cell r="R1801">
            <v>0</v>
          </cell>
          <cell r="S1801">
            <v>0</v>
          </cell>
          <cell r="T1801">
            <v>0</v>
          </cell>
          <cell r="U1801" t="e">
            <v>#N/A</v>
          </cell>
        </row>
        <row r="1802">
          <cell r="A1802">
            <v>1001796</v>
          </cell>
          <cell r="B1802" t="str">
            <v>Conector Apernado 600-4/0</v>
          </cell>
          <cell r="D1802">
            <v>6003</v>
          </cell>
          <cell r="E1802">
            <v>1000</v>
          </cell>
          <cell r="F1802" t="str">
            <v>ZALM</v>
          </cell>
          <cell r="G1802" t="str">
            <v>UN</v>
          </cell>
          <cell r="H1802" t="str">
            <v>DOP</v>
          </cell>
          <cell r="I1802">
            <v>0</v>
          </cell>
          <cell r="J1802">
            <v>0</v>
          </cell>
          <cell r="K1802">
            <v>0</v>
          </cell>
          <cell r="L1802">
            <v>0</v>
          </cell>
          <cell r="M1802">
            <v>0</v>
          </cell>
          <cell r="N1802">
            <v>0</v>
          </cell>
          <cell r="O1802">
            <v>0</v>
          </cell>
          <cell r="P1802">
            <v>0</v>
          </cell>
          <cell r="Q1802">
            <v>0</v>
          </cell>
          <cell r="R1802">
            <v>0</v>
          </cell>
          <cell r="S1802">
            <v>0</v>
          </cell>
          <cell r="T1802">
            <v>0</v>
          </cell>
          <cell r="U1802" t="e">
            <v>#N/A</v>
          </cell>
        </row>
        <row r="1803">
          <cell r="A1803">
            <v>1001797</v>
          </cell>
          <cell r="B1803" t="str">
            <v>Conector Apernado AL-3/0/0-2/0</v>
          </cell>
          <cell r="D1803">
            <v>6003</v>
          </cell>
          <cell r="E1803">
            <v>1000</v>
          </cell>
          <cell r="F1803" t="str">
            <v>ZALM</v>
          </cell>
          <cell r="G1803" t="str">
            <v>UN</v>
          </cell>
          <cell r="H1803" t="str">
            <v>DOP</v>
          </cell>
          <cell r="I1803">
            <v>0</v>
          </cell>
          <cell r="J1803">
            <v>0</v>
          </cell>
          <cell r="K1803">
            <v>0</v>
          </cell>
          <cell r="L1803">
            <v>0</v>
          </cell>
          <cell r="M1803">
            <v>0</v>
          </cell>
          <cell r="N1803">
            <v>0</v>
          </cell>
          <cell r="O1803">
            <v>0</v>
          </cell>
          <cell r="P1803">
            <v>0</v>
          </cell>
          <cell r="Q1803">
            <v>0</v>
          </cell>
          <cell r="R1803">
            <v>0</v>
          </cell>
          <cell r="S1803">
            <v>0</v>
          </cell>
          <cell r="T1803">
            <v>0</v>
          </cell>
          <cell r="U1803" t="e">
            <v>#N/A</v>
          </cell>
        </row>
        <row r="1804">
          <cell r="A1804">
            <v>1001798</v>
          </cell>
          <cell r="B1804" t="str">
            <v>Conector Apernado AL-4/0-2/0</v>
          </cell>
          <cell r="D1804">
            <v>6003</v>
          </cell>
          <cell r="E1804">
            <v>1000</v>
          </cell>
          <cell r="F1804" t="str">
            <v>ZALM</v>
          </cell>
          <cell r="G1804" t="str">
            <v>UN</v>
          </cell>
          <cell r="H1804" t="str">
            <v>DOP</v>
          </cell>
          <cell r="I1804">
            <v>0</v>
          </cell>
          <cell r="J1804">
            <v>0</v>
          </cell>
          <cell r="K1804">
            <v>0</v>
          </cell>
          <cell r="L1804">
            <v>0</v>
          </cell>
          <cell r="M1804">
            <v>0</v>
          </cell>
          <cell r="N1804">
            <v>0</v>
          </cell>
          <cell r="O1804">
            <v>0</v>
          </cell>
          <cell r="P1804">
            <v>0</v>
          </cell>
          <cell r="Q1804">
            <v>0</v>
          </cell>
          <cell r="R1804">
            <v>0</v>
          </cell>
          <cell r="S1804">
            <v>0</v>
          </cell>
          <cell r="T1804">
            <v>0</v>
          </cell>
          <cell r="U1804" t="e">
            <v>#N/A</v>
          </cell>
        </row>
        <row r="1805">
          <cell r="A1805">
            <v>1001799</v>
          </cell>
          <cell r="B1805" t="str">
            <v>Conector Apernado AL-465 a 4/0-2/0</v>
          </cell>
          <cell r="D1805">
            <v>6003</v>
          </cell>
          <cell r="E1805">
            <v>1000</v>
          </cell>
          <cell r="F1805" t="str">
            <v>ZALM</v>
          </cell>
          <cell r="G1805" t="str">
            <v>UN</v>
          </cell>
          <cell r="H1805" t="str">
            <v>DOP</v>
          </cell>
          <cell r="I1805">
            <v>0</v>
          </cell>
          <cell r="J1805">
            <v>0</v>
          </cell>
          <cell r="K1805">
            <v>0</v>
          </cell>
          <cell r="L1805">
            <v>0</v>
          </cell>
          <cell r="M1805">
            <v>0</v>
          </cell>
          <cell r="N1805">
            <v>0</v>
          </cell>
          <cell r="O1805">
            <v>0</v>
          </cell>
          <cell r="P1805">
            <v>0</v>
          </cell>
          <cell r="Q1805">
            <v>0</v>
          </cell>
          <cell r="R1805">
            <v>0</v>
          </cell>
          <cell r="S1805">
            <v>0</v>
          </cell>
          <cell r="T1805">
            <v>0</v>
          </cell>
          <cell r="U1805" t="e">
            <v>#N/A</v>
          </cell>
        </row>
        <row r="1806">
          <cell r="A1806">
            <v>1001800</v>
          </cell>
          <cell r="B1806" t="str">
            <v>Conector Apernado AL-465-465</v>
          </cell>
          <cell r="D1806">
            <v>6003</v>
          </cell>
          <cell r="E1806">
            <v>1000</v>
          </cell>
          <cell r="F1806" t="str">
            <v>ZALM</v>
          </cell>
          <cell r="G1806" t="str">
            <v>UN</v>
          </cell>
          <cell r="H1806" t="str">
            <v>DOP</v>
          </cell>
          <cell r="I1806">
            <v>0</v>
          </cell>
          <cell r="J1806">
            <v>0</v>
          </cell>
          <cell r="K1806">
            <v>0</v>
          </cell>
          <cell r="L1806">
            <v>0</v>
          </cell>
          <cell r="M1806">
            <v>0</v>
          </cell>
          <cell r="N1806">
            <v>0</v>
          </cell>
          <cell r="O1806">
            <v>0</v>
          </cell>
          <cell r="P1806">
            <v>0</v>
          </cell>
          <cell r="Q1806">
            <v>0</v>
          </cell>
          <cell r="R1806">
            <v>0</v>
          </cell>
          <cell r="S1806">
            <v>0</v>
          </cell>
          <cell r="T1806">
            <v>0</v>
          </cell>
          <cell r="U1806" t="e">
            <v>#N/A</v>
          </cell>
        </row>
        <row r="1807">
          <cell r="A1807">
            <v>1001801</v>
          </cell>
          <cell r="B1807" t="str">
            <v>Conector Aprueba de Agua 3/6</v>
          </cell>
          <cell r="D1807">
            <v>6003</v>
          </cell>
          <cell r="E1807">
            <v>1000</v>
          </cell>
          <cell r="F1807" t="str">
            <v>ZALM</v>
          </cell>
          <cell r="G1807" t="str">
            <v>UN</v>
          </cell>
          <cell r="H1807" t="str">
            <v>DOP</v>
          </cell>
          <cell r="I1807">
            <v>0</v>
          </cell>
          <cell r="J1807">
            <v>0</v>
          </cell>
          <cell r="K1807">
            <v>0</v>
          </cell>
          <cell r="L1807">
            <v>0</v>
          </cell>
          <cell r="M1807">
            <v>0</v>
          </cell>
          <cell r="N1807">
            <v>0</v>
          </cell>
          <cell r="O1807">
            <v>0</v>
          </cell>
          <cell r="P1807">
            <v>0</v>
          </cell>
          <cell r="Q1807">
            <v>0</v>
          </cell>
          <cell r="R1807">
            <v>0</v>
          </cell>
          <cell r="S1807">
            <v>0</v>
          </cell>
          <cell r="T1807">
            <v>0</v>
          </cell>
          <cell r="U1807" t="e">
            <v>#N/A</v>
          </cell>
        </row>
        <row r="1808">
          <cell r="A1808">
            <v>1001802</v>
          </cell>
          <cell r="B1808" t="str">
            <v>Conector ATCC-1111</v>
          </cell>
          <cell r="D1808">
            <v>6003</v>
          </cell>
          <cell r="E1808">
            <v>1000</v>
          </cell>
          <cell r="F1808" t="str">
            <v>ZALM</v>
          </cell>
          <cell r="G1808" t="str">
            <v>UN</v>
          </cell>
          <cell r="H1808" t="str">
            <v>DOP</v>
          </cell>
          <cell r="I1808">
            <v>0</v>
          </cell>
          <cell r="J1808">
            <v>0</v>
          </cell>
          <cell r="K1808">
            <v>0</v>
          </cell>
          <cell r="L1808">
            <v>0</v>
          </cell>
          <cell r="M1808">
            <v>0</v>
          </cell>
          <cell r="N1808">
            <v>0</v>
          </cell>
          <cell r="O1808">
            <v>0</v>
          </cell>
          <cell r="P1808">
            <v>0</v>
          </cell>
          <cell r="Q1808">
            <v>0</v>
          </cell>
          <cell r="R1808">
            <v>0</v>
          </cell>
          <cell r="S1808">
            <v>0</v>
          </cell>
          <cell r="T1808">
            <v>0</v>
          </cell>
          <cell r="U1808" t="e">
            <v>#N/A</v>
          </cell>
        </row>
        <row r="1809">
          <cell r="A1809">
            <v>1001803</v>
          </cell>
          <cell r="B1809" t="str">
            <v>Conector ATCC-99</v>
          </cell>
          <cell r="D1809">
            <v>6003</v>
          </cell>
          <cell r="E1809">
            <v>1000</v>
          </cell>
          <cell r="F1809" t="str">
            <v>ZALM</v>
          </cell>
          <cell r="G1809" t="str">
            <v>UN</v>
          </cell>
          <cell r="H1809" t="str">
            <v>DOP</v>
          </cell>
          <cell r="I1809">
            <v>0</v>
          </cell>
          <cell r="J1809">
            <v>0</v>
          </cell>
          <cell r="K1809">
            <v>0</v>
          </cell>
          <cell r="L1809">
            <v>0</v>
          </cell>
          <cell r="M1809">
            <v>0</v>
          </cell>
          <cell r="N1809">
            <v>0</v>
          </cell>
          <cell r="O1809">
            <v>0</v>
          </cell>
          <cell r="P1809">
            <v>0</v>
          </cell>
          <cell r="Q1809">
            <v>0</v>
          </cell>
          <cell r="R1809">
            <v>0</v>
          </cell>
          <cell r="S1809">
            <v>0</v>
          </cell>
          <cell r="T1809">
            <v>0</v>
          </cell>
          <cell r="U1809" t="e">
            <v>#N/A</v>
          </cell>
        </row>
        <row r="1810">
          <cell r="A1810">
            <v>1001804</v>
          </cell>
          <cell r="B1810" t="str">
            <v>Conector Comp 4/0-3/0 a 2/0-1 AWG #6</v>
          </cell>
          <cell r="D1810">
            <v>6003</v>
          </cell>
          <cell r="E1810">
            <v>1000</v>
          </cell>
          <cell r="F1810" t="str">
            <v>ZALM</v>
          </cell>
          <cell r="G1810" t="str">
            <v>UN</v>
          </cell>
          <cell r="H1810" t="str">
            <v>DOP</v>
          </cell>
          <cell r="I1810">
            <v>0</v>
          </cell>
          <cell r="J1810">
            <v>0</v>
          </cell>
          <cell r="K1810">
            <v>0</v>
          </cell>
          <cell r="L1810">
            <v>0</v>
          </cell>
          <cell r="M1810">
            <v>0</v>
          </cell>
          <cell r="N1810">
            <v>0</v>
          </cell>
          <cell r="O1810">
            <v>0</v>
          </cell>
          <cell r="P1810">
            <v>0</v>
          </cell>
          <cell r="Q1810">
            <v>1</v>
          </cell>
          <cell r="R1810">
            <v>52.2</v>
          </cell>
          <cell r="S1810">
            <v>1</v>
          </cell>
          <cell r="T1810">
            <v>52.2</v>
          </cell>
          <cell r="U1810">
            <v>52.2</v>
          </cell>
        </row>
        <row r="1811">
          <cell r="A1811">
            <v>1001805</v>
          </cell>
          <cell r="B1811" t="str">
            <v>Conector Comp 477 ACSR-4/0 STR-YHN 525</v>
          </cell>
          <cell r="D1811">
            <v>6003</v>
          </cell>
          <cell r="E1811">
            <v>1000</v>
          </cell>
          <cell r="F1811" t="str">
            <v>ZALM</v>
          </cell>
          <cell r="G1811" t="str">
            <v>UN</v>
          </cell>
          <cell r="H1811" t="str">
            <v>DOP</v>
          </cell>
          <cell r="I1811">
            <v>0</v>
          </cell>
          <cell r="J1811">
            <v>0</v>
          </cell>
          <cell r="K1811">
            <v>0</v>
          </cell>
          <cell r="L1811">
            <v>0</v>
          </cell>
          <cell r="M1811">
            <v>0</v>
          </cell>
          <cell r="N1811">
            <v>0</v>
          </cell>
          <cell r="O1811">
            <v>0</v>
          </cell>
          <cell r="P1811">
            <v>0</v>
          </cell>
          <cell r="Q1811">
            <v>0</v>
          </cell>
          <cell r="R1811">
            <v>0</v>
          </cell>
          <cell r="S1811">
            <v>0</v>
          </cell>
          <cell r="T1811">
            <v>0</v>
          </cell>
          <cell r="U1811" t="e">
            <v>#N/A</v>
          </cell>
        </row>
        <row r="1812">
          <cell r="A1812">
            <v>1001806</v>
          </cell>
          <cell r="B1812" t="str">
            <v>Conector Comp Cu 6-4 StrYc4c8</v>
          </cell>
          <cell r="D1812">
            <v>6003</v>
          </cell>
          <cell r="E1812">
            <v>1000</v>
          </cell>
          <cell r="F1812" t="str">
            <v>ZALM</v>
          </cell>
          <cell r="G1812" t="str">
            <v>UN</v>
          </cell>
          <cell r="H1812" t="str">
            <v>DOP</v>
          </cell>
          <cell r="I1812">
            <v>3326</v>
          </cell>
          <cell r="J1812">
            <v>21485.96</v>
          </cell>
          <cell r="K1812">
            <v>0</v>
          </cell>
          <cell r="L1812">
            <v>0</v>
          </cell>
          <cell r="M1812">
            <v>0</v>
          </cell>
          <cell r="N1812">
            <v>0</v>
          </cell>
          <cell r="O1812">
            <v>0</v>
          </cell>
          <cell r="P1812">
            <v>0</v>
          </cell>
          <cell r="Q1812">
            <v>0</v>
          </cell>
          <cell r="R1812">
            <v>0</v>
          </cell>
          <cell r="S1812">
            <v>3326</v>
          </cell>
          <cell r="T1812">
            <v>21485.96</v>
          </cell>
          <cell r="U1812">
            <v>6.46</v>
          </cell>
        </row>
        <row r="1813">
          <cell r="A1813">
            <v>1001807</v>
          </cell>
          <cell r="B1813" t="str">
            <v>Conector Comp Ojo P/ Pararray Bim 2/0 #2</v>
          </cell>
          <cell r="D1813">
            <v>6003</v>
          </cell>
          <cell r="E1813">
            <v>1000</v>
          </cell>
          <cell r="F1813" t="str">
            <v>ZALM</v>
          </cell>
          <cell r="G1813" t="str">
            <v>UN</v>
          </cell>
          <cell r="H1813" t="str">
            <v>DOP</v>
          </cell>
          <cell r="I1813">
            <v>474</v>
          </cell>
          <cell r="J1813">
            <v>47286.239999999998</v>
          </cell>
          <cell r="K1813">
            <v>0</v>
          </cell>
          <cell r="L1813">
            <v>0</v>
          </cell>
          <cell r="M1813">
            <v>0</v>
          </cell>
          <cell r="N1813">
            <v>0</v>
          </cell>
          <cell r="O1813">
            <v>0</v>
          </cell>
          <cell r="P1813">
            <v>0</v>
          </cell>
          <cell r="Q1813">
            <v>0</v>
          </cell>
          <cell r="R1813">
            <v>0</v>
          </cell>
          <cell r="S1813">
            <v>474</v>
          </cell>
          <cell r="T1813">
            <v>47286.239999999998</v>
          </cell>
          <cell r="U1813">
            <v>99.76</v>
          </cell>
        </row>
        <row r="1814">
          <cell r="A1814">
            <v>1001808</v>
          </cell>
          <cell r="B1814" t="str">
            <v>Conector Compr 4-4 AWG CF22</v>
          </cell>
          <cell r="D1814">
            <v>6003</v>
          </cell>
          <cell r="E1814">
            <v>1000</v>
          </cell>
          <cell r="F1814" t="str">
            <v>ZALM</v>
          </cell>
          <cell r="G1814" t="str">
            <v>UN</v>
          </cell>
          <cell r="H1814" t="str">
            <v>DOP</v>
          </cell>
          <cell r="I1814">
            <v>0</v>
          </cell>
          <cell r="J1814">
            <v>0</v>
          </cell>
          <cell r="K1814">
            <v>0</v>
          </cell>
          <cell r="L1814">
            <v>0</v>
          </cell>
          <cell r="M1814">
            <v>0</v>
          </cell>
          <cell r="N1814">
            <v>0</v>
          </cell>
          <cell r="O1814">
            <v>0</v>
          </cell>
          <cell r="P1814">
            <v>0</v>
          </cell>
          <cell r="Q1814">
            <v>0</v>
          </cell>
          <cell r="R1814">
            <v>0</v>
          </cell>
          <cell r="S1814">
            <v>0</v>
          </cell>
          <cell r="T1814">
            <v>0</v>
          </cell>
          <cell r="U1814" t="e">
            <v>#N/A</v>
          </cell>
        </row>
        <row r="1815">
          <cell r="A1815">
            <v>1001809</v>
          </cell>
          <cell r="B1815" t="str">
            <v>Conector Compresión Cobre #2</v>
          </cell>
          <cell r="D1815">
            <v>6003</v>
          </cell>
          <cell r="E1815">
            <v>1000</v>
          </cell>
          <cell r="F1815" t="str">
            <v>ZALM</v>
          </cell>
          <cell r="G1815" t="str">
            <v>UN</v>
          </cell>
          <cell r="H1815" t="str">
            <v>DOP</v>
          </cell>
          <cell r="I1815">
            <v>0</v>
          </cell>
          <cell r="J1815">
            <v>0</v>
          </cell>
          <cell r="K1815">
            <v>0</v>
          </cell>
          <cell r="L1815">
            <v>0</v>
          </cell>
          <cell r="M1815">
            <v>0</v>
          </cell>
          <cell r="N1815">
            <v>0</v>
          </cell>
          <cell r="O1815">
            <v>0</v>
          </cell>
          <cell r="P1815">
            <v>0</v>
          </cell>
          <cell r="Q1815">
            <v>0</v>
          </cell>
          <cell r="R1815">
            <v>0</v>
          </cell>
          <cell r="S1815">
            <v>0</v>
          </cell>
          <cell r="T1815">
            <v>0</v>
          </cell>
          <cell r="U1815" t="e">
            <v>#N/A</v>
          </cell>
        </row>
        <row r="1816">
          <cell r="A1816">
            <v>1001810</v>
          </cell>
          <cell r="B1816" t="str">
            <v>Conector Compresión Cobre #3</v>
          </cell>
          <cell r="D1816">
            <v>6003</v>
          </cell>
          <cell r="E1816">
            <v>1000</v>
          </cell>
          <cell r="F1816" t="str">
            <v>ZALM</v>
          </cell>
          <cell r="G1816" t="str">
            <v>UN</v>
          </cell>
          <cell r="H1816" t="str">
            <v>DOP</v>
          </cell>
          <cell r="I1816">
            <v>0</v>
          </cell>
          <cell r="J1816">
            <v>0</v>
          </cell>
          <cell r="K1816">
            <v>0</v>
          </cell>
          <cell r="L1816">
            <v>0</v>
          </cell>
          <cell r="M1816">
            <v>0</v>
          </cell>
          <cell r="N1816">
            <v>0</v>
          </cell>
          <cell r="O1816">
            <v>0</v>
          </cell>
          <cell r="P1816">
            <v>0</v>
          </cell>
          <cell r="Q1816">
            <v>0</v>
          </cell>
          <cell r="R1816">
            <v>0</v>
          </cell>
          <cell r="S1816">
            <v>0</v>
          </cell>
          <cell r="T1816">
            <v>0</v>
          </cell>
          <cell r="U1816" t="e">
            <v>#N/A</v>
          </cell>
        </row>
        <row r="1817">
          <cell r="A1817">
            <v>1001811</v>
          </cell>
          <cell r="B1817" t="str">
            <v>Conector Compresión Cobre #5</v>
          </cell>
          <cell r="D1817">
            <v>6003</v>
          </cell>
          <cell r="E1817">
            <v>1000</v>
          </cell>
          <cell r="F1817" t="str">
            <v>ZALM</v>
          </cell>
          <cell r="G1817" t="str">
            <v>UN</v>
          </cell>
          <cell r="H1817" t="str">
            <v>DOP</v>
          </cell>
          <cell r="I1817">
            <v>0</v>
          </cell>
          <cell r="J1817">
            <v>0</v>
          </cell>
          <cell r="K1817">
            <v>0</v>
          </cell>
          <cell r="L1817">
            <v>0</v>
          </cell>
          <cell r="M1817">
            <v>0</v>
          </cell>
          <cell r="N1817">
            <v>0</v>
          </cell>
          <cell r="O1817">
            <v>0</v>
          </cell>
          <cell r="P1817">
            <v>0</v>
          </cell>
          <cell r="Q1817">
            <v>0</v>
          </cell>
          <cell r="R1817">
            <v>0</v>
          </cell>
          <cell r="S1817">
            <v>0</v>
          </cell>
          <cell r="T1817">
            <v>0</v>
          </cell>
          <cell r="U1817" t="e">
            <v>#N/A</v>
          </cell>
        </row>
        <row r="1818">
          <cell r="A1818">
            <v>1001812</v>
          </cell>
          <cell r="B1818" t="str">
            <v>Conector Compresión Cobre #6</v>
          </cell>
          <cell r="D1818">
            <v>6003</v>
          </cell>
          <cell r="E1818">
            <v>1000</v>
          </cell>
          <cell r="F1818" t="str">
            <v>ZALM</v>
          </cell>
          <cell r="G1818" t="str">
            <v>UN</v>
          </cell>
          <cell r="H1818" t="str">
            <v>DOP</v>
          </cell>
          <cell r="I1818">
            <v>0</v>
          </cell>
          <cell r="J1818">
            <v>0</v>
          </cell>
          <cell r="K1818">
            <v>0</v>
          </cell>
          <cell r="L1818">
            <v>0</v>
          </cell>
          <cell r="M1818">
            <v>0</v>
          </cell>
          <cell r="N1818">
            <v>0</v>
          </cell>
          <cell r="O1818">
            <v>0</v>
          </cell>
          <cell r="P1818">
            <v>0</v>
          </cell>
          <cell r="Q1818">
            <v>0</v>
          </cell>
          <cell r="R1818">
            <v>0</v>
          </cell>
          <cell r="S1818">
            <v>0</v>
          </cell>
          <cell r="T1818">
            <v>0</v>
          </cell>
          <cell r="U1818" t="e">
            <v>#N/A</v>
          </cell>
        </row>
        <row r="1819">
          <cell r="A1819">
            <v>1001813</v>
          </cell>
          <cell r="B1819" t="str">
            <v>Conector Compresión Cobre #7</v>
          </cell>
          <cell r="D1819">
            <v>6003</v>
          </cell>
          <cell r="E1819">
            <v>1000</v>
          </cell>
          <cell r="F1819" t="str">
            <v>ZALM</v>
          </cell>
          <cell r="G1819" t="str">
            <v>UN</v>
          </cell>
          <cell r="H1819" t="str">
            <v>DOP</v>
          </cell>
          <cell r="I1819">
            <v>0</v>
          </cell>
          <cell r="J1819">
            <v>0</v>
          </cell>
          <cell r="K1819">
            <v>0</v>
          </cell>
          <cell r="L1819">
            <v>0</v>
          </cell>
          <cell r="M1819">
            <v>0</v>
          </cell>
          <cell r="N1819">
            <v>0</v>
          </cell>
          <cell r="O1819">
            <v>0</v>
          </cell>
          <cell r="P1819">
            <v>0</v>
          </cell>
          <cell r="Q1819">
            <v>0</v>
          </cell>
          <cell r="R1819">
            <v>0</v>
          </cell>
          <cell r="S1819">
            <v>0</v>
          </cell>
          <cell r="T1819">
            <v>0</v>
          </cell>
          <cell r="U1819" t="e">
            <v>#N/A</v>
          </cell>
        </row>
        <row r="1820">
          <cell r="A1820">
            <v>1001814</v>
          </cell>
          <cell r="B1820" t="str">
            <v>Conector Compresión Cobre #8 3/0-4/0</v>
          </cell>
          <cell r="D1820">
            <v>6003</v>
          </cell>
          <cell r="E1820">
            <v>1000</v>
          </cell>
          <cell r="F1820" t="str">
            <v>ZALM</v>
          </cell>
          <cell r="G1820" t="str">
            <v>UN</v>
          </cell>
          <cell r="H1820" t="str">
            <v>DOP</v>
          </cell>
          <cell r="I1820">
            <v>0</v>
          </cell>
          <cell r="J1820">
            <v>0</v>
          </cell>
          <cell r="K1820">
            <v>0</v>
          </cell>
          <cell r="L1820">
            <v>0</v>
          </cell>
          <cell r="M1820">
            <v>0</v>
          </cell>
          <cell r="N1820">
            <v>0</v>
          </cell>
          <cell r="O1820">
            <v>0</v>
          </cell>
          <cell r="P1820">
            <v>0</v>
          </cell>
          <cell r="Q1820">
            <v>0</v>
          </cell>
          <cell r="R1820">
            <v>0</v>
          </cell>
          <cell r="S1820">
            <v>0</v>
          </cell>
          <cell r="T1820">
            <v>0</v>
          </cell>
          <cell r="U1820" t="e">
            <v>#N/A</v>
          </cell>
        </row>
        <row r="1821">
          <cell r="A1821">
            <v>1001815</v>
          </cell>
          <cell r="B1821" t="str">
            <v>Conector Compresión Hidraulico Simple</v>
          </cell>
          <cell r="D1821">
            <v>6003</v>
          </cell>
          <cell r="E1821">
            <v>1000</v>
          </cell>
          <cell r="F1821" t="str">
            <v>ZALM</v>
          </cell>
          <cell r="G1821" t="str">
            <v>UN</v>
          </cell>
          <cell r="H1821" t="str">
            <v>DOP</v>
          </cell>
          <cell r="I1821">
            <v>0</v>
          </cell>
          <cell r="J1821">
            <v>0</v>
          </cell>
          <cell r="K1821">
            <v>0</v>
          </cell>
          <cell r="L1821">
            <v>0</v>
          </cell>
          <cell r="M1821">
            <v>0</v>
          </cell>
          <cell r="N1821">
            <v>0</v>
          </cell>
          <cell r="O1821">
            <v>0</v>
          </cell>
          <cell r="P1821">
            <v>0</v>
          </cell>
          <cell r="Q1821">
            <v>0</v>
          </cell>
          <cell r="R1821">
            <v>0</v>
          </cell>
          <cell r="S1821">
            <v>0</v>
          </cell>
          <cell r="T1821">
            <v>0</v>
          </cell>
          <cell r="U1821" t="e">
            <v>#N/A</v>
          </cell>
        </row>
        <row r="1822">
          <cell r="A1822">
            <v>1001816</v>
          </cell>
          <cell r="B1822" t="str">
            <v>Conector Cu 2/0-1000 MCM</v>
          </cell>
          <cell r="D1822">
            <v>6003</v>
          </cell>
          <cell r="E1822">
            <v>1000</v>
          </cell>
          <cell r="F1822" t="str">
            <v>ZALM</v>
          </cell>
          <cell r="G1822" t="str">
            <v>UN</v>
          </cell>
          <cell r="H1822" t="str">
            <v>DOP</v>
          </cell>
          <cell r="I1822">
            <v>0</v>
          </cell>
          <cell r="J1822">
            <v>0</v>
          </cell>
          <cell r="K1822">
            <v>0</v>
          </cell>
          <cell r="L1822">
            <v>0</v>
          </cell>
          <cell r="M1822">
            <v>0</v>
          </cell>
          <cell r="N1822">
            <v>0</v>
          </cell>
          <cell r="O1822">
            <v>0</v>
          </cell>
          <cell r="P1822">
            <v>0</v>
          </cell>
          <cell r="Q1822">
            <v>0</v>
          </cell>
          <cell r="R1822">
            <v>0</v>
          </cell>
          <cell r="S1822">
            <v>0</v>
          </cell>
          <cell r="T1822">
            <v>0</v>
          </cell>
          <cell r="U1822" t="e">
            <v>#N/A</v>
          </cell>
        </row>
        <row r="1823">
          <cell r="A1823">
            <v>1001817</v>
          </cell>
          <cell r="B1823" t="str">
            <v>Conector Curvo Liquid Tight 1"</v>
          </cell>
          <cell r="D1823">
            <v>6003</v>
          </cell>
          <cell r="E1823">
            <v>1000</v>
          </cell>
          <cell r="F1823" t="str">
            <v>ZALM</v>
          </cell>
          <cell r="G1823" t="str">
            <v>UN</v>
          </cell>
          <cell r="H1823" t="str">
            <v>DOP</v>
          </cell>
          <cell r="I1823">
            <v>0</v>
          </cell>
          <cell r="J1823">
            <v>0</v>
          </cell>
          <cell r="K1823">
            <v>0</v>
          </cell>
          <cell r="L1823">
            <v>0</v>
          </cell>
          <cell r="M1823">
            <v>0</v>
          </cell>
          <cell r="N1823">
            <v>0</v>
          </cell>
          <cell r="O1823">
            <v>0</v>
          </cell>
          <cell r="P1823">
            <v>0</v>
          </cell>
          <cell r="Q1823">
            <v>0</v>
          </cell>
          <cell r="R1823">
            <v>0</v>
          </cell>
          <cell r="S1823">
            <v>0</v>
          </cell>
          <cell r="T1823">
            <v>0</v>
          </cell>
          <cell r="U1823" t="e">
            <v>#N/A</v>
          </cell>
        </row>
        <row r="1824">
          <cell r="A1824">
            <v>1001818</v>
          </cell>
          <cell r="B1824" t="str">
            <v>Conector Curvo Liquid Tight 2"</v>
          </cell>
          <cell r="D1824">
            <v>6003</v>
          </cell>
          <cell r="E1824">
            <v>1000</v>
          </cell>
          <cell r="F1824" t="str">
            <v>ZALM</v>
          </cell>
          <cell r="G1824" t="str">
            <v>UN</v>
          </cell>
          <cell r="H1824" t="str">
            <v>DOP</v>
          </cell>
          <cell r="I1824">
            <v>0</v>
          </cell>
          <cell r="J1824">
            <v>0</v>
          </cell>
          <cell r="K1824">
            <v>0</v>
          </cell>
          <cell r="L1824">
            <v>0</v>
          </cell>
          <cell r="M1824">
            <v>0</v>
          </cell>
          <cell r="N1824">
            <v>0</v>
          </cell>
          <cell r="O1824">
            <v>0</v>
          </cell>
          <cell r="P1824">
            <v>0</v>
          </cell>
          <cell r="Q1824">
            <v>0</v>
          </cell>
          <cell r="R1824">
            <v>0</v>
          </cell>
          <cell r="S1824">
            <v>0</v>
          </cell>
          <cell r="T1824">
            <v>0</v>
          </cell>
          <cell r="U1824" t="e">
            <v>#N/A</v>
          </cell>
        </row>
        <row r="1825">
          <cell r="A1825">
            <v>1001819</v>
          </cell>
          <cell r="B1825" t="str">
            <v>Conector de Aluminio '' T ''</v>
          </cell>
          <cell r="D1825">
            <v>6003</v>
          </cell>
          <cell r="E1825">
            <v>1000</v>
          </cell>
          <cell r="F1825" t="str">
            <v>ZALM</v>
          </cell>
          <cell r="G1825" t="str">
            <v>UN</v>
          </cell>
          <cell r="H1825" t="str">
            <v>DOP</v>
          </cell>
          <cell r="I1825">
            <v>0</v>
          </cell>
          <cell r="J1825">
            <v>0</v>
          </cell>
          <cell r="K1825">
            <v>0</v>
          </cell>
          <cell r="L1825">
            <v>0</v>
          </cell>
          <cell r="M1825">
            <v>0</v>
          </cell>
          <cell r="N1825">
            <v>0</v>
          </cell>
          <cell r="O1825">
            <v>0</v>
          </cell>
          <cell r="P1825">
            <v>0</v>
          </cell>
          <cell r="Q1825">
            <v>0</v>
          </cell>
          <cell r="R1825">
            <v>0</v>
          </cell>
          <cell r="S1825">
            <v>0</v>
          </cell>
          <cell r="T1825">
            <v>0</v>
          </cell>
          <cell r="U1825" t="e">
            <v>#N/A</v>
          </cell>
        </row>
        <row r="1826">
          <cell r="A1826">
            <v>1001820</v>
          </cell>
          <cell r="B1826" t="str">
            <v>Conector de Aluminio ADST-1220-90-12</v>
          </cell>
          <cell r="D1826">
            <v>6003</v>
          </cell>
          <cell r="E1826">
            <v>1000</v>
          </cell>
          <cell r="F1826" t="str">
            <v>ZALM</v>
          </cell>
          <cell r="G1826" t="str">
            <v>UN</v>
          </cell>
          <cell r="H1826" t="str">
            <v>DOP</v>
          </cell>
          <cell r="I1826">
            <v>0</v>
          </cell>
          <cell r="J1826">
            <v>0</v>
          </cell>
          <cell r="K1826">
            <v>0</v>
          </cell>
          <cell r="L1826">
            <v>0</v>
          </cell>
          <cell r="M1826">
            <v>0</v>
          </cell>
          <cell r="N1826">
            <v>0</v>
          </cell>
          <cell r="O1826">
            <v>0</v>
          </cell>
          <cell r="P1826">
            <v>0</v>
          </cell>
          <cell r="Q1826">
            <v>0</v>
          </cell>
          <cell r="R1826">
            <v>0</v>
          </cell>
          <cell r="S1826">
            <v>0</v>
          </cell>
          <cell r="T1826">
            <v>0</v>
          </cell>
          <cell r="U1826" t="e">
            <v>#N/A</v>
          </cell>
        </row>
        <row r="1827">
          <cell r="A1827">
            <v>1001821</v>
          </cell>
          <cell r="B1827" t="str">
            <v>Conector de Aluminio ADST-1420-90-12</v>
          </cell>
          <cell r="D1827">
            <v>6003</v>
          </cell>
          <cell r="E1827">
            <v>1000</v>
          </cell>
          <cell r="F1827" t="str">
            <v>ZALM</v>
          </cell>
          <cell r="G1827" t="str">
            <v>UN</v>
          </cell>
          <cell r="H1827" t="str">
            <v>DOP</v>
          </cell>
          <cell r="I1827">
            <v>15</v>
          </cell>
          <cell r="J1827">
            <v>15.75</v>
          </cell>
          <cell r="K1827">
            <v>0</v>
          </cell>
          <cell r="L1827">
            <v>0</v>
          </cell>
          <cell r="M1827">
            <v>0</v>
          </cell>
          <cell r="N1827">
            <v>0</v>
          </cell>
          <cell r="O1827">
            <v>0</v>
          </cell>
          <cell r="P1827">
            <v>0</v>
          </cell>
          <cell r="Q1827">
            <v>0</v>
          </cell>
          <cell r="R1827">
            <v>0</v>
          </cell>
          <cell r="S1827">
            <v>15</v>
          </cell>
          <cell r="T1827">
            <v>15.75</v>
          </cell>
          <cell r="U1827">
            <v>1.05</v>
          </cell>
        </row>
        <row r="1828">
          <cell r="A1828">
            <v>1001822</v>
          </cell>
          <cell r="B1828" t="str">
            <v>Conector de Compresión 4 AAAC</v>
          </cell>
          <cell r="D1828">
            <v>6003</v>
          </cell>
          <cell r="E1828">
            <v>1000</v>
          </cell>
          <cell r="F1828" t="str">
            <v>ZALM</v>
          </cell>
          <cell r="G1828" t="str">
            <v>UN</v>
          </cell>
          <cell r="H1828" t="str">
            <v>DOP</v>
          </cell>
          <cell r="I1828">
            <v>0</v>
          </cell>
          <cell r="J1828">
            <v>0</v>
          </cell>
          <cell r="K1828">
            <v>0</v>
          </cell>
          <cell r="L1828">
            <v>0</v>
          </cell>
          <cell r="M1828">
            <v>0</v>
          </cell>
          <cell r="N1828">
            <v>0</v>
          </cell>
          <cell r="O1828">
            <v>0</v>
          </cell>
          <cell r="P1828">
            <v>0</v>
          </cell>
          <cell r="Q1828">
            <v>0</v>
          </cell>
          <cell r="R1828">
            <v>0</v>
          </cell>
          <cell r="S1828">
            <v>0</v>
          </cell>
          <cell r="T1828">
            <v>0</v>
          </cell>
          <cell r="U1828" t="e">
            <v>#N/A</v>
          </cell>
        </row>
        <row r="1829">
          <cell r="A1829">
            <v>1001823</v>
          </cell>
          <cell r="B1829" t="str">
            <v>Conector de Compresión 4hn</v>
          </cell>
          <cell r="D1829">
            <v>6003</v>
          </cell>
          <cell r="E1829">
            <v>1000</v>
          </cell>
          <cell r="F1829" t="str">
            <v>ZALM</v>
          </cell>
          <cell r="G1829" t="str">
            <v>UN</v>
          </cell>
          <cell r="H1829" t="str">
            <v>DOP</v>
          </cell>
          <cell r="I1829">
            <v>0</v>
          </cell>
          <cell r="J1829">
            <v>0</v>
          </cell>
          <cell r="K1829">
            <v>0</v>
          </cell>
          <cell r="L1829">
            <v>0</v>
          </cell>
          <cell r="M1829">
            <v>0</v>
          </cell>
          <cell r="N1829">
            <v>0</v>
          </cell>
          <cell r="O1829">
            <v>0</v>
          </cell>
          <cell r="P1829">
            <v>0</v>
          </cell>
          <cell r="Q1829">
            <v>0</v>
          </cell>
          <cell r="R1829">
            <v>0</v>
          </cell>
          <cell r="S1829">
            <v>0</v>
          </cell>
          <cell r="T1829">
            <v>0</v>
          </cell>
          <cell r="U1829" t="e">
            <v>#N/A</v>
          </cell>
        </row>
        <row r="1830">
          <cell r="A1830">
            <v>1001824</v>
          </cell>
          <cell r="B1830" t="str">
            <v>Conector de Ensamble</v>
          </cell>
          <cell r="D1830">
            <v>6003</v>
          </cell>
          <cell r="E1830">
            <v>1000</v>
          </cell>
          <cell r="F1830" t="str">
            <v>ZALM</v>
          </cell>
          <cell r="G1830" t="str">
            <v>UN</v>
          </cell>
          <cell r="H1830" t="str">
            <v>DOP</v>
          </cell>
          <cell r="I1830">
            <v>0</v>
          </cell>
          <cell r="J1830">
            <v>0</v>
          </cell>
          <cell r="K1830">
            <v>0</v>
          </cell>
          <cell r="L1830">
            <v>0</v>
          </cell>
          <cell r="M1830">
            <v>0</v>
          </cell>
          <cell r="N1830">
            <v>0</v>
          </cell>
          <cell r="O1830">
            <v>0</v>
          </cell>
          <cell r="P1830">
            <v>0</v>
          </cell>
          <cell r="Q1830">
            <v>0</v>
          </cell>
          <cell r="R1830">
            <v>0</v>
          </cell>
          <cell r="S1830">
            <v>0</v>
          </cell>
          <cell r="T1830">
            <v>0</v>
          </cell>
          <cell r="U1830" t="e">
            <v>#N/A</v>
          </cell>
        </row>
        <row r="1831">
          <cell r="A1831">
            <v>1001825</v>
          </cell>
          <cell r="B1831" t="str">
            <v>Conector de Ensamble VC3BN15E</v>
          </cell>
          <cell r="D1831">
            <v>6003</v>
          </cell>
          <cell r="E1831">
            <v>1000</v>
          </cell>
          <cell r="F1831" t="str">
            <v>ZALM</v>
          </cell>
          <cell r="G1831" t="str">
            <v>UN</v>
          </cell>
          <cell r="H1831" t="str">
            <v>DOP</v>
          </cell>
          <cell r="I1831">
            <v>0</v>
          </cell>
          <cell r="J1831">
            <v>0</v>
          </cell>
          <cell r="K1831">
            <v>0</v>
          </cell>
          <cell r="L1831">
            <v>0</v>
          </cell>
          <cell r="M1831">
            <v>0</v>
          </cell>
          <cell r="N1831">
            <v>0</v>
          </cell>
          <cell r="O1831">
            <v>0</v>
          </cell>
          <cell r="P1831">
            <v>0</v>
          </cell>
          <cell r="Q1831">
            <v>0</v>
          </cell>
          <cell r="R1831">
            <v>0</v>
          </cell>
          <cell r="S1831">
            <v>0</v>
          </cell>
          <cell r="T1831">
            <v>0</v>
          </cell>
          <cell r="U1831" t="e">
            <v>#N/A</v>
          </cell>
        </row>
        <row r="1832">
          <cell r="A1832">
            <v>1001826</v>
          </cell>
          <cell r="B1832" t="str">
            <v>Conector de Ranura Paralela</v>
          </cell>
          <cell r="D1832">
            <v>6003</v>
          </cell>
          <cell r="E1832">
            <v>1000</v>
          </cell>
          <cell r="F1832" t="str">
            <v>ZALM</v>
          </cell>
          <cell r="G1832" t="str">
            <v>UN</v>
          </cell>
          <cell r="H1832" t="str">
            <v>DOP</v>
          </cell>
          <cell r="I1832">
            <v>0</v>
          </cell>
          <cell r="J1832">
            <v>0</v>
          </cell>
          <cell r="K1832">
            <v>0</v>
          </cell>
          <cell r="L1832">
            <v>0</v>
          </cell>
          <cell r="M1832">
            <v>0</v>
          </cell>
          <cell r="N1832">
            <v>0</v>
          </cell>
          <cell r="O1832">
            <v>0</v>
          </cell>
          <cell r="P1832">
            <v>0</v>
          </cell>
          <cell r="Q1832">
            <v>0</v>
          </cell>
          <cell r="R1832">
            <v>0</v>
          </cell>
          <cell r="S1832">
            <v>0</v>
          </cell>
          <cell r="T1832">
            <v>0</v>
          </cell>
          <cell r="U1832" t="e">
            <v>#N/A</v>
          </cell>
        </row>
        <row r="1833">
          <cell r="A1833">
            <v>1001827</v>
          </cell>
          <cell r="B1833" t="str">
            <v>Conector de RF P/ Radio SCADA RFN-M</v>
          </cell>
          <cell r="D1833">
            <v>6003</v>
          </cell>
          <cell r="E1833">
            <v>1000</v>
          </cell>
          <cell r="F1833" t="str">
            <v>ZALM</v>
          </cell>
          <cell r="G1833" t="str">
            <v>UN</v>
          </cell>
          <cell r="H1833" t="str">
            <v>DOP</v>
          </cell>
          <cell r="I1833">
            <v>0</v>
          </cell>
          <cell r="J1833">
            <v>0</v>
          </cell>
          <cell r="K1833">
            <v>0</v>
          </cell>
          <cell r="L1833">
            <v>0</v>
          </cell>
          <cell r="M1833">
            <v>0</v>
          </cell>
          <cell r="N1833">
            <v>0</v>
          </cell>
          <cell r="O1833">
            <v>0</v>
          </cell>
          <cell r="P1833">
            <v>0</v>
          </cell>
          <cell r="Q1833">
            <v>0</v>
          </cell>
          <cell r="R1833">
            <v>0</v>
          </cell>
          <cell r="S1833">
            <v>0</v>
          </cell>
          <cell r="T1833">
            <v>0</v>
          </cell>
          <cell r="U1833" t="e">
            <v>#N/A</v>
          </cell>
        </row>
        <row r="1834">
          <cell r="A1834">
            <v>1001828</v>
          </cell>
          <cell r="B1834" t="str">
            <v>Conector de RF RG-58</v>
          </cell>
          <cell r="D1834">
            <v>6003</v>
          </cell>
          <cell r="E1834">
            <v>1000</v>
          </cell>
          <cell r="F1834" t="str">
            <v>ZALM</v>
          </cell>
          <cell r="G1834" t="str">
            <v>UN</v>
          </cell>
          <cell r="H1834" t="str">
            <v>DOP</v>
          </cell>
          <cell r="I1834">
            <v>0</v>
          </cell>
          <cell r="J1834">
            <v>0</v>
          </cell>
          <cell r="K1834">
            <v>0</v>
          </cell>
          <cell r="L1834">
            <v>0</v>
          </cell>
          <cell r="M1834">
            <v>0</v>
          </cell>
          <cell r="N1834">
            <v>0</v>
          </cell>
          <cell r="O1834">
            <v>0</v>
          </cell>
          <cell r="P1834">
            <v>0</v>
          </cell>
          <cell r="Q1834">
            <v>0</v>
          </cell>
          <cell r="R1834">
            <v>0</v>
          </cell>
          <cell r="S1834">
            <v>0</v>
          </cell>
          <cell r="T1834">
            <v>0</v>
          </cell>
          <cell r="U1834" t="e">
            <v>#N/A</v>
          </cell>
        </row>
        <row r="1835">
          <cell r="A1835">
            <v>1001829</v>
          </cell>
          <cell r="B1835" t="str">
            <v>Conector de Tierra Cu Doble 4/0</v>
          </cell>
          <cell r="D1835">
            <v>6003</v>
          </cell>
          <cell r="E1835">
            <v>1000</v>
          </cell>
          <cell r="F1835" t="str">
            <v>ZALM</v>
          </cell>
          <cell r="G1835" t="str">
            <v>UN</v>
          </cell>
          <cell r="H1835" t="str">
            <v>DOP</v>
          </cell>
          <cell r="I1835">
            <v>0</v>
          </cell>
          <cell r="J1835">
            <v>0</v>
          </cell>
          <cell r="K1835">
            <v>0</v>
          </cell>
          <cell r="L1835">
            <v>0</v>
          </cell>
          <cell r="M1835">
            <v>0</v>
          </cell>
          <cell r="N1835">
            <v>0</v>
          </cell>
          <cell r="O1835">
            <v>0</v>
          </cell>
          <cell r="P1835">
            <v>0</v>
          </cell>
          <cell r="Q1835">
            <v>0</v>
          </cell>
          <cell r="R1835">
            <v>0</v>
          </cell>
          <cell r="S1835">
            <v>0</v>
          </cell>
          <cell r="T1835">
            <v>0</v>
          </cell>
          <cell r="U1835" t="e">
            <v>#N/A</v>
          </cell>
        </row>
        <row r="1836">
          <cell r="A1836">
            <v>1001830</v>
          </cell>
          <cell r="B1836" t="str">
            <v>Conector Doble Vía 1/0 400 MCM</v>
          </cell>
          <cell r="D1836">
            <v>6003</v>
          </cell>
          <cell r="E1836">
            <v>1000</v>
          </cell>
          <cell r="F1836" t="str">
            <v>ZALM</v>
          </cell>
          <cell r="G1836" t="str">
            <v>UN</v>
          </cell>
          <cell r="H1836" t="str">
            <v>DOP</v>
          </cell>
          <cell r="I1836">
            <v>0</v>
          </cell>
          <cell r="J1836">
            <v>0</v>
          </cell>
          <cell r="K1836">
            <v>0</v>
          </cell>
          <cell r="L1836">
            <v>0</v>
          </cell>
          <cell r="M1836">
            <v>0</v>
          </cell>
          <cell r="N1836">
            <v>0</v>
          </cell>
          <cell r="O1836">
            <v>0</v>
          </cell>
          <cell r="P1836">
            <v>0</v>
          </cell>
          <cell r="Q1836">
            <v>0</v>
          </cell>
          <cell r="R1836">
            <v>0</v>
          </cell>
          <cell r="S1836">
            <v>0</v>
          </cell>
          <cell r="T1836">
            <v>0</v>
          </cell>
          <cell r="U1836" t="e">
            <v>#N/A</v>
          </cell>
        </row>
        <row r="1837">
          <cell r="A1837">
            <v>1001831</v>
          </cell>
          <cell r="B1837" t="str">
            <v>Conector Galv P/Varilla Tierra 1/2"-5/8"</v>
          </cell>
          <cell r="D1837">
            <v>6003</v>
          </cell>
          <cell r="E1837">
            <v>1000</v>
          </cell>
          <cell r="F1837" t="str">
            <v>ZALM</v>
          </cell>
          <cell r="G1837" t="str">
            <v>UN</v>
          </cell>
          <cell r="H1837" t="str">
            <v>DOP</v>
          </cell>
          <cell r="I1837">
            <v>11763</v>
          </cell>
          <cell r="J1837">
            <v>764124.48</v>
          </cell>
          <cell r="K1837">
            <v>0</v>
          </cell>
          <cell r="L1837">
            <v>0</v>
          </cell>
          <cell r="M1837">
            <v>0</v>
          </cell>
          <cell r="N1837">
            <v>0</v>
          </cell>
          <cell r="O1837">
            <v>0</v>
          </cell>
          <cell r="P1837">
            <v>0</v>
          </cell>
          <cell r="Q1837">
            <v>1</v>
          </cell>
          <cell r="R1837">
            <v>64.959999999999994</v>
          </cell>
          <cell r="S1837">
            <v>11764</v>
          </cell>
          <cell r="T1837">
            <v>764189.44</v>
          </cell>
          <cell r="U1837">
            <v>64.959999999999994</v>
          </cell>
        </row>
        <row r="1838">
          <cell r="A1838">
            <v>1001832</v>
          </cell>
          <cell r="B1838" t="str">
            <v>Conector Galv P/Varilla Tierra 5/8"-3/4"</v>
          </cell>
          <cell r="D1838">
            <v>6003</v>
          </cell>
          <cell r="E1838">
            <v>1000</v>
          </cell>
          <cell r="F1838" t="str">
            <v>ZALM</v>
          </cell>
          <cell r="G1838" t="str">
            <v>UN</v>
          </cell>
          <cell r="H1838" t="str">
            <v>DOP</v>
          </cell>
          <cell r="I1838">
            <v>1548</v>
          </cell>
          <cell r="J1838">
            <v>134676</v>
          </cell>
          <cell r="K1838">
            <v>0</v>
          </cell>
          <cell r="L1838">
            <v>0</v>
          </cell>
          <cell r="M1838">
            <v>0</v>
          </cell>
          <cell r="N1838">
            <v>0</v>
          </cell>
          <cell r="O1838">
            <v>0</v>
          </cell>
          <cell r="P1838">
            <v>0</v>
          </cell>
          <cell r="Q1838">
            <v>0</v>
          </cell>
          <cell r="R1838">
            <v>0</v>
          </cell>
          <cell r="S1838">
            <v>1548</v>
          </cell>
          <cell r="T1838">
            <v>134676</v>
          </cell>
          <cell r="U1838">
            <v>87</v>
          </cell>
        </row>
        <row r="1839">
          <cell r="A1839">
            <v>1001833</v>
          </cell>
          <cell r="B1839" t="str">
            <v>Conector Liquid Tight de 3" Recto</v>
          </cell>
          <cell r="D1839">
            <v>6003</v>
          </cell>
          <cell r="E1839">
            <v>1000</v>
          </cell>
          <cell r="F1839" t="str">
            <v>ZALM</v>
          </cell>
          <cell r="G1839" t="str">
            <v>UN</v>
          </cell>
          <cell r="H1839" t="str">
            <v>DOP</v>
          </cell>
          <cell r="I1839">
            <v>0</v>
          </cell>
          <cell r="J1839">
            <v>0</v>
          </cell>
          <cell r="K1839">
            <v>0</v>
          </cell>
          <cell r="L1839">
            <v>0</v>
          </cell>
          <cell r="M1839">
            <v>0</v>
          </cell>
          <cell r="N1839">
            <v>0</v>
          </cell>
          <cell r="O1839">
            <v>0</v>
          </cell>
          <cell r="P1839">
            <v>0</v>
          </cell>
          <cell r="Q1839">
            <v>0</v>
          </cell>
          <cell r="R1839">
            <v>0</v>
          </cell>
          <cell r="S1839">
            <v>0</v>
          </cell>
          <cell r="T1839">
            <v>0</v>
          </cell>
          <cell r="U1839" t="e">
            <v>#N/A</v>
          </cell>
        </row>
        <row r="1840">
          <cell r="A1840">
            <v>1001834</v>
          </cell>
          <cell r="B1840" t="str">
            <v>Conector Mec 1/0-14 MCM Cu-Al T/ Sillita</v>
          </cell>
          <cell r="D1840">
            <v>6003</v>
          </cell>
          <cell r="E1840">
            <v>1000</v>
          </cell>
          <cell r="F1840" t="str">
            <v>ZALM</v>
          </cell>
          <cell r="G1840" t="str">
            <v>UN</v>
          </cell>
          <cell r="H1840" t="str">
            <v>DOP</v>
          </cell>
          <cell r="I1840">
            <v>55</v>
          </cell>
          <cell r="J1840">
            <v>55</v>
          </cell>
          <cell r="K1840">
            <v>0</v>
          </cell>
          <cell r="L1840">
            <v>0</v>
          </cell>
          <cell r="M1840">
            <v>0</v>
          </cell>
          <cell r="N1840">
            <v>0</v>
          </cell>
          <cell r="O1840">
            <v>0</v>
          </cell>
          <cell r="P1840">
            <v>0</v>
          </cell>
          <cell r="Q1840">
            <v>0</v>
          </cell>
          <cell r="R1840">
            <v>0</v>
          </cell>
          <cell r="S1840">
            <v>55</v>
          </cell>
          <cell r="T1840">
            <v>55</v>
          </cell>
          <cell r="U1840">
            <v>1</v>
          </cell>
        </row>
        <row r="1841">
          <cell r="A1841">
            <v>1001835</v>
          </cell>
          <cell r="B1841" t="str">
            <v>Conector Mec 250 MCM Cu-Al T/ Sillita</v>
          </cell>
          <cell r="D1841">
            <v>6003</v>
          </cell>
          <cell r="E1841">
            <v>1000</v>
          </cell>
          <cell r="F1841" t="str">
            <v>ZALM</v>
          </cell>
          <cell r="G1841" t="str">
            <v>UN</v>
          </cell>
          <cell r="H1841" t="str">
            <v>DOP</v>
          </cell>
          <cell r="I1841">
            <v>68</v>
          </cell>
          <cell r="J1841">
            <v>23800</v>
          </cell>
          <cell r="K1841">
            <v>0</v>
          </cell>
          <cell r="L1841">
            <v>0</v>
          </cell>
          <cell r="M1841">
            <v>0</v>
          </cell>
          <cell r="N1841">
            <v>0</v>
          </cell>
          <cell r="O1841">
            <v>0</v>
          </cell>
          <cell r="P1841">
            <v>0</v>
          </cell>
          <cell r="Q1841">
            <v>0</v>
          </cell>
          <cell r="R1841">
            <v>0</v>
          </cell>
          <cell r="S1841">
            <v>68</v>
          </cell>
          <cell r="T1841">
            <v>23800</v>
          </cell>
          <cell r="U1841">
            <v>350</v>
          </cell>
        </row>
        <row r="1842">
          <cell r="A1842">
            <v>1001836</v>
          </cell>
          <cell r="B1842" t="str">
            <v>Conector Mec 4-14 MCM Cu-Al T/ Sillita</v>
          </cell>
          <cell r="D1842">
            <v>6003</v>
          </cell>
          <cell r="E1842">
            <v>1000</v>
          </cell>
          <cell r="F1842" t="str">
            <v>ZALM</v>
          </cell>
          <cell r="G1842" t="str">
            <v>UN</v>
          </cell>
          <cell r="H1842" t="str">
            <v>DOP</v>
          </cell>
          <cell r="I1842">
            <v>4323</v>
          </cell>
          <cell r="J1842">
            <v>4323</v>
          </cell>
          <cell r="K1842">
            <v>0</v>
          </cell>
          <cell r="L1842">
            <v>0</v>
          </cell>
          <cell r="M1842">
            <v>0</v>
          </cell>
          <cell r="N1842">
            <v>0</v>
          </cell>
          <cell r="O1842">
            <v>0</v>
          </cell>
          <cell r="P1842">
            <v>0</v>
          </cell>
          <cell r="Q1842">
            <v>0</v>
          </cell>
          <cell r="R1842">
            <v>0</v>
          </cell>
          <cell r="S1842">
            <v>4323</v>
          </cell>
          <cell r="T1842">
            <v>4323</v>
          </cell>
          <cell r="U1842">
            <v>1</v>
          </cell>
        </row>
        <row r="1843">
          <cell r="A1843">
            <v>1001837</v>
          </cell>
          <cell r="B1843" t="str">
            <v>Conector Mec 500 MCM Cu-Al T/ Sillita</v>
          </cell>
          <cell r="D1843">
            <v>6003</v>
          </cell>
          <cell r="E1843">
            <v>1000</v>
          </cell>
          <cell r="F1843" t="str">
            <v>ZALM</v>
          </cell>
          <cell r="G1843" t="str">
            <v>UN</v>
          </cell>
          <cell r="H1843" t="str">
            <v>DOP</v>
          </cell>
          <cell r="I1843">
            <v>0</v>
          </cell>
          <cell r="J1843">
            <v>0</v>
          </cell>
          <cell r="K1843">
            <v>0</v>
          </cell>
          <cell r="L1843">
            <v>0</v>
          </cell>
          <cell r="M1843">
            <v>0</v>
          </cell>
          <cell r="N1843">
            <v>0</v>
          </cell>
          <cell r="O1843">
            <v>0</v>
          </cell>
          <cell r="P1843">
            <v>0</v>
          </cell>
          <cell r="Q1843">
            <v>0</v>
          </cell>
          <cell r="R1843">
            <v>0</v>
          </cell>
          <cell r="S1843">
            <v>0</v>
          </cell>
          <cell r="T1843">
            <v>0</v>
          </cell>
          <cell r="U1843" t="e">
            <v>#N/A</v>
          </cell>
        </row>
        <row r="1844">
          <cell r="A1844">
            <v>1001838</v>
          </cell>
          <cell r="B1844" t="str">
            <v>Conector Mec P/ Cable 2/0</v>
          </cell>
          <cell r="D1844">
            <v>6003</v>
          </cell>
          <cell r="E1844">
            <v>1000</v>
          </cell>
          <cell r="F1844" t="str">
            <v>ZALM</v>
          </cell>
          <cell r="G1844" t="str">
            <v>UN</v>
          </cell>
          <cell r="H1844" t="str">
            <v>DOP</v>
          </cell>
          <cell r="I1844">
            <v>0</v>
          </cell>
          <cell r="J1844">
            <v>0</v>
          </cell>
          <cell r="K1844">
            <v>0</v>
          </cell>
          <cell r="L1844">
            <v>0</v>
          </cell>
          <cell r="M1844">
            <v>0</v>
          </cell>
          <cell r="N1844">
            <v>0</v>
          </cell>
          <cell r="O1844">
            <v>0</v>
          </cell>
          <cell r="P1844">
            <v>0</v>
          </cell>
          <cell r="Q1844">
            <v>0</v>
          </cell>
          <cell r="R1844">
            <v>0</v>
          </cell>
          <cell r="S1844">
            <v>0</v>
          </cell>
          <cell r="T1844">
            <v>0</v>
          </cell>
          <cell r="U1844" t="e">
            <v>#N/A</v>
          </cell>
        </row>
        <row r="1845">
          <cell r="A1845">
            <v>1001839</v>
          </cell>
          <cell r="B1845" t="str">
            <v>Conector Mec P/Cable 4/0 x 4/0 Bif 2 Ton</v>
          </cell>
          <cell r="D1845">
            <v>6003</v>
          </cell>
          <cell r="E1845">
            <v>1000</v>
          </cell>
          <cell r="F1845" t="str">
            <v>ZALM</v>
          </cell>
          <cell r="G1845" t="str">
            <v>UN</v>
          </cell>
          <cell r="H1845" t="str">
            <v>DOP</v>
          </cell>
          <cell r="I1845">
            <v>0</v>
          </cell>
          <cell r="J1845">
            <v>0</v>
          </cell>
          <cell r="K1845">
            <v>0</v>
          </cell>
          <cell r="L1845">
            <v>0</v>
          </cell>
          <cell r="M1845">
            <v>0</v>
          </cell>
          <cell r="N1845">
            <v>0</v>
          </cell>
          <cell r="O1845">
            <v>0</v>
          </cell>
          <cell r="P1845">
            <v>0</v>
          </cell>
          <cell r="Q1845">
            <v>0</v>
          </cell>
          <cell r="R1845">
            <v>0</v>
          </cell>
          <cell r="S1845">
            <v>0</v>
          </cell>
          <cell r="T1845">
            <v>0</v>
          </cell>
          <cell r="U1845" t="e">
            <v>#N/A</v>
          </cell>
        </row>
        <row r="1846">
          <cell r="A1846">
            <v>1001840</v>
          </cell>
          <cell r="B1846" t="str">
            <v>Conector Neutro 2 Vias Perno</v>
          </cell>
          <cell r="D1846">
            <v>6003</v>
          </cell>
          <cell r="E1846">
            <v>1000</v>
          </cell>
          <cell r="F1846" t="str">
            <v>ZALM</v>
          </cell>
          <cell r="G1846" t="str">
            <v>UN</v>
          </cell>
          <cell r="H1846" t="str">
            <v>DOP</v>
          </cell>
          <cell r="I1846">
            <v>15473</v>
          </cell>
          <cell r="J1846">
            <v>2451795.14</v>
          </cell>
          <cell r="K1846">
            <v>0</v>
          </cell>
          <cell r="L1846">
            <v>0</v>
          </cell>
          <cell r="M1846">
            <v>0</v>
          </cell>
          <cell r="N1846">
            <v>0</v>
          </cell>
          <cell r="O1846">
            <v>0</v>
          </cell>
          <cell r="P1846">
            <v>0</v>
          </cell>
          <cell r="Q1846">
            <v>0</v>
          </cell>
          <cell r="R1846">
            <v>0</v>
          </cell>
          <cell r="S1846">
            <v>15473</v>
          </cell>
          <cell r="T1846">
            <v>2451795.14</v>
          </cell>
          <cell r="U1846">
            <v>158.45635235571601</v>
          </cell>
        </row>
        <row r="1847">
          <cell r="A1847">
            <v>1001841</v>
          </cell>
          <cell r="B1847" t="str">
            <v>Conector Neutro de Simple Via</v>
          </cell>
          <cell r="D1847">
            <v>6003</v>
          </cell>
          <cell r="E1847">
            <v>1000</v>
          </cell>
          <cell r="F1847" t="str">
            <v>ZALM</v>
          </cell>
          <cell r="G1847" t="str">
            <v>UN</v>
          </cell>
          <cell r="H1847" t="str">
            <v>DOP</v>
          </cell>
          <cell r="I1847">
            <v>0</v>
          </cell>
          <cell r="J1847">
            <v>0</v>
          </cell>
          <cell r="K1847">
            <v>0</v>
          </cell>
          <cell r="L1847">
            <v>0</v>
          </cell>
          <cell r="M1847">
            <v>0</v>
          </cell>
          <cell r="N1847">
            <v>0</v>
          </cell>
          <cell r="O1847">
            <v>0</v>
          </cell>
          <cell r="P1847">
            <v>0</v>
          </cell>
          <cell r="Q1847">
            <v>0</v>
          </cell>
          <cell r="R1847">
            <v>0</v>
          </cell>
          <cell r="S1847">
            <v>0</v>
          </cell>
          <cell r="T1847">
            <v>0</v>
          </cell>
          <cell r="U1847" t="e">
            <v>#N/A</v>
          </cell>
        </row>
        <row r="1848">
          <cell r="A1848">
            <v>1001842</v>
          </cell>
          <cell r="B1848" t="str">
            <v>Conector Ojo 1/0 -500 MCM Cu</v>
          </cell>
          <cell r="D1848">
            <v>6003</v>
          </cell>
          <cell r="E1848">
            <v>1000</v>
          </cell>
          <cell r="F1848" t="str">
            <v>ZALM</v>
          </cell>
          <cell r="G1848" t="str">
            <v>UN</v>
          </cell>
          <cell r="H1848" t="str">
            <v>DOP</v>
          </cell>
          <cell r="I1848">
            <v>0</v>
          </cell>
          <cell r="J1848">
            <v>0</v>
          </cell>
          <cell r="K1848">
            <v>0</v>
          </cell>
          <cell r="L1848">
            <v>0</v>
          </cell>
          <cell r="M1848">
            <v>0</v>
          </cell>
          <cell r="N1848">
            <v>0</v>
          </cell>
          <cell r="O1848">
            <v>0</v>
          </cell>
          <cell r="P1848">
            <v>0</v>
          </cell>
          <cell r="Q1848">
            <v>0</v>
          </cell>
          <cell r="R1848">
            <v>0</v>
          </cell>
          <cell r="S1848">
            <v>0</v>
          </cell>
          <cell r="T1848">
            <v>0</v>
          </cell>
          <cell r="U1848" t="e">
            <v>#N/A</v>
          </cell>
        </row>
        <row r="1849">
          <cell r="A1849">
            <v>1001843</v>
          </cell>
          <cell r="B1849" t="str">
            <v>Conector P/ Bussing de 350-600 MCM AL</v>
          </cell>
          <cell r="D1849">
            <v>6003</v>
          </cell>
          <cell r="E1849">
            <v>1000</v>
          </cell>
          <cell r="F1849" t="str">
            <v>ZALM</v>
          </cell>
          <cell r="G1849" t="str">
            <v>UN</v>
          </cell>
          <cell r="H1849" t="str">
            <v>DOP</v>
          </cell>
          <cell r="I1849">
            <v>0</v>
          </cell>
          <cell r="J1849">
            <v>0</v>
          </cell>
          <cell r="K1849">
            <v>0</v>
          </cell>
          <cell r="L1849">
            <v>0</v>
          </cell>
          <cell r="M1849">
            <v>0</v>
          </cell>
          <cell r="N1849">
            <v>0</v>
          </cell>
          <cell r="O1849">
            <v>0</v>
          </cell>
          <cell r="P1849">
            <v>0</v>
          </cell>
          <cell r="Q1849">
            <v>0</v>
          </cell>
          <cell r="R1849">
            <v>0</v>
          </cell>
          <cell r="S1849">
            <v>0</v>
          </cell>
          <cell r="T1849">
            <v>0</v>
          </cell>
          <cell r="U1849" t="e">
            <v>#N/A</v>
          </cell>
        </row>
        <row r="1850">
          <cell r="A1850">
            <v>1001844</v>
          </cell>
          <cell r="B1850" t="str">
            <v>Conector P/ Cable Micrófono Ref RJ45</v>
          </cell>
          <cell r="D1850">
            <v>6003</v>
          </cell>
          <cell r="E1850">
            <v>1000</v>
          </cell>
          <cell r="F1850" t="str">
            <v>ZALM</v>
          </cell>
          <cell r="G1850" t="str">
            <v>UN</v>
          </cell>
          <cell r="H1850" t="str">
            <v>DOP</v>
          </cell>
          <cell r="I1850">
            <v>0</v>
          </cell>
          <cell r="J1850">
            <v>0</v>
          </cell>
          <cell r="K1850">
            <v>0</v>
          </cell>
          <cell r="L1850">
            <v>0</v>
          </cell>
          <cell r="M1850">
            <v>0</v>
          </cell>
          <cell r="N1850">
            <v>0</v>
          </cell>
          <cell r="O1850">
            <v>0</v>
          </cell>
          <cell r="P1850">
            <v>0</v>
          </cell>
          <cell r="Q1850">
            <v>0</v>
          </cell>
          <cell r="R1850">
            <v>0</v>
          </cell>
          <cell r="S1850">
            <v>0</v>
          </cell>
          <cell r="T1850">
            <v>0</v>
          </cell>
          <cell r="U1850" t="e">
            <v>#N/A</v>
          </cell>
        </row>
        <row r="1851">
          <cell r="A1851">
            <v>1001845</v>
          </cell>
          <cell r="B1851" t="str">
            <v>Conector P/ Liquid Tight 1/2"</v>
          </cell>
          <cell r="D1851">
            <v>6003</v>
          </cell>
          <cell r="E1851">
            <v>1000</v>
          </cell>
          <cell r="F1851" t="str">
            <v>ZALM</v>
          </cell>
          <cell r="G1851" t="str">
            <v>UN</v>
          </cell>
          <cell r="H1851" t="str">
            <v>DOP</v>
          </cell>
          <cell r="I1851">
            <v>1795</v>
          </cell>
          <cell r="J1851">
            <v>46903.35</v>
          </cell>
          <cell r="K1851">
            <v>0</v>
          </cell>
          <cell r="L1851">
            <v>0</v>
          </cell>
          <cell r="M1851">
            <v>0</v>
          </cell>
          <cell r="N1851">
            <v>0</v>
          </cell>
          <cell r="O1851">
            <v>0</v>
          </cell>
          <cell r="P1851">
            <v>0</v>
          </cell>
          <cell r="Q1851">
            <v>0</v>
          </cell>
          <cell r="R1851">
            <v>0</v>
          </cell>
          <cell r="S1851">
            <v>1795</v>
          </cell>
          <cell r="T1851">
            <v>46903.35</v>
          </cell>
          <cell r="U1851">
            <v>26.13</v>
          </cell>
        </row>
        <row r="1852">
          <cell r="A1852">
            <v>1001846</v>
          </cell>
          <cell r="B1852" t="str">
            <v>Conector P/ Radio GM300 Original</v>
          </cell>
          <cell r="D1852">
            <v>6003</v>
          </cell>
          <cell r="E1852">
            <v>1000</v>
          </cell>
          <cell r="F1852" t="str">
            <v>ZALM</v>
          </cell>
          <cell r="G1852" t="str">
            <v>UN</v>
          </cell>
          <cell r="H1852" t="str">
            <v>DOP</v>
          </cell>
          <cell r="I1852">
            <v>0</v>
          </cell>
          <cell r="J1852">
            <v>0</v>
          </cell>
          <cell r="K1852">
            <v>0</v>
          </cell>
          <cell r="L1852">
            <v>0</v>
          </cell>
          <cell r="M1852">
            <v>0</v>
          </cell>
          <cell r="N1852">
            <v>0</v>
          </cell>
          <cell r="O1852">
            <v>0</v>
          </cell>
          <cell r="P1852">
            <v>0</v>
          </cell>
          <cell r="Q1852">
            <v>0</v>
          </cell>
          <cell r="R1852">
            <v>0</v>
          </cell>
          <cell r="S1852">
            <v>0</v>
          </cell>
          <cell r="T1852">
            <v>0</v>
          </cell>
          <cell r="U1852" t="e">
            <v>#N/A</v>
          </cell>
        </row>
        <row r="1853">
          <cell r="A1853">
            <v>1001847</v>
          </cell>
          <cell r="B1853" t="str">
            <v>Conector P/ Tubería Liquid Tight 2"</v>
          </cell>
          <cell r="D1853">
            <v>6003</v>
          </cell>
          <cell r="E1853">
            <v>1000</v>
          </cell>
          <cell r="F1853" t="str">
            <v>ZALM</v>
          </cell>
          <cell r="G1853" t="str">
            <v>UN</v>
          </cell>
          <cell r="H1853" t="str">
            <v>DOP</v>
          </cell>
          <cell r="I1853">
            <v>2053</v>
          </cell>
          <cell r="J1853">
            <v>315621.82</v>
          </cell>
          <cell r="K1853">
            <v>0</v>
          </cell>
          <cell r="L1853">
            <v>0</v>
          </cell>
          <cell r="M1853">
            <v>0</v>
          </cell>
          <cell r="N1853">
            <v>0</v>
          </cell>
          <cell r="O1853">
            <v>0</v>
          </cell>
          <cell r="P1853">
            <v>0</v>
          </cell>
          <cell r="Q1853">
            <v>0</v>
          </cell>
          <cell r="R1853">
            <v>0</v>
          </cell>
          <cell r="S1853">
            <v>2053</v>
          </cell>
          <cell r="T1853">
            <v>315621.82</v>
          </cell>
          <cell r="U1853">
            <v>153.73688261081301</v>
          </cell>
        </row>
        <row r="1854">
          <cell r="A1854">
            <v>1001848</v>
          </cell>
          <cell r="B1854" t="str">
            <v>Conector Paralel Bronze Split Bolt C-500</v>
          </cell>
          <cell r="D1854">
            <v>6003</v>
          </cell>
          <cell r="E1854">
            <v>1000</v>
          </cell>
          <cell r="F1854" t="str">
            <v>ZALM</v>
          </cell>
          <cell r="G1854" t="str">
            <v>UN</v>
          </cell>
          <cell r="H1854" t="str">
            <v>DOP</v>
          </cell>
          <cell r="I1854">
            <v>86</v>
          </cell>
          <cell r="J1854">
            <v>27248.240000000002</v>
          </cell>
          <cell r="K1854">
            <v>0</v>
          </cell>
          <cell r="L1854">
            <v>0</v>
          </cell>
          <cell r="M1854">
            <v>0</v>
          </cell>
          <cell r="N1854">
            <v>0</v>
          </cell>
          <cell r="O1854">
            <v>0</v>
          </cell>
          <cell r="P1854">
            <v>0</v>
          </cell>
          <cell r="Q1854">
            <v>0</v>
          </cell>
          <cell r="R1854">
            <v>0</v>
          </cell>
          <cell r="S1854">
            <v>86</v>
          </cell>
          <cell r="T1854">
            <v>27248.240000000002</v>
          </cell>
          <cell r="U1854">
            <v>316.83999999999997</v>
          </cell>
        </row>
        <row r="1855">
          <cell r="A1855">
            <v>1001849</v>
          </cell>
          <cell r="B1855" t="str">
            <v>Conector Paralel Bronze-Al Cat. ASB-500</v>
          </cell>
          <cell r="D1855">
            <v>6003</v>
          </cell>
          <cell r="E1855">
            <v>1000</v>
          </cell>
          <cell r="F1855" t="str">
            <v>ZALM</v>
          </cell>
          <cell r="G1855" t="str">
            <v>UN</v>
          </cell>
          <cell r="H1855" t="str">
            <v>DOP</v>
          </cell>
          <cell r="I1855">
            <v>22</v>
          </cell>
          <cell r="J1855">
            <v>13916.1</v>
          </cell>
          <cell r="K1855">
            <v>0</v>
          </cell>
          <cell r="L1855">
            <v>0</v>
          </cell>
          <cell r="M1855">
            <v>0</v>
          </cell>
          <cell r="N1855">
            <v>0</v>
          </cell>
          <cell r="O1855">
            <v>0</v>
          </cell>
          <cell r="P1855">
            <v>0</v>
          </cell>
          <cell r="Q1855">
            <v>0</v>
          </cell>
          <cell r="R1855">
            <v>0</v>
          </cell>
          <cell r="S1855">
            <v>22</v>
          </cell>
          <cell r="T1855">
            <v>13916.1</v>
          </cell>
          <cell r="U1855">
            <v>632.54999999999995</v>
          </cell>
        </row>
        <row r="1856">
          <cell r="A1856">
            <v>1001850</v>
          </cell>
          <cell r="B1856" t="str">
            <v>Conector Paralelo 336.4 954 MCM</v>
          </cell>
          <cell r="D1856">
            <v>6003</v>
          </cell>
          <cell r="E1856">
            <v>1000</v>
          </cell>
          <cell r="F1856" t="str">
            <v>ZALM</v>
          </cell>
          <cell r="G1856" t="str">
            <v>UN</v>
          </cell>
          <cell r="H1856" t="str">
            <v>DOP</v>
          </cell>
          <cell r="I1856">
            <v>72</v>
          </cell>
          <cell r="J1856">
            <v>72</v>
          </cell>
          <cell r="K1856">
            <v>0</v>
          </cell>
          <cell r="L1856">
            <v>0</v>
          </cell>
          <cell r="M1856">
            <v>0</v>
          </cell>
          <cell r="N1856">
            <v>0</v>
          </cell>
          <cell r="O1856">
            <v>0</v>
          </cell>
          <cell r="P1856">
            <v>0</v>
          </cell>
          <cell r="Q1856">
            <v>0</v>
          </cell>
          <cell r="R1856">
            <v>0</v>
          </cell>
          <cell r="S1856">
            <v>72</v>
          </cell>
          <cell r="T1856">
            <v>72</v>
          </cell>
          <cell r="U1856">
            <v>1</v>
          </cell>
        </row>
        <row r="1857">
          <cell r="A1857">
            <v>1001851</v>
          </cell>
          <cell r="B1857" t="str">
            <v>Conector paralelo 477 MCM AL</v>
          </cell>
          <cell r="D1857">
            <v>6003</v>
          </cell>
          <cell r="E1857">
            <v>1000</v>
          </cell>
          <cell r="F1857" t="str">
            <v>ZALM</v>
          </cell>
          <cell r="G1857" t="str">
            <v>UN</v>
          </cell>
          <cell r="H1857" t="str">
            <v>DOP</v>
          </cell>
          <cell r="I1857">
            <v>0</v>
          </cell>
          <cell r="J1857">
            <v>0</v>
          </cell>
          <cell r="K1857">
            <v>0</v>
          </cell>
          <cell r="L1857">
            <v>0</v>
          </cell>
          <cell r="M1857">
            <v>25</v>
          </cell>
          <cell r="N1857">
            <v>25955</v>
          </cell>
          <cell r="O1857">
            <v>0</v>
          </cell>
          <cell r="P1857">
            <v>0</v>
          </cell>
          <cell r="Q1857">
            <v>0</v>
          </cell>
          <cell r="R1857">
            <v>0</v>
          </cell>
          <cell r="S1857">
            <v>25</v>
          </cell>
          <cell r="T1857">
            <v>25955</v>
          </cell>
          <cell r="U1857">
            <v>1038.2</v>
          </cell>
        </row>
        <row r="1858">
          <cell r="A1858">
            <v>1001852</v>
          </cell>
          <cell r="B1858" t="str">
            <v>Conector paralelo 500 MCM (3 tornillo)</v>
          </cell>
          <cell r="D1858">
            <v>6003</v>
          </cell>
          <cell r="E1858">
            <v>1000</v>
          </cell>
          <cell r="F1858" t="str">
            <v>ZALM</v>
          </cell>
          <cell r="G1858" t="str">
            <v>UN</v>
          </cell>
          <cell r="H1858" t="str">
            <v>DOP</v>
          </cell>
          <cell r="I1858">
            <v>0</v>
          </cell>
          <cell r="J1858">
            <v>0</v>
          </cell>
          <cell r="K1858">
            <v>0</v>
          </cell>
          <cell r="L1858">
            <v>0</v>
          </cell>
          <cell r="M1858">
            <v>0</v>
          </cell>
          <cell r="N1858">
            <v>0</v>
          </cell>
          <cell r="O1858">
            <v>0</v>
          </cell>
          <cell r="P1858">
            <v>0</v>
          </cell>
          <cell r="Q1858">
            <v>0</v>
          </cell>
          <cell r="R1858">
            <v>0</v>
          </cell>
          <cell r="S1858">
            <v>0</v>
          </cell>
          <cell r="T1858">
            <v>0</v>
          </cell>
          <cell r="U1858" t="e">
            <v>#N/A</v>
          </cell>
        </row>
        <row r="1859">
          <cell r="A1859">
            <v>1001853</v>
          </cell>
          <cell r="B1859" t="str">
            <v>Conector Perno Partido 2/0 350 MCM</v>
          </cell>
          <cell r="D1859">
            <v>6003</v>
          </cell>
          <cell r="E1859">
            <v>1000</v>
          </cell>
          <cell r="F1859" t="str">
            <v>ZALM</v>
          </cell>
          <cell r="G1859" t="str">
            <v>UN</v>
          </cell>
          <cell r="H1859" t="str">
            <v>DOP</v>
          </cell>
          <cell r="I1859">
            <v>0</v>
          </cell>
          <cell r="J1859">
            <v>0</v>
          </cell>
          <cell r="K1859">
            <v>0</v>
          </cell>
          <cell r="L1859">
            <v>0</v>
          </cell>
          <cell r="M1859">
            <v>0</v>
          </cell>
          <cell r="N1859">
            <v>0</v>
          </cell>
          <cell r="O1859">
            <v>0</v>
          </cell>
          <cell r="P1859">
            <v>0</v>
          </cell>
          <cell r="Q1859">
            <v>0</v>
          </cell>
          <cell r="R1859">
            <v>0</v>
          </cell>
          <cell r="S1859">
            <v>0</v>
          </cell>
          <cell r="T1859">
            <v>0</v>
          </cell>
          <cell r="U1859" t="e">
            <v>#N/A</v>
          </cell>
        </row>
        <row r="1860">
          <cell r="A1860">
            <v>1001854</v>
          </cell>
          <cell r="B1860" t="str">
            <v>Conector Perno partido 250-500 MCM</v>
          </cell>
          <cell r="D1860">
            <v>6003</v>
          </cell>
          <cell r="E1860">
            <v>1000</v>
          </cell>
          <cell r="F1860" t="str">
            <v>ZALM</v>
          </cell>
          <cell r="G1860" t="str">
            <v>UN</v>
          </cell>
          <cell r="H1860" t="str">
            <v>DOP</v>
          </cell>
          <cell r="I1860">
            <v>5</v>
          </cell>
          <cell r="J1860">
            <v>5</v>
          </cell>
          <cell r="K1860">
            <v>0</v>
          </cell>
          <cell r="L1860">
            <v>0</v>
          </cell>
          <cell r="M1860">
            <v>0</v>
          </cell>
          <cell r="N1860">
            <v>0</v>
          </cell>
          <cell r="O1860">
            <v>0</v>
          </cell>
          <cell r="P1860">
            <v>0</v>
          </cell>
          <cell r="Q1860">
            <v>0</v>
          </cell>
          <cell r="R1860">
            <v>0</v>
          </cell>
          <cell r="S1860">
            <v>5</v>
          </cell>
          <cell r="T1860">
            <v>5</v>
          </cell>
          <cell r="U1860">
            <v>1</v>
          </cell>
        </row>
        <row r="1861">
          <cell r="A1861">
            <v>1001855</v>
          </cell>
          <cell r="B1861" t="str">
            <v>Conector Plano 250-500 MCM 4/0</v>
          </cell>
          <cell r="D1861">
            <v>6003</v>
          </cell>
          <cell r="E1861">
            <v>1000</v>
          </cell>
          <cell r="F1861" t="str">
            <v>ZALM</v>
          </cell>
          <cell r="G1861" t="str">
            <v>UN</v>
          </cell>
          <cell r="H1861" t="str">
            <v>DOP</v>
          </cell>
          <cell r="I1861">
            <v>0</v>
          </cell>
          <cell r="J1861">
            <v>0</v>
          </cell>
          <cell r="K1861">
            <v>0</v>
          </cell>
          <cell r="L1861">
            <v>0</v>
          </cell>
          <cell r="M1861">
            <v>0</v>
          </cell>
          <cell r="N1861">
            <v>0</v>
          </cell>
          <cell r="O1861">
            <v>0</v>
          </cell>
          <cell r="P1861">
            <v>0</v>
          </cell>
          <cell r="Q1861">
            <v>0</v>
          </cell>
          <cell r="R1861">
            <v>0</v>
          </cell>
          <cell r="S1861">
            <v>0</v>
          </cell>
          <cell r="T1861">
            <v>0</v>
          </cell>
          <cell r="U1861" t="e">
            <v>#N/A</v>
          </cell>
        </row>
        <row r="1862">
          <cell r="A1862">
            <v>1001856</v>
          </cell>
          <cell r="B1862" t="str">
            <v>Conector Plata "N" Macho P/ Cable RG-213</v>
          </cell>
          <cell r="D1862">
            <v>6003</v>
          </cell>
          <cell r="E1862">
            <v>1000</v>
          </cell>
          <cell r="F1862" t="str">
            <v>ZALM</v>
          </cell>
          <cell r="G1862" t="str">
            <v>UN</v>
          </cell>
          <cell r="H1862" t="str">
            <v>DOP</v>
          </cell>
          <cell r="I1862">
            <v>0</v>
          </cell>
          <cell r="J1862">
            <v>0</v>
          </cell>
          <cell r="K1862">
            <v>0</v>
          </cell>
          <cell r="L1862">
            <v>0</v>
          </cell>
          <cell r="M1862">
            <v>0</v>
          </cell>
          <cell r="N1862">
            <v>0</v>
          </cell>
          <cell r="O1862">
            <v>0</v>
          </cell>
          <cell r="P1862">
            <v>0</v>
          </cell>
          <cell r="Q1862">
            <v>0</v>
          </cell>
          <cell r="R1862">
            <v>0</v>
          </cell>
          <cell r="S1862">
            <v>0</v>
          </cell>
          <cell r="T1862">
            <v>0</v>
          </cell>
          <cell r="U1862" t="e">
            <v>#N/A</v>
          </cell>
        </row>
        <row r="1863">
          <cell r="A1863">
            <v>1001857</v>
          </cell>
          <cell r="B1863" t="str">
            <v>Conector Ranura 3 Torn 465 a 500 MCM</v>
          </cell>
          <cell r="D1863">
            <v>6003</v>
          </cell>
          <cell r="E1863">
            <v>1000</v>
          </cell>
          <cell r="F1863" t="str">
            <v>ZALM</v>
          </cell>
          <cell r="G1863" t="str">
            <v>UN</v>
          </cell>
          <cell r="H1863" t="str">
            <v>DOP</v>
          </cell>
          <cell r="I1863">
            <v>0</v>
          </cell>
          <cell r="J1863">
            <v>0</v>
          </cell>
          <cell r="K1863">
            <v>0</v>
          </cell>
          <cell r="L1863">
            <v>0</v>
          </cell>
          <cell r="M1863">
            <v>0</v>
          </cell>
          <cell r="N1863">
            <v>0</v>
          </cell>
          <cell r="O1863">
            <v>0</v>
          </cell>
          <cell r="P1863">
            <v>0</v>
          </cell>
          <cell r="Q1863">
            <v>0</v>
          </cell>
          <cell r="R1863">
            <v>0</v>
          </cell>
          <cell r="S1863">
            <v>0</v>
          </cell>
          <cell r="T1863">
            <v>0</v>
          </cell>
          <cell r="U1863" t="e">
            <v>#N/A</v>
          </cell>
        </row>
        <row r="1864">
          <cell r="A1864">
            <v>1001858</v>
          </cell>
          <cell r="B1864" t="str">
            <v>Conector Ranura 3 Torn 500 MCM a 4/0</v>
          </cell>
          <cell r="D1864">
            <v>6003</v>
          </cell>
          <cell r="E1864">
            <v>1000</v>
          </cell>
          <cell r="F1864" t="str">
            <v>ZALM</v>
          </cell>
          <cell r="G1864" t="str">
            <v>UN</v>
          </cell>
          <cell r="H1864" t="str">
            <v>DOP</v>
          </cell>
          <cell r="I1864">
            <v>0</v>
          </cell>
          <cell r="J1864">
            <v>0</v>
          </cell>
          <cell r="K1864">
            <v>0</v>
          </cell>
          <cell r="L1864">
            <v>0</v>
          </cell>
          <cell r="M1864">
            <v>0</v>
          </cell>
          <cell r="N1864">
            <v>0</v>
          </cell>
          <cell r="O1864">
            <v>0</v>
          </cell>
          <cell r="P1864">
            <v>0</v>
          </cell>
          <cell r="Q1864">
            <v>0</v>
          </cell>
          <cell r="R1864">
            <v>0</v>
          </cell>
          <cell r="S1864">
            <v>0</v>
          </cell>
          <cell r="T1864">
            <v>0</v>
          </cell>
          <cell r="U1864" t="e">
            <v>#N/A</v>
          </cell>
        </row>
        <row r="1865">
          <cell r="A1865">
            <v>1001859</v>
          </cell>
          <cell r="B1865" t="str">
            <v>Conector Recto T 350-600 MCM</v>
          </cell>
          <cell r="D1865">
            <v>6003</v>
          </cell>
          <cell r="E1865">
            <v>1000</v>
          </cell>
          <cell r="F1865" t="str">
            <v>ZALM</v>
          </cell>
          <cell r="G1865" t="str">
            <v>UN</v>
          </cell>
          <cell r="H1865" t="str">
            <v>DOP</v>
          </cell>
          <cell r="I1865">
            <v>0</v>
          </cell>
          <cell r="J1865">
            <v>0</v>
          </cell>
          <cell r="K1865">
            <v>0</v>
          </cell>
          <cell r="L1865">
            <v>0</v>
          </cell>
          <cell r="M1865">
            <v>0</v>
          </cell>
          <cell r="N1865">
            <v>0</v>
          </cell>
          <cell r="O1865">
            <v>0</v>
          </cell>
          <cell r="P1865">
            <v>0</v>
          </cell>
          <cell r="Q1865">
            <v>0</v>
          </cell>
          <cell r="R1865">
            <v>0</v>
          </cell>
          <cell r="S1865">
            <v>0</v>
          </cell>
          <cell r="T1865">
            <v>0</v>
          </cell>
          <cell r="U1865" t="e">
            <v>#N/A</v>
          </cell>
        </row>
        <row r="1866">
          <cell r="A1866">
            <v>1001860</v>
          </cell>
          <cell r="B1866" t="str">
            <v>Conector RS-232 DB25 Macho</v>
          </cell>
          <cell r="D1866">
            <v>6003</v>
          </cell>
          <cell r="E1866">
            <v>1000</v>
          </cell>
          <cell r="F1866" t="str">
            <v>ZALM</v>
          </cell>
          <cell r="G1866" t="str">
            <v>UN</v>
          </cell>
          <cell r="H1866" t="str">
            <v>DOP</v>
          </cell>
          <cell r="I1866">
            <v>0</v>
          </cell>
          <cell r="J1866">
            <v>0</v>
          </cell>
          <cell r="K1866">
            <v>0</v>
          </cell>
          <cell r="L1866">
            <v>0</v>
          </cell>
          <cell r="M1866">
            <v>0</v>
          </cell>
          <cell r="N1866">
            <v>0</v>
          </cell>
          <cell r="O1866">
            <v>0</v>
          </cell>
          <cell r="P1866">
            <v>0</v>
          </cell>
          <cell r="Q1866">
            <v>0</v>
          </cell>
          <cell r="R1866">
            <v>0</v>
          </cell>
          <cell r="S1866">
            <v>0</v>
          </cell>
          <cell r="T1866">
            <v>0</v>
          </cell>
          <cell r="U1866" t="e">
            <v>#N/A</v>
          </cell>
        </row>
        <row r="1867">
          <cell r="A1867">
            <v>1001861</v>
          </cell>
          <cell r="B1867" t="str">
            <v>Conector RS-232 DB9 Hembra</v>
          </cell>
          <cell r="D1867">
            <v>6003</v>
          </cell>
          <cell r="E1867">
            <v>1000</v>
          </cell>
          <cell r="F1867" t="str">
            <v>ZALM</v>
          </cell>
          <cell r="G1867" t="str">
            <v>UN</v>
          </cell>
          <cell r="H1867" t="str">
            <v>DOP</v>
          </cell>
          <cell r="I1867">
            <v>0</v>
          </cell>
          <cell r="J1867">
            <v>0</v>
          </cell>
          <cell r="K1867">
            <v>0</v>
          </cell>
          <cell r="L1867">
            <v>0</v>
          </cell>
          <cell r="M1867">
            <v>0</v>
          </cell>
          <cell r="N1867">
            <v>0</v>
          </cell>
          <cell r="O1867">
            <v>0</v>
          </cell>
          <cell r="P1867">
            <v>0</v>
          </cell>
          <cell r="Q1867">
            <v>0</v>
          </cell>
          <cell r="R1867">
            <v>0</v>
          </cell>
          <cell r="S1867">
            <v>0</v>
          </cell>
          <cell r="T1867">
            <v>0</v>
          </cell>
          <cell r="U1867" t="e">
            <v>#N/A</v>
          </cell>
        </row>
        <row r="1868">
          <cell r="A1868">
            <v>1001862</v>
          </cell>
          <cell r="B1868" t="str">
            <v>Conector Separable Aisl 3M Tipo 5452</v>
          </cell>
          <cell r="D1868">
            <v>6003</v>
          </cell>
          <cell r="E1868">
            <v>1000</v>
          </cell>
          <cell r="F1868" t="str">
            <v>ZALM</v>
          </cell>
          <cell r="G1868" t="str">
            <v>UN</v>
          </cell>
          <cell r="H1868" t="str">
            <v>DOP</v>
          </cell>
          <cell r="I1868">
            <v>0</v>
          </cell>
          <cell r="J1868">
            <v>0</v>
          </cell>
          <cell r="K1868">
            <v>0</v>
          </cell>
          <cell r="L1868">
            <v>0</v>
          </cell>
          <cell r="M1868">
            <v>0</v>
          </cell>
          <cell r="N1868">
            <v>0</v>
          </cell>
          <cell r="O1868">
            <v>0</v>
          </cell>
          <cell r="P1868">
            <v>0</v>
          </cell>
          <cell r="Q1868">
            <v>0</v>
          </cell>
          <cell r="R1868">
            <v>0</v>
          </cell>
          <cell r="S1868">
            <v>0</v>
          </cell>
          <cell r="T1868">
            <v>0</v>
          </cell>
          <cell r="U1868" t="e">
            <v>#N/A</v>
          </cell>
        </row>
        <row r="1869">
          <cell r="A1869">
            <v>1001863</v>
          </cell>
          <cell r="B1869" t="str">
            <v>Conector T/ Manga 500 MCM</v>
          </cell>
          <cell r="D1869">
            <v>6003</v>
          </cell>
          <cell r="E1869">
            <v>1000</v>
          </cell>
          <cell r="F1869" t="str">
            <v>ZALM</v>
          </cell>
          <cell r="G1869" t="str">
            <v>UN</v>
          </cell>
          <cell r="H1869" t="str">
            <v>DOP</v>
          </cell>
          <cell r="I1869">
            <v>0</v>
          </cell>
          <cell r="J1869">
            <v>0</v>
          </cell>
          <cell r="K1869">
            <v>0</v>
          </cell>
          <cell r="L1869">
            <v>0</v>
          </cell>
          <cell r="M1869">
            <v>0</v>
          </cell>
          <cell r="N1869">
            <v>0</v>
          </cell>
          <cell r="O1869">
            <v>0</v>
          </cell>
          <cell r="P1869">
            <v>0</v>
          </cell>
          <cell r="Q1869">
            <v>0</v>
          </cell>
          <cell r="R1869">
            <v>0</v>
          </cell>
          <cell r="S1869">
            <v>0</v>
          </cell>
          <cell r="T1869">
            <v>0</v>
          </cell>
          <cell r="U1869" t="e">
            <v>#N/A</v>
          </cell>
        </row>
        <row r="1870">
          <cell r="A1870">
            <v>1001864</v>
          </cell>
          <cell r="B1870" t="str">
            <v>Conector T/ Manga NVU10PC 12-10</v>
          </cell>
          <cell r="D1870">
            <v>6003</v>
          </cell>
          <cell r="E1870">
            <v>1000</v>
          </cell>
          <cell r="F1870" t="str">
            <v>ZALM</v>
          </cell>
          <cell r="G1870" t="str">
            <v>UN</v>
          </cell>
          <cell r="H1870" t="str">
            <v>DOP</v>
          </cell>
          <cell r="I1870">
            <v>0</v>
          </cell>
          <cell r="J1870">
            <v>0</v>
          </cell>
          <cell r="K1870">
            <v>0</v>
          </cell>
          <cell r="L1870">
            <v>0</v>
          </cell>
          <cell r="M1870">
            <v>0</v>
          </cell>
          <cell r="N1870">
            <v>0</v>
          </cell>
          <cell r="O1870">
            <v>0</v>
          </cell>
          <cell r="P1870">
            <v>0</v>
          </cell>
          <cell r="Q1870">
            <v>0</v>
          </cell>
          <cell r="R1870">
            <v>0</v>
          </cell>
          <cell r="S1870">
            <v>0</v>
          </cell>
          <cell r="T1870">
            <v>0</v>
          </cell>
          <cell r="U1870" t="e">
            <v>#N/A</v>
          </cell>
        </row>
        <row r="1871">
          <cell r="A1871">
            <v>1001865</v>
          </cell>
          <cell r="B1871" t="str">
            <v>Conector T/ Perno Partido 500 MCM</v>
          </cell>
          <cell r="D1871">
            <v>6003</v>
          </cell>
          <cell r="E1871">
            <v>1000</v>
          </cell>
          <cell r="F1871" t="str">
            <v>ZALM</v>
          </cell>
          <cell r="G1871" t="str">
            <v>UN</v>
          </cell>
          <cell r="H1871" t="str">
            <v>DOP</v>
          </cell>
          <cell r="I1871">
            <v>6</v>
          </cell>
          <cell r="J1871">
            <v>6</v>
          </cell>
          <cell r="K1871">
            <v>0</v>
          </cell>
          <cell r="L1871">
            <v>0</v>
          </cell>
          <cell r="M1871">
            <v>0</v>
          </cell>
          <cell r="N1871">
            <v>0</v>
          </cell>
          <cell r="O1871">
            <v>0</v>
          </cell>
          <cell r="P1871">
            <v>0</v>
          </cell>
          <cell r="Q1871">
            <v>0</v>
          </cell>
          <cell r="R1871">
            <v>0</v>
          </cell>
          <cell r="S1871">
            <v>6</v>
          </cell>
          <cell r="T1871">
            <v>6</v>
          </cell>
          <cell r="U1871">
            <v>1</v>
          </cell>
        </row>
        <row r="1872">
          <cell r="A1872">
            <v>1001866</v>
          </cell>
          <cell r="B1872" t="str">
            <v>Conector T/ Perno Partido Cable 4/0</v>
          </cell>
          <cell r="D1872">
            <v>6003</v>
          </cell>
          <cell r="E1872">
            <v>1000</v>
          </cell>
          <cell r="F1872" t="str">
            <v>ZALM</v>
          </cell>
          <cell r="G1872" t="str">
            <v>UN</v>
          </cell>
          <cell r="H1872" t="str">
            <v>DOP</v>
          </cell>
          <cell r="I1872">
            <v>0</v>
          </cell>
          <cell r="J1872">
            <v>0</v>
          </cell>
          <cell r="K1872">
            <v>0</v>
          </cell>
          <cell r="L1872">
            <v>0</v>
          </cell>
          <cell r="M1872">
            <v>0</v>
          </cell>
          <cell r="N1872">
            <v>0</v>
          </cell>
          <cell r="O1872">
            <v>0</v>
          </cell>
          <cell r="P1872">
            <v>0</v>
          </cell>
          <cell r="Q1872">
            <v>0</v>
          </cell>
          <cell r="R1872">
            <v>0</v>
          </cell>
          <cell r="S1872">
            <v>0</v>
          </cell>
          <cell r="T1872">
            <v>0</v>
          </cell>
          <cell r="U1872" t="e">
            <v>#N/A</v>
          </cell>
        </row>
        <row r="1873">
          <cell r="A1873">
            <v>1001867</v>
          </cell>
          <cell r="B1873" t="str">
            <v>Conector T/ Planch 4 Agu 350 a 600 MCM</v>
          </cell>
          <cell r="D1873">
            <v>6003</v>
          </cell>
          <cell r="E1873">
            <v>1000</v>
          </cell>
          <cell r="F1873" t="str">
            <v>ZALM</v>
          </cell>
          <cell r="G1873" t="str">
            <v>UN</v>
          </cell>
          <cell r="H1873" t="str">
            <v>DOP</v>
          </cell>
          <cell r="I1873">
            <v>7</v>
          </cell>
          <cell r="J1873">
            <v>7</v>
          </cell>
          <cell r="K1873">
            <v>0</v>
          </cell>
          <cell r="L1873">
            <v>0</v>
          </cell>
          <cell r="M1873">
            <v>0</v>
          </cell>
          <cell r="N1873">
            <v>0</v>
          </cell>
          <cell r="O1873">
            <v>0</v>
          </cell>
          <cell r="P1873">
            <v>0</v>
          </cell>
          <cell r="Q1873">
            <v>0</v>
          </cell>
          <cell r="R1873">
            <v>0</v>
          </cell>
          <cell r="S1873">
            <v>7</v>
          </cell>
          <cell r="T1873">
            <v>7</v>
          </cell>
          <cell r="U1873">
            <v>1</v>
          </cell>
        </row>
        <row r="1874">
          <cell r="A1874">
            <v>1001868</v>
          </cell>
          <cell r="B1874" t="str">
            <v>Conector T/ Planch Cu P/ Alambre 4/0</v>
          </cell>
          <cell r="D1874">
            <v>6003</v>
          </cell>
          <cell r="E1874">
            <v>1000</v>
          </cell>
          <cell r="F1874" t="str">
            <v>ZALM</v>
          </cell>
          <cell r="G1874" t="str">
            <v>UN</v>
          </cell>
          <cell r="H1874" t="str">
            <v>DOP</v>
          </cell>
          <cell r="I1874">
            <v>0</v>
          </cell>
          <cell r="J1874">
            <v>0</v>
          </cell>
          <cell r="K1874">
            <v>0</v>
          </cell>
          <cell r="L1874">
            <v>0</v>
          </cell>
          <cell r="M1874">
            <v>0</v>
          </cell>
          <cell r="N1874">
            <v>0</v>
          </cell>
          <cell r="O1874">
            <v>0</v>
          </cell>
          <cell r="P1874">
            <v>0</v>
          </cell>
          <cell r="Q1874">
            <v>0</v>
          </cell>
          <cell r="R1874">
            <v>0</v>
          </cell>
          <cell r="S1874">
            <v>0</v>
          </cell>
          <cell r="T1874">
            <v>0</v>
          </cell>
          <cell r="U1874" t="e">
            <v>#N/A</v>
          </cell>
        </row>
        <row r="1875">
          <cell r="A1875">
            <v>1001869</v>
          </cell>
          <cell r="B1875" t="str">
            <v>Conector T/ Plancha Cu P/ Alambre 2/0</v>
          </cell>
          <cell r="D1875">
            <v>6003</v>
          </cell>
          <cell r="E1875">
            <v>1000</v>
          </cell>
          <cell r="F1875" t="str">
            <v>ZALM</v>
          </cell>
          <cell r="G1875" t="str">
            <v>UN</v>
          </cell>
          <cell r="H1875" t="str">
            <v>DOP</v>
          </cell>
          <cell r="I1875">
            <v>0</v>
          </cell>
          <cell r="J1875">
            <v>0</v>
          </cell>
          <cell r="K1875">
            <v>0</v>
          </cell>
          <cell r="L1875">
            <v>0</v>
          </cell>
          <cell r="M1875">
            <v>0</v>
          </cell>
          <cell r="N1875">
            <v>0</v>
          </cell>
          <cell r="O1875">
            <v>0</v>
          </cell>
          <cell r="P1875">
            <v>0</v>
          </cell>
          <cell r="Q1875">
            <v>0</v>
          </cell>
          <cell r="R1875">
            <v>0</v>
          </cell>
          <cell r="S1875">
            <v>0</v>
          </cell>
          <cell r="T1875">
            <v>0</v>
          </cell>
          <cell r="U1875" t="e">
            <v>#N/A</v>
          </cell>
        </row>
        <row r="1876">
          <cell r="A1876">
            <v>1001870</v>
          </cell>
          <cell r="B1876" t="str">
            <v>Conector T/ Planchuela 3 Sal Secund Al</v>
          </cell>
          <cell r="D1876">
            <v>6003</v>
          </cell>
          <cell r="E1876">
            <v>1000</v>
          </cell>
          <cell r="F1876" t="str">
            <v>ZALM</v>
          </cell>
          <cell r="G1876" t="str">
            <v>UN</v>
          </cell>
          <cell r="H1876" t="str">
            <v>DOP</v>
          </cell>
          <cell r="I1876">
            <v>0</v>
          </cell>
          <cell r="J1876">
            <v>0</v>
          </cell>
          <cell r="K1876">
            <v>0</v>
          </cell>
          <cell r="L1876">
            <v>0</v>
          </cell>
          <cell r="M1876">
            <v>0</v>
          </cell>
          <cell r="N1876">
            <v>0</v>
          </cell>
          <cell r="O1876">
            <v>0</v>
          </cell>
          <cell r="P1876">
            <v>0</v>
          </cell>
          <cell r="Q1876">
            <v>0</v>
          </cell>
          <cell r="R1876">
            <v>0</v>
          </cell>
          <cell r="S1876">
            <v>0</v>
          </cell>
          <cell r="T1876">
            <v>0</v>
          </cell>
          <cell r="U1876" t="e">
            <v>#N/A</v>
          </cell>
        </row>
        <row r="1877">
          <cell r="A1877">
            <v>1001871</v>
          </cell>
          <cell r="B1877" t="str">
            <v>Conector T/ Planchuela 4 Sal Secund Al</v>
          </cell>
          <cell r="D1877">
            <v>6003</v>
          </cell>
          <cell r="E1877">
            <v>1000</v>
          </cell>
          <cell r="F1877" t="str">
            <v>ZALM</v>
          </cell>
          <cell r="G1877" t="str">
            <v>UN</v>
          </cell>
          <cell r="H1877" t="str">
            <v>DOP</v>
          </cell>
          <cell r="I1877">
            <v>0</v>
          </cell>
          <cell r="J1877">
            <v>0</v>
          </cell>
          <cell r="K1877">
            <v>0</v>
          </cell>
          <cell r="L1877">
            <v>0</v>
          </cell>
          <cell r="M1877">
            <v>0</v>
          </cell>
          <cell r="N1877">
            <v>0</v>
          </cell>
          <cell r="O1877">
            <v>0</v>
          </cell>
          <cell r="P1877">
            <v>0</v>
          </cell>
          <cell r="Q1877">
            <v>0</v>
          </cell>
          <cell r="R1877">
            <v>0</v>
          </cell>
          <cell r="S1877">
            <v>0</v>
          </cell>
          <cell r="T1877">
            <v>0</v>
          </cell>
          <cell r="U1877" t="e">
            <v>#N/A</v>
          </cell>
        </row>
        <row r="1878">
          <cell r="A1878">
            <v>1001872</v>
          </cell>
          <cell r="B1878" t="str">
            <v>Conector T/ T 350-600 MCM</v>
          </cell>
          <cell r="D1878">
            <v>6003</v>
          </cell>
          <cell r="E1878">
            <v>1000</v>
          </cell>
          <cell r="F1878" t="str">
            <v>ZALM</v>
          </cell>
          <cell r="G1878" t="str">
            <v>UN</v>
          </cell>
          <cell r="H1878" t="str">
            <v>DOP</v>
          </cell>
          <cell r="I1878">
            <v>0</v>
          </cell>
          <cell r="J1878">
            <v>0</v>
          </cell>
          <cell r="K1878">
            <v>0</v>
          </cell>
          <cell r="L1878">
            <v>0</v>
          </cell>
          <cell r="M1878">
            <v>0</v>
          </cell>
          <cell r="N1878">
            <v>0</v>
          </cell>
          <cell r="O1878">
            <v>0</v>
          </cell>
          <cell r="P1878">
            <v>0</v>
          </cell>
          <cell r="Q1878">
            <v>0</v>
          </cell>
          <cell r="R1878">
            <v>0</v>
          </cell>
          <cell r="S1878">
            <v>0</v>
          </cell>
          <cell r="T1878">
            <v>0</v>
          </cell>
          <cell r="U1878" t="e">
            <v>#N/A</v>
          </cell>
        </row>
        <row r="1879">
          <cell r="A1879">
            <v>1001873</v>
          </cell>
          <cell r="B1879" t="str">
            <v>Conector T/ T 556.5-795/600-900 MCM</v>
          </cell>
          <cell r="D1879">
            <v>6003</v>
          </cell>
          <cell r="E1879">
            <v>1000</v>
          </cell>
          <cell r="F1879" t="str">
            <v>ZALM</v>
          </cell>
          <cell r="G1879" t="str">
            <v>UN</v>
          </cell>
          <cell r="H1879" t="str">
            <v>DOP</v>
          </cell>
          <cell r="I1879">
            <v>129</v>
          </cell>
          <cell r="J1879">
            <v>189593.05</v>
          </cell>
          <cell r="K1879">
            <v>0</v>
          </cell>
          <cell r="L1879">
            <v>0</v>
          </cell>
          <cell r="M1879">
            <v>0</v>
          </cell>
          <cell r="N1879">
            <v>0</v>
          </cell>
          <cell r="O1879">
            <v>0</v>
          </cell>
          <cell r="P1879">
            <v>0</v>
          </cell>
          <cell r="Q1879">
            <v>0</v>
          </cell>
          <cell r="R1879">
            <v>0</v>
          </cell>
          <cell r="S1879">
            <v>129</v>
          </cell>
          <cell r="T1879">
            <v>189593.05</v>
          </cell>
          <cell r="U1879">
            <v>1469.7135658914699</v>
          </cell>
        </row>
        <row r="1880">
          <cell r="A1880">
            <v>1001874</v>
          </cell>
          <cell r="B1880" t="str">
            <v>Conector T/ T 7412-2020 P/ Cable 477</v>
          </cell>
          <cell r="D1880">
            <v>6003</v>
          </cell>
          <cell r="E1880">
            <v>1000</v>
          </cell>
          <cell r="F1880" t="str">
            <v>ZALM</v>
          </cell>
          <cell r="G1880" t="str">
            <v>UN</v>
          </cell>
          <cell r="H1880" t="str">
            <v>DOP</v>
          </cell>
          <cell r="I1880">
            <v>0</v>
          </cell>
          <cell r="J1880">
            <v>0</v>
          </cell>
          <cell r="K1880">
            <v>0</v>
          </cell>
          <cell r="L1880">
            <v>0</v>
          </cell>
          <cell r="M1880">
            <v>0</v>
          </cell>
          <cell r="N1880">
            <v>0</v>
          </cell>
          <cell r="O1880">
            <v>0</v>
          </cell>
          <cell r="P1880">
            <v>0</v>
          </cell>
          <cell r="Q1880">
            <v>0</v>
          </cell>
          <cell r="R1880">
            <v>0</v>
          </cell>
          <cell r="S1880">
            <v>0</v>
          </cell>
          <cell r="T1880">
            <v>0</v>
          </cell>
          <cell r="U1880" t="e">
            <v>#N/A</v>
          </cell>
        </row>
        <row r="1881">
          <cell r="A1881">
            <v>1001875</v>
          </cell>
          <cell r="B1881" t="str">
            <v>Conector T/ T L 250-400 MCM</v>
          </cell>
          <cell r="D1881">
            <v>6003</v>
          </cell>
          <cell r="E1881">
            <v>1000</v>
          </cell>
          <cell r="F1881" t="str">
            <v>ZALM</v>
          </cell>
          <cell r="G1881" t="str">
            <v>UN</v>
          </cell>
          <cell r="H1881" t="str">
            <v>DOP</v>
          </cell>
          <cell r="I1881">
            <v>0</v>
          </cell>
          <cell r="J1881">
            <v>0</v>
          </cell>
          <cell r="K1881">
            <v>0</v>
          </cell>
          <cell r="L1881">
            <v>0</v>
          </cell>
          <cell r="M1881">
            <v>0</v>
          </cell>
          <cell r="N1881">
            <v>0</v>
          </cell>
          <cell r="O1881">
            <v>0</v>
          </cell>
          <cell r="P1881">
            <v>0</v>
          </cell>
          <cell r="Q1881">
            <v>0</v>
          </cell>
          <cell r="R1881">
            <v>0</v>
          </cell>
          <cell r="S1881">
            <v>0</v>
          </cell>
          <cell r="T1881">
            <v>0</v>
          </cell>
          <cell r="U1881" t="e">
            <v>#N/A</v>
          </cell>
        </row>
        <row r="1882">
          <cell r="A1882">
            <v>1001876</v>
          </cell>
          <cell r="B1882" t="str">
            <v>Conector TNC Macho P/ Cable RG-8/ C1180</v>
          </cell>
          <cell r="D1882">
            <v>6003</v>
          </cell>
          <cell r="E1882">
            <v>1000</v>
          </cell>
          <cell r="F1882" t="str">
            <v>ZALM</v>
          </cell>
          <cell r="G1882" t="str">
            <v>UN</v>
          </cell>
          <cell r="H1882" t="str">
            <v>DOP</v>
          </cell>
          <cell r="I1882">
            <v>0</v>
          </cell>
          <cell r="J1882">
            <v>0</v>
          </cell>
          <cell r="K1882">
            <v>0</v>
          </cell>
          <cell r="L1882">
            <v>0</v>
          </cell>
          <cell r="M1882">
            <v>0</v>
          </cell>
          <cell r="N1882">
            <v>0</v>
          </cell>
          <cell r="O1882">
            <v>0</v>
          </cell>
          <cell r="P1882">
            <v>0</v>
          </cell>
          <cell r="Q1882">
            <v>0</v>
          </cell>
          <cell r="R1882">
            <v>0</v>
          </cell>
          <cell r="S1882">
            <v>0</v>
          </cell>
          <cell r="T1882">
            <v>0</v>
          </cell>
          <cell r="U1882" t="e">
            <v>#N/A</v>
          </cell>
        </row>
        <row r="1883">
          <cell r="A1883">
            <v>1001877</v>
          </cell>
          <cell r="B1883" t="str">
            <v>Conector Tornillo Bronce P/ Electricidad</v>
          </cell>
          <cell r="D1883">
            <v>6003</v>
          </cell>
          <cell r="E1883">
            <v>1000</v>
          </cell>
          <cell r="F1883" t="str">
            <v>ZALM</v>
          </cell>
          <cell r="G1883" t="str">
            <v>UN</v>
          </cell>
          <cell r="H1883" t="str">
            <v>DOP</v>
          </cell>
          <cell r="I1883">
            <v>0</v>
          </cell>
          <cell r="J1883">
            <v>0</v>
          </cell>
          <cell r="K1883">
            <v>0</v>
          </cell>
          <cell r="L1883">
            <v>0</v>
          </cell>
          <cell r="M1883">
            <v>0</v>
          </cell>
          <cell r="N1883">
            <v>0</v>
          </cell>
          <cell r="O1883">
            <v>0</v>
          </cell>
          <cell r="P1883">
            <v>0</v>
          </cell>
          <cell r="Q1883">
            <v>0</v>
          </cell>
          <cell r="R1883">
            <v>0</v>
          </cell>
          <cell r="S1883">
            <v>0</v>
          </cell>
          <cell r="T1883">
            <v>0</v>
          </cell>
          <cell r="U1883" t="e">
            <v>#N/A</v>
          </cell>
        </row>
        <row r="1884">
          <cell r="A1884">
            <v>1001878</v>
          </cell>
          <cell r="B1884" t="str">
            <v>Conectores Bushing-Cable 15kV</v>
          </cell>
          <cell r="D1884">
            <v>6003</v>
          </cell>
          <cell r="E1884">
            <v>1000</v>
          </cell>
          <cell r="F1884" t="str">
            <v>ZALM</v>
          </cell>
          <cell r="G1884" t="str">
            <v>UN</v>
          </cell>
          <cell r="H1884" t="str">
            <v>DOP</v>
          </cell>
          <cell r="I1884">
            <v>0</v>
          </cell>
          <cell r="J1884">
            <v>0</v>
          </cell>
          <cell r="K1884">
            <v>0</v>
          </cell>
          <cell r="L1884">
            <v>0</v>
          </cell>
          <cell r="M1884">
            <v>0</v>
          </cell>
          <cell r="N1884">
            <v>0</v>
          </cell>
          <cell r="O1884">
            <v>0</v>
          </cell>
          <cell r="P1884">
            <v>0</v>
          </cell>
          <cell r="Q1884">
            <v>0</v>
          </cell>
          <cell r="R1884">
            <v>0</v>
          </cell>
          <cell r="S1884">
            <v>0</v>
          </cell>
          <cell r="T1884">
            <v>0</v>
          </cell>
          <cell r="U1884" t="e">
            <v>#N/A</v>
          </cell>
        </row>
        <row r="1885">
          <cell r="A1885">
            <v>1001879</v>
          </cell>
          <cell r="B1885" t="str">
            <v>Conectores Bushing-Cable 72.kKV</v>
          </cell>
          <cell r="D1885">
            <v>6003</v>
          </cell>
          <cell r="E1885">
            <v>1000</v>
          </cell>
          <cell r="F1885" t="str">
            <v>ZALM</v>
          </cell>
          <cell r="G1885" t="str">
            <v>UN</v>
          </cell>
          <cell r="H1885" t="str">
            <v>DOP</v>
          </cell>
          <cell r="I1885">
            <v>0</v>
          </cell>
          <cell r="J1885">
            <v>0</v>
          </cell>
          <cell r="K1885">
            <v>0</v>
          </cell>
          <cell r="L1885">
            <v>0</v>
          </cell>
          <cell r="M1885">
            <v>0</v>
          </cell>
          <cell r="N1885">
            <v>0</v>
          </cell>
          <cell r="O1885">
            <v>0</v>
          </cell>
          <cell r="P1885">
            <v>0</v>
          </cell>
          <cell r="Q1885">
            <v>0</v>
          </cell>
          <cell r="R1885">
            <v>0</v>
          </cell>
          <cell r="S1885">
            <v>0</v>
          </cell>
          <cell r="T1885">
            <v>0</v>
          </cell>
          <cell r="U1885" t="e">
            <v>#N/A</v>
          </cell>
        </row>
        <row r="1886">
          <cell r="A1886">
            <v>1001880</v>
          </cell>
          <cell r="B1886" t="str">
            <v>Conectores PL</v>
          </cell>
          <cell r="D1886">
            <v>6003</v>
          </cell>
          <cell r="E1886">
            <v>1000</v>
          </cell>
          <cell r="F1886" t="str">
            <v>ZALM</v>
          </cell>
          <cell r="G1886" t="str">
            <v>UN</v>
          </cell>
          <cell r="H1886" t="str">
            <v>DOP</v>
          </cell>
          <cell r="I1886">
            <v>0</v>
          </cell>
          <cell r="J1886">
            <v>0</v>
          </cell>
          <cell r="K1886">
            <v>0</v>
          </cell>
          <cell r="L1886">
            <v>0</v>
          </cell>
          <cell r="M1886">
            <v>0</v>
          </cell>
          <cell r="N1886">
            <v>0</v>
          </cell>
          <cell r="O1886">
            <v>0</v>
          </cell>
          <cell r="P1886">
            <v>0</v>
          </cell>
          <cell r="Q1886">
            <v>0</v>
          </cell>
          <cell r="R1886">
            <v>0</v>
          </cell>
          <cell r="S1886">
            <v>0</v>
          </cell>
          <cell r="T1886">
            <v>0</v>
          </cell>
          <cell r="U1886" t="e">
            <v>#N/A</v>
          </cell>
        </row>
        <row r="1887">
          <cell r="A1887">
            <v>1001881</v>
          </cell>
          <cell r="B1887" t="str">
            <v>Conectores Split Bolt No 4/0 Bimet 40Hp</v>
          </cell>
          <cell r="D1887">
            <v>6003</v>
          </cell>
          <cell r="E1887">
            <v>1000</v>
          </cell>
          <cell r="F1887" t="str">
            <v>ZALM</v>
          </cell>
          <cell r="G1887" t="str">
            <v>UN</v>
          </cell>
          <cell r="H1887" t="str">
            <v>DOP</v>
          </cell>
          <cell r="I1887">
            <v>0</v>
          </cell>
          <cell r="J1887">
            <v>0</v>
          </cell>
          <cell r="K1887">
            <v>0</v>
          </cell>
          <cell r="L1887">
            <v>0</v>
          </cell>
          <cell r="M1887">
            <v>0</v>
          </cell>
          <cell r="N1887">
            <v>0</v>
          </cell>
          <cell r="O1887">
            <v>0</v>
          </cell>
          <cell r="P1887">
            <v>0</v>
          </cell>
          <cell r="Q1887">
            <v>0</v>
          </cell>
          <cell r="R1887">
            <v>0</v>
          </cell>
          <cell r="S1887">
            <v>0</v>
          </cell>
          <cell r="T1887">
            <v>0</v>
          </cell>
          <cell r="U1887" t="e">
            <v>#N/A</v>
          </cell>
        </row>
        <row r="1888">
          <cell r="A1888">
            <v>1001882</v>
          </cell>
          <cell r="B1888" t="str">
            <v>Contactor 65A - 80A 1th TLMQ</v>
          </cell>
          <cell r="D1888">
            <v>6003</v>
          </cell>
          <cell r="E1888">
            <v>1000</v>
          </cell>
          <cell r="F1888" t="str">
            <v>ZALM</v>
          </cell>
          <cell r="G1888" t="str">
            <v>UN</v>
          </cell>
          <cell r="H1888" t="str">
            <v>DOP</v>
          </cell>
          <cell r="I1888">
            <v>0</v>
          </cell>
          <cell r="J1888">
            <v>0</v>
          </cell>
          <cell r="K1888">
            <v>0</v>
          </cell>
          <cell r="L1888">
            <v>0</v>
          </cell>
          <cell r="M1888">
            <v>0</v>
          </cell>
          <cell r="N1888">
            <v>0</v>
          </cell>
          <cell r="O1888">
            <v>0</v>
          </cell>
          <cell r="P1888">
            <v>0</v>
          </cell>
          <cell r="Q1888">
            <v>0</v>
          </cell>
          <cell r="R1888">
            <v>0</v>
          </cell>
          <cell r="S1888">
            <v>0</v>
          </cell>
          <cell r="T1888">
            <v>0</v>
          </cell>
          <cell r="U1888" t="e">
            <v>#N/A</v>
          </cell>
        </row>
        <row r="1889">
          <cell r="A1889">
            <v>1001883</v>
          </cell>
          <cell r="B1889" t="str">
            <v>Copling P/ Tubos EMT 1 1/2''</v>
          </cell>
          <cell r="D1889">
            <v>6003</v>
          </cell>
          <cell r="E1889">
            <v>1000</v>
          </cell>
          <cell r="F1889" t="str">
            <v>ZALM</v>
          </cell>
          <cell r="G1889" t="str">
            <v>UN</v>
          </cell>
          <cell r="H1889" t="str">
            <v>DOP</v>
          </cell>
          <cell r="I1889">
            <v>171</v>
          </cell>
          <cell r="J1889">
            <v>6327</v>
          </cell>
          <cell r="K1889">
            <v>0</v>
          </cell>
          <cell r="L1889">
            <v>0</v>
          </cell>
          <cell r="M1889">
            <v>0</v>
          </cell>
          <cell r="N1889">
            <v>0</v>
          </cell>
          <cell r="O1889">
            <v>0</v>
          </cell>
          <cell r="P1889">
            <v>0</v>
          </cell>
          <cell r="Q1889">
            <v>0</v>
          </cell>
          <cell r="R1889">
            <v>0</v>
          </cell>
          <cell r="S1889">
            <v>171</v>
          </cell>
          <cell r="T1889">
            <v>6327</v>
          </cell>
          <cell r="U1889">
            <v>37</v>
          </cell>
        </row>
        <row r="1890">
          <cell r="A1890">
            <v>1001884</v>
          </cell>
          <cell r="B1890" t="str">
            <v>Derivador Plást P/ Cond Concéntrico</v>
          </cell>
          <cell r="D1890">
            <v>6003</v>
          </cell>
          <cell r="E1890">
            <v>1000</v>
          </cell>
          <cell r="F1890" t="str">
            <v>ZALM</v>
          </cell>
          <cell r="G1890" t="str">
            <v>UN</v>
          </cell>
          <cell r="H1890" t="str">
            <v>DOP</v>
          </cell>
          <cell r="I1890">
            <v>77967</v>
          </cell>
          <cell r="J1890">
            <v>1229296.1000000001</v>
          </cell>
          <cell r="K1890">
            <v>16000</v>
          </cell>
          <cell r="L1890">
            <v>252270.03</v>
          </cell>
          <cell r="M1890">
            <v>0</v>
          </cell>
          <cell r="N1890">
            <v>0</v>
          </cell>
          <cell r="O1890">
            <v>0</v>
          </cell>
          <cell r="P1890">
            <v>0</v>
          </cell>
          <cell r="Q1890">
            <v>0</v>
          </cell>
          <cell r="R1890">
            <v>0</v>
          </cell>
          <cell r="S1890">
            <v>93967</v>
          </cell>
          <cell r="T1890">
            <v>1481566.13</v>
          </cell>
          <cell r="U1890">
            <v>15.7668769887301</v>
          </cell>
        </row>
        <row r="1891">
          <cell r="A1891">
            <v>1001885</v>
          </cell>
          <cell r="B1891" t="str">
            <v>Empalme P/ Cables Aislado 15kV #1/0</v>
          </cell>
          <cell r="D1891">
            <v>6003</v>
          </cell>
          <cell r="E1891">
            <v>1000</v>
          </cell>
          <cell r="F1891" t="str">
            <v>ZALM</v>
          </cell>
          <cell r="G1891" t="str">
            <v>UN</v>
          </cell>
          <cell r="H1891" t="str">
            <v>DOP</v>
          </cell>
          <cell r="I1891">
            <v>0</v>
          </cell>
          <cell r="J1891">
            <v>0</v>
          </cell>
          <cell r="K1891">
            <v>0</v>
          </cell>
          <cell r="L1891">
            <v>0</v>
          </cell>
          <cell r="M1891">
            <v>0</v>
          </cell>
          <cell r="N1891">
            <v>0</v>
          </cell>
          <cell r="O1891">
            <v>0</v>
          </cell>
          <cell r="P1891">
            <v>0</v>
          </cell>
          <cell r="Q1891">
            <v>0</v>
          </cell>
          <cell r="R1891">
            <v>0</v>
          </cell>
          <cell r="S1891">
            <v>0</v>
          </cell>
          <cell r="T1891">
            <v>0</v>
          </cell>
          <cell r="U1891" t="e">
            <v>#N/A</v>
          </cell>
        </row>
        <row r="1892">
          <cell r="A1892">
            <v>1001886</v>
          </cell>
          <cell r="B1892" t="str">
            <v>Empalme P/ Cables Aislado 15kV #2</v>
          </cell>
          <cell r="D1892">
            <v>6003</v>
          </cell>
          <cell r="E1892">
            <v>1000</v>
          </cell>
          <cell r="F1892" t="str">
            <v>ZALM</v>
          </cell>
          <cell r="G1892" t="str">
            <v>UN</v>
          </cell>
          <cell r="H1892" t="str">
            <v>DOP</v>
          </cell>
          <cell r="I1892">
            <v>0</v>
          </cell>
          <cell r="J1892">
            <v>0</v>
          </cell>
          <cell r="K1892">
            <v>0</v>
          </cell>
          <cell r="L1892">
            <v>0</v>
          </cell>
          <cell r="M1892">
            <v>0</v>
          </cell>
          <cell r="N1892">
            <v>0</v>
          </cell>
          <cell r="O1892">
            <v>0</v>
          </cell>
          <cell r="P1892">
            <v>0</v>
          </cell>
          <cell r="Q1892">
            <v>0</v>
          </cell>
          <cell r="R1892">
            <v>0</v>
          </cell>
          <cell r="S1892">
            <v>0</v>
          </cell>
          <cell r="T1892">
            <v>0</v>
          </cell>
          <cell r="U1892" t="e">
            <v>#N/A</v>
          </cell>
        </row>
        <row r="1893">
          <cell r="A1893">
            <v>1001887</v>
          </cell>
          <cell r="B1893" t="str">
            <v>Empalme P/ Cables Aislado 15kV #2/0</v>
          </cell>
          <cell r="D1893">
            <v>6003</v>
          </cell>
          <cell r="E1893">
            <v>1000</v>
          </cell>
          <cell r="F1893" t="str">
            <v>ZALM</v>
          </cell>
          <cell r="G1893" t="str">
            <v>UN</v>
          </cell>
          <cell r="H1893" t="str">
            <v>DOP</v>
          </cell>
          <cell r="I1893">
            <v>0</v>
          </cell>
          <cell r="J1893">
            <v>0</v>
          </cell>
          <cell r="K1893">
            <v>0</v>
          </cell>
          <cell r="L1893">
            <v>0</v>
          </cell>
          <cell r="M1893">
            <v>0</v>
          </cell>
          <cell r="N1893">
            <v>0</v>
          </cell>
          <cell r="O1893">
            <v>0</v>
          </cell>
          <cell r="P1893">
            <v>0</v>
          </cell>
          <cell r="Q1893">
            <v>0</v>
          </cell>
          <cell r="R1893">
            <v>0</v>
          </cell>
          <cell r="S1893">
            <v>0</v>
          </cell>
          <cell r="T1893">
            <v>0</v>
          </cell>
          <cell r="U1893" t="e">
            <v>#N/A</v>
          </cell>
        </row>
        <row r="1894">
          <cell r="A1894">
            <v>1001888</v>
          </cell>
          <cell r="B1894" t="str">
            <v>Empalme P/ Cables Aislado 15kV #4/0</v>
          </cell>
          <cell r="D1894">
            <v>6003</v>
          </cell>
          <cell r="E1894">
            <v>1000</v>
          </cell>
          <cell r="F1894" t="str">
            <v>ZALM</v>
          </cell>
          <cell r="G1894" t="str">
            <v>UN</v>
          </cell>
          <cell r="H1894" t="str">
            <v>DOP</v>
          </cell>
          <cell r="I1894">
            <v>0</v>
          </cell>
          <cell r="J1894">
            <v>0</v>
          </cell>
          <cell r="K1894">
            <v>0</v>
          </cell>
          <cell r="L1894">
            <v>0</v>
          </cell>
          <cell r="M1894">
            <v>0</v>
          </cell>
          <cell r="N1894">
            <v>0</v>
          </cell>
          <cell r="O1894">
            <v>0</v>
          </cell>
          <cell r="P1894">
            <v>0</v>
          </cell>
          <cell r="Q1894">
            <v>0</v>
          </cell>
          <cell r="R1894">
            <v>0</v>
          </cell>
          <cell r="S1894">
            <v>0</v>
          </cell>
          <cell r="T1894">
            <v>0</v>
          </cell>
          <cell r="U1894" t="e">
            <v>#N/A</v>
          </cell>
        </row>
        <row r="1895">
          <cell r="A1895">
            <v>1001889</v>
          </cell>
          <cell r="B1895" t="str">
            <v>Empalme P/ Cables Aislado 15kV 1000 Al</v>
          </cell>
          <cell r="D1895">
            <v>7201</v>
          </cell>
          <cell r="E1895">
            <v>1000</v>
          </cell>
          <cell r="F1895" t="str">
            <v>ZALM</v>
          </cell>
          <cell r="G1895" t="str">
            <v>UN</v>
          </cell>
          <cell r="H1895" t="str">
            <v>DOP</v>
          </cell>
          <cell r="I1895">
            <v>8</v>
          </cell>
          <cell r="J1895">
            <v>76160</v>
          </cell>
          <cell r="K1895">
            <v>0</v>
          </cell>
          <cell r="L1895">
            <v>0</v>
          </cell>
          <cell r="M1895">
            <v>0</v>
          </cell>
          <cell r="N1895">
            <v>0</v>
          </cell>
          <cell r="O1895">
            <v>0</v>
          </cell>
          <cell r="P1895">
            <v>0</v>
          </cell>
          <cell r="Q1895">
            <v>0</v>
          </cell>
          <cell r="R1895">
            <v>0</v>
          </cell>
          <cell r="S1895">
            <v>8</v>
          </cell>
          <cell r="T1895">
            <v>76160</v>
          </cell>
          <cell r="U1895">
            <v>9520</v>
          </cell>
        </row>
        <row r="1896">
          <cell r="A1896">
            <v>1001890</v>
          </cell>
          <cell r="B1896" t="str">
            <v>Empalme P/ Cables Aislado 15kV 500 Al</v>
          </cell>
          <cell r="D1896">
            <v>6003</v>
          </cell>
          <cell r="E1896">
            <v>1000</v>
          </cell>
          <cell r="F1896" t="str">
            <v>ZALM</v>
          </cell>
          <cell r="G1896" t="str">
            <v>UN</v>
          </cell>
          <cell r="H1896" t="str">
            <v>DOP</v>
          </cell>
          <cell r="I1896">
            <v>0</v>
          </cell>
          <cell r="J1896">
            <v>0</v>
          </cell>
          <cell r="K1896">
            <v>0</v>
          </cell>
          <cell r="L1896">
            <v>0</v>
          </cell>
          <cell r="M1896">
            <v>0</v>
          </cell>
          <cell r="N1896">
            <v>0</v>
          </cell>
          <cell r="O1896">
            <v>0</v>
          </cell>
          <cell r="P1896">
            <v>0</v>
          </cell>
          <cell r="Q1896">
            <v>0</v>
          </cell>
          <cell r="R1896">
            <v>0</v>
          </cell>
          <cell r="S1896">
            <v>0</v>
          </cell>
          <cell r="T1896">
            <v>0</v>
          </cell>
          <cell r="U1896" t="e">
            <v>#N/A</v>
          </cell>
        </row>
        <row r="1897">
          <cell r="A1897">
            <v>1001891</v>
          </cell>
          <cell r="B1897" t="str">
            <v>Estribos #2  P/ Conector Tipo Cuña</v>
          </cell>
          <cell r="D1897">
            <v>6003</v>
          </cell>
          <cell r="E1897">
            <v>1000</v>
          </cell>
          <cell r="F1897" t="str">
            <v>ZALM</v>
          </cell>
          <cell r="G1897" t="str">
            <v>UN</v>
          </cell>
          <cell r="H1897" t="str">
            <v>DOP</v>
          </cell>
          <cell r="I1897">
            <v>5000</v>
          </cell>
          <cell r="J1897">
            <v>921982.5</v>
          </cell>
          <cell r="K1897">
            <v>0</v>
          </cell>
          <cell r="L1897">
            <v>0</v>
          </cell>
          <cell r="M1897">
            <v>0</v>
          </cell>
          <cell r="N1897">
            <v>0</v>
          </cell>
          <cell r="O1897">
            <v>0</v>
          </cell>
          <cell r="P1897">
            <v>0</v>
          </cell>
          <cell r="Q1897">
            <v>0</v>
          </cell>
          <cell r="R1897">
            <v>0</v>
          </cell>
          <cell r="S1897">
            <v>5000</v>
          </cell>
          <cell r="T1897">
            <v>921982.5</v>
          </cell>
          <cell r="U1897">
            <v>184.3965</v>
          </cell>
        </row>
        <row r="1898">
          <cell r="A1898">
            <v>1001892</v>
          </cell>
          <cell r="B1898" t="str">
            <v>Grapa P/ Fijacion Cond Tierra 2/0-8 1/4"</v>
          </cell>
          <cell r="D1898">
            <v>6003</v>
          </cell>
          <cell r="E1898">
            <v>1000</v>
          </cell>
          <cell r="F1898" t="str">
            <v>ZALM</v>
          </cell>
          <cell r="G1898" t="str">
            <v>UN</v>
          </cell>
          <cell r="H1898" t="str">
            <v>DOP</v>
          </cell>
          <cell r="I1898">
            <v>423</v>
          </cell>
          <cell r="J1898">
            <v>84183.66</v>
          </cell>
          <cell r="K1898">
            <v>0</v>
          </cell>
          <cell r="L1898">
            <v>0</v>
          </cell>
          <cell r="M1898">
            <v>0</v>
          </cell>
          <cell r="N1898">
            <v>0</v>
          </cell>
          <cell r="O1898">
            <v>0</v>
          </cell>
          <cell r="P1898">
            <v>0</v>
          </cell>
          <cell r="Q1898">
            <v>0</v>
          </cell>
          <cell r="R1898">
            <v>0</v>
          </cell>
          <cell r="S1898">
            <v>423</v>
          </cell>
          <cell r="T1898">
            <v>84183.66</v>
          </cell>
          <cell r="U1898">
            <v>199.01574468085099</v>
          </cell>
        </row>
        <row r="1899">
          <cell r="A1899">
            <v>1001893</v>
          </cell>
          <cell r="B1899" t="str">
            <v>Grapa P/ Puesta Tierr Cabl 2/0 250MCM</v>
          </cell>
          <cell r="D1899">
            <v>6003</v>
          </cell>
          <cell r="E1899">
            <v>1000</v>
          </cell>
          <cell r="F1899" t="str">
            <v>ZALM</v>
          </cell>
          <cell r="G1899" t="str">
            <v>UN</v>
          </cell>
          <cell r="H1899" t="str">
            <v>DOP</v>
          </cell>
          <cell r="I1899">
            <v>0</v>
          </cell>
          <cell r="J1899">
            <v>0</v>
          </cell>
          <cell r="K1899">
            <v>0</v>
          </cell>
          <cell r="L1899">
            <v>0</v>
          </cell>
          <cell r="M1899">
            <v>0</v>
          </cell>
          <cell r="N1899">
            <v>0</v>
          </cell>
          <cell r="O1899">
            <v>0</v>
          </cell>
          <cell r="P1899">
            <v>0</v>
          </cell>
          <cell r="Q1899">
            <v>0</v>
          </cell>
          <cell r="R1899">
            <v>0</v>
          </cell>
          <cell r="S1899">
            <v>0</v>
          </cell>
          <cell r="T1899">
            <v>0</v>
          </cell>
          <cell r="U1899" t="e">
            <v>#N/A</v>
          </cell>
        </row>
        <row r="1900">
          <cell r="A1900">
            <v>1001894</v>
          </cell>
          <cell r="B1900" t="str">
            <v>Hebilla Acero Inox 20mm ZHE 20 738</v>
          </cell>
          <cell r="D1900">
            <v>6003</v>
          </cell>
          <cell r="E1900">
            <v>1000</v>
          </cell>
          <cell r="F1900" t="str">
            <v>ZALM</v>
          </cell>
          <cell r="G1900" t="str">
            <v>UN</v>
          </cell>
          <cell r="H1900" t="str">
            <v>DOP</v>
          </cell>
          <cell r="I1900">
            <v>223044</v>
          </cell>
          <cell r="J1900">
            <v>1608916.26</v>
          </cell>
          <cell r="K1900">
            <v>0</v>
          </cell>
          <cell r="L1900">
            <v>0</v>
          </cell>
          <cell r="M1900">
            <v>7206</v>
          </cell>
          <cell r="N1900">
            <v>51980.11</v>
          </cell>
          <cell r="O1900">
            <v>0</v>
          </cell>
          <cell r="P1900">
            <v>0</v>
          </cell>
          <cell r="Q1900">
            <v>20869</v>
          </cell>
          <cell r="R1900">
            <v>150537.44</v>
          </cell>
          <cell r="S1900">
            <v>251119</v>
          </cell>
          <cell r="T1900">
            <v>1811433.81</v>
          </cell>
          <cell r="U1900">
            <v>7.21344784743488</v>
          </cell>
        </row>
        <row r="1901">
          <cell r="A1901">
            <v>1001895</v>
          </cell>
          <cell r="B1901" t="str">
            <v>Joining Fitting JN1</v>
          </cell>
          <cell r="D1901">
            <v>6003</v>
          </cell>
          <cell r="E1901">
            <v>1000</v>
          </cell>
          <cell r="F1901" t="str">
            <v>ZALM</v>
          </cell>
          <cell r="G1901" t="str">
            <v>UN</v>
          </cell>
          <cell r="H1901" t="str">
            <v>DOP</v>
          </cell>
          <cell r="I1901">
            <v>0</v>
          </cell>
          <cell r="J1901">
            <v>0</v>
          </cell>
          <cell r="K1901">
            <v>0</v>
          </cell>
          <cell r="L1901">
            <v>0</v>
          </cell>
          <cell r="M1901">
            <v>0</v>
          </cell>
          <cell r="N1901">
            <v>0</v>
          </cell>
          <cell r="O1901">
            <v>0</v>
          </cell>
          <cell r="P1901">
            <v>0</v>
          </cell>
          <cell r="Q1901">
            <v>0</v>
          </cell>
          <cell r="R1901">
            <v>0</v>
          </cell>
          <cell r="S1901">
            <v>0</v>
          </cell>
          <cell r="T1901">
            <v>0</v>
          </cell>
          <cell r="U1901" t="e">
            <v>#N/A</v>
          </cell>
        </row>
        <row r="1902">
          <cell r="A1902">
            <v>1001896</v>
          </cell>
          <cell r="B1902" t="str">
            <v>Joining Fitting JN3</v>
          </cell>
          <cell r="D1902">
            <v>6003</v>
          </cell>
          <cell r="E1902">
            <v>1000</v>
          </cell>
          <cell r="F1902" t="str">
            <v>ZALM</v>
          </cell>
          <cell r="G1902" t="str">
            <v>UN</v>
          </cell>
          <cell r="H1902" t="str">
            <v>DOP</v>
          </cell>
          <cell r="I1902">
            <v>0</v>
          </cell>
          <cell r="J1902">
            <v>0</v>
          </cell>
          <cell r="K1902">
            <v>0</v>
          </cell>
          <cell r="L1902">
            <v>0</v>
          </cell>
          <cell r="M1902">
            <v>0</v>
          </cell>
          <cell r="N1902">
            <v>0</v>
          </cell>
          <cell r="O1902">
            <v>0</v>
          </cell>
          <cell r="P1902">
            <v>0</v>
          </cell>
          <cell r="Q1902">
            <v>0</v>
          </cell>
          <cell r="R1902">
            <v>0</v>
          </cell>
          <cell r="S1902">
            <v>0</v>
          </cell>
          <cell r="T1902">
            <v>0</v>
          </cell>
          <cell r="U1902" t="e">
            <v>#N/A</v>
          </cell>
        </row>
        <row r="1903">
          <cell r="A1903">
            <v>1001897</v>
          </cell>
          <cell r="B1903" t="str">
            <v>Kit Conect Acom Neutro Desn KC-07RD</v>
          </cell>
          <cell r="D1903">
            <v>6003</v>
          </cell>
          <cell r="E1903">
            <v>1000</v>
          </cell>
          <cell r="F1903" t="str">
            <v>ZALM</v>
          </cell>
          <cell r="G1903" t="str">
            <v>UN</v>
          </cell>
          <cell r="H1903" t="str">
            <v>DOP</v>
          </cell>
          <cell r="I1903">
            <v>0</v>
          </cell>
          <cell r="J1903">
            <v>0</v>
          </cell>
          <cell r="K1903">
            <v>0</v>
          </cell>
          <cell r="L1903">
            <v>0</v>
          </cell>
          <cell r="M1903">
            <v>0</v>
          </cell>
          <cell r="N1903">
            <v>0</v>
          </cell>
          <cell r="O1903">
            <v>0</v>
          </cell>
          <cell r="P1903">
            <v>0</v>
          </cell>
          <cell r="Q1903">
            <v>0</v>
          </cell>
          <cell r="R1903">
            <v>0</v>
          </cell>
          <cell r="S1903">
            <v>0</v>
          </cell>
          <cell r="T1903">
            <v>0</v>
          </cell>
          <cell r="U1903" t="e">
            <v>#N/A</v>
          </cell>
        </row>
        <row r="1904">
          <cell r="A1904">
            <v>1001898</v>
          </cell>
          <cell r="B1904" t="str">
            <v>Kit de Empalme para Cable URD # 2</v>
          </cell>
          <cell r="D1904">
            <v>6003</v>
          </cell>
          <cell r="E1904">
            <v>1000</v>
          </cell>
          <cell r="F1904" t="str">
            <v>ZALM</v>
          </cell>
          <cell r="G1904" t="str">
            <v>UN</v>
          </cell>
          <cell r="H1904" t="str">
            <v>DOP</v>
          </cell>
          <cell r="I1904">
            <v>0</v>
          </cell>
          <cell r="J1904">
            <v>0</v>
          </cell>
          <cell r="K1904">
            <v>0</v>
          </cell>
          <cell r="L1904">
            <v>0</v>
          </cell>
          <cell r="M1904">
            <v>0</v>
          </cell>
          <cell r="N1904">
            <v>0</v>
          </cell>
          <cell r="O1904">
            <v>0</v>
          </cell>
          <cell r="P1904">
            <v>0</v>
          </cell>
          <cell r="Q1904">
            <v>0</v>
          </cell>
          <cell r="R1904">
            <v>0</v>
          </cell>
          <cell r="S1904">
            <v>0</v>
          </cell>
          <cell r="T1904">
            <v>0</v>
          </cell>
          <cell r="U1904" t="e">
            <v>#N/A</v>
          </cell>
        </row>
        <row r="1905">
          <cell r="A1905">
            <v>1001899</v>
          </cell>
          <cell r="B1905" t="str">
            <v>Kit de Empalme para Cable URD # 4/0</v>
          </cell>
          <cell r="D1905">
            <v>6003</v>
          </cell>
          <cell r="E1905">
            <v>1000</v>
          </cell>
          <cell r="F1905" t="str">
            <v>ZALM</v>
          </cell>
          <cell r="G1905" t="str">
            <v>UN</v>
          </cell>
          <cell r="H1905" t="str">
            <v>DOP</v>
          </cell>
          <cell r="I1905">
            <v>24</v>
          </cell>
          <cell r="J1905">
            <v>180215.08</v>
          </cell>
          <cell r="K1905">
            <v>0</v>
          </cell>
          <cell r="L1905">
            <v>0</v>
          </cell>
          <cell r="M1905">
            <v>0</v>
          </cell>
          <cell r="N1905">
            <v>0</v>
          </cell>
          <cell r="O1905">
            <v>0</v>
          </cell>
          <cell r="P1905">
            <v>0</v>
          </cell>
          <cell r="Q1905">
            <v>0</v>
          </cell>
          <cell r="R1905">
            <v>0</v>
          </cell>
          <cell r="S1905">
            <v>24</v>
          </cell>
          <cell r="T1905">
            <v>180215.08</v>
          </cell>
          <cell r="U1905">
            <v>7508.9616666666698</v>
          </cell>
        </row>
        <row r="1906">
          <cell r="A1906">
            <v>1001900</v>
          </cell>
          <cell r="B1906" t="str">
            <v>Kit Empal Cabl Aisl 15kV 5418-1000 Al-Cu</v>
          </cell>
          <cell r="D1906">
            <v>6003</v>
          </cell>
          <cell r="E1906">
            <v>1000</v>
          </cell>
          <cell r="F1906" t="str">
            <v>ZALM</v>
          </cell>
          <cell r="G1906" t="str">
            <v>UN</v>
          </cell>
          <cell r="H1906" t="str">
            <v>DOP</v>
          </cell>
          <cell r="I1906">
            <v>0</v>
          </cell>
          <cell r="J1906">
            <v>0</v>
          </cell>
          <cell r="K1906">
            <v>0</v>
          </cell>
          <cell r="L1906">
            <v>0</v>
          </cell>
          <cell r="M1906">
            <v>0</v>
          </cell>
          <cell r="N1906">
            <v>0</v>
          </cell>
          <cell r="O1906">
            <v>0</v>
          </cell>
          <cell r="P1906">
            <v>0</v>
          </cell>
          <cell r="Q1906">
            <v>0</v>
          </cell>
          <cell r="R1906">
            <v>0</v>
          </cell>
          <cell r="S1906">
            <v>0</v>
          </cell>
          <cell r="T1906">
            <v>0</v>
          </cell>
          <cell r="U1906" t="e">
            <v>#N/A</v>
          </cell>
        </row>
        <row r="1907">
          <cell r="A1907">
            <v>1001901</v>
          </cell>
          <cell r="B1907" t="str">
            <v>Kit Empalme Cabl URD 1000MCM Aisl 35kV</v>
          </cell>
          <cell r="D1907">
            <v>7201</v>
          </cell>
          <cell r="E1907">
            <v>1000</v>
          </cell>
          <cell r="F1907" t="str">
            <v>ZALM</v>
          </cell>
          <cell r="G1907" t="str">
            <v>UN</v>
          </cell>
          <cell r="H1907" t="str">
            <v>DOP</v>
          </cell>
          <cell r="I1907">
            <v>2</v>
          </cell>
          <cell r="J1907">
            <v>34841.5</v>
          </cell>
          <cell r="K1907">
            <v>0</v>
          </cell>
          <cell r="L1907">
            <v>0</v>
          </cell>
          <cell r="M1907">
            <v>0</v>
          </cell>
          <cell r="N1907">
            <v>0</v>
          </cell>
          <cell r="O1907">
            <v>0</v>
          </cell>
          <cell r="P1907">
            <v>0</v>
          </cell>
          <cell r="Q1907">
            <v>0</v>
          </cell>
          <cell r="R1907">
            <v>0</v>
          </cell>
          <cell r="S1907">
            <v>2</v>
          </cell>
          <cell r="T1907">
            <v>34841.5</v>
          </cell>
          <cell r="U1907">
            <v>17420.75</v>
          </cell>
        </row>
        <row r="1908">
          <cell r="A1908">
            <v>1001902</v>
          </cell>
          <cell r="B1908" t="str">
            <v>Manga Aut Plena Tensión P/ Cond 1/0-1/0</v>
          </cell>
          <cell r="D1908">
            <v>6003</v>
          </cell>
          <cell r="E1908">
            <v>1000</v>
          </cell>
          <cell r="F1908" t="str">
            <v>ZALM</v>
          </cell>
          <cell r="G1908" t="str">
            <v>UN</v>
          </cell>
          <cell r="H1908" t="str">
            <v>DOP</v>
          </cell>
          <cell r="I1908">
            <v>0</v>
          </cell>
          <cell r="J1908">
            <v>0</v>
          </cell>
          <cell r="K1908">
            <v>0</v>
          </cell>
          <cell r="L1908">
            <v>0</v>
          </cell>
          <cell r="M1908">
            <v>44</v>
          </cell>
          <cell r="N1908">
            <v>31134.400000000001</v>
          </cell>
          <cell r="O1908">
            <v>0</v>
          </cell>
          <cell r="P1908">
            <v>0</v>
          </cell>
          <cell r="Q1908">
            <v>0</v>
          </cell>
          <cell r="R1908">
            <v>0</v>
          </cell>
          <cell r="S1908">
            <v>44</v>
          </cell>
          <cell r="T1908">
            <v>31134.400000000001</v>
          </cell>
          <cell r="U1908">
            <v>707.6</v>
          </cell>
        </row>
        <row r="1909">
          <cell r="A1909">
            <v>1001903</v>
          </cell>
          <cell r="B1909" t="str">
            <v>Manga Aut Plena Tensión P/ Cond 397-477</v>
          </cell>
          <cell r="D1909">
            <v>6003</v>
          </cell>
          <cell r="E1909">
            <v>1000</v>
          </cell>
          <cell r="F1909" t="str">
            <v>ZALM</v>
          </cell>
          <cell r="G1909" t="str">
            <v>UN</v>
          </cell>
          <cell r="H1909" t="str">
            <v>DOP</v>
          </cell>
          <cell r="I1909">
            <v>210</v>
          </cell>
          <cell r="J1909">
            <v>213377.48</v>
          </cell>
          <cell r="K1909">
            <v>0</v>
          </cell>
          <cell r="L1909">
            <v>0</v>
          </cell>
          <cell r="M1909">
            <v>0</v>
          </cell>
          <cell r="N1909">
            <v>0</v>
          </cell>
          <cell r="O1909">
            <v>0</v>
          </cell>
          <cell r="P1909">
            <v>0</v>
          </cell>
          <cell r="Q1909">
            <v>0</v>
          </cell>
          <cell r="R1909">
            <v>0</v>
          </cell>
          <cell r="S1909">
            <v>210</v>
          </cell>
          <cell r="T1909">
            <v>213377.48</v>
          </cell>
          <cell r="U1909">
            <v>1016.0832380952399</v>
          </cell>
        </row>
        <row r="1910">
          <cell r="A1910">
            <v>1001904</v>
          </cell>
          <cell r="B1910" t="str">
            <v>Manga Aut Plena Tensión P/ Cond 4/0-4/0</v>
          </cell>
          <cell r="D1910">
            <v>6003</v>
          </cell>
          <cell r="E1910">
            <v>1000</v>
          </cell>
          <cell r="F1910" t="str">
            <v>ZALM</v>
          </cell>
          <cell r="G1910" t="str">
            <v>UN</v>
          </cell>
          <cell r="H1910" t="str">
            <v>DOP</v>
          </cell>
          <cell r="I1910">
            <v>0</v>
          </cell>
          <cell r="J1910">
            <v>0</v>
          </cell>
          <cell r="K1910">
            <v>0</v>
          </cell>
          <cell r="L1910">
            <v>0</v>
          </cell>
          <cell r="M1910">
            <v>75</v>
          </cell>
          <cell r="N1910">
            <v>65458.28</v>
          </cell>
          <cell r="O1910">
            <v>0</v>
          </cell>
          <cell r="P1910">
            <v>0</v>
          </cell>
          <cell r="Q1910">
            <v>0</v>
          </cell>
          <cell r="R1910">
            <v>0</v>
          </cell>
          <cell r="S1910">
            <v>75</v>
          </cell>
          <cell r="T1910">
            <v>65458.28</v>
          </cell>
          <cell r="U1910">
            <v>872.777066666667</v>
          </cell>
        </row>
        <row r="1911">
          <cell r="A1911">
            <v>1001905</v>
          </cell>
          <cell r="B1911" t="str">
            <v>Manga Aut Plena Tensión P/ Cond Cu#2 1/0</v>
          </cell>
          <cell r="D1911">
            <v>6003</v>
          </cell>
          <cell r="E1911">
            <v>1000</v>
          </cell>
          <cell r="F1911" t="str">
            <v>ZALM</v>
          </cell>
          <cell r="G1911" t="str">
            <v>UN</v>
          </cell>
          <cell r="H1911" t="str">
            <v>DOP</v>
          </cell>
          <cell r="I1911">
            <v>0</v>
          </cell>
          <cell r="J1911">
            <v>0</v>
          </cell>
          <cell r="K1911">
            <v>0</v>
          </cell>
          <cell r="L1911">
            <v>0</v>
          </cell>
          <cell r="M1911">
            <v>0</v>
          </cell>
          <cell r="N1911">
            <v>0</v>
          </cell>
          <cell r="O1911">
            <v>0</v>
          </cell>
          <cell r="P1911">
            <v>0</v>
          </cell>
          <cell r="Q1911">
            <v>0</v>
          </cell>
          <cell r="R1911">
            <v>0</v>
          </cell>
          <cell r="S1911">
            <v>0</v>
          </cell>
          <cell r="T1911">
            <v>0</v>
          </cell>
          <cell r="U1911" t="e">
            <v>#N/A</v>
          </cell>
        </row>
        <row r="1912">
          <cell r="A1912">
            <v>1001906</v>
          </cell>
          <cell r="B1912" t="str">
            <v>Manga Burdy Y C S 4 R 4 ACSR 3/8</v>
          </cell>
          <cell r="D1912">
            <v>6003</v>
          </cell>
          <cell r="E1912">
            <v>1000</v>
          </cell>
          <cell r="F1912" t="str">
            <v>ZALM</v>
          </cell>
          <cell r="G1912" t="str">
            <v>UN</v>
          </cell>
          <cell r="H1912" t="str">
            <v>DOP</v>
          </cell>
          <cell r="I1912">
            <v>85</v>
          </cell>
          <cell r="J1912">
            <v>85</v>
          </cell>
          <cell r="K1912">
            <v>0</v>
          </cell>
          <cell r="L1912">
            <v>0</v>
          </cell>
          <cell r="M1912">
            <v>0</v>
          </cell>
          <cell r="N1912">
            <v>0</v>
          </cell>
          <cell r="O1912">
            <v>0</v>
          </cell>
          <cell r="P1912">
            <v>0</v>
          </cell>
          <cell r="Q1912">
            <v>0</v>
          </cell>
          <cell r="R1912">
            <v>0</v>
          </cell>
          <cell r="S1912">
            <v>85</v>
          </cell>
          <cell r="T1912">
            <v>85</v>
          </cell>
          <cell r="U1912">
            <v>1</v>
          </cell>
        </row>
        <row r="1913">
          <cell r="A1913">
            <v>1001907</v>
          </cell>
          <cell r="B1913" t="str">
            <v>Manga Compr Aut Pl Tens AAAC 4/0 Cu-Al</v>
          </cell>
          <cell r="D1913">
            <v>6003</v>
          </cell>
          <cell r="E1913">
            <v>1000</v>
          </cell>
          <cell r="F1913" t="str">
            <v>ZALM</v>
          </cell>
          <cell r="G1913" t="str">
            <v>UN</v>
          </cell>
          <cell r="H1913" t="str">
            <v>DOP</v>
          </cell>
          <cell r="I1913">
            <v>0</v>
          </cell>
          <cell r="J1913">
            <v>0</v>
          </cell>
          <cell r="K1913">
            <v>0</v>
          </cell>
          <cell r="L1913">
            <v>0</v>
          </cell>
          <cell r="M1913">
            <v>0</v>
          </cell>
          <cell r="N1913">
            <v>0</v>
          </cell>
          <cell r="O1913">
            <v>0</v>
          </cell>
          <cell r="P1913">
            <v>0</v>
          </cell>
          <cell r="Q1913">
            <v>0</v>
          </cell>
          <cell r="R1913">
            <v>0</v>
          </cell>
          <cell r="S1913">
            <v>0</v>
          </cell>
          <cell r="T1913">
            <v>0</v>
          </cell>
          <cell r="U1913" t="e">
            <v>#N/A</v>
          </cell>
        </row>
        <row r="1914">
          <cell r="A1914">
            <v>1001908</v>
          </cell>
          <cell r="B1914" t="str">
            <v>Manga Compr Aut Pl Tens P/AAAC 1/0-2/0Al</v>
          </cell>
          <cell r="D1914">
            <v>6003</v>
          </cell>
          <cell r="E1914">
            <v>1000</v>
          </cell>
          <cell r="F1914" t="str">
            <v>ZALM</v>
          </cell>
          <cell r="G1914" t="str">
            <v>UN</v>
          </cell>
          <cell r="H1914" t="str">
            <v>DOP</v>
          </cell>
          <cell r="I1914">
            <v>38</v>
          </cell>
          <cell r="J1914">
            <v>27946.77</v>
          </cell>
          <cell r="K1914">
            <v>0</v>
          </cell>
          <cell r="L1914">
            <v>0</v>
          </cell>
          <cell r="M1914">
            <v>11</v>
          </cell>
          <cell r="N1914">
            <v>8089.85</v>
          </cell>
          <cell r="O1914">
            <v>0</v>
          </cell>
          <cell r="P1914">
            <v>0</v>
          </cell>
          <cell r="Q1914">
            <v>69</v>
          </cell>
          <cell r="R1914">
            <v>50745.440000000002</v>
          </cell>
          <cell r="S1914">
            <v>118</v>
          </cell>
          <cell r="T1914">
            <v>86782.06</v>
          </cell>
          <cell r="U1914">
            <v>735.44118644067805</v>
          </cell>
        </row>
        <row r="1915">
          <cell r="A1915">
            <v>1001909</v>
          </cell>
          <cell r="B1915" t="str">
            <v>Manga Compr Aut Pl Tens P/AAAC 1/0-2/0Cu</v>
          </cell>
          <cell r="D1915">
            <v>6003</v>
          </cell>
          <cell r="E1915">
            <v>1000</v>
          </cell>
          <cell r="F1915" t="str">
            <v>ZALM</v>
          </cell>
          <cell r="G1915" t="str">
            <v>UN</v>
          </cell>
          <cell r="H1915" t="str">
            <v>DOP</v>
          </cell>
          <cell r="I1915">
            <v>0</v>
          </cell>
          <cell r="J1915">
            <v>0</v>
          </cell>
          <cell r="K1915">
            <v>0</v>
          </cell>
          <cell r="L1915">
            <v>0</v>
          </cell>
          <cell r="M1915">
            <v>0</v>
          </cell>
          <cell r="N1915">
            <v>0</v>
          </cell>
          <cell r="O1915">
            <v>0</v>
          </cell>
          <cell r="P1915">
            <v>0</v>
          </cell>
          <cell r="Q1915">
            <v>0</v>
          </cell>
          <cell r="R1915">
            <v>0</v>
          </cell>
          <cell r="S1915">
            <v>0</v>
          </cell>
          <cell r="T1915">
            <v>0</v>
          </cell>
          <cell r="U1915" t="e">
            <v>#N/A</v>
          </cell>
        </row>
        <row r="1916">
          <cell r="A1916">
            <v>1001910</v>
          </cell>
          <cell r="B1916" t="str">
            <v>Manga Compr Full Tens P/ Cond 1/0 AAC</v>
          </cell>
          <cell r="D1916">
            <v>6003</v>
          </cell>
          <cell r="E1916">
            <v>1000</v>
          </cell>
          <cell r="F1916" t="str">
            <v>ZALM</v>
          </cell>
          <cell r="G1916" t="str">
            <v>UN</v>
          </cell>
          <cell r="H1916" t="str">
            <v>DOP</v>
          </cell>
          <cell r="I1916">
            <v>499</v>
          </cell>
          <cell r="J1916">
            <v>32874.120000000003</v>
          </cell>
          <cell r="K1916">
            <v>0</v>
          </cell>
          <cell r="L1916">
            <v>0</v>
          </cell>
          <cell r="M1916">
            <v>0</v>
          </cell>
          <cell r="N1916">
            <v>0</v>
          </cell>
          <cell r="O1916">
            <v>0</v>
          </cell>
          <cell r="P1916">
            <v>0</v>
          </cell>
          <cell r="Q1916">
            <v>0</v>
          </cell>
          <cell r="R1916">
            <v>0</v>
          </cell>
          <cell r="S1916">
            <v>499</v>
          </cell>
          <cell r="T1916">
            <v>32874.120000000003</v>
          </cell>
          <cell r="U1916">
            <v>65.88</v>
          </cell>
        </row>
        <row r="1917">
          <cell r="A1917">
            <v>1001911</v>
          </cell>
          <cell r="B1917" t="str">
            <v>Manga Compr Full Tens P/ Cond 2/0 AAAC</v>
          </cell>
          <cell r="D1917">
            <v>6003</v>
          </cell>
          <cell r="E1917">
            <v>1000</v>
          </cell>
          <cell r="F1917" t="str">
            <v>ZALM</v>
          </cell>
          <cell r="G1917" t="str">
            <v>UN</v>
          </cell>
          <cell r="H1917" t="str">
            <v>DOP</v>
          </cell>
          <cell r="I1917">
            <v>1878</v>
          </cell>
          <cell r="J1917">
            <v>164287.44</v>
          </cell>
          <cell r="K1917">
            <v>0</v>
          </cell>
          <cell r="L1917">
            <v>0</v>
          </cell>
          <cell r="M1917">
            <v>0</v>
          </cell>
          <cell r="N1917">
            <v>0</v>
          </cell>
          <cell r="O1917">
            <v>0</v>
          </cell>
          <cell r="P1917">
            <v>0</v>
          </cell>
          <cell r="Q1917">
            <v>0</v>
          </cell>
          <cell r="R1917">
            <v>0</v>
          </cell>
          <cell r="S1917">
            <v>1878</v>
          </cell>
          <cell r="T1917">
            <v>164287.44</v>
          </cell>
          <cell r="U1917">
            <v>87.48</v>
          </cell>
        </row>
        <row r="1918">
          <cell r="A1918">
            <v>1001912</v>
          </cell>
          <cell r="B1918" t="str">
            <v>Manga Compr Full Tens P/ Cond 2/0 AAC</v>
          </cell>
          <cell r="D1918">
            <v>6003</v>
          </cell>
          <cell r="E1918">
            <v>1000</v>
          </cell>
          <cell r="F1918" t="str">
            <v>ZALM</v>
          </cell>
          <cell r="G1918" t="str">
            <v>UN</v>
          </cell>
          <cell r="H1918" t="str">
            <v>DOP</v>
          </cell>
          <cell r="I1918">
            <v>35</v>
          </cell>
          <cell r="J1918">
            <v>2261</v>
          </cell>
          <cell r="K1918">
            <v>0</v>
          </cell>
          <cell r="L1918">
            <v>0</v>
          </cell>
          <cell r="M1918">
            <v>0</v>
          </cell>
          <cell r="N1918">
            <v>0</v>
          </cell>
          <cell r="O1918">
            <v>0</v>
          </cell>
          <cell r="P1918">
            <v>0</v>
          </cell>
          <cell r="Q1918">
            <v>0</v>
          </cell>
          <cell r="R1918">
            <v>0</v>
          </cell>
          <cell r="S1918">
            <v>35</v>
          </cell>
          <cell r="T1918">
            <v>2261</v>
          </cell>
          <cell r="U1918">
            <v>64.599999999999994</v>
          </cell>
        </row>
        <row r="1919">
          <cell r="A1919">
            <v>1001913</v>
          </cell>
          <cell r="B1919" t="str">
            <v>Manga Compr Full Tens P/ Cond 4/0 AAAC</v>
          </cell>
          <cell r="D1919">
            <v>6003</v>
          </cell>
          <cell r="E1919">
            <v>1000</v>
          </cell>
          <cell r="F1919" t="str">
            <v>ZALM</v>
          </cell>
          <cell r="G1919" t="str">
            <v>UN</v>
          </cell>
          <cell r="H1919" t="str">
            <v>DOP</v>
          </cell>
          <cell r="I1919">
            <v>586</v>
          </cell>
          <cell r="J1919">
            <v>26604.400000000001</v>
          </cell>
          <cell r="K1919">
            <v>0</v>
          </cell>
          <cell r="L1919">
            <v>0</v>
          </cell>
          <cell r="M1919">
            <v>0</v>
          </cell>
          <cell r="N1919">
            <v>0</v>
          </cell>
          <cell r="O1919">
            <v>0</v>
          </cell>
          <cell r="P1919">
            <v>0</v>
          </cell>
          <cell r="Q1919">
            <v>0</v>
          </cell>
          <cell r="R1919">
            <v>0</v>
          </cell>
          <cell r="S1919">
            <v>586</v>
          </cell>
          <cell r="T1919">
            <v>26604.400000000001</v>
          </cell>
          <cell r="U1919">
            <v>45.4</v>
          </cell>
        </row>
        <row r="1920">
          <cell r="A1920">
            <v>1001914</v>
          </cell>
          <cell r="B1920" t="str">
            <v>Manga Compr Full Tens P/ Cond 4/0 AAC</v>
          </cell>
          <cell r="D1920">
            <v>6003</v>
          </cell>
          <cell r="E1920">
            <v>1000</v>
          </cell>
          <cell r="F1920" t="str">
            <v>ZALM</v>
          </cell>
          <cell r="G1920" t="str">
            <v>UN</v>
          </cell>
          <cell r="H1920" t="str">
            <v>DOP</v>
          </cell>
          <cell r="I1920">
            <v>947</v>
          </cell>
          <cell r="J1920">
            <v>42993.8</v>
          </cell>
          <cell r="K1920">
            <v>0</v>
          </cell>
          <cell r="L1920">
            <v>0</v>
          </cell>
          <cell r="M1920">
            <v>0</v>
          </cell>
          <cell r="N1920">
            <v>0</v>
          </cell>
          <cell r="O1920">
            <v>0</v>
          </cell>
          <cell r="P1920">
            <v>0</v>
          </cell>
          <cell r="Q1920">
            <v>0</v>
          </cell>
          <cell r="R1920">
            <v>0</v>
          </cell>
          <cell r="S1920">
            <v>947</v>
          </cell>
          <cell r="T1920">
            <v>42993.8</v>
          </cell>
          <cell r="U1920">
            <v>45.4</v>
          </cell>
        </row>
        <row r="1921">
          <cell r="A1921">
            <v>1001915</v>
          </cell>
          <cell r="B1921" t="str">
            <v>Manga Compr Full Tens P/ Cond 4/0-397,5</v>
          </cell>
          <cell r="D1921">
            <v>6003</v>
          </cell>
          <cell r="E1921">
            <v>1000</v>
          </cell>
          <cell r="F1921" t="str">
            <v>ZALM</v>
          </cell>
          <cell r="G1921" t="str">
            <v>UN</v>
          </cell>
          <cell r="H1921" t="str">
            <v>DOP</v>
          </cell>
          <cell r="I1921">
            <v>5</v>
          </cell>
          <cell r="J1921">
            <v>227</v>
          </cell>
          <cell r="K1921">
            <v>0</v>
          </cell>
          <cell r="L1921">
            <v>0</v>
          </cell>
          <cell r="M1921">
            <v>0</v>
          </cell>
          <cell r="N1921">
            <v>0</v>
          </cell>
          <cell r="O1921">
            <v>0</v>
          </cell>
          <cell r="P1921">
            <v>0</v>
          </cell>
          <cell r="Q1921">
            <v>0</v>
          </cell>
          <cell r="R1921">
            <v>0</v>
          </cell>
          <cell r="S1921">
            <v>5</v>
          </cell>
          <cell r="T1921">
            <v>227</v>
          </cell>
          <cell r="U1921">
            <v>45.4</v>
          </cell>
        </row>
        <row r="1922">
          <cell r="A1922">
            <v>1001916</v>
          </cell>
          <cell r="B1922" t="str">
            <v>Manga Compr Full Tens P/Cond 2/0 ACSR Al</v>
          </cell>
          <cell r="D1922">
            <v>6003</v>
          </cell>
          <cell r="E1922">
            <v>1000</v>
          </cell>
          <cell r="F1922" t="str">
            <v>ZALM</v>
          </cell>
          <cell r="G1922" t="str">
            <v>UN</v>
          </cell>
          <cell r="H1922" t="str">
            <v>DOP</v>
          </cell>
          <cell r="I1922">
            <v>461</v>
          </cell>
          <cell r="J1922">
            <v>461</v>
          </cell>
          <cell r="K1922">
            <v>0</v>
          </cell>
          <cell r="L1922">
            <v>0</v>
          </cell>
          <cell r="M1922">
            <v>0</v>
          </cell>
          <cell r="N1922">
            <v>0</v>
          </cell>
          <cell r="O1922">
            <v>0</v>
          </cell>
          <cell r="P1922">
            <v>0</v>
          </cell>
          <cell r="Q1922">
            <v>0</v>
          </cell>
          <cell r="R1922">
            <v>0</v>
          </cell>
          <cell r="S1922">
            <v>461</v>
          </cell>
          <cell r="T1922">
            <v>461</v>
          </cell>
          <cell r="U1922">
            <v>1</v>
          </cell>
        </row>
        <row r="1923">
          <cell r="A1923">
            <v>1001917</v>
          </cell>
          <cell r="B1923" t="str">
            <v>Manga Empal Cable Al-Cu 1000 MCM 132mm</v>
          </cell>
          <cell r="D1923">
            <v>7201</v>
          </cell>
          <cell r="E1923">
            <v>1000</v>
          </cell>
          <cell r="F1923" t="str">
            <v>ZALM</v>
          </cell>
          <cell r="G1923" t="str">
            <v>UN</v>
          </cell>
          <cell r="H1923" t="str">
            <v>DOP</v>
          </cell>
          <cell r="I1923">
            <v>34</v>
          </cell>
          <cell r="J1923">
            <v>30532</v>
          </cell>
          <cell r="K1923">
            <v>0</v>
          </cell>
          <cell r="L1923">
            <v>0</v>
          </cell>
          <cell r="M1923">
            <v>0</v>
          </cell>
          <cell r="N1923">
            <v>0</v>
          </cell>
          <cell r="O1923">
            <v>0</v>
          </cell>
          <cell r="P1923">
            <v>0</v>
          </cell>
          <cell r="Q1923">
            <v>0</v>
          </cell>
          <cell r="R1923">
            <v>0</v>
          </cell>
          <cell r="S1923">
            <v>34</v>
          </cell>
          <cell r="T1923">
            <v>30532</v>
          </cell>
          <cell r="U1923">
            <v>898</v>
          </cell>
        </row>
        <row r="1924">
          <cell r="A1924">
            <v>1001918</v>
          </cell>
          <cell r="B1924" t="str">
            <v>Manga Empal Cable Scotch Cu-Al 500 Al</v>
          </cell>
          <cell r="D1924">
            <v>6003</v>
          </cell>
          <cell r="E1924">
            <v>1000</v>
          </cell>
          <cell r="F1924" t="str">
            <v>ZALM</v>
          </cell>
          <cell r="G1924" t="str">
            <v>UN</v>
          </cell>
          <cell r="H1924" t="str">
            <v>DOP</v>
          </cell>
          <cell r="I1924">
            <v>0</v>
          </cell>
          <cell r="J1924">
            <v>0</v>
          </cell>
          <cell r="K1924">
            <v>0</v>
          </cell>
          <cell r="L1924">
            <v>0</v>
          </cell>
          <cell r="M1924">
            <v>0</v>
          </cell>
          <cell r="N1924">
            <v>0</v>
          </cell>
          <cell r="O1924">
            <v>0</v>
          </cell>
          <cell r="P1924">
            <v>0</v>
          </cell>
          <cell r="Q1924">
            <v>0</v>
          </cell>
          <cell r="R1924">
            <v>0</v>
          </cell>
          <cell r="S1924">
            <v>0</v>
          </cell>
          <cell r="T1924">
            <v>0</v>
          </cell>
          <cell r="U1924" t="e">
            <v>#N/A</v>
          </cell>
        </row>
        <row r="1925">
          <cell r="A1925">
            <v>1001919</v>
          </cell>
          <cell r="B1925" t="str">
            <v>Manga Empalme Cable Scotch 4/0 Al-Cu</v>
          </cell>
          <cell r="D1925">
            <v>6003</v>
          </cell>
          <cell r="E1925">
            <v>1000</v>
          </cell>
          <cell r="F1925" t="str">
            <v>ZALM</v>
          </cell>
          <cell r="G1925" t="str">
            <v>UN</v>
          </cell>
          <cell r="H1925" t="str">
            <v>DOP</v>
          </cell>
          <cell r="I1925">
            <v>0</v>
          </cell>
          <cell r="J1925">
            <v>0</v>
          </cell>
          <cell r="K1925">
            <v>0</v>
          </cell>
          <cell r="L1925">
            <v>0</v>
          </cell>
          <cell r="M1925">
            <v>0</v>
          </cell>
          <cell r="N1925">
            <v>0</v>
          </cell>
          <cell r="O1925">
            <v>0</v>
          </cell>
          <cell r="P1925">
            <v>0</v>
          </cell>
          <cell r="Q1925">
            <v>0</v>
          </cell>
          <cell r="R1925">
            <v>0</v>
          </cell>
          <cell r="S1925">
            <v>0</v>
          </cell>
          <cell r="T1925">
            <v>0</v>
          </cell>
          <cell r="U1925" t="e">
            <v>#N/A</v>
          </cell>
        </row>
        <row r="1926">
          <cell r="A1926">
            <v>1001920</v>
          </cell>
          <cell r="B1926" t="str">
            <v>Manga Full Tension 4/0 Curva</v>
          </cell>
          <cell r="D1926">
            <v>6003</v>
          </cell>
          <cell r="E1926">
            <v>1000</v>
          </cell>
          <cell r="F1926" t="str">
            <v>ZALM</v>
          </cell>
          <cell r="G1926" t="str">
            <v>UN</v>
          </cell>
          <cell r="H1926" t="str">
            <v>DOP</v>
          </cell>
          <cell r="I1926">
            <v>0</v>
          </cell>
          <cell r="J1926">
            <v>0</v>
          </cell>
          <cell r="K1926">
            <v>0</v>
          </cell>
          <cell r="L1926">
            <v>0</v>
          </cell>
          <cell r="M1926">
            <v>0</v>
          </cell>
          <cell r="N1926">
            <v>0</v>
          </cell>
          <cell r="O1926">
            <v>0</v>
          </cell>
          <cell r="P1926">
            <v>0</v>
          </cell>
          <cell r="Q1926">
            <v>0</v>
          </cell>
          <cell r="R1926">
            <v>0</v>
          </cell>
          <cell r="S1926">
            <v>0</v>
          </cell>
          <cell r="T1926">
            <v>0</v>
          </cell>
          <cell r="U1926" t="e">
            <v>#N/A</v>
          </cell>
        </row>
        <row r="1927">
          <cell r="A1927">
            <v>1001921</v>
          </cell>
          <cell r="B1927" t="str">
            <v>Manga Full Tension 500 MCM Al</v>
          </cell>
          <cell r="D1927">
            <v>6003</v>
          </cell>
          <cell r="E1927">
            <v>1000</v>
          </cell>
          <cell r="F1927" t="str">
            <v>ZALM</v>
          </cell>
          <cell r="G1927" t="str">
            <v>UN</v>
          </cell>
          <cell r="H1927" t="str">
            <v>DOP</v>
          </cell>
          <cell r="I1927">
            <v>228</v>
          </cell>
          <cell r="J1927">
            <v>28350</v>
          </cell>
          <cell r="K1927">
            <v>0</v>
          </cell>
          <cell r="L1927">
            <v>0</v>
          </cell>
          <cell r="M1927">
            <v>0</v>
          </cell>
          <cell r="N1927">
            <v>0</v>
          </cell>
          <cell r="O1927">
            <v>0</v>
          </cell>
          <cell r="P1927">
            <v>0</v>
          </cell>
          <cell r="Q1927">
            <v>0</v>
          </cell>
          <cell r="R1927">
            <v>0</v>
          </cell>
          <cell r="S1927">
            <v>228</v>
          </cell>
          <cell r="T1927">
            <v>28350</v>
          </cell>
          <cell r="U1927">
            <v>124.342105263158</v>
          </cell>
        </row>
        <row r="1928">
          <cell r="A1928">
            <v>1001922</v>
          </cell>
          <cell r="B1928" t="str">
            <v>Manga Full Tension 556-5 Al (Larga)</v>
          </cell>
          <cell r="D1928">
            <v>6003</v>
          </cell>
          <cell r="E1928">
            <v>1000</v>
          </cell>
          <cell r="F1928" t="str">
            <v>ZALM</v>
          </cell>
          <cell r="G1928" t="str">
            <v>UN</v>
          </cell>
          <cell r="H1928" t="str">
            <v>DOP</v>
          </cell>
          <cell r="I1928">
            <v>1283</v>
          </cell>
          <cell r="J1928">
            <v>272355.24</v>
          </cell>
          <cell r="K1928">
            <v>0</v>
          </cell>
          <cell r="L1928">
            <v>0</v>
          </cell>
          <cell r="M1928">
            <v>0</v>
          </cell>
          <cell r="N1928">
            <v>0</v>
          </cell>
          <cell r="O1928">
            <v>0</v>
          </cell>
          <cell r="P1928">
            <v>0</v>
          </cell>
          <cell r="Q1928">
            <v>0</v>
          </cell>
          <cell r="R1928">
            <v>0</v>
          </cell>
          <cell r="S1928">
            <v>1283</v>
          </cell>
          <cell r="T1928">
            <v>272355.24</v>
          </cell>
          <cell r="U1928">
            <v>212.28</v>
          </cell>
        </row>
        <row r="1929">
          <cell r="A1929">
            <v>1001923</v>
          </cell>
          <cell r="B1929" t="str">
            <v>Manga Full Tension 559-5 Al</v>
          </cell>
          <cell r="D1929">
            <v>6003</v>
          </cell>
          <cell r="E1929">
            <v>1000</v>
          </cell>
          <cell r="F1929" t="str">
            <v>ZALM</v>
          </cell>
          <cell r="G1929" t="str">
            <v>UN</v>
          </cell>
          <cell r="H1929" t="str">
            <v>DOP</v>
          </cell>
          <cell r="I1929">
            <v>0</v>
          </cell>
          <cell r="J1929">
            <v>0</v>
          </cell>
          <cell r="K1929">
            <v>0</v>
          </cell>
          <cell r="L1929">
            <v>0</v>
          </cell>
          <cell r="M1929">
            <v>0</v>
          </cell>
          <cell r="N1929">
            <v>0</v>
          </cell>
          <cell r="O1929">
            <v>0</v>
          </cell>
          <cell r="P1929">
            <v>0</v>
          </cell>
          <cell r="Q1929">
            <v>0</v>
          </cell>
          <cell r="R1929">
            <v>0</v>
          </cell>
          <cell r="S1929">
            <v>0</v>
          </cell>
          <cell r="T1929">
            <v>0</v>
          </cell>
          <cell r="U1929" t="e">
            <v>#N/A</v>
          </cell>
        </row>
        <row r="1930">
          <cell r="A1930">
            <v>1001924</v>
          </cell>
          <cell r="B1930" t="str">
            <v>Manga Plást P/ Aisl Term Medidor T/ Zoc</v>
          </cell>
          <cell r="D1930">
            <v>6003</v>
          </cell>
          <cell r="E1930">
            <v>1000</v>
          </cell>
          <cell r="F1930" t="str">
            <v>ZALM</v>
          </cell>
          <cell r="G1930" t="str">
            <v>UN</v>
          </cell>
          <cell r="H1930" t="str">
            <v>DOP</v>
          </cell>
          <cell r="I1930">
            <v>0</v>
          </cell>
          <cell r="J1930">
            <v>0</v>
          </cell>
          <cell r="K1930">
            <v>0</v>
          </cell>
          <cell r="L1930">
            <v>0</v>
          </cell>
          <cell r="M1930">
            <v>0</v>
          </cell>
          <cell r="N1930">
            <v>0</v>
          </cell>
          <cell r="O1930">
            <v>0</v>
          </cell>
          <cell r="P1930">
            <v>0</v>
          </cell>
          <cell r="Q1930">
            <v>0</v>
          </cell>
          <cell r="R1930">
            <v>0</v>
          </cell>
          <cell r="S1930">
            <v>0</v>
          </cell>
          <cell r="T1930">
            <v>0</v>
          </cell>
          <cell r="U1930" t="e">
            <v>#N/A</v>
          </cell>
        </row>
        <row r="1931">
          <cell r="A1931">
            <v>1001925</v>
          </cell>
          <cell r="B1931" t="str">
            <v>Manguito Compr 1/0 Cu</v>
          </cell>
          <cell r="D1931">
            <v>6003</v>
          </cell>
          <cell r="E1931">
            <v>1000</v>
          </cell>
          <cell r="F1931" t="str">
            <v>ZALM</v>
          </cell>
          <cell r="G1931" t="str">
            <v>UN</v>
          </cell>
          <cell r="H1931" t="str">
            <v>DOP</v>
          </cell>
          <cell r="I1931">
            <v>155</v>
          </cell>
          <cell r="J1931">
            <v>5425</v>
          </cell>
          <cell r="K1931">
            <v>0</v>
          </cell>
          <cell r="L1931">
            <v>0</v>
          </cell>
          <cell r="M1931">
            <v>0</v>
          </cell>
          <cell r="N1931">
            <v>0</v>
          </cell>
          <cell r="O1931">
            <v>0</v>
          </cell>
          <cell r="P1931">
            <v>0</v>
          </cell>
          <cell r="Q1931">
            <v>0</v>
          </cell>
          <cell r="R1931">
            <v>0</v>
          </cell>
          <cell r="S1931">
            <v>155</v>
          </cell>
          <cell r="T1931">
            <v>5425</v>
          </cell>
          <cell r="U1931">
            <v>35</v>
          </cell>
        </row>
        <row r="1932">
          <cell r="A1932">
            <v>1001926</v>
          </cell>
          <cell r="B1932" t="str">
            <v>Manguito Compr 1/2 Cu 556-5 Al</v>
          </cell>
          <cell r="D1932">
            <v>6003</v>
          </cell>
          <cell r="E1932">
            <v>1000</v>
          </cell>
          <cell r="F1932" t="str">
            <v>ZALM</v>
          </cell>
          <cell r="G1932" t="str">
            <v>UN</v>
          </cell>
          <cell r="H1932" t="str">
            <v>DOP</v>
          </cell>
          <cell r="I1932">
            <v>776</v>
          </cell>
          <cell r="J1932">
            <v>23280</v>
          </cell>
          <cell r="K1932">
            <v>0</v>
          </cell>
          <cell r="L1932">
            <v>0</v>
          </cell>
          <cell r="M1932">
            <v>0</v>
          </cell>
          <cell r="N1932">
            <v>0</v>
          </cell>
          <cell r="O1932">
            <v>0</v>
          </cell>
          <cell r="P1932">
            <v>0</v>
          </cell>
          <cell r="Q1932">
            <v>0</v>
          </cell>
          <cell r="R1932">
            <v>0</v>
          </cell>
          <cell r="S1932">
            <v>776</v>
          </cell>
          <cell r="T1932">
            <v>23280</v>
          </cell>
          <cell r="U1932">
            <v>30</v>
          </cell>
        </row>
        <row r="1933">
          <cell r="A1933">
            <v>1001927</v>
          </cell>
          <cell r="B1933" t="str">
            <v>Manguito Compr 2 Cu</v>
          </cell>
          <cell r="D1933">
            <v>6003</v>
          </cell>
          <cell r="E1933">
            <v>1000</v>
          </cell>
          <cell r="F1933" t="str">
            <v>ZALM</v>
          </cell>
          <cell r="G1933" t="str">
            <v>UN</v>
          </cell>
          <cell r="H1933" t="str">
            <v>DOP</v>
          </cell>
          <cell r="I1933">
            <v>73</v>
          </cell>
          <cell r="J1933">
            <v>1898</v>
          </cell>
          <cell r="K1933">
            <v>0</v>
          </cell>
          <cell r="L1933">
            <v>0</v>
          </cell>
          <cell r="M1933">
            <v>0</v>
          </cell>
          <cell r="N1933">
            <v>0</v>
          </cell>
          <cell r="O1933">
            <v>0</v>
          </cell>
          <cell r="P1933">
            <v>0</v>
          </cell>
          <cell r="Q1933">
            <v>0</v>
          </cell>
          <cell r="R1933">
            <v>0</v>
          </cell>
          <cell r="S1933">
            <v>73</v>
          </cell>
          <cell r="T1933">
            <v>1898</v>
          </cell>
          <cell r="U1933">
            <v>26</v>
          </cell>
        </row>
        <row r="1934">
          <cell r="A1934">
            <v>1001928</v>
          </cell>
          <cell r="B1934" t="str">
            <v>Manguito Compr 2/0-Al-Alloy Anahem Cu-Al</v>
          </cell>
          <cell r="D1934">
            <v>6003</v>
          </cell>
          <cell r="E1934">
            <v>1000</v>
          </cell>
          <cell r="F1934" t="str">
            <v>ZALM</v>
          </cell>
          <cell r="G1934" t="str">
            <v>UN</v>
          </cell>
          <cell r="H1934" t="str">
            <v>DOP</v>
          </cell>
          <cell r="I1934">
            <v>69</v>
          </cell>
          <cell r="J1934">
            <v>20577.18</v>
          </cell>
          <cell r="K1934">
            <v>0</v>
          </cell>
          <cell r="L1934">
            <v>0</v>
          </cell>
          <cell r="M1934">
            <v>0</v>
          </cell>
          <cell r="N1934">
            <v>0</v>
          </cell>
          <cell r="O1934">
            <v>0</v>
          </cell>
          <cell r="P1934">
            <v>0</v>
          </cell>
          <cell r="Q1934">
            <v>0</v>
          </cell>
          <cell r="R1934">
            <v>0</v>
          </cell>
          <cell r="S1934">
            <v>69</v>
          </cell>
          <cell r="T1934">
            <v>20577.18</v>
          </cell>
          <cell r="U1934">
            <v>298.22000000000003</v>
          </cell>
        </row>
        <row r="1935">
          <cell r="A1935">
            <v>1001929</v>
          </cell>
          <cell r="B1935" t="str">
            <v>Manguito Compr 4/0 ACSR 6 Al</v>
          </cell>
          <cell r="D1935">
            <v>6003</v>
          </cell>
          <cell r="E1935">
            <v>1000</v>
          </cell>
          <cell r="F1935" t="str">
            <v>ZALM</v>
          </cell>
          <cell r="G1935" t="str">
            <v>UN</v>
          </cell>
          <cell r="H1935" t="str">
            <v>DOP</v>
          </cell>
          <cell r="I1935">
            <v>0</v>
          </cell>
          <cell r="J1935">
            <v>0</v>
          </cell>
          <cell r="K1935">
            <v>0</v>
          </cell>
          <cell r="L1935">
            <v>0</v>
          </cell>
          <cell r="M1935">
            <v>0</v>
          </cell>
          <cell r="N1935">
            <v>0</v>
          </cell>
          <cell r="O1935">
            <v>0</v>
          </cell>
          <cell r="P1935">
            <v>0</v>
          </cell>
          <cell r="Q1935">
            <v>0</v>
          </cell>
          <cell r="R1935">
            <v>0</v>
          </cell>
          <cell r="S1935">
            <v>0</v>
          </cell>
          <cell r="T1935">
            <v>0</v>
          </cell>
          <cell r="U1935" t="e">
            <v>#N/A</v>
          </cell>
        </row>
        <row r="1936">
          <cell r="A1936">
            <v>1001930</v>
          </cell>
          <cell r="B1936" t="str">
            <v>Manguito Compr 4/0 ACSR 6-1 4/0 AAAC</v>
          </cell>
          <cell r="D1936">
            <v>6003</v>
          </cell>
          <cell r="E1936">
            <v>1000</v>
          </cell>
          <cell r="F1936" t="str">
            <v>ZALM</v>
          </cell>
          <cell r="G1936" t="str">
            <v>UN</v>
          </cell>
          <cell r="H1936" t="str">
            <v>DOP</v>
          </cell>
          <cell r="I1936">
            <v>0</v>
          </cell>
          <cell r="J1936">
            <v>0</v>
          </cell>
          <cell r="K1936">
            <v>0</v>
          </cell>
          <cell r="L1936">
            <v>0</v>
          </cell>
          <cell r="M1936">
            <v>0</v>
          </cell>
          <cell r="N1936">
            <v>0</v>
          </cell>
          <cell r="O1936">
            <v>0</v>
          </cell>
          <cell r="P1936">
            <v>0</v>
          </cell>
          <cell r="Q1936">
            <v>0</v>
          </cell>
          <cell r="R1936">
            <v>0</v>
          </cell>
          <cell r="S1936">
            <v>0</v>
          </cell>
          <cell r="T1936">
            <v>0</v>
          </cell>
          <cell r="U1936" t="e">
            <v>#N/A</v>
          </cell>
        </row>
        <row r="1937">
          <cell r="A1937">
            <v>1001931</v>
          </cell>
          <cell r="B1937" t="str">
            <v>Manguito Compr 4/0-Al-Alloy Alliance</v>
          </cell>
          <cell r="D1937">
            <v>6003</v>
          </cell>
          <cell r="E1937">
            <v>1000</v>
          </cell>
          <cell r="F1937" t="str">
            <v>ZALM</v>
          </cell>
          <cell r="G1937" t="str">
            <v>UN</v>
          </cell>
          <cell r="H1937" t="str">
            <v>DOP</v>
          </cell>
          <cell r="I1937">
            <v>0</v>
          </cell>
          <cell r="J1937">
            <v>0</v>
          </cell>
          <cell r="K1937">
            <v>0</v>
          </cell>
          <cell r="L1937">
            <v>0</v>
          </cell>
          <cell r="M1937">
            <v>0</v>
          </cell>
          <cell r="N1937">
            <v>0</v>
          </cell>
          <cell r="O1937">
            <v>0</v>
          </cell>
          <cell r="P1937">
            <v>0</v>
          </cell>
          <cell r="Q1937">
            <v>0</v>
          </cell>
          <cell r="R1937">
            <v>0</v>
          </cell>
          <cell r="S1937">
            <v>0</v>
          </cell>
          <cell r="T1937">
            <v>0</v>
          </cell>
          <cell r="U1937" t="e">
            <v>#N/A</v>
          </cell>
        </row>
        <row r="1938">
          <cell r="A1938">
            <v>1001932</v>
          </cell>
          <cell r="B1938" t="str">
            <v>Manguito Compr 465.4-Al-Alloy Cairo</v>
          </cell>
          <cell r="D1938">
            <v>6003</v>
          </cell>
          <cell r="E1938">
            <v>1000</v>
          </cell>
          <cell r="F1938" t="str">
            <v>ZALM</v>
          </cell>
          <cell r="G1938" t="str">
            <v>UN</v>
          </cell>
          <cell r="H1938" t="str">
            <v>DOP</v>
          </cell>
          <cell r="I1938">
            <v>0</v>
          </cell>
          <cell r="J1938">
            <v>0</v>
          </cell>
          <cell r="K1938">
            <v>0</v>
          </cell>
          <cell r="L1938">
            <v>0</v>
          </cell>
          <cell r="M1938">
            <v>0</v>
          </cell>
          <cell r="N1938">
            <v>0</v>
          </cell>
          <cell r="O1938">
            <v>0</v>
          </cell>
          <cell r="P1938">
            <v>0</v>
          </cell>
          <cell r="Q1938">
            <v>0</v>
          </cell>
          <cell r="R1938">
            <v>0</v>
          </cell>
          <cell r="S1938">
            <v>0</v>
          </cell>
          <cell r="T1938">
            <v>0</v>
          </cell>
          <cell r="U1938" t="e">
            <v>#N/A</v>
          </cell>
        </row>
        <row r="1939">
          <cell r="A1939">
            <v>1001933</v>
          </cell>
          <cell r="B1939" t="str">
            <v>Manguito Compr Aisl P/Cable 2/0-2/0 Al</v>
          </cell>
          <cell r="D1939">
            <v>6003</v>
          </cell>
          <cell r="E1939">
            <v>1000</v>
          </cell>
          <cell r="F1939" t="str">
            <v>ZALM</v>
          </cell>
          <cell r="G1939" t="str">
            <v>UN</v>
          </cell>
          <cell r="H1939" t="str">
            <v>DOP</v>
          </cell>
          <cell r="I1939">
            <v>40</v>
          </cell>
          <cell r="J1939">
            <v>5158.45</v>
          </cell>
          <cell r="K1939">
            <v>0</v>
          </cell>
          <cell r="L1939">
            <v>0</v>
          </cell>
          <cell r="M1939">
            <v>80</v>
          </cell>
          <cell r="N1939">
            <v>10316.9</v>
          </cell>
          <cell r="O1939">
            <v>0</v>
          </cell>
          <cell r="P1939">
            <v>0</v>
          </cell>
          <cell r="Q1939">
            <v>0</v>
          </cell>
          <cell r="R1939">
            <v>0</v>
          </cell>
          <cell r="S1939">
            <v>120</v>
          </cell>
          <cell r="T1939">
            <v>15475.35</v>
          </cell>
          <cell r="U1939">
            <v>128.96125000000001</v>
          </cell>
        </row>
        <row r="1940">
          <cell r="A1940">
            <v>1001934</v>
          </cell>
          <cell r="B1940" t="str">
            <v>Manguito Compr Cobre Aisl P/ 1/0 1/0 Al</v>
          </cell>
          <cell r="D1940">
            <v>6003</v>
          </cell>
          <cell r="E1940">
            <v>1000</v>
          </cell>
          <cell r="F1940" t="str">
            <v>ZALM</v>
          </cell>
          <cell r="G1940" t="str">
            <v>UN</v>
          </cell>
          <cell r="H1940" t="str">
            <v>DOP</v>
          </cell>
          <cell r="I1940">
            <v>698</v>
          </cell>
          <cell r="J1940">
            <v>21638</v>
          </cell>
          <cell r="K1940">
            <v>0</v>
          </cell>
          <cell r="L1940">
            <v>0</v>
          </cell>
          <cell r="M1940">
            <v>0</v>
          </cell>
          <cell r="N1940">
            <v>0</v>
          </cell>
          <cell r="O1940">
            <v>0</v>
          </cell>
          <cell r="P1940">
            <v>0</v>
          </cell>
          <cell r="Q1940">
            <v>0</v>
          </cell>
          <cell r="R1940">
            <v>0</v>
          </cell>
          <cell r="S1940">
            <v>698</v>
          </cell>
          <cell r="T1940">
            <v>21638</v>
          </cell>
          <cell r="U1940">
            <v>31</v>
          </cell>
        </row>
        <row r="1941">
          <cell r="A1941">
            <v>1001935</v>
          </cell>
          <cell r="B1941" t="str">
            <v>Manguito Compr Cu #2</v>
          </cell>
          <cell r="D1941">
            <v>6003</v>
          </cell>
          <cell r="E1941">
            <v>1000</v>
          </cell>
          <cell r="F1941" t="str">
            <v>ZALM</v>
          </cell>
          <cell r="G1941" t="str">
            <v>UN</v>
          </cell>
          <cell r="H1941" t="str">
            <v>DOP</v>
          </cell>
          <cell r="I1941">
            <v>0</v>
          </cell>
          <cell r="J1941">
            <v>0</v>
          </cell>
          <cell r="K1941">
            <v>0</v>
          </cell>
          <cell r="L1941">
            <v>0</v>
          </cell>
          <cell r="M1941">
            <v>0</v>
          </cell>
          <cell r="N1941">
            <v>0</v>
          </cell>
          <cell r="O1941">
            <v>0</v>
          </cell>
          <cell r="P1941">
            <v>0</v>
          </cell>
          <cell r="Q1941">
            <v>0</v>
          </cell>
          <cell r="R1941">
            <v>0</v>
          </cell>
          <cell r="S1941">
            <v>0</v>
          </cell>
          <cell r="T1941">
            <v>0</v>
          </cell>
          <cell r="U1941" t="e">
            <v>#N/A</v>
          </cell>
        </row>
        <row r="1942">
          <cell r="A1942">
            <v>1001936</v>
          </cell>
          <cell r="B1942" t="str">
            <v>Manguito Compr Cu-Al  P/ URD #2/0</v>
          </cell>
          <cell r="D1942">
            <v>6003</v>
          </cell>
          <cell r="E1942">
            <v>1000</v>
          </cell>
          <cell r="F1942" t="str">
            <v>ZALM</v>
          </cell>
          <cell r="G1942" t="str">
            <v>UN</v>
          </cell>
          <cell r="H1942" t="str">
            <v>DOP</v>
          </cell>
          <cell r="I1942">
            <v>0</v>
          </cell>
          <cell r="J1942">
            <v>0</v>
          </cell>
          <cell r="K1942">
            <v>0</v>
          </cell>
          <cell r="L1942">
            <v>0</v>
          </cell>
          <cell r="M1942">
            <v>0</v>
          </cell>
          <cell r="N1942">
            <v>0</v>
          </cell>
          <cell r="O1942">
            <v>0</v>
          </cell>
          <cell r="P1942">
            <v>0</v>
          </cell>
          <cell r="Q1942">
            <v>0</v>
          </cell>
          <cell r="R1942">
            <v>0</v>
          </cell>
          <cell r="S1942">
            <v>0</v>
          </cell>
          <cell r="T1942">
            <v>0</v>
          </cell>
          <cell r="U1942" t="e">
            <v>#N/A</v>
          </cell>
        </row>
        <row r="1943">
          <cell r="A1943">
            <v>1001937</v>
          </cell>
          <cell r="B1943" t="str">
            <v>Manguito Compr Cu-Al 1 1/4" P/ URD #2</v>
          </cell>
          <cell r="D1943">
            <v>6003</v>
          </cell>
          <cell r="E1943">
            <v>1000</v>
          </cell>
          <cell r="F1943" t="str">
            <v>ZALM</v>
          </cell>
          <cell r="G1943" t="str">
            <v>UN</v>
          </cell>
          <cell r="H1943" t="str">
            <v>DOP</v>
          </cell>
          <cell r="I1943">
            <v>73</v>
          </cell>
          <cell r="J1943">
            <v>3598.17</v>
          </cell>
          <cell r="K1943">
            <v>0</v>
          </cell>
          <cell r="L1943">
            <v>0</v>
          </cell>
          <cell r="M1943">
            <v>0</v>
          </cell>
          <cell r="N1943">
            <v>0</v>
          </cell>
          <cell r="O1943">
            <v>0</v>
          </cell>
          <cell r="P1943">
            <v>0</v>
          </cell>
          <cell r="Q1943">
            <v>0</v>
          </cell>
          <cell r="R1943">
            <v>0</v>
          </cell>
          <cell r="S1943">
            <v>73</v>
          </cell>
          <cell r="T1943">
            <v>3598.17</v>
          </cell>
          <cell r="U1943">
            <v>49.29</v>
          </cell>
        </row>
        <row r="1944">
          <cell r="A1944">
            <v>1001938</v>
          </cell>
          <cell r="B1944" t="str">
            <v>Manguito Compr Cu-Al P/ URD #4/0</v>
          </cell>
          <cell r="D1944">
            <v>6003</v>
          </cell>
          <cell r="E1944">
            <v>1000</v>
          </cell>
          <cell r="F1944" t="str">
            <v>ZALM</v>
          </cell>
          <cell r="G1944" t="str">
            <v>UN</v>
          </cell>
          <cell r="H1944" t="str">
            <v>DOP</v>
          </cell>
          <cell r="I1944">
            <v>69</v>
          </cell>
          <cell r="J1944">
            <v>5434.72</v>
          </cell>
          <cell r="K1944">
            <v>0</v>
          </cell>
          <cell r="L1944">
            <v>0</v>
          </cell>
          <cell r="M1944">
            <v>0</v>
          </cell>
          <cell r="N1944">
            <v>0</v>
          </cell>
          <cell r="O1944">
            <v>0</v>
          </cell>
          <cell r="P1944">
            <v>0</v>
          </cell>
          <cell r="Q1944">
            <v>0</v>
          </cell>
          <cell r="R1944">
            <v>0</v>
          </cell>
          <cell r="S1944">
            <v>69</v>
          </cell>
          <cell r="T1944">
            <v>5434.72</v>
          </cell>
          <cell r="U1944">
            <v>78.764057971014495</v>
          </cell>
        </row>
        <row r="1945">
          <cell r="A1945">
            <v>1001939</v>
          </cell>
          <cell r="B1945" t="str">
            <v>Manguito Compr P/ Cond 1/0 Al-Cu 53mm</v>
          </cell>
          <cell r="D1945">
            <v>6003</v>
          </cell>
          <cell r="E1945">
            <v>1000</v>
          </cell>
          <cell r="F1945" t="str">
            <v>ZALM</v>
          </cell>
          <cell r="G1945" t="str">
            <v>UN</v>
          </cell>
          <cell r="H1945" t="str">
            <v>DOP</v>
          </cell>
          <cell r="I1945">
            <v>104</v>
          </cell>
          <cell r="J1945">
            <v>113520.93</v>
          </cell>
          <cell r="K1945">
            <v>0</v>
          </cell>
          <cell r="L1945">
            <v>0</v>
          </cell>
          <cell r="M1945">
            <v>0</v>
          </cell>
          <cell r="N1945">
            <v>0</v>
          </cell>
          <cell r="O1945">
            <v>0</v>
          </cell>
          <cell r="P1945">
            <v>0</v>
          </cell>
          <cell r="Q1945">
            <v>0</v>
          </cell>
          <cell r="R1945">
            <v>0</v>
          </cell>
          <cell r="S1945">
            <v>104</v>
          </cell>
          <cell r="T1945">
            <v>113520.93</v>
          </cell>
          <cell r="U1945">
            <v>1091.54740384615</v>
          </cell>
        </row>
        <row r="1946">
          <cell r="A1946">
            <v>1001940</v>
          </cell>
          <cell r="B1946" t="str">
            <v>Manguito Compr P/ Cond 4/0 Al 100mm</v>
          </cell>
          <cell r="D1946">
            <v>6003</v>
          </cell>
          <cell r="E1946">
            <v>1000</v>
          </cell>
          <cell r="F1946" t="str">
            <v>ZALM</v>
          </cell>
          <cell r="G1946" t="str">
            <v>UN</v>
          </cell>
          <cell r="H1946" t="str">
            <v>DOP</v>
          </cell>
          <cell r="I1946">
            <v>164</v>
          </cell>
          <cell r="J1946">
            <v>13301.37</v>
          </cell>
          <cell r="K1946">
            <v>0</v>
          </cell>
          <cell r="L1946">
            <v>0</v>
          </cell>
          <cell r="M1946">
            <v>0</v>
          </cell>
          <cell r="N1946">
            <v>0</v>
          </cell>
          <cell r="O1946">
            <v>0</v>
          </cell>
          <cell r="P1946">
            <v>0</v>
          </cell>
          <cell r="Q1946">
            <v>10</v>
          </cell>
          <cell r="R1946">
            <v>811.06</v>
          </cell>
          <cell r="S1946">
            <v>174</v>
          </cell>
          <cell r="T1946">
            <v>14112.43</v>
          </cell>
          <cell r="U1946">
            <v>81.105919540229905</v>
          </cell>
        </row>
        <row r="1947">
          <cell r="A1947">
            <v>1001941</v>
          </cell>
          <cell r="B1947" t="str">
            <v>Manguito Compr P/ Cond 4/0 Al-Cu 55mm</v>
          </cell>
          <cell r="D1947">
            <v>6003</v>
          </cell>
          <cell r="E1947">
            <v>1000</v>
          </cell>
          <cell r="F1947" t="str">
            <v>ZALM</v>
          </cell>
          <cell r="G1947" t="str">
            <v>UN</v>
          </cell>
          <cell r="H1947" t="str">
            <v>DOP</v>
          </cell>
          <cell r="I1947">
            <v>390</v>
          </cell>
          <cell r="J1947">
            <v>19500</v>
          </cell>
          <cell r="K1947">
            <v>0</v>
          </cell>
          <cell r="L1947">
            <v>0</v>
          </cell>
          <cell r="M1947">
            <v>0</v>
          </cell>
          <cell r="N1947">
            <v>0</v>
          </cell>
          <cell r="O1947">
            <v>0</v>
          </cell>
          <cell r="P1947">
            <v>0</v>
          </cell>
          <cell r="Q1947">
            <v>0</v>
          </cell>
          <cell r="R1947">
            <v>0</v>
          </cell>
          <cell r="S1947">
            <v>390</v>
          </cell>
          <cell r="T1947">
            <v>19500</v>
          </cell>
          <cell r="U1947">
            <v>50</v>
          </cell>
        </row>
        <row r="1948">
          <cell r="A1948">
            <v>1001942</v>
          </cell>
          <cell r="B1948" t="str">
            <v>Manguito Preaislado P/ Cable #8 AWG</v>
          </cell>
          <cell r="D1948">
            <v>6003</v>
          </cell>
          <cell r="E1948">
            <v>1000</v>
          </cell>
          <cell r="F1948" t="str">
            <v>ZALM</v>
          </cell>
          <cell r="G1948" t="str">
            <v>UN</v>
          </cell>
          <cell r="H1948" t="str">
            <v>DOP</v>
          </cell>
          <cell r="I1948">
            <v>18200</v>
          </cell>
          <cell r="J1948">
            <v>126490</v>
          </cell>
          <cell r="K1948">
            <v>0</v>
          </cell>
          <cell r="L1948">
            <v>0</v>
          </cell>
          <cell r="M1948">
            <v>0</v>
          </cell>
          <cell r="N1948">
            <v>0</v>
          </cell>
          <cell r="O1948">
            <v>0</v>
          </cell>
          <cell r="P1948">
            <v>0</v>
          </cell>
          <cell r="Q1948">
            <v>0</v>
          </cell>
          <cell r="R1948">
            <v>0</v>
          </cell>
          <cell r="S1948">
            <v>18200</v>
          </cell>
          <cell r="T1948">
            <v>126490</v>
          </cell>
          <cell r="U1948">
            <v>6.95</v>
          </cell>
        </row>
        <row r="1949">
          <cell r="A1949">
            <v>1001943</v>
          </cell>
          <cell r="B1949" t="str">
            <v>Ménsula Suspensión C/ Ojal Espirado DM</v>
          </cell>
          <cell r="D1949">
            <v>6003</v>
          </cell>
          <cell r="E1949">
            <v>1000</v>
          </cell>
          <cell r="F1949" t="str">
            <v>ZALM</v>
          </cell>
          <cell r="G1949" t="str">
            <v>UN</v>
          </cell>
          <cell r="H1949" t="str">
            <v>DOP</v>
          </cell>
          <cell r="I1949">
            <v>19016</v>
          </cell>
          <cell r="J1949">
            <v>476662.63</v>
          </cell>
          <cell r="K1949">
            <v>0</v>
          </cell>
          <cell r="L1949">
            <v>0</v>
          </cell>
          <cell r="M1949">
            <v>0</v>
          </cell>
          <cell r="N1949">
            <v>0</v>
          </cell>
          <cell r="O1949">
            <v>0</v>
          </cell>
          <cell r="P1949">
            <v>0</v>
          </cell>
          <cell r="Q1949">
            <v>0</v>
          </cell>
          <cell r="R1949">
            <v>0</v>
          </cell>
          <cell r="S1949">
            <v>19016</v>
          </cell>
          <cell r="T1949">
            <v>476662.63</v>
          </cell>
          <cell r="U1949">
            <v>25.066398296171599</v>
          </cell>
        </row>
        <row r="1950">
          <cell r="A1950">
            <v>1001944</v>
          </cell>
          <cell r="B1950" t="str">
            <v>Porta Zincho 0,7 x 20 x 50 MTS ZU 720</v>
          </cell>
          <cell r="D1950">
            <v>6003</v>
          </cell>
          <cell r="E1950">
            <v>1000</v>
          </cell>
          <cell r="F1950" t="str">
            <v>ZALM</v>
          </cell>
          <cell r="G1950" t="str">
            <v>UN</v>
          </cell>
          <cell r="H1950" t="str">
            <v>DOP</v>
          </cell>
          <cell r="I1950">
            <v>0</v>
          </cell>
          <cell r="J1950">
            <v>0</v>
          </cell>
          <cell r="K1950">
            <v>0</v>
          </cell>
          <cell r="L1950">
            <v>0</v>
          </cell>
          <cell r="M1950">
            <v>0</v>
          </cell>
          <cell r="N1950">
            <v>0</v>
          </cell>
          <cell r="O1950">
            <v>0</v>
          </cell>
          <cell r="P1950">
            <v>0</v>
          </cell>
          <cell r="Q1950">
            <v>0</v>
          </cell>
          <cell r="R1950">
            <v>0</v>
          </cell>
          <cell r="S1950">
            <v>0</v>
          </cell>
          <cell r="T1950">
            <v>0</v>
          </cell>
          <cell r="U1950" t="e">
            <v>#N/A</v>
          </cell>
        </row>
        <row r="1951">
          <cell r="A1951">
            <v>1001945</v>
          </cell>
          <cell r="B1951" t="str">
            <v>Reducción 1 1/4"-1" P/ Conect Prueb Agua</v>
          </cell>
          <cell r="D1951">
            <v>6003</v>
          </cell>
          <cell r="E1951">
            <v>1000</v>
          </cell>
          <cell r="F1951" t="str">
            <v>ZALM</v>
          </cell>
          <cell r="G1951" t="str">
            <v>UN</v>
          </cell>
          <cell r="H1951" t="str">
            <v>DOP</v>
          </cell>
          <cell r="I1951">
            <v>8121</v>
          </cell>
          <cell r="J1951">
            <v>143733.24</v>
          </cell>
          <cell r="K1951">
            <v>0</v>
          </cell>
          <cell r="L1951">
            <v>0</v>
          </cell>
          <cell r="M1951">
            <v>0</v>
          </cell>
          <cell r="N1951">
            <v>0</v>
          </cell>
          <cell r="O1951">
            <v>0</v>
          </cell>
          <cell r="P1951">
            <v>0</v>
          </cell>
          <cell r="Q1951">
            <v>0</v>
          </cell>
          <cell r="R1951">
            <v>0</v>
          </cell>
          <cell r="S1951">
            <v>8121</v>
          </cell>
          <cell r="T1951">
            <v>143733.24</v>
          </cell>
          <cell r="U1951">
            <v>17.6989582563724</v>
          </cell>
        </row>
        <row r="1952">
          <cell r="A1952">
            <v>1001946</v>
          </cell>
          <cell r="B1952" t="str">
            <v>Reduccion Copa HG 1/2"x3/8"</v>
          </cell>
          <cell r="D1952">
            <v>6003</v>
          </cell>
          <cell r="E1952">
            <v>1000</v>
          </cell>
          <cell r="F1952" t="str">
            <v>ZALM</v>
          </cell>
          <cell r="G1952" t="str">
            <v>UN</v>
          </cell>
          <cell r="H1952" t="str">
            <v>DOP</v>
          </cell>
          <cell r="I1952">
            <v>0</v>
          </cell>
          <cell r="J1952">
            <v>0</v>
          </cell>
          <cell r="K1952">
            <v>0</v>
          </cell>
          <cell r="L1952">
            <v>0</v>
          </cell>
          <cell r="M1952">
            <v>0</v>
          </cell>
          <cell r="N1952">
            <v>0</v>
          </cell>
          <cell r="O1952">
            <v>0</v>
          </cell>
          <cell r="P1952">
            <v>0</v>
          </cell>
          <cell r="Q1952">
            <v>0</v>
          </cell>
          <cell r="R1952">
            <v>0</v>
          </cell>
          <cell r="S1952">
            <v>0</v>
          </cell>
          <cell r="T1952">
            <v>0</v>
          </cell>
          <cell r="U1952" t="e">
            <v>#N/A</v>
          </cell>
        </row>
        <row r="1953">
          <cell r="A1953">
            <v>1001947</v>
          </cell>
          <cell r="B1953" t="str">
            <v>Sujetador de Cable Separados de los Kit</v>
          </cell>
          <cell r="D1953">
            <v>6003</v>
          </cell>
          <cell r="E1953">
            <v>1000</v>
          </cell>
          <cell r="F1953" t="str">
            <v>ZALM</v>
          </cell>
          <cell r="G1953" t="str">
            <v>UN</v>
          </cell>
          <cell r="H1953" t="str">
            <v>DOP</v>
          </cell>
          <cell r="I1953">
            <v>0</v>
          </cell>
          <cell r="J1953">
            <v>0</v>
          </cell>
          <cell r="K1953">
            <v>0</v>
          </cell>
          <cell r="L1953">
            <v>0</v>
          </cell>
          <cell r="M1953">
            <v>0</v>
          </cell>
          <cell r="N1953">
            <v>0</v>
          </cell>
          <cell r="O1953">
            <v>0</v>
          </cell>
          <cell r="P1953">
            <v>0</v>
          </cell>
          <cell r="Q1953">
            <v>0</v>
          </cell>
          <cell r="R1953">
            <v>0</v>
          </cell>
          <cell r="S1953">
            <v>0</v>
          </cell>
          <cell r="T1953">
            <v>0</v>
          </cell>
          <cell r="U1953" t="e">
            <v>#N/A</v>
          </cell>
        </row>
        <row r="1954">
          <cell r="A1954">
            <v>1001948</v>
          </cell>
          <cell r="B1954" t="str">
            <v>Termin Abier T/ Tenedor 12-10 D-01-1103K</v>
          </cell>
          <cell r="D1954">
            <v>6003</v>
          </cell>
          <cell r="E1954">
            <v>1000</v>
          </cell>
          <cell r="F1954" t="str">
            <v>ZALM</v>
          </cell>
          <cell r="G1954" t="str">
            <v>UN</v>
          </cell>
          <cell r="H1954" t="str">
            <v>DOP</v>
          </cell>
          <cell r="I1954">
            <v>16255</v>
          </cell>
          <cell r="J1954">
            <v>30721.95</v>
          </cell>
          <cell r="K1954">
            <v>0</v>
          </cell>
          <cell r="L1954">
            <v>0</v>
          </cell>
          <cell r="M1954">
            <v>0</v>
          </cell>
          <cell r="N1954">
            <v>0</v>
          </cell>
          <cell r="O1954">
            <v>0</v>
          </cell>
          <cell r="P1954">
            <v>0</v>
          </cell>
          <cell r="Q1954">
            <v>0</v>
          </cell>
          <cell r="R1954">
            <v>0</v>
          </cell>
          <cell r="S1954">
            <v>16255</v>
          </cell>
          <cell r="T1954">
            <v>30721.95</v>
          </cell>
          <cell r="U1954">
            <v>1.89</v>
          </cell>
        </row>
        <row r="1955">
          <cell r="A1955">
            <v>1001949</v>
          </cell>
          <cell r="B1955" t="str">
            <v>Termin Comp Al 4/0 T/ Planch 2 Aguj Bim</v>
          </cell>
          <cell r="D1955">
            <v>6003</v>
          </cell>
          <cell r="E1955">
            <v>1000</v>
          </cell>
          <cell r="F1955" t="str">
            <v>ZALM</v>
          </cell>
          <cell r="G1955" t="str">
            <v>UN</v>
          </cell>
          <cell r="H1955" t="str">
            <v>DOP</v>
          </cell>
          <cell r="I1955">
            <v>0</v>
          </cell>
          <cell r="J1955">
            <v>0</v>
          </cell>
          <cell r="K1955">
            <v>0</v>
          </cell>
          <cell r="L1955">
            <v>0</v>
          </cell>
          <cell r="M1955">
            <v>0</v>
          </cell>
          <cell r="N1955">
            <v>0</v>
          </cell>
          <cell r="O1955">
            <v>0</v>
          </cell>
          <cell r="P1955">
            <v>0</v>
          </cell>
          <cell r="Q1955">
            <v>0</v>
          </cell>
          <cell r="R1955">
            <v>0</v>
          </cell>
          <cell r="S1955">
            <v>0</v>
          </cell>
          <cell r="T1955">
            <v>0</v>
          </cell>
          <cell r="U1955" t="e">
            <v>#N/A</v>
          </cell>
        </row>
        <row r="1956">
          <cell r="A1956">
            <v>1001950</v>
          </cell>
          <cell r="B1956" t="str">
            <v>Termin Ext 15kV P/Cabl Aisl 500-1000MCM</v>
          </cell>
          <cell r="D1956">
            <v>7201</v>
          </cell>
          <cell r="E1956">
            <v>1000</v>
          </cell>
          <cell r="F1956" t="str">
            <v>ZALM</v>
          </cell>
          <cell r="G1956" t="str">
            <v>UN</v>
          </cell>
          <cell r="H1956" t="str">
            <v>DOP</v>
          </cell>
          <cell r="I1956">
            <v>0</v>
          </cell>
          <cell r="J1956">
            <v>0</v>
          </cell>
          <cell r="K1956">
            <v>0</v>
          </cell>
          <cell r="L1956">
            <v>0</v>
          </cell>
          <cell r="M1956">
            <v>218</v>
          </cell>
          <cell r="N1956">
            <v>511210</v>
          </cell>
          <cell r="O1956">
            <v>0</v>
          </cell>
          <cell r="P1956">
            <v>0</v>
          </cell>
          <cell r="Q1956">
            <v>0</v>
          </cell>
          <cell r="R1956">
            <v>0</v>
          </cell>
          <cell r="S1956">
            <v>218</v>
          </cell>
          <cell r="T1956">
            <v>511210</v>
          </cell>
          <cell r="U1956">
            <v>2345</v>
          </cell>
        </row>
        <row r="1957">
          <cell r="A1957">
            <v>1001951</v>
          </cell>
          <cell r="B1957" t="str">
            <v>Termin Ext Porcel P/Cabl URD 4/0 1000MCM</v>
          </cell>
          <cell r="D1957">
            <v>6003</v>
          </cell>
          <cell r="E1957">
            <v>1000</v>
          </cell>
          <cell r="F1957" t="str">
            <v>ZALM</v>
          </cell>
          <cell r="G1957" t="str">
            <v>UN</v>
          </cell>
          <cell r="H1957" t="str">
            <v>DOP</v>
          </cell>
          <cell r="I1957">
            <v>0</v>
          </cell>
          <cell r="J1957">
            <v>0</v>
          </cell>
          <cell r="K1957">
            <v>0</v>
          </cell>
          <cell r="L1957">
            <v>0</v>
          </cell>
          <cell r="M1957">
            <v>0</v>
          </cell>
          <cell r="N1957">
            <v>0</v>
          </cell>
          <cell r="O1957">
            <v>0</v>
          </cell>
          <cell r="P1957">
            <v>0</v>
          </cell>
          <cell r="Q1957">
            <v>0</v>
          </cell>
          <cell r="R1957">
            <v>0</v>
          </cell>
          <cell r="S1957">
            <v>0</v>
          </cell>
          <cell r="T1957">
            <v>0</v>
          </cell>
          <cell r="U1957" t="e">
            <v>#N/A</v>
          </cell>
        </row>
        <row r="1958">
          <cell r="A1958">
            <v>1001952</v>
          </cell>
          <cell r="B1958" t="str">
            <v>Termin Int Goma 15kV Cond Aisl 1250-2000</v>
          </cell>
          <cell r="D1958">
            <v>6003</v>
          </cell>
          <cell r="E1958">
            <v>1000</v>
          </cell>
          <cell r="F1958" t="str">
            <v>ZALM</v>
          </cell>
          <cell r="G1958" t="str">
            <v>UN</v>
          </cell>
          <cell r="H1958" t="str">
            <v>DOP</v>
          </cell>
          <cell r="I1958">
            <v>0</v>
          </cell>
          <cell r="J1958">
            <v>0</v>
          </cell>
          <cell r="K1958">
            <v>0</v>
          </cell>
          <cell r="L1958">
            <v>0</v>
          </cell>
          <cell r="M1958">
            <v>248</v>
          </cell>
          <cell r="N1958">
            <v>581560</v>
          </cell>
          <cell r="O1958">
            <v>0</v>
          </cell>
          <cell r="P1958">
            <v>0</v>
          </cell>
          <cell r="Q1958">
            <v>0</v>
          </cell>
          <cell r="R1958">
            <v>0</v>
          </cell>
          <cell r="S1958">
            <v>248</v>
          </cell>
          <cell r="T1958">
            <v>581560</v>
          </cell>
          <cell r="U1958">
            <v>2345</v>
          </cell>
        </row>
        <row r="1959">
          <cell r="A1959">
            <v>1001953</v>
          </cell>
          <cell r="B1959" t="str">
            <v>Termin Int Goma 15kV Cond Aisl 500-100</v>
          </cell>
          <cell r="D1959">
            <v>6003</v>
          </cell>
          <cell r="E1959">
            <v>1000</v>
          </cell>
          <cell r="F1959" t="str">
            <v>ZALM</v>
          </cell>
          <cell r="G1959" t="str">
            <v>UN</v>
          </cell>
          <cell r="H1959" t="str">
            <v>DOP</v>
          </cell>
          <cell r="I1959">
            <v>0</v>
          </cell>
          <cell r="J1959">
            <v>0</v>
          </cell>
          <cell r="K1959">
            <v>0</v>
          </cell>
          <cell r="L1959">
            <v>0</v>
          </cell>
          <cell r="M1959">
            <v>0</v>
          </cell>
          <cell r="N1959">
            <v>0</v>
          </cell>
          <cell r="O1959">
            <v>0</v>
          </cell>
          <cell r="P1959">
            <v>0</v>
          </cell>
          <cell r="Q1959">
            <v>0</v>
          </cell>
          <cell r="R1959">
            <v>0</v>
          </cell>
          <cell r="S1959">
            <v>0</v>
          </cell>
          <cell r="T1959">
            <v>0</v>
          </cell>
          <cell r="U1959" t="e">
            <v>#N/A</v>
          </cell>
        </row>
        <row r="1960">
          <cell r="A1960">
            <v>1001954</v>
          </cell>
          <cell r="B1960" t="str">
            <v>Termin Ojo Cu Eyebolt 1/0-500 MCM P/Recl</v>
          </cell>
          <cell r="D1960">
            <v>6003</v>
          </cell>
          <cell r="E1960">
            <v>1000</v>
          </cell>
          <cell r="F1960" t="str">
            <v>ZALM</v>
          </cell>
          <cell r="G1960" t="str">
            <v>UN</v>
          </cell>
          <cell r="H1960" t="str">
            <v>DOP</v>
          </cell>
          <cell r="I1960">
            <v>0</v>
          </cell>
          <cell r="J1960">
            <v>0</v>
          </cell>
          <cell r="K1960">
            <v>0</v>
          </cell>
          <cell r="L1960">
            <v>0</v>
          </cell>
          <cell r="M1960">
            <v>0</v>
          </cell>
          <cell r="N1960">
            <v>0</v>
          </cell>
          <cell r="O1960">
            <v>0</v>
          </cell>
          <cell r="P1960">
            <v>0</v>
          </cell>
          <cell r="Q1960">
            <v>0</v>
          </cell>
          <cell r="R1960">
            <v>0</v>
          </cell>
          <cell r="S1960">
            <v>0</v>
          </cell>
          <cell r="T1960">
            <v>0</v>
          </cell>
          <cell r="U1960" t="e">
            <v>#N/A</v>
          </cell>
        </row>
        <row r="1961">
          <cell r="A1961">
            <v>1001955</v>
          </cell>
          <cell r="B1961" t="str">
            <v>Termin T/PIN Bimet 2 Aguj P/ Conect 4/0</v>
          </cell>
          <cell r="D1961">
            <v>6003</v>
          </cell>
          <cell r="E1961">
            <v>1000</v>
          </cell>
          <cell r="F1961" t="str">
            <v>ZALM</v>
          </cell>
          <cell r="G1961" t="str">
            <v>UN</v>
          </cell>
          <cell r="H1961" t="str">
            <v>DOP</v>
          </cell>
          <cell r="I1961">
            <v>0</v>
          </cell>
          <cell r="J1961">
            <v>0</v>
          </cell>
          <cell r="K1961">
            <v>0</v>
          </cell>
          <cell r="L1961">
            <v>0</v>
          </cell>
          <cell r="M1961">
            <v>0</v>
          </cell>
          <cell r="N1961">
            <v>0</v>
          </cell>
          <cell r="O1961">
            <v>0</v>
          </cell>
          <cell r="P1961">
            <v>0</v>
          </cell>
          <cell r="Q1961">
            <v>0</v>
          </cell>
          <cell r="R1961">
            <v>0</v>
          </cell>
          <cell r="S1961">
            <v>0</v>
          </cell>
          <cell r="T1961">
            <v>0</v>
          </cell>
          <cell r="U1961" t="e">
            <v>#N/A</v>
          </cell>
        </row>
        <row r="1962">
          <cell r="A1962">
            <v>1001956</v>
          </cell>
          <cell r="B1962" t="str">
            <v>Terminal 2 Aguj P/ 465 Secc P/AMPAC 900A</v>
          </cell>
          <cell r="D1962">
            <v>6003</v>
          </cell>
          <cell r="E1962">
            <v>1000</v>
          </cell>
          <cell r="F1962" t="str">
            <v>ZALM</v>
          </cell>
          <cell r="G1962" t="str">
            <v>UN</v>
          </cell>
          <cell r="H1962" t="str">
            <v>DOP</v>
          </cell>
          <cell r="I1962">
            <v>0</v>
          </cell>
          <cell r="J1962">
            <v>0</v>
          </cell>
          <cell r="K1962">
            <v>0</v>
          </cell>
          <cell r="L1962">
            <v>0</v>
          </cell>
          <cell r="M1962">
            <v>0</v>
          </cell>
          <cell r="N1962">
            <v>0</v>
          </cell>
          <cell r="O1962">
            <v>0</v>
          </cell>
          <cell r="P1962">
            <v>0</v>
          </cell>
          <cell r="Q1962">
            <v>0</v>
          </cell>
          <cell r="R1962">
            <v>0</v>
          </cell>
          <cell r="S1962">
            <v>0</v>
          </cell>
          <cell r="T1962">
            <v>0</v>
          </cell>
          <cell r="U1962" t="e">
            <v>#N/A</v>
          </cell>
        </row>
        <row r="1963">
          <cell r="A1963">
            <v>1001957</v>
          </cell>
          <cell r="B1963" t="str">
            <v>Terminal Atorn C/ Placa Fij P/ Recl 630A</v>
          </cell>
          <cell r="D1963">
            <v>6003</v>
          </cell>
          <cell r="E1963">
            <v>1000</v>
          </cell>
          <cell r="F1963" t="str">
            <v>ZALM</v>
          </cell>
          <cell r="G1963" t="str">
            <v>UN</v>
          </cell>
          <cell r="H1963" t="str">
            <v>DOP</v>
          </cell>
          <cell r="I1963">
            <v>0</v>
          </cell>
          <cell r="J1963">
            <v>0</v>
          </cell>
          <cell r="K1963">
            <v>0</v>
          </cell>
          <cell r="L1963">
            <v>0</v>
          </cell>
          <cell r="M1963">
            <v>0</v>
          </cell>
          <cell r="N1963">
            <v>0</v>
          </cell>
          <cell r="O1963">
            <v>0</v>
          </cell>
          <cell r="P1963">
            <v>0</v>
          </cell>
          <cell r="Q1963">
            <v>0</v>
          </cell>
          <cell r="R1963">
            <v>0</v>
          </cell>
          <cell r="S1963">
            <v>0</v>
          </cell>
          <cell r="T1963">
            <v>0</v>
          </cell>
          <cell r="U1963" t="e">
            <v>#N/A</v>
          </cell>
        </row>
        <row r="1964">
          <cell r="A1964">
            <v>1001958</v>
          </cell>
          <cell r="B1964" t="str">
            <v>Terminal Bim Compr P/ Cond Aisl 1000MCM</v>
          </cell>
          <cell r="D1964">
            <v>6003</v>
          </cell>
          <cell r="E1964">
            <v>1000</v>
          </cell>
          <cell r="F1964" t="str">
            <v>ZALM</v>
          </cell>
          <cell r="G1964" t="str">
            <v>UN</v>
          </cell>
          <cell r="H1964" t="str">
            <v>DOP</v>
          </cell>
          <cell r="I1964">
            <v>0</v>
          </cell>
          <cell r="J1964">
            <v>0</v>
          </cell>
          <cell r="K1964">
            <v>0</v>
          </cell>
          <cell r="L1964">
            <v>0</v>
          </cell>
          <cell r="M1964">
            <v>0</v>
          </cell>
          <cell r="N1964">
            <v>0</v>
          </cell>
          <cell r="O1964">
            <v>0</v>
          </cell>
          <cell r="P1964">
            <v>0</v>
          </cell>
          <cell r="Q1964">
            <v>0</v>
          </cell>
          <cell r="R1964">
            <v>0</v>
          </cell>
          <cell r="S1964">
            <v>0</v>
          </cell>
          <cell r="T1964">
            <v>0</v>
          </cell>
          <cell r="U1964" t="e">
            <v>#N/A</v>
          </cell>
        </row>
        <row r="1965">
          <cell r="A1965">
            <v>1001959</v>
          </cell>
          <cell r="B1965" t="str">
            <v>Terminal Bim Compr P/ Cond Aisl 4/0</v>
          </cell>
          <cell r="D1965">
            <v>6003</v>
          </cell>
          <cell r="E1965">
            <v>1000</v>
          </cell>
          <cell r="F1965" t="str">
            <v>ZALM</v>
          </cell>
          <cell r="G1965" t="str">
            <v>UN</v>
          </cell>
          <cell r="H1965" t="str">
            <v>DOP</v>
          </cell>
          <cell r="I1965">
            <v>2</v>
          </cell>
          <cell r="J1965">
            <v>238.96</v>
          </cell>
          <cell r="K1965">
            <v>0</v>
          </cell>
          <cell r="L1965">
            <v>0</v>
          </cell>
          <cell r="M1965">
            <v>0</v>
          </cell>
          <cell r="N1965">
            <v>0</v>
          </cell>
          <cell r="O1965">
            <v>0</v>
          </cell>
          <cell r="P1965">
            <v>0</v>
          </cell>
          <cell r="Q1965">
            <v>10</v>
          </cell>
          <cell r="R1965">
            <v>1194.8</v>
          </cell>
          <cell r="S1965">
            <v>12</v>
          </cell>
          <cell r="T1965">
            <v>1433.76</v>
          </cell>
          <cell r="U1965">
            <v>119.48</v>
          </cell>
        </row>
        <row r="1966">
          <cell r="A1966">
            <v>1001960</v>
          </cell>
          <cell r="B1966" t="str">
            <v>Terminal Bim P/ Cond Aisl 1000MCM Al-Cu</v>
          </cell>
          <cell r="D1966">
            <v>6003</v>
          </cell>
          <cell r="E1966">
            <v>1000</v>
          </cell>
          <cell r="F1966" t="str">
            <v>ZALM</v>
          </cell>
          <cell r="G1966" t="str">
            <v>UN</v>
          </cell>
          <cell r="H1966" t="str">
            <v>DOP</v>
          </cell>
          <cell r="I1966">
            <v>0</v>
          </cell>
          <cell r="J1966">
            <v>0</v>
          </cell>
          <cell r="K1966">
            <v>0</v>
          </cell>
          <cell r="L1966">
            <v>0</v>
          </cell>
          <cell r="M1966">
            <v>0</v>
          </cell>
          <cell r="N1966">
            <v>0</v>
          </cell>
          <cell r="O1966">
            <v>0</v>
          </cell>
          <cell r="P1966">
            <v>0</v>
          </cell>
          <cell r="Q1966">
            <v>0</v>
          </cell>
          <cell r="R1966">
            <v>0</v>
          </cell>
          <cell r="S1966">
            <v>0</v>
          </cell>
          <cell r="T1966">
            <v>0</v>
          </cell>
          <cell r="U1966" t="e">
            <v>#N/A</v>
          </cell>
        </row>
        <row r="1967">
          <cell r="A1967">
            <v>1001961</v>
          </cell>
          <cell r="B1967" t="str">
            <v>Terminal Bim P/ Cond Aisl 5000MCM 15kV</v>
          </cell>
          <cell r="D1967">
            <v>6003</v>
          </cell>
          <cell r="E1967">
            <v>1000</v>
          </cell>
          <cell r="F1967" t="str">
            <v>ZALM</v>
          </cell>
          <cell r="G1967" t="str">
            <v>UN</v>
          </cell>
          <cell r="H1967" t="str">
            <v>DOP</v>
          </cell>
          <cell r="I1967">
            <v>0</v>
          </cell>
          <cell r="J1967">
            <v>0</v>
          </cell>
          <cell r="K1967">
            <v>0</v>
          </cell>
          <cell r="L1967">
            <v>0</v>
          </cell>
          <cell r="M1967">
            <v>0</v>
          </cell>
          <cell r="N1967">
            <v>0</v>
          </cell>
          <cell r="O1967">
            <v>0</v>
          </cell>
          <cell r="P1967">
            <v>0</v>
          </cell>
          <cell r="Q1967">
            <v>0</v>
          </cell>
          <cell r="R1967">
            <v>0</v>
          </cell>
          <cell r="S1967">
            <v>0</v>
          </cell>
          <cell r="T1967">
            <v>0</v>
          </cell>
          <cell r="U1967" t="e">
            <v>#N/A</v>
          </cell>
        </row>
        <row r="1968">
          <cell r="A1968">
            <v>1001962</v>
          </cell>
          <cell r="B1968" t="str">
            <v>Terminal Bimet Compr Cu-Al 465.4 MCM</v>
          </cell>
          <cell r="D1968">
            <v>6003</v>
          </cell>
          <cell r="E1968">
            <v>1000</v>
          </cell>
          <cell r="F1968" t="str">
            <v>ZALM</v>
          </cell>
          <cell r="G1968" t="str">
            <v>UN</v>
          </cell>
          <cell r="H1968" t="str">
            <v>DOP</v>
          </cell>
          <cell r="I1968">
            <v>0</v>
          </cell>
          <cell r="J1968">
            <v>0</v>
          </cell>
          <cell r="K1968">
            <v>0</v>
          </cell>
          <cell r="L1968">
            <v>0</v>
          </cell>
          <cell r="M1968">
            <v>0</v>
          </cell>
          <cell r="N1968">
            <v>0</v>
          </cell>
          <cell r="O1968">
            <v>0</v>
          </cell>
          <cell r="P1968">
            <v>0</v>
          </cell>
          <cell r="Q1968">
            <v>0</v>
          </cell>
          <cell r="R1968">
            <v>0</v>
          </cell>
          <cell r="S1968">
            <v>0</v>
          </cell>
          <cell r="T1968">
            <v>0</v>
          </cell>
          <cell r="U1968" t="e">
            <v>#N/A</v>
          </cell>
        </row>
        <row r="1969">
          <cell r="A1969">
            <v>1001963</v>
          </cell>
          <cell r="B1969" t="str">
            <v>Terminal Bronce Cable Cat. TLS-89L</v>
          </cell>
          <cell r="D1969">
            <v>6003</v>
          </cell>
          <cell r="E1969">
            <v>1000</v>
          </cell>
          <cell r="F1969" t="str">
            <v>ZALM</v>
          </cell>
          <cell r="G1969" t="str">
            <v>UN</v>
          </cell>
          <cell r="H1969" t="str">
            <v>DOP</v>
          </cell>
          <cell r="I1969">
            <v>0</v>
          </cell>
          <cell r="J1969">
            <v>0</v>
          </cell>
          <cell r="K1969">
            <v>0</v>
          </cell>
          <cell r="L1969">
            <v>0</v>
          </cell>
          <cell r="M1969">
            <v>0</v>
          </cell>
          <cell r="N1969">
            <v>0</v>
          </cell>
          <cell r="O1969">
            <v>0</v>
          </cell>
          <cell r="P1969">
            <v>0</v>
          </cell>
          <cell r="Q1969">
            <v>0</v>
          </cell>
          <cell r="R1969">
            <v>0</v>
          </cell>
          <cell r="S1969">
            <v>0</v>
          </cell>
          <cell r="T1969">
            <v>0</v>
          </cell>
          <cell r="U1969" t="e">
            <v>#N/A</v>
          </cell>
        </row>
        <row r="1970">
          <cell r="A1970">
            <v>1001964</v>
          </cell>
          <cell r="B1970" t="str">
            <v>Terminal Bronze para cable cat. TLS-62L</v>
          </cell>
          <cell r="D1970">
            <v>6003</v>
          </cell>
          <cell r="E1970">
            <v>1000</v>
          </cell>
          <cell r="F1970" t="str">
            <v>ZALM</v>
          </cell>
          <cell r="G1970" t="str">
            <v>UN</v>
          </cell>
          <cell r="H1970" t="str">
            <v>DOP</v>
          </cell>
          <cell r="I1970">
            <v>0</v>
          </cell>
          <cell r="J1970">
            <v>0</v>
          </cell>
          <cell r="K1970">
            <v>0</v>
          </cell>
          <cell r="L1970">
            <v>0</v>
          </cell>
          <cell r="M1970">
            <v>0</v>
          </cell>
          <cell r="N1970">
            <v>0</v>
          </cell>
          <cell r="O1970">
            <v>0</v>
          </cell>
          <cell r="P1970">
            <v>0</v>
          </cell>
          <cell r="Q1970">
            <v>0</v>
          </cell>
          <cell r="R1970">
            <v>0</v>
          </cell>
          <cell r="S1970">
            <v>0</v>
          </cell>
          <cell r="T1970">
            <v>0</v>
          </cell>
          <cell r="U1970" t="e">
            <v>#N/A</v>
          </cell>
        </row>
        <row r="1971">
          <cell r="A1971">
            <v>1001965</v>
          </cell>
          <cell r="B1971" t="str">
            <v>Terminal Compr 4 Aguj 465 Al-19</v>
          </cell>
          <cell r="D1971">
            <v>6003</v>
          </cell>
          <cell r="E1971">
            <v>1000</v>
          </cell>
          <cell r="F1971" t="str">
            <v>ZALM</v>
          </cell>
          <cell r="G1971" t="str">
            <v>UN</v>
          </cell>
          <cell r="H1971" t="str">
            <v>DOP</v>
          </cell>
          <cell r="I1971">
            <v>0</v>
          </cell>
          <cell r="J1971">
            <v>0</v>
          </cell>
          <cell r="K1971">
            <v>0</v>
          </cell>
          <cell r="L1971">
            <v>0</v>
          </cell>
          <cell r="M1971">
            <v>0</v>
          </cell>
          <cell r="N1971">
            <v>0</v>
          </cell>
          <cell r="O1971">
            <v>0</v>
          </cell>
          <cell r="P1971">
            <v>0</v>
          </cell>
          <cell r="Q1971">
            <v>0</v>
          </cell>
          <cell r="R1971">
            <v>0</v>
          </cell>
          <cell r="S1971">
            <v>0</v>
          </cell>
          <cell r="T1971">
            <v>0</v>
          </cell>
          <cell r="U1971" t="e">
            <v>#N/A</v>
          </cell>
        </row>
        <row r="1972">
          <cell r="A1972">
            <v>1001966</v>
          </cell>
          <cell r="B1972" t="str">
            <v>Terminal Compr 4 Aguj 477 Al-19</v>
          </cell>
          <cell r="D1972">
            <v>6003</v>
          </cell>
          <cell r="E1972">
            <v>1000</v>
          </cell>
          <cell r="F1972" t="str">
            <v>ZALM</v>
          </cell>
          <cell r="G1972" t="str">
            <v>UN</v>
          </cell>
          <cell r="H1972" t="str">
            <v>DOP</v>
          </cell>
          <cell r="I1972">
            <v>0</v>
          </cell>
          <cell r="J1972">
            <v>0</v>
          </cell>
          <cell r="K1972">
            <v>0</v>
          </cell>
          <cell r="L1972">
            <v>0</v>
          </cell>
          <cell r="M1972">
            <v>0</v>
          </cell>
          <cell r="N1972">
            <v>0</v>
          </cell>
          <cell r="O1972">
            <v>0</v>
          </cell>
          <cell r="P1972">
            <v>0</v>
          </cell>
          <cell r="Q1972">
            <v>0</v>
          </cell>
          <cell r="R1972">
            <v>0</v>
          </cell>
          <cell r="S1972">
            <v>0</v>
          </cell>
          <cell r="T1972">
            <v>0</v>
          </cell>
          <cell r="U1972" t="e">
            <v>#N/A</v>
          </cell>
        </row>
        <row r="1973">
          <cell r="A1973">
            <v>1001967</v>
          </cell>
          <cell r="B1973" t="str">
            <v>Terminal Compr Al 2 Aguj Al-Cu 1250 MCM</v>
          </cell>
          <cell r="D1973">
            <v>6003</v>
          </cell>
          <cell r="E1973">
            <v>1000</v>
          </cell>
          <cell r="F1973" t="str">
            <v>ZALM</v>
          </cell>
          <cell r="G1973" t="str">
            <v>UN</v>
          </cell>
          <cell r="H1973" t="str">
            <v>DOP</v>
          </cell>
          <cell r="I1973">
            <v>173</v>
          </cell>
          <cell r="J1973">
            <v>171389.37</v>
          </cell>
          <cell r="K1973">
            <v>0</v>
          </cell>
          <cell r="L1973">
            <v>0</v>
          </cell>
          <cell r="M1973">
            <v>0</v>
          </cell>
          <cell r="N1973">
            <v>0</v>
          </cell>
          <cell r="O1973">
            <v>0</v>
          </cell>
          <cell r="P1973">
            <v>0</v>
          </cell>
          <cell r="Q1973">
            <v>0</v>
          </cell>
          <cell r="R1973">
            <v>0</v>
          </cell>
          <cell r="S1973">
            <v>173</v>
          </cell>
          <cell r="T1973">
            <v>171389.37</v>
          </cell>
          <cell r="U1973">
            <v>990.69</v>
          </cell>
        </row>
        <row r="1974">
          <cell r="A1974">
            <v>1001968</v>
          </cell>
          <cell r="B1974" t="str">
            <v>Terminal Compr Al 2/0 NEMA1 Ojo Bimet</v>
          </cell>
          <cell r="D1974">
            <v>6003</v>
          </cell>
          <cell r="E1974">
            <v>1000</v>
          </cell>
          <cell r="F1974" t="str">
            <v>ZALM</v>
          </cell>
          <cell r="G1974" t="str">
            <v>UN</v>
          </cell>
          <cell r="H1974" t="str">
            <v>DOP</v>
          </cell>
          <cell r="I1974">
            <v>1</v>
          </cell>
          <cell r="J1974">
            <v>105.07</v>
          </cell>
          <cell r="K1974">
            <v>0</v>
          </cell>
          <cell r="L1974">
            <v>0</v>
          </cell>
          <cell r="M1974">
            <v>0</v>
          </cell>
          <cell r="N1974">
            <v>0</v>
          </cell>
          <cell r="O1974">
            <v>0</v>
          </cell>
          <cell r="P1974">
            <v>0</v>
          </cell>
          <cell r="Q1974">
            <v>0</v>
          </cell>
          <cell r="R1974">
            <v>0</v>
          </cell>
          <cell r="S1974">
            <v>1</v>
          </cell>
          <cell r="T1974">
            <v>105.07</v>
          </cell>
          <cell r="U1974">
            <v>105.07</v>
          </cell>
        </row>
        <row r="1975">
          <cell r="A1975">
            <v>1001969</v>
          </cell>
          <cell r="B1975" t="str">
            <v>Terminal Compr Al 4 Aguj AI-Cu 500 MCM</v>
          </cell>
          <cell r="D1975">
            <v>6003</v>
          </cell>
          <cell r="E1975">
            <v>1000</v>
          </cell>
          <cell r="F1975" t="str">
            <v>ZALM</v>
          </cell>
          <cell r="G1975" t="str">
            <v>UN</v>
          </cell>
          <cell r="H1975" t="str">
            <v>DOP</v>
          </cell>
          <cell r="I1975">
            <v>0</v>
          </cell>
          <cell r="J1975">
            <v>0</v>
          </cell>
          <cell r="K1975">
            <v>0</v>
          </cell>
          <cell r="L1975">
            <v>0</v>
          </cell>
          <cell r="M1975">
            <v>0</v>
          </cell>
          <cell r="N1975">
            <v>0</v>
          </cell>
          <cell r="O1975">
            <v>0</v>
          </cell>
          <cell r="P1975">
            <v>0</v>
          </cell>
          <cell r="Q1975">
            <v>0</v>
          </cell>
          <cell r="R1975">
            <v>0</v>
          </cell>
          <cell r="S1975">
            <v>0</v>
          </cell>
          <cell r="T1975">
            <v>0</v>
          </cell>
          <cell r="U1975" t="e">
            <v>#N/A</v>
          </cell>
        </row>
        <row r="1976">
          <cell r="A1976">
            <v>1001970</v>
          </cell>
          <cell r="B1976" t="str">
            <v>Terminal Compr Al 4/0 T/ Planch</v>
          </cell>
          <cell r="D1976">
            <v>6003</v>
          </cell>
          <cell r="E1976">
            <v>1000</v>
          </cell>
          <cell r="F1976" t="str">
            <v>ZALM</v>
          </cell>
          <cell r="G1976" t="str">
            <v>UN</v>
          </cell>
          <cell r="H1976" t="str">
            <v>DOP</v>
          </cell>
          <cell r="I1976">
            <v>0</v>
          </cell>
          <cell r="J1976">
            <v>0</v>
          </cell>
          <cell r="K1976">
            <v>0</v>
          </cell>
          <cell r="L1976">
            <v>0</v>
          </cell>
          <cell r="M1976">
            <v>0</v>
          </cell>
          <cell r="N1976">
            <v>0</v>
          </cell>
          <cell r="O1976">
            <v>0</v>
          </cell>
          <cell r="P1976">
            <v>0</v>
          </cell>
          <cell r="Q1976">
            <v>0</v>
          </cell>
          <cell r="R1976">
            <v>0</v>
          </cell>
          <cell r="S1976">
            <v>0</v>
          </cell>
          <cell r="T1976">
            <v>0</v>
          </cell>
          <cell r="U1976" t="e">
            <v>#N/A</v>
          </cell>
        </row>
        <row r="1977">
          <cell r="A1977">
            <v>1001971</v>
          </cell>
          <cell r="B1977" t="str">
            <v>Terminal Compr Al VAUL1000-12BN Al-Cu</v>
          </cell>
          <cell r="D1977">
            <v>7201</v>
          </cell>
          <cell r="E1977">
            <v>1000</v>
          </cell>
          <cell r="F1977" t="str">
            <v>ZALM</v>
          </cell>
          <cell r="G1977" t="str">
            <v>UN</v>
          </cell>
          <cell r="H1977" t="str">
            <v>DOP</v>
          </cell>
          <cell r="I1977">
            <v>32</v>
          </cell>
          <cell r="J1977">
            <v>50315.519999999997</v>
          </cell>
          <cell r="K1977">
            <v>0</v>
          </cell>
          <cell r="L1977">
            <v>0</v>
          </cell>
          <cell r="M1977">
            <v>0</v>
          </cell>
          <cell r="N1977">
            <v>0</v>
          </cell>
          <cell r="O1977">
            <v>0</v>
          </cell>
          <cell r="P1977">
            <v>0</v>
          </cell>
          <cell r="Q1977">
            <v>0</v>
          </cell>
          <cell r="R1977">
            <v>0</v>
          </cell>
          <cell r="S1977">
            <v>32</v>
          </cell>
          <cell r="T1977">
            <v>50315.519999999997</v>
          </cell>
          <cell r="U1977">
            <v>1572.36</v>
          </cell>
        </row>
        <row r="1978">
          <cell r="A1978">
            <v>1001972</v>
          </cell>
          <cell r="B1978" t="str">
            <v>Terminal Compr Bim P/ Cable Aisl 485MCM</v>
          </cell>
          <cell r="D1978">
            <v>6003</v>
          </cell>
          <cell r="E1978">
            <v>1000</v>
          </cell>
          <cell r="F1978" t="str">
            <v>ZALM</v>
          </cell>
          <cell r="G1978" t="str">
            <v>UN</v>
          </cell>
          <cell r="H1978" t="str">
            <v>DOP</v>
          </cell>
          <cell r="I1978">
            <v>1</v>
          </cell>
          <cell r="J1978">
            <v>812.87</v>
          </cell>
          <cell r="K1978">
            <v>0</v>
          </cell>
          <cell r="L1978">
            <v>0</v>
          </cell>
          <cell r="M1978">
            <v>0</v>
          </cell>
          <cell r="N1978">
            <v>0</v>
          </cell>
          <cell r="O1978">
            <v>0</v>
          </cell>
          <cell r="P1978">
            <v>0</v>
          </cell>
          <cell r="Q1978">
            <v>0</v>
          </cell>
          <cell r="R1978">
            <v>0</v>
          </cell>
          <cell r="S1978">
            <v>1</v>
          </cell>
          <cell r="T1978">
            <v>812.87</v>
          </cell>
          <cell r="U1978">
            <v>812.87</v>
          </cell>
        </row>
        <row r="1979">
          <cell r="A1979">
            <v>1001973</v>
          </cell>
          <cell r="B1979" t="str">
            <v>Terminal Compr Bim P/ Cond Aisl 2/0 Nem2</v>
          </cell>
          <cell r="D1979">
            <v>6003</v>
          </cell>
          <cell r="E1979">
            <v>1000</v>
          </cell>
          <cell r="F1979" t="str">
            <v>ZALM</v>
          </cell>
          <cell r="G1979" t="str">
            <v>UN</v>
          </cell>
          <cell r="H1979" t="str">
            <v>DOP</v>
          </cell>
          <cell r="I1979">
            <v>490</v>
          </cell>
          <cell r="J1979">
            <v>209542.42</v>
          </cell>
          <cell r="K1979">
            <v>0</v>
          </cell>
          <cell r="L1979">
            <v>0</v>
          </cell>
          <cell r="M1979">
            <v>2</v>
          </cell>
          <cell r="N1979">
            <v>855.28</v>
          </cell>
          <cell r="O1979">
            <v>0</v>
          </cell>
          <cell r="P1979">
            <v>0</v>
          </cell>
          <cell r="Q1979">
            <v>0</v>
          </cell>
          <cell r="R1979">
            <v>0</v>
          </cell>
          <cell r="S1979">
            <v>492</v>
          </cell>
          <cell r="T1979">
            <v>210397.7</v>
          </cell>
          <cell r="U1979">
            <v>427.63760162601602</v>
          </cell>
        </row>
        <row r="1980">
          <cell r="A1980">
            <v>1001974</v>
          </cell>
          <cell r="B1980" t="str">
            <v>Terminal Compr Cu 4AWG 3/8"</v>
          </cell>
          <cell r="D1980">
            <v>6003</v>
          </cell>
          <cell r="E1980">
            <v>1000</v>
          </cell>
          <cell r="F1980" t="str">
            <v>ZALM</v>
          </cell>
          <cell r="G1980" t="str">
            <v>UN</v>
          </cell>
          <cell r="H1980" t="str">
            <v>DOP</v>
          </cell>
          <cell r="I1980">
            <v>0</v>
          </cell>
          <cell r="J1980">
            <v>0</v>
          </cell>
          <cell r="K1980">
            <v>0</v>
          </cell>
          <cell r="L1980">
            <v>0</v>
          </cell>
          <cell r="M1980">
            <v>0</v>
          </cell>
          <cell r="N1980">
            <v>0</v>
          </cell>
          <cell r="O1980">
            <v>0</v>
          </cell>
          <cell r="P1980">
            <v>0</v>
          </cell>
          <cell r="Q1980">
            <v>0</v>
          </cell>
          <cell r="R1980">
            <v>0</v>
          </cell>
          <cell r="S1980">
            <v>0</v>
          </cell>
          <cell r="T1980">
            <v>0</v>
          </cell>
          <cell r="U1980" t="e">
            <v>#N/A</v>
          </cell>
        </row>
        <row r="1981">
          <cell r="A1981">
            <v>1001975</v>
          </cell>
          <cell r="B1981" t="str">
            <v>Terminal Compr Cu P/ Cond #2 AWG</v>
          </cell>
          <cell r="D1981">
            <v>6003</v>
          </cell>
          <cell r="E1981">
            <v>1000</v>
          </cell>
          <cell r="F1981" t="str">
            <v>ZALM</v>
          </cell>
          <cell r="G1981" t="str">
            <v>UN</v>
          </cell>
          <cell r="H1981" t="str">
            <v>DOP</v>
          </cell>
          <cell r="I1981">
            <v>0</v>
          </cell>
          <cell r="J1981">
            <v>0</v>
          </cell>
          <cell r="K1981">
            <v>0</v>
          </cell>
          <cell r="L1981">
            <v>0</v>
          </cell>
          <cell r="M1981">
            <v>381</v>
          </cell>
          <cell r="N1981">
            <v>7066.63</v>
          </cell>
          <cell r="O1981">
            <v>0</v>
          </cell>
          <cell r="P1981">
            <v>0</v>
          </cell>
          <cell r="Q1981">
            <v>739</v>
          </cell>
          <cell r="R1981">
            <v>13706.67</v>
          </cell>
          <cell r="S1981">
            <v>1120</v>
          </cell>
          <cell r="T1981">
            <v>20773.3</v>
          </cell>
          <cell r="U1981">
            <v>18.547589285714299</v>
          </cell>
        </row>
        <row r="1982">
          <cell r="A1982">
            <v>1001976</v>
          </cell>
          <cell r="B1982" t="str">
            <v>Terminal Compr P/ Cable #4/0 Al Aguj</v>
          </cell>
          <cell r="D1982">
            <v>6003</v>
          </cell>
          <cell r="E1982">
            <v>1000</v>
          </cell>
          <cell r="F1982" t="str">
            <v>ZALM</v>
          </cell>
          <cell r="G1982" t="str">
            <v>UN</v>
          </cell>
          <cell r="H1982" t="str">
            <v>DOP</v>
          </cell>
          <cell r="I1982">
            <v>0</v>
          </cell>
          <cell r="J1982">
            <v>0</v>
          </cell>
          <cell r="K1982">
            <v>0</v>
          </cell>
          <cell r="L1982">
            <v>0</v>
          </cell>
          <cell r="M1982">
            <v>300</v>
          </cell>
          <cell r="N1982">
            <v>483720</v>
          </cell>
          <cell r="O1982">
            <v>0</v>
          </cell>
          <cell r="P1982">
            <v>0</v>
          </cell>
          <cell r="Q1982">
            <v>0</v>
          </cell>
          <cell r="R1982">
            <v>0</v>
          </cell>
          <cell r="S1982">
            <v>300</v>
          </cell>
          <cell r="T1982">
            <v>483720</v>
          </cell>
          <cell r="U1982">
            <v>1612.4</v>
          </cell>
        </row>
        <row r="1983">
          <cell r="A1983">
            <v>1001977</v>
          </cell>
          <cell r="B1983" t="str">
            <v>Terminal Compr SAM-1250-2N Al-Cu</v>
          </cell>
          <cell r="D1983">
            <v>6003</v>
          </cell>
          <cell r="E1983">
            <v>1000</v>
          </cell>
          <cell r="F1983" t="str">
            <v>ZALM</v>
          </cell>
          <cell r="G1983" t="str">
            <v>UN</v>
          </cell>
          <cell r="H1983" t="str">
            <v>DOP</v>
          </cell>
          <cell r="I1983">
            <v>65</v>
          </cell>
          <cell r="J1983">
            <v>77795.25</v>
          </cell>
          <cell r="K1983">
            <v>0</v>
          </cell>
          <cell r="L1983">
            <v>0</v>
          </cell>
          <cell r="M1983">
            <v>0</v>
          </cell>
          <cell r="N1983">
            <v>0</v>
          </cell>
          <cell r="O1983">
            <v>0</v>
          </cell>
          <cell r="P1983">
            <v>0</v>
          </cell>
          <cell r="Q1983">
            <v>0</v>
          </cell>
          <cell r="R1983">
            <v>0</v>
          </cell>
          <cell r="S1983">
            <v>65</v>
          </cell>
          <cell r="T1983">
            <v>77795.25</v>
          </cell>
          <cell r="U1983">
            <v>1196.8499999999999</v>
          </cell>
        </row>
        <row r="1984">
          <cell r="A1984">
            <v>1001978</v>
          </cell>
          <cell r="B1984" t="str">
            <v>Terminal Compr SAM-1250-4N Al-Cu</v>
          </cell>
          <cell r="D1984">
            <v>6003</v>
          </cell>
          <cell r="E1984">
            <v>1000</v>
          </cell>
          <cell r="F1984" t="str">
            <v>ZALM</v>
          </cell>
          <cell r="G1984" t="str">
            <v>UN</v>
          </cell>
          <cell r="H1984" t="str">
            <v>DOP</v>
          </cell>
          <cell r="I1984">
            <v>32</v>
          </cell>
          <cell r="J1984">
            <v>44919.040000000001</v>
          </cell>
          <cell r="K1984">
            <v>0</v>
          </cell>
          <cell r="L1984">
            <v>0</v>
          </cell>
          <cell r="M1984">
            <v>0</v>
          </cell>
          <cell r="N1984">
            <v>0</v>
          </cell>
          <cell r="O1984">
            <v>0</v>
          </cell>
          <cell r="P1984">
            <v>0</v>
          </cell>
          <cell r="Q1984">
            <v>0</v>
          </cell>
          <cell r="R1984">
            <v>0</v>
          </cell>
          <cell r="S1984">
            <v>32</v>
          </cell>
          <cell r="T1984">
            <v>44919.040000000001</v>
          </cell>
          <cell r="U1984">
            <v>1403.72</v>
          </cell>
        </row>
        <row r="1985">
          <cell r="A1985">
            <v>1001979</v>
          </cell>
          <cell r="B1985" t="str">
            <v>Terminal Compr T/ Planch 2 Aguj 500MCM</v>
          </cell>
          <cell r="D1985">
            <v>6003</v>
          </cell>
          <cell r="E1985">
            <v>1000</v>
          </cell>
          <cell r="F1985" t="str">
            <v>ZALM</v>
          </cell>
          <cell r="G1985" t="str">
            <v>UN</v>
          </cell>
          <cell r="H1985" t="str">
            <v>DOP</v>
          </cell>
          <cell r="I1985">
            <v>0</v>
          </cell>
          <cell r="J1985">
            <v>0</v>
          </cell>
          <cell r="K1985">
            <v>0</v>
          </cell>
          <cell r="L1985">
            <v>0</v>
          </cell>
          <cell r="M1985">
            <v>0</v>
          </cell>
          <cell r="N1985">
            <v>0</v>
          </cell>
          <cell r="O1985">
            <v>0</v>
          </cell>
          <cell r="P1985">
            <v>0</v>
          </cell>
          <cell r="Q1985">
            <v>0</v>
          </cell>
          <cell r="R1985">
            <v>0</v>
          </cell>
          <cell r="S1985">
            <v>0</v>
          </cell>
          <cell r="T1985">
            <v>0</v>
          </cell>
          <cell r="U1985" t="e">
            <v>#N/A</v>
          </cell>
        </row>
        <row r="1986">
          <cell r="A1986">
            <v>1001980</v>
          </cell>
          <cell r="B1986" t="str">
            <v>Condulet Galv de 2 1/2"</v>
          </cell>
          <cell r="D1986">
            <v>6003</v>
          </cell>
          <cell r="E1986">
            <v>1000</v>
          </cell>
          <cell r="F1986" t="str">
            <v>ZALM</v>
          </cell>
          <cell r="G1986" t="str">
            <v>UN</v>
          </cell>
          <cell r="H1986" t="str">
            <v>DOP</v>
          </cell>
          <cell r="I1986">
            <v>0</v>
          </cell>
          <cell r="J1986">
            <v>0</v>
          </cell>
          <cell r="K1986">
            <v>0</v>
          </cell>
          <cell r="L1986">
            <v>0</v>
          </cell>
          <cell r="M1986">
            <v>0</v>
          </cell>
          <cell r="N1986">
            <v>0</v>
          </cell>
          <cell r="O1986">
            <v>0</v>
          </cell>
          <cell r="P1986">
            <v>0</v>
          </cell>
          <cell r="Q1986">
            <v>0</v>
          </cell>
          <cell r="R1986">
            <v>0</v>
          </cell>
          <cell r="S1986">
            <v>0</v>
          </cell>
          <cell r="T1986">
            <v>0</v>
          </cell>
          <cell r="U1986" t="e">
            <v>#N/A</v>
          </cell>
        </row>
        <row r="1987">
          <cell r="A1987">
            <v>1001981</v>
          </cell>
          <cell r="B1987" t="str">
            <v>Terminal Contraible Inter P/ Cable #2/0</v>
          </cell>
          <cell r="D1987">
            <v>6003</v>
          </cell>
          <cell r="E1987">
            <v>1000</v>
          </cell>
          <cell r="F1987" t="str">
            <v>ZALM</v>
          </cell>
          <cell r="G1987" t="str">
            <v>UN</v>
          </cell>
          <cell r="H1987" t="str">
            <v>DOP</v>
          </cell>
          <cell r="I1987">
            <v>0</v>
          </cell>
          <cell r="J1987">
            <v>0</v>
          </cell>
          <cell r="K1987">
            <v>0</v>
          </cell>
          <cell r="L1987">
            <v>0</v>
          </cell>
          <cell r="M1987">
            <v>0</v>
          </cell>
          <cell r="N1987">
            <v>0</v>
          </cell>
          <cell r="O1987">
            <v>0</v>
          </cell>
          <cell r="P1987">
            <v>0</v>
          </cell>
          <cell r="Q1987">
            <v>0</v>
          </cell>
          <cell r="R1987">
            <v>0</v>
          </cell>
          <cell r="S1987">
            <v>0</v>
          </cell>
          <cell r="T1987">
            <v>0</v>
          </cell>
          <cell r="U1987" t="e">
            <v>#N/A</v>
          </cell>
        </row>
        <row r="1988">
          <cell r="A1988">
            <v>1001982</v>
          </cell>
          <cell r="B1988" t="str">
            <v>Terminal Cu Comp Aisl P/ Cable #8 AWG</v>
          </cell>
          <cell r="D1988">
            <v>6003</v>
          </cell>
          <cell r="E1988">
            <v>1000</v>
          </cell>
          <cell r="F1988" t="str">
            <v>ZALM</v>
          </cell>
          <cell r="G1988" t="str">
            <v>UN</v>
          </cell>
          <cell r="H1988" t="str">
            <v>DOP</v>
          </cell>
          <cell r="I1988">
            <v>770</v>
          </cell>
          <cell r="J1988">
            <v>258701.7</v>
          </cell>
          <cell r="K1988">
            <v>0</v>
          </cell>
          <cell r="L1988">
            <v>0</v>
          </cell>
          <cell r="M1988">
            <v>0</v>
          </cell>
          <cell r="N1988">
            <v>0</v>
          </cell>
          <cell r="O1988">
            <v>0</v>
          </cell>
          <cell r="P1988">
            <v>0</v>
          </cell>
          <cell r="Q1988">
            <v>0</v>
          </cell>
          <cell r="R1988">
            <v>0</v>
          </cell>
          <cell r="S1988">
            <v>770</v>
          </cell>
          <cell r="T1988">
            <v>258701.7</v>
          </cell>
          <cell r="U1988">
            <v>335.97623376623397</v>
          </cell>
        </row>
        <row r="1989">
          <cell r="A1989">
            <v>1001983</v>
          </cell>
          <cell r="B1989" t="str">
            <v>Terminal Cu Comp Aisl P/ Cable 10 AWG</v>
          </cell>
          <cell r="D1989">
            <v>6003</v>
          </cell>
          <cell r="E1989">
            <v>1000</v>
          </cell>
          <cell r="F1989" t="str">
            <v>ZALM</v>
          </cell>
          <cell r="G1989" t="str">
            <v>UN</v>
          </cell>
          <cell r="H1989" t="str">
            <v>DOP</v>
          </cell>
          <cell r="I1989">
            <v>0</v>
          </cell>
          <cell r="J1989">
            <v>0</v>
          </cell>
          <cell r="K1989">
            <v>0</v>
          </cell>
          <cell r="L1989">
            <v>0</v>
          </cell>
          <cell r="M1989">
            <v>0</v>
          </cell>
          <cell r="N1989">
            <v>0</v>
          </cell>
          <cell r="O1989">
            <v>0</v>
          </cell>
          <cell r="P1989">
            <v>0</v>
          </cell>
          <cell r="Q1989">
            <v>0</v>
          </cell>
          <cell r="R1989">
            <v>0</v>
          </cell>
          <cell r="S1989">
            <v>0</v>
          </cell>
          <cell r="T1989">
            <v>0</v>
          </cell>
          <cell r="U1989" t="e">
            <v>#N/A</v>
          </cell>
        </row>
        <row r="1990">
          <cell r="A1990">
            <v>1001984</v>
          </cell>
          <cell r="B1990" t="str">
            <v>Terminal de Ojo 1/4 10-12</v>
          </cell>
          <cell r="D1990">
            <v>6003</v>
          </cell>
          <cell r="E1990">
            <v>1000</v>
          </cell>
          <cell r="F1990" t="str">
            <v>ZALM</v>
          </cell>
          <cell r="G1990" t="str">
            <v>UN</v>
          </cell>
          <cell r="H1990" t="str">
            <v>DOP</v>
          </cell>
          <cell r="I1990">
            <v>0</v>
          </cell>
          <cell r="J1990">
            <v>0</v>
          </cell>
          <cell r="K1990">
            <v>0</v>
          </cell>
          <cell r="L1990">
            <v>0</v>
          </cell>
          <cell r="M1990">
            <v>0</v>
          </cell>
          <cell r="N1990">
            <v>0</v>
          </cell>
          <cell r="O1990">
            <v>0</v>
          </cell>
          <cell r="P1990">
            <v>0</v>
          </cell>
          <cell r="Q1990">
            <v>0</v>
          </cell>
          <cell r="R1990">
            <v>0</v>
          </cell>
          <cell r="S1990">
            <v>0</v>
          </cell>
          <cell r="T1990">
            <v>0</v>
          </cell>
          <cell r="U1990" t="e">
            <v>#N/A</v>
          </cell>
        </row>
        <row r="1991">
          <cell r="A1991">
            <v>1001985</v>
          </cell>
          <cell r="B1991" t="str">
            <v>Terminal de Ojo 10-12 Macho</v>
          </cell>
          <cell r="D1991">
            <v>6003</v>
          </cell>
          <cell r="E1991">
            <v>1000</v>
          </cell>
          <cell r="F1991" t="str">
            <v>ZALM</v>
          </cell>
          <cell r="G1991" t="str">
            <v>UN</v>
          </cell>
          <cell r="H1991" t="str">
            <v>DOP</v>
          </cell>
          <cell r="I1991">
            <v>0</v>
          </cell>
          <cell r="J1991">
            <v>0</v>
          </cell>
          <cell r="K1991">
            <v>0</v>
          </cell>
          <cell r="L1991">
            <v>0</v>
          </cell>
          <cell r="M1991">
            <v>0</v>
          </cell>
          <cell r="N1991">
            <v>0</v>
          </cell>
          <cell r="O1991">
            <v>0</v>
          </cell>
          <cell r="P1991">
            <v>0</v>
          </cell>
          <cell r="Q1991">
            <v>0</v>
          </cell>
          <cell r="R1991">
            <v>0</v>
          </cell>
          <cell r="S1991">
            <v>0</v>
          </cell>
          <cell r="T1991">
            <v>0</v>
          </cell>
          <cell r="U1991" t="e">
            <v>#N/A</v>
          </cell>
        </row>
        <row r="1992">
          <cell r="A1992">
            <v>1001986</v>
          </cell>
          <cell r="B1992" t="str">
            <v>Terminal de Ojo 14-16</v>
          </cell>
          <cell r="D1992">
            <v>6003</v>
          </cell>
          <cell r="E1992">
            <v>1000</v>
          </cell>
          <cell r="F1992" t="str">
            <v>ZALM</v>
          </cell>
          <cell r="G1992" t="str">
            <v>UN</v>
          </cell>
          <cell r="H1992" t="str">
            <v>DOP</v>
          </cell>
          <cell r="I1992">
            <v>0</v>
          </cell>
          <cell r="J1992">
            <v>0</v>
          </cell>
          <cell r="K1992">
            <v>0</v>
          </cell>
          <cell r="L1992">
            <v>0</v>
          </cell>
          <cell r="M1992">
            <v>0</v>
          </cell>
          <cell r="N1992">
            <v>0</v>
          </cell>
          <cell r="O1992">
            <v>0</v>
          </cell>
          <cell r="P1992">
            <v>0</v>
          </cell>
          <cell r="Q1992">
            <v>0</v>
          </cell>
          <cell r="R1992">
            <v>0</v>
          </cell>
          <cell r="S1992">
            <v>0</v>
          </cell>
          <cell r="T1992">
            <v>0</v>
          </cell>
          <cell r="U1992" t="e">
            <v>#N/A</v>
          </cell>
        </row>
        <row r="1993">
          <cell r="A1993">
            <v>1001987</v>
          </cell>
          <cell r="B1993" t="str">
            <v>Terminal de Ojo Cerrado P/ Cable 14</v>
          </cell>
          <cell r="D1993">
            <v>6003</v>
          </cell>
          <cell r="E1993">
            <v>1000</v>
          </cell>
          <cell r="F1993" t="str">
            <v>ZALM</v>
          </cell>
          <cell r="G1993" t="str">
            <v>UN</v>
          </cell>
          <cell r="H1993" t="str">
            <v>DOP</v>
          </cell>
          <cell r="I1993">
            <v>0</v>
          </cell>
          <cell r="J1993">
            <v>0</v>
          </cell>
          <cell r="K1993">
            <v>0</v>
          </cell>
          <cell r="L1993">
            <v>0</v>
          </cell>
          <cell r="M1993">
            <v>0</v>
          </cell>
          <cell r="N1993">
            <v>0</v>
          </cell>
          <cell r="O1993">
            <v>0</v>
          </cell>
          <cell r="P1993">
            <v>0</v>
          </cell>
          <cell r="Q1993">
            <v>0</v>
          </cell>
          <cell r="R1993">
            <v>0</v>
          </cell>
          <cell r="S1993">
            <v>0</v>
          </cell>
          <cell r="T1993">
            <v>0</v>
          </cell>
          <cell r="U1993" t="e">
            <v>#N/A</v>
          </cell>
        </row>
        <row r="1994">
          <cell r="A1994">
            <v>1001988</v>
          </cell>
          <cell r="B1994" t="str">
            <v>Terminal de Punta 18-22</v>
          </cell>
          <cell r="D1994">
            <v>6003</v>
          </cell>
          <cell r="E1994">
            <v>1000</v>
          </cell>
          <cell r="F1994" t="str">
            <v>ZALM</v>
          </cell>
          <cell r="G1994" t="str">
            <v>UN</v>
          </cell>
          <cell r="H1994" t="str">
            <v>DOP</v>
          </cell>
          <cell r="I1994">
            <v>0</v>
          </cell>
          <cell r="J1994">
            <v>0</v>
          </cell>
          <cell r="K1994">
            <v>0</v>
          </cell>
          <cell r="L1994">
            <v>0</v>
          </cell>
          <cell r="M1994">
            <v>0</v>
          </cell>
          <cell r="N1994">
            <v>0</v>
          </cell>
          <cell r="O1994">
            <v>0</v>
          </cell>
          <cell r="P1994">
            <v>0</v>
          </cell>
          <cell r="Q1994">
            <v>0</v>
          </cell>
          <cell r="R1994">
            <v>0</v>
          </cell>
          <cell r="S1994">
            <v>0</v>
          </cell>
          <cell r="T1994">
            <v>0</v>
          </cell>
          <cell r="U1994" t="e">
            <v>#N/A</v>
          </cell>
        </row>
        <row r="1995">
          <cell r="A1995">
            <v>1001989</v>
          </cell>
          <cell r="B1995" t="str">
            <v>Terminal de Punta No.12</v>
          </cell>
          <cell r="D1995">
            <v>6003</v>
          </cell>
          <cell r="E1995">
            <v>1000</v>
          </cell>
          <cell r="F1995" t="str">
            <v>ZALM</v>
          </cell>
          <cell r="G1995" t="str">
            <v>UN</v>
          </cell>
          <cell r="H1995" t="str">
            <v>DOP</v>
          </cell>
          <cell r="I1995">
            <v>400</v>
          </cell>
          <cell r="J1995">
            <v>1914.07</v>
          </cell>
          <cell r="K1995">
            <v>0</v>
          </cell>
          <cell r="L1995">
            <v>0</v>
          </cell>
          <cell r="M1995">
            <v>0</v>
          </cell>
          <cell r="N1995">
            <v>0</v>
          </cell>
          <cell r="O1995">
            <v>0</v>
          </cell>
          <cell r="P1995">
            <v>0</v>
          </cell>
          <cell r="Q1995">
            <v>0</v>
          </cell>
          <cell r="R1995">
            <v>0</v>
          </cell>
          <cell r="S1995">
            <v>400</v>
          </cell>
          <cell r="T1995">
            <v>1914.07</v>
          </cell>
          <cell r="U1995">
            <v>4.7851749999999997</v>
          </cell>
        </row>
        <row r="1996">
          <cell r="A1996">
            <v>1001990</v>
          </cell>
          <cell r="B1996" t="str">
            <v>Terminal de Punta No.14</v>
          </cell>
          <cell r="D1996">
            <v>6003</v>
          </cell>
          <cell r="E1996">
            <v>1000</v>
          </cell>
          <cell r="F1996" t="str">
            <v>ZALM</v>
          </cell>
          <cell r="G1996" t="str">
            <v>UN</v>
          </cell>
          <cell r="H1996" t="str">
            <v>DOP</v>
          </cell>
          <cell r="I1996">
            <v>2223</v>
          </cell>
          <cell r="J1996">
            <v>3034.21</v>
          </cell>
          <cell r="K1996">
            <v>0</v>
          </cell>
          <cell r="L1996">
            <v>0</v>
          </cell>
          <cell r="M1996">
            <v>0</v>
          </cell>
          <cell r="N1996">
            <v>0</v>
          </cell>
          <cell r="O1996">
            <v>0</v>
          </cell>
          <cell r="P1996">
            <v>0</v>
          </cell>
          <cell r="Q1996">
            <v>0</v>
          </cell>
          <cell r="R1996">
            <v>0</v>
          </cell>
          <cell r="S1996">
            <v>2223</v>
          </cell>
          <cell r="T1996">
            <v>3034.21</v>
          </cell>
          <cell r="U1996">
            <v>1.36491677912731</v>
          </cell>
        </row>
        <row r="1997">
          <cell r="A1997">
            <v>1001991</v>
          </cell>
          <cell r="B1997" t="str">
            <v>Terminal Elbow Tipo Codo para Cable 2/0</v>
          </cell>
          <cell r="D1997">
            <v>6003</v>
          </cell>
          <cell r="E1997">
            <v>1000</v>
          </cell>
          <cell r="F1997" t="str">
            <v>ZALM</v>
          </cell>
          <cell r="G1997" t="str">
            <v>UN</v>
          </cell>
          <cell r="H1997" t="str">
            <v>DOP</v>
          </cell>
          <cell r="I1997">
            <v>0</v>
          </cell>
          <cell r="J1997">
            <v>0</v>
          </cell>
          <cell r="K1997">
            <v>0</v>
          </cell>
          <cell r="L1997">
            <v>0</v>
          </cell>
          <cell r="M1997">
            <v>0</v>
          </cell>
          <cell r="N1997">
            <v>0</v>
          </cell>
          <cell r="O1997">
            <v>0</v>
          </cell>
          <cell r="P1997">
            <v>0</v>
          </cell>
          <cell r="Q1997">
            <v>0</v>
          </cell>
          <cell r="R1997">
            <v>0</v>
          </cell>
          <cell r="S1997">
            <v>0</v>
          </cell>
          <cell r="T1997">
            <v>0</v>
          </cell>
          <cell r="U1997" t="e">
            <v>#N/A</v>
          </cell>
        </row>
        <row r="1998">
          <cell r="A1998">
            <v>1001992</v>
          </cell>
          <cell r="B1998" t="str">
            <v>Terminal Enchufable #14</v>
          </cell>
          <cell r="D1998">
            <v>6003</v>
          </cell>
          <cell r="E1998">
            <v>1000</v>
          </cell>
          <cell r="F1998" t="str">
            <v>ZALM</v>
          </cell>
          <cell r="G1998" t="str">
            <v>UN</v>
          </cell>
          <cell r="H1998" t="str">
            <v>DOP</v>
          </cell>
          <cell r="I1998">
            <v>0</v>
          </cell>
          <cell r="J1998">
            <v>0</v>
          </cell>
          <cell r="K1998">
            <v>0</v>
          </cell>
          <cell r="L1998">
            <v>0</v>
          </cell>
          <cell r="M1998">
            <v>0</v>
          </cell>
          <cell r="N1998">
            <v>0</v>
          </cell>
          <cell r="O1998">
            <v>0</v>
          </cell>
          <cell r="P1998">
            <v>0</v>
          </cell>
          <cell r="Q1998">
            <v>0</v>
          </cell>
          <cell r="R1998">
            <v>0</v>
          </cell>
          <cell r="S1998">
            <v>0</v>
          </cell>
          <cell r="T1998">
            <v>0</v>
          </cell>
          <cell r="U1998" t="e">
            <v>#N/A</v>
          </cell>
        </row>
        <row r="1999">
          <cell r="A1999">
            <v>1001993</v>
          </cell>
          <cell r="B1999" t="str">
            <v>Terminal Enchufable #16</v>
          </cell>
          <cell r="D1999">
            <v>6003</v>
          </cell>
          <cell r="E1999">
            <v>1000</v>
          </cell>
          <cell r="F1999" t="str">
            <v>ZALM</v>
          </cell>
          <cell r="G1999" t="str">
            <v>UN</v>
          </cell>
          <cell r="H1999" t="str">
            <v>DOP</v>
          </cell>
          <cell r="I1999">
            <v>0</v>
          </cell>
          <cell r="J1999">
            <v>0</v>
          </cell>
          <cell r="K1999">
            <v>0</v>
          </cell>
          <cell r="L1999">
            <v>0</v>
          </cell>
          <cell r="M1999">
            <v>0</v>
          </cell>
          <cell r="N1999">
            <v>0</v>
          </cell>
          <cell r="O1999">
            <v>0</v>
          </cell>
          <cell r="P1999">
            <v>0</v>
          </cell>
          <cell r="Q1999">
            <v>0</v>
          </cell>
          <cell r="R1999">
            <v>0</v>
          </cell>
          <cell r="S1999">
            <v>0</v>
          </cell>
          <cell r="T1999">
            <v>0</v>
          </cell>
          <cell r="U1999" t="e">
            <v>#N/A</v>
          </cell>
        </row>
        <row r="2000">
          <cell r="A2000">
            <v>1001994</v>
          </cell>
          <cell r="B2000" t="str">
            <v>Terminal Ext Contr P/ Cond 2/0 15kV</v>
          </cell>
          <cell r="D2000">
            <v>6003</v>
          </cell>
          <cell r="E2000">
            <v>1000</v>
          </cell>
          <cell r="F2000" t="str">
            <v>ZALM</v>
          </cell>
          <cell r="G2000" t="str">
            <v>UN</v>
          </cell>
          <cell r="H2000" t="str">
            <v>DOP</v>
          </cell>
          <cell r="I2000">
            <v>0</v>
          </cell>
          <cell r="J2000">
            <v>0</v>
          </cell>
          <cell r="K2000">
            <v>0</v>
          </cell>
          <cell r="L2000">
            <v>0</v>
          </cell>
          <cell r="M2000">
            <v>0</v>
          </cell>
          <cell r="N2000">
            <v>0</v>
          </cell>
          <cell r="O2000">
            <v>0</v>
          </cell>
          <cell r="P2000">
            <v>0</v>
          </cell>
          <cell r="Q2000">
            <v>0</v>
          </cell>
          <cell r="R2000">
            <v>0</v>
          </cell>
          <cell r="S2000">
            <v>0</v>
          </cell>
          <cell r="T2000">
            <v>0</v>
          </cell>
          <cell r="U2000" t="e">
            <v>#N/A</v>
          </cell>
        </row>
        <row r="2001">
          <cell r="A2001">
            <v>1001995</v>
          </cell>
          <cell r="B2001" t="str">
            <v>Terminal Exterior 500MCM</v>
          </cell>
          <cell r="D2001">
            <v>6003</v>
          </cell>
          <cell r="E2001">
            <v>1000</v>
          </cell>
          <cell r="F2001" t="str">
            <v>ZALM</v>
          </cell>
          <cell r="G2001" t="str">
            <v>UN</v>
          </cell>
          <cell r="H2001" t="str">
            <v>DOP</v>
          </cell>
          <cell r="I2001">
            <v>0</v>
          </cell>
          <cell r="J2001">
            <v>0</v>
          </cell>
          <cell r="K2001">
            <v>0</v>
          </cell>
          <cell r="L2001">
            <v>0</v>
          </cell>
          <cell r="M2001">
            <v>0</v>
          </cell>
          <cell r="N2001">
            <v>0</v>
          </cell>
          <cell r="O2001">
            <v>0</v>
          </cell>
          <cell r="P2001">
            <v>0</v>
          </cell>
          <cell r="Q2001">
            <v>0</v>
          </cell>
          <cell r="R2001">
            <v>0</v>
          </cell>
          <cell r="S2001">
            <v>0</v>
          </cell>
          <cell r="T2001">
            <v>0</v>
          </cell>
          <cell r="U2001" t="e">
            <v>#N/A</v>
          </cell>
        </row>
        <row r="2002">
          <cell r="A2002">
            <v>1001996</v>
          </cell>
          <cell r="B2002" t="str">
            <v>Terminal Exterior P/ Cable Aisl 15KV</v>
          </cell>
          <cell r="D2002">
            <v>6003</v>
          </cell>
          <cell r="E2002">
            <v>1000</v>
          </cell>
          <cell r="F2002" t="str">
            <v>ZALM</v>
          </cell>
          <cell r="G2002" t="str">
            <v>UN</v>
          </cell>
          <cell r="H2002" t="str">
            <v>DOP</v>
          </cell>
          <cell r="I2002">
            <v>0</v>
          </cell>
          <cell r="J2002">
            <v>0</v>
          </cell>
          <cell r="K2002">
            <v>0</v>
          </cell>
          <cell r="L2002">
            <v>0</v>
          </cell>
          <cell r="M2002">
            <v>0</v>
          </cell>
          <cell r="N2002">
            <v>0</v>
          </cell>
          <cell r="O2002">
            <v>0</v>
          </cell>
          <cell r="P2002">
            <v>0</v>
          </cell>
          <cell r="Q2002">
            <v>0</v>
          </cell>
          <cell r="R2002">
            <v>0</v>
          </cell>
          <cell r="S2002">
            <v>0</v>
          </cell>
          <cell r="T2002">
            <v>0</v>
          </cell>
          <cell r="U2002" t="e">
            <v>#N/A</v>
          </cell>
        </row>
        <row r="2003">
          <cell r="A2003">
            <v>1001997</v>
          </cell>
          <cell r="B2003" t="str">
            <v>Terminal Exterior P/ Cable Aisl 35KV</v>
          </cell>
          <cell r="D2003">
            <v>6003</v>
          </cell>
          <cell r="E2003">
            <v>1000</v>
          </cell>
          <cell r="F2003" t="str">
            <v>ZALM</v>
          </cell>
          <cell r="G2003" t="str">
            <v>UN</v>
          </cell>
          <cell r="H2003" t="str">
            <v>DOP</v>
          </cell>
          <cell r="I2003">
            <v>0</v>
          </cell>
          <cell r="J2003">
            <v>0</v>
          </cell>
          <cell r="K2003">
            <v>0</v>
          </cell>
          <cell r="L2003">
            <v>0</v>
          </cell>
          <cell r="M2003">
            <v>0</v>
          </cell>
          <cell r="N2003">
            <v>0</v>
          </cell>
          <cell r="O2003">
            <v>0</v>
          </cell>
          <cell r="P2003">
            <v>0</v>
          </cell>
          <cell r="Q2003">
            <v>0</v>
          </cell>
          <cell r="R2003">
            <v>0</v>
          </cell>
          <cell r="S2003">
            <v>0</v>
          </cell>
          <cell r="T2003">
            <v>0</v>
          </cell>
          <cell r="U2003" t="e">
            <v>#N/A</v>
          </cell>
        </row>
        <row r="2004">
          <cell r="A2004">
            <v>1001998</v>
          </cell>
          <cell r="B2004" t="str">
            <v>Terminal Exterior P/ URD No.2</v>
          </cell>
          <cell r="D2004">
            <v>6003</v>
          </cell>
          <cell r="E2004">
            <v>1000</v>
          </cell>
          <cell r="F2004" t="str">
            <v>ZALM</v>
          </cell>
          <cell r="G2004" t="str">
            <v>UN</v>
          </cell>
          <cell r="H2004" t="str">
            <v>DOP</v>
          </cell>
          <cell r="I2004">
            <v>280</v>
          </cell>
          <cell r="J2004">
            <v>401800</v>
          </cell>
          <cell r="K2004">
            <v>0</v>
          </cell>
          <cell r="L2004">
            <v>0</v>
          </cell>
          <cell r="M2004">
            <v>197</v>
          </cell>
          <cell r="N2004">
            <v>282695</v>
          </cell>
          <cell r="O2004">
            <v>0</v>
          </cell>
          <cell r="P2004">
            <v>0</v>
          </cell>
          <cell r="Q2004">
            <v>0</v>
          </cell>
          <cell r="R2004">
            <v>0</v>
          </cell>
          <cell r="S2004">
            <v>477</v>
          </cell>
          <cell r="T2004">
            <v>684495</v>
          </cell>
          <cell r="U2004">
            <v>1435</v>
          </cell>
        </row>
        <row r="2005">
          <cell r="A2005">
            <v>1001999</v>
          </cell>
          <cell r="B2005" t="str">
            <v>Terminal Exterior P/ URD No.4/0</v>
          </cell>
          <cell r="D2005">
            <v>6003</v>
          </cell>
          <cell r="E2005">
            <v>1000</v>
          </cell>
          <cell r="F2005" t="str">
            <v>ZALM</v>
          </cell>
          <cell r="G2005" t="str">
            <v>UN</v>
          </cell>
          <cell r="H2005" t="str">
            <v>DOP</v>
          </cell>
          <cell r="I2005">
            <v>0</v>
          </cell>
          <cell r="J2005">
            <v>0</v>
          </cell>
          <cell r="K2005">
            <v>0</v>
          </cell>
          <cell r="L2005">
            <v>0</v>
          </cell>
          <cell r="M2005">
            <v>544</v>
          </cell>
          <cell r="N2005">
            <v>780640</v>
          </cell>
          <cell r="O2005">
            <v>0</v>
          </cell>
          <cell r="P2005">
            <v>0</v>
          </cell>
          <cell r="Q2005">
            <v>0</v>
          </cell>
          <cell r="R2005">
            <v>0</v>
          </cell>
          <cell r="S2005">
            <v>544</v>
          </cell>
          <cell r="T2005">
            <v>780640</v>
          </cell>
          <cell r="U2005">
            <v>1435</v>
          </cell>
        </row>
        <row r="2006">
          <cell r="A2006">
            <v>1002000</v>
          </cell>
          <cell r="B2006" t="str">
            <v>Terminal Gris M 4/6</v>
          </cell>
          <cell r="D2006">
            <v>6003</v>
          </cell>
          <cell r="E2006">
            <v>1000</v>
          </cell>
          <cell r="F2006" t="str">
            <v>ZALM</v>
          </cell>
          <cell r="G2006" t="str">
            <v>UN</v>
          </cell>
          <cell r="H2006" t="str">
            <v>DOP</v>
          </cell>
          <cell r="I2006">
            <v>0</v>
          </cell>
          <cell r="J2006">
            <v>0</v>
          </cell>
          <cell r="K2006">
            <v>0</v>
          </cell>
          <cell r="L2006">
            <v>0</v>
          </cell>
          <cell r="M2006">
            <v>0</v>
          </cell>
          <cell r="N2006">
            <v>0</v>
          </cell>
          <cell r="O2006">
            <v>0</v>
          </cell>
          <cell r="P2006">
            <v>0</v>
          </cell>
          <cell r="Q2006">
            <v>0</v>
          </cell>
          <cell r="R2006">
            <v>0</v>
          </cell>
          <cell r="S2006">
            <v>0</v>
          </cell>
          <cell r="T2006">
            <v>0</v>
          </cell>
          <cell r="U2006" t="e">
            <v>#N/A</v>
          </cell>
        </row>
        <row r="2007">
          <cell r="A2007">
            <v>1002001</v>
          </cell>
          <cell r="B2007" t="str">
            <v>Terminal Int Rep P/ Portaf Aereo T00803</v>
          </cell>
          <cell r="D2007">
            <v>6003</v>
          </cell>
          <cell r="E2007">
            <v>1000</v>
          </cell>
          <cell r="F2007" t="str">
            <v>ZALM</v>
          </cell>
          <cell r="G2007" t="str">
            <v>UN</v>
          </cell>
          <cell r="H2007" t="str">
            <v>DOP</v>
          </cell>
          <cell r="I2007">
            <v>0</v>
          </cell>
          <cell r="J2007">
            <v>0</v>
          </cell>
          <cell r="K2007">
            <v>0</v>
          </cell>
          <cell r="L2007">
            <v>0</v>
          </cell>
          <cell r="M2007">
            <v>0</v>
          </cell>
          <cell r="N2007">
            <v>0</v>
          </cell>
          <cell r="O2007">
            <v>0</v>
          </cell>
          <cell r="P2007">
            <v>0</v>
          </cell>
          <cell r="Q2007">
            <v>0</v>
          </cell>
          <cell r="R2007">
            <v>0</v>
          </cell>
          <cell r="S2007">
            <v>0</v>
          </cell>
          <cell r="T2007">
            <v>0</v>
          </cell>
          <cell r="U2007" t="e">
            <v>#N/A</v>
          </cell>
        </row>
        <row r="2008">
          <cell r="A2008">
            <v>1002002</v>
          </cell>
          <cell r="B2008" t="str">
            <v>Terminal Interior 500MCM</v>
          </cell>
          <cell r="D2008">
            <v>6003</v>
          </cell>
          <cell r="E2008">
            <v>1000</v>
          </cell>
          <cell r="F2008" t="str">
            <v>ZALM</v>
          </cell>
          <cell r="G2008" t="str">
            <v>UN</v>
          </cell>
          <cell r="H2008" t="str">
            <v>DOP</v>
          </cell>
          <cell r="I2008">
            <v>0</v>
          </cell>
          <cell r="J2008">
            <v>0</v>
          </cell>
          <cell r="K2008">
            <v>0</v>
          </cell>
          <cell r="L2008">
            <v>0</v>
          </cell>
          <cell r="M2008">
            <v>0</v>
          </cell>
          <cell r="N2008">
            <v>0</v>
          </cell>
          <cell r="O2008">
            <v>0</v>
          </cell>
          <cell r="P2008">
            <v>0</v>
          </cell>
          <cell r="Q2008">
            <v>0</v>
          </cell>
          <cell r="R2008">
            <v>0</v>
          </cell>
          <cell r="S2008">
            <v>0</v>
          </cell>
          <cell r="T2008">
            <v>0</v>
          </cell>
          <cell r="U2008" t="e">
            <v>#N/A</v>
          </cell>
        </row>
        <row r="2009">
          <cell r="A2009">
            <v>1002003</v>
          </cell>
          <cell r="B2009" t="str">
            <v>Terminal Interior P/ URD No.2</v>
          </cell>
          <cell r="D2009">
            <v>6003</v>
          </cell>
          <cell r="E2009">
            <v>1000</v>
          </cell>
          <cell r="F2009" t="str">
            <v>ZALM</v>
          </cell>
          <cell r="G2009" t="str">
            <v>UN</v>
          </cell>
          <cell r="H2009" t="str">
            <v>DOP</v>
          </cell>
          <cell r="I2009">
            <v>290</v>
          </cell>
          <cell r="J2009">
            <v>61190</v>
          </cell>
          <cell r="K2009">
            <v>0</v>
          </cell>
          <cell r="L2009">
            <v>0</v>
          </cell>
          <cell r="M2009">
            <v>0</v>
          </cell>
          <cell r="N2009">
            <v>0</v>
          </cell>
          <cell r="O2009">
            <v>0</v>
          </cell>
          <cell r="P2009">
            <v>0</v>
          </cell>
          <cell r="Q2009">
            <v>0</v>
          </cell>
          <cell r="R2009">
            <v>0</v>
          </cell>
          <cell r="S2009">
            <v>290</v>
          </cell>
          <cell r="T2009">
            <v>61190</v>
          </cell>
          <cell r="U2009">
            <v>211</v>
          </cell>
        </row>
        <row r="2010">
          <cell r="A2010">
            <v>1002004</v>
          </cell>
          <cell r="B2010" t="str">
            <v>Terminal Interior P/ URD No.4/0</v>
          </cell>
          <cell r="D2010">
            <v>6003</v>
          </cell>
          <cell r="E2010">
            <v>1000</v>
          </cell>
          <cell r="F2010" t="str">
            <v>ZALM</v>
          </cell>
          <cell r="G2010" t="str">
            <v>UN</v>
          </cell>
          <cell r="H2010" t="str">
            <v>DOP</v>
          </cell>
          <cell r="I2010">
            <v>0</v>
          </cell>
          <cell r="J2010">
            <v>0</v>
          </cell>
          <cell r="K2010">
            <v>0</v>
          </cell>
          <cell r="L2010">
            <v>0</v>
          </cell>
          <cell r="M2010">
            <v>0</v>
          </cell>
          <cell r="N2010">
            <v>0</v>
          </cell>
          <cell r="O2010">
            <v>0</v>
          </cell>
          <cell r="P2010">
            <v>0</v>
          </cell>
          <cell r="Q2010">
            <v>0</v>
          </cell>
          <cell r="R2010">
            <v>0</v>
          </cell>
          <cell r="S2010">
            <v>0</v>
          </cell>
          <cell r="T2010">
            <v>0</v>
          </cell>
          <cell r="U2010" t="e">
            <v>#N/A</v>
          </cell>
        </row>
        <row r="2011">
          <cell r="A2011">
            <v>1002005</v>
          </cell>
          <cell r="B2011" t="str">
            <v>Terminal Mang Macho MPT 3/8"x3/8"</v>
          </cell>
          <cell r="D2011">
            <v>6003</v>
          </cell>
          <cell r="E2011">
            <v>1000</v>
          </cell>
          <cell r="F2011" t="str">
            <v>ZALM</v>
          </cell>
          <cell r="G2011" t="str">
            <v>UN</v>
          </cell>
          <cell r="H2011" t="str">
            <v>DOP</v>
          </cell>
          <cell r="I2011">
            <v>0</v>
          </cell>
          <cell r="J2011">
            <v>0</v>
          </cell>
          <cell r="K2011">
            <v>0</v>
          </cell>
          <cell r="L2011">
            <v>0</v>
          </cell>
          <cell r="M2011">
            <v>0</v>
          </cell>
          <cell r="N2011">
            <v>0</v>
          </cell>
          <cell r="O2011">
            <v>0</v>
          </cell>
          <cell r="P2011">
            <v>0</v>
          </cell>
          <cell r="Q2011">
            <v>0</v>
          </cell>
          <cell r="R2011">
            <v>0</v>
          </cell>
          <cell r="S2011">
            <v>0</v>
          </cell>
          <cell r="T2011">
            <v>0</v>
          </cell>
          <cell r="U2011" t="e">
            <v>#N/A</v>
          </cell>
        </row>
        <row r="2012">
          <cell r="A2012">
            <v>1002006</v>
          </cell>
          <cell r="B2012" t="str">
            <v>Terminal NEMA 2 Aguj P/ Recl COOPER</v>
          </cell>
          <cell r="D2012">
            <v>6003</v>
          </cell>
          <cell r="E2012">
            <v>1000</v>
          </cell>
          <cell r="F2012" t="str">
            <v>ZALM</v>
          </cell>
          <cell r="G2012" t="str">
            <v>UN</v>
          </cell>
          <cell r="H2012" t="str">
            <v>DOP</v>
          </cell>
          <cell r="I2012">
            <v>0</v>
          </cell>
          <cell r="J2012">
            <v>0</v>
          </cell>
          <cell r="K2012">
            <v>0</v>
          </cell>
          <cell r="L2012">
            <v>0</v>
          </cell>
          <cell r="M2012">
            <v>0</v>
          </cell>
          <cell r="N2012">
            <v>0</v>
          </cell>
          <cell r="O2012">
            <v>0</v>
          </cell>
          <cell r="P2012">
            <v>0</v>
          </cell>
          <cell r="Q2012">
            <v>0</v>
          </cell>
          <cell r="R2012">
            <v>0</v>
          </cell>
          <cell r="S2012">
            <v>0</v>
          </cell>
          <cell r="T2012">
            <v>0</v>
          </cell>
          <cell r="U2012" t="e">
            <v>#N/A</v>
          </cell>
        </row>
        <row r="2013">
          <cell r="A2013">
            <v>1002007</v>
          </cell>
          <cell r="B2013" t="str">
            <v>Terminal Ojo Cerrado 3/8" 10-12D-01-1106</v>
          </cell>
          <cell r="D2013">
            <v>6003</v>
          </cell>
          <cell r="E2013">
            <v>1000</v>
          </cell>
          <cell r="F2013" t="str">
            <v>ZALM</v>
          </cell>
          <cell r="G2013" t="str">
            <v>UN</v>
          </cell>
          <cell r="H2013" t="str">
            <v>DOP</v>
          </cell>
          <cell r="I2013">
            <v>0</v>
          </cell>
          <cell r="J2013">
            <v>0</v>
          </cell>
          <cell r="K2013">
            <v>0</v>
          </cell>
          <cell r="L2013">
            <v>0</v>
          </cell>
          <cell r="M2013">
            <v>0</v>
          </cell>
          <cell r="N2013">
            <v>0</v>
          </cell>
          <cell r="O2013">
            <v>0</v>
          </cell>
          <cell r="P2013">
            <v>0</v>
          </cell>
          <cell r="Q2013">
            <v>0</v>
          </cell>
          <cell r="R2013">
            <v>0</v>
          </cell>
          <cell r="S2013">
            <v>0</v>
          </cell>
          <cell r="T2013">
            <v>0</v>
          </cell>
          <cell r="U2013" t="e">
            <v>#N/A</v>
          </cell>
        </row>
        <row r="2014">
          <cell r="A2014">
            <v>1002008</v>
          </cell>
          <cell r="B2014" t="str">
            <v>Terminal Ojo Cerrado Amarillo 10-12 3M</v>
          </cell>
          <cell r="D2014">
            <v>6003</v>
          </cell>
          <cell r="E2014">
            <v>1000</v>
          </cell>
          <cell r="F2014" t="str">
            <v>ZALM</v>
          </cell>
          <cell r="G2014" t="str">
            <v>UN</v>
          </cell>
          <cell r="H2014" t="str">
            <v>DOP</v>
          </cell>
          <cell r="I2014">
            <v>619</v>
          </cell>
          <cell r="J2014">
            <v>1392.75</v>
          </cell>
          <cell r="K2014">
            <v>0</v>
          </cell>
          <cell r="L2014">
            <v>0</v>
          </cell>
          <cell r="M2014">
            <v>0</v>
          </cell>
          <cell r="N2014">
            <v>0</v>
          </cell>
          <cell r="O2014">
            <v>0</v>
          </cell>
          <cell r="P2014">
            <v>0</v>
          </cell>
          <cell r="Q2014">
            <v>207</v>
          </cell>
          <cell r="R2014">
            <v>465.75</v>
          </cell>
          <cell r="S2014">
            <v>826</v>
          </cell>
          <cell r="T2014">
            <v>1858.5</v>
          </cell>
          <cell r="U2014">
            <v>2.25</v>
          </cell>
        </row>
        <row r="2015">
          <cell r="A2015">
            <v>1002009</v>
          </cell>
          <cell r="B2015" t="str">
            <v>Terminal P/ Alm No.12</v>
          </cell>
          <cell r="D2015">
            <v>6003</v>
          </cell>
          <cell r="E2015">
            <v>1000</v>
          </cell>
          <cell r="F2015" t="str">
            <v>ZALM</v>
          </cell>
          <cell r="G2015" t="str">
            <v>UN</v>
          </cell>
          <cell r="H2015" t="str">
            <v>DOP</v>
          </cell>
          <cell r="I2015">
            <v>0</v>
          </cell>
          <cell r="J2015">
            <v>0</v>
          </cell>
          <cell r="K2015">
            <v>0</v>
          </cell>
          <cell r="L2015">
            <v>0</v>
          </cell>
          <cell r="M2015">
            <v>0</v>
          </cell>
          <cell r="N2015">
            <v>0</v>
          </cell>
          <cell r="O2015">
            <v>0</v>
          </cell>
          <cell r="P2015">
            <v>0</v>
          </cell>
          <cell r="Q2015">
            <v>0</v>
          </cell>
          <cell r="R2015">
            <v>0</v>
          </cell>
          <cell r="S2015">
            <v>0</v>
          </cell>
          <cell r="T2015">
            <v>0</v>
          </cell>
          <cell r="U2015" t="e">
            <v>#N/A</v>
          </cell>
        </row>
        <row r="2016">
          <cell r="A2016">
            <v>1002010</v>
          </cell>
          <cell r="B2016" t="str">
            <v>TERMINAL P/BUSHING 1 1/2"X2"</v>
          </cell>
          <cell r="D2016">
            <v>6003</v>
          </cell>
          <cell r="E2016">
            <v>1000</v>
          </cell>
          <cell r="F2016" t="str">
            <v>ZALM</v>
          </cell>
          <cell r="G2016" t="str">
            <v>UN</v>
          </cell>
          <cell r="H2016" t="str">
            <v>DOP</v>
          </cell>
          <cell r="I2016">
            <v>0</v>
          </cell>
          <cell r="J2016">
            <v>0</v>
          </cell>
          <cell r="K2016">
            <v>0</v>
          </cell>
          <cell r="L2016">
            <v>0</v>
          </cell>
          <cell r="M2016">
            <v>0</v>
          </cell>
          <cell r="N2016">
            <v>0</v>
          </cell>
          <cell r="O2016">
            <v>0</v>
          </cell>
          <cell r="P2016">
            <v>0</v>
          </cell>
          <cell r="Q2016">
            <v>0</v>
          </cell>
          <cell r="R2016">
            <v>0</v>
          </cell>
          <cell r="S2016">
            <v>0</v>
          </cell>
          <cell r="T2016">
            <v>0</v>
          </cell>
          <cell r="U2016" t="e">
            <v>#N/A</v>
          </cell>
        </row>
        <row r="2017">
          <cell r="A2017">
            <v>1002011</v>
          </cell>
          <cell r="B2017" t="str">
            <v>Terminal P/ Cable Aisl 15kV</v>
          </cell>
          <cell r="D2017">
            <v>6003</v>
          </cell>
          <cell r="E2017">
            <v>1000</v>
          </cell>
          <cell r="F2017" t="str">
            <v>ZALM</v>
          </cell>
          <cell r="G2017" t="str">
            <v>UN</v>
          </cell>
          <cell r="H2017" t="str">
            <v>DOP</v>
          </cell>
          <cell r="I2017">
            <v>0</v>
          </cell>
          <cell r="J2017">
            <v>0</v>
          </cell>
          <cell r="K2017">
            <v>0</v>
          </cell>
          <cell r="L2017">
            <v>0</v>
          </cell>
          <cell r="M2017">
            <v>0</v>
          </cell>
          <cell r="N2017">
            <v>0</v>
          </cell>
          <cell r="O2017">
            <v>0</v>
          </cell>
          <cell r="P2017">
            <v>0</v>
          </cell>
          <cell r="Q2017">
            <v>0</v>
          </cell>
          <cell r="R2017">
            <v>0</v>
          </cell>
          <cell r="S2017">
            <v>0</v>
          </cell>
          <cell r="T2017">
            <v>0</v>
          </cell>
          <cell r="U2017" t="e">
            <v>#N/A</v>
          </cell>
        </row>
        <row r="2018">
          <cell r="A2018">
            <v>1002012</v>
          </cell>
          <cell r="B2018" t="str">
            <v>Terminal P/ Planch Cu 4 Aguj 3/8" x12"</v>
          </cell>
          <cell r="D2018">
            <v>6003</v>
          </cell>
          <cell r="E2018">
            <v>1000</v>
          </cell>
          <cell r="F2018" t="str">
            <v>ZALM</v>
          </cell>
          <cell r="G2018" t="str">
            <v>UN</v>
          </cell>
          <cell r="H2018" t="str">
            <v>DOP</v>
          </cell>
          <cell r="I2018">
            <v>6</v>
          </cell>
          <cell r="J2018">
            <v>6</v>
          </cell>
          <cell r="K2018">
            <v>0</v>
          </cell>
          <cell r="L2018">
            <v>0</v>
          </cell>
          <cell r="M2018">
            <v>0</v>
          </cell>
          <cell r="N2018">
            <v>0</v>
          </cell>
          <cell r="O2018">
            <v>0</v>
          </cell>
          <cell r="P2018">
            <v>0</v>
          </cell>
          <cell r="Q2018">
            <v>0</v>
          </cell>
          <cell r="R2018">
            <v>0</v>
          </cell>
          <cell r="S2018">
            <v>6</v>
          </cell>
          <cell r="T2018">
            <v>6</v>
          </cell>
          <cell r="U2018">
            <v>1</v>
          </cell>
        </row>
        <row r="2019">
          <cell r="A2019">
            <v>1002013</v>
          </cell>
          <cell r="B2019" t="str">
            <v>Terminal P/ Tubo Aluminio 1220-90R</v>
          </cell>
          <cell r="D2019">
            <v>6003</v>
          </cell>
          <cell r="E2019">
            <v>1000</v>
          </cell>
          <cell r="F2019" t="str">
            <v>ZALM</v>
          </cell>
          <cell r="G2019" t="str">
            <v>UN</v>
          </cell>
          <cell r="H2019" t="str">
            <v>DOP</v>
          </cell>
          <cell r="I2019">
            <v>25</v>
          </cell>
          <cell r="J2019">
            <v>25</v>
          </cell>
          <cell r="K2019">
            <v>0</v>
          </cell>
          <cell r="L2019">
            <v>0</v>
          </cell>
          <cell r="M2019">
            <v>0</v>
          </cell>
          <cell r="N2019">
            <v>0</v>
          </cell>
          <cell r="O2019">
            <v>0</v>
          </cell>
          <cell r="P2019">
            <v>0</v>
          </cell>
          <cell r="Q2019">
            <v>0</v>
          </cell>
          <cell r="R2019">
            <v>0</v>
          </cell>
          <cell r="S2019">
            <v>25</v>
          </cell>
          <cell r="T2019">
            <v>25</v>
          </cell>
          <cell r="U2019">
            <v>1</v>
          </cell>
        </row>
        <row r="2020">
          <cell r="A2020">
            <v>1002014</v>
          </cell>
          <cell r="B2020" t="str">
            <v>Terminal P/ Tubo Aluminio 2' 600-900MCM</v>
          </cell>
          <cell r="D2020">
            <v>6003</v>
          </cell>
          <cell r="E2020">
            <v>1000</v>
          </cell>
          <cell r="F2020" t="str">
            <v>ZALM</v>
          </cell>
          <cell r="G2020" t="str">
            <v>UN</v>
          </cell>
          <cell r="H2020" t="str">
            <v>DOP</v>
          </cell>
          <cell r="I2020">
            <v>0</v>
          </cell>
          <cell r="J2020">
            <v>0</v>
          </cell>
          <cell r="K2020">
            <v>0</v>
          </cell>
          <cell r="L2020">
            <v>0</v>
          </cell>
          <cell r="M2020">
            <v>0</v>
          </cell>
          <cell r="N2020">
            <v>0</v>
          </cell>
          <cell r="O2020">
            <v>0</v>
          </cell>
          <cell r="P2020">
            <v>0</v>
          </cell>
          <cell r="Q2020">
            <v>0</v>
          </cell>
          <cell r="R2020">
            <v>0</v>
          </cell>
          <cell r="S2020">
            <v>0</v>
          </cell>
          <cell r="T2020">
            <v>0</v>
          </cell>
          <cell r="U2020" t="e">
            <v>#N/A</v>
          </cell>
        </row>
        <row r="2021">
          <cell r="A2021">
            <v>1002015</v>
          </cell>
          <cell r="B2021" t="str">
            <v>Terminal Pin Tipo Compresión #2</v>
          </cell>
          <cell r="D2021">
            <v>6003</v>
          </cell>
          <cell r="E2021">
            <v>1000</v>
          </cell>
          <cell r="F2021" t="str">
            <v>ZALM</v>
          </cell>
          <cell r="G2021" t="str">
            <v>UN</v>
          </cell>
          <cell r="H2021" t="str">
            <v>DOP</v>
          </cell>
          <cell r="I2021">
            <v>0</v>
          </cell>
          <cell r="J2021">
            <v>0</v>
          </cell>
          <cell r="K2021">
            <v>0</v>
          </cell>
          <cell r="L2021">
            <v>0</v>
          </cell>
          <cell r="M2021">
            <v>0</v>
          </cell>
          <cell r="N2021">
            <v>0</v>
          </cell>
          <cell r="O2021">
            <v>0</v>
          </cell>
          <cell r="P2021">
            <v>0</v>
          </cell>
          <cell r="Q2021">
            <v>0</v>
          </cell>
          <cell r="R2021">
            <v>0</v>
          </cell>
          <cell r="S2021">
            <v>0</v>
          </cell>
          <cell r="T2021">
            <v>0</v>
          </cell>
          <cell r="U2021" t="e">
            <v>#N/A</v>
          </cell>
        </row>
        <row r="2022">
          <cell r="A2022">
            <v>1002016</v>
          </cell>
          <cell r="B2022" t="str">
            <v>Terminal Pin Tipo Compresión #2/0</v>
          </cell>
          <cell r="D2022">
            <v>6003</v>
          </cell>
          <cell r="E2022">
            <v>1000</v>
          </cell>
          <cell r="F2022" t="str">
            <v>ZALM</v>
          </cell>
          <cell r="G2022" t="str">
            <v>UN</v>
          </cell>
          <cell r="H2022" t="str">
            <v>DOP</v>
          </cell>
          <cell r="I2022">
            <v>0</v>
          </cell>
          <cell r="J2022">
            <v>0</v>
          </cell>
          <cell r="K2022">
            <v>0</v>
          </cell>
          <cell r="L2022">
            <v>0</v>
          </cell>
          <cell r="M2022">
            <v>300</v>
          </cell>
          <cell r="N2022">
            <v>48720</v>
          </cell>
          <cell r="O2022">
            <v>0</v>
          </cell>
          <cell r="P2022">
            <v>0</v>
          </cell>
          <cell r="Q2022">
            <v>0</v>
          </cell>
          <cell r="R2022">
            <v>0</v>
          </cell>
          <cell r="S2022">
            <v>300</v>
          </cell>
          <cell r="T2022">
            <v>48720</v>
          </cell>
          <cell r="U2022">
            <v>162.4</v>
          </cell>
        </row>
        <row r="2023">
          <cell r="A2023">
            <v>1002017</v>
          </cell>
          <cell r="B2023" t="str">
            <v>Terminal Preformada P/465.4</v>
          </cell>
          <cell r="D2023">
            <v>6003</v>
          </cell>
          <cell r="E2023">
            <v>1000</v>
          </cell>
          <cell r="F2023" t="str">
            <v>ZALM</v>
          </cell>
          <cell r="G2023" t="str">
            <v>UN</v>
          </cell>
          <cell r="H2023" t="str">
            <v>DOP</v>
          </cell>
          <cell r="I2023">
            <v>0</v>
          </cell>
          <cell r="J2023">
            <v>0</v>
          </cell>
          <cell r="K2023">
            <v>0</v>
          </cell>
          <cell r="L2023">
            <v>0</v>
          </cell>
          <cell r="M2023">
            <v>0</v>
          </cell>
          <cell r="N2023">
            <v>0</v>
          </cell>
          <cell r="O2023">
            <v>0</v>
          </cell>
          <cell r="P2023">
            <v>0</v>
          </cell>
          <cell r="Q2023">
            <v>0</v>
          </cell>
          <cell r="R2023">
            <v>0</v>
          </cell>
          <cell r="S2023">
            <v>0</v>
          </cell>
          <cell r="T2023">
            <v>0</v>
          </cell>
          <cell r="U2023" t="e">
            <v>#N/A</v>
          </cell>
        </row>
        <row r="2024">
          <cell r="A2024">
            <v>1002018</v>
          </cell>
          <cell r="B2024" t="str">
            <v>Terminal Preformado 3/8"</v>
          </cell>
          <cell r="D2024">
            <v>6003</v>
          </cell>
          <cell r="E2024">
            <v>1000</v>
          </cell>
          <cell r="F2024" t="str">
            <v>ZALM</v>
          </cell>
          <cell r="G2024" t="str">
            <v>UN</v>
          </cell>
          <cell r="H2024" t="str">
            <v>DOP</v>
          </cell>
          <cell r="I2024">
            <v>0</v>
          </cell>
          <cell r="J2024">
            <v>0</v>
          </cell>
          <cell r="K2024">
            <v>0</v>
          </cell>
          <cell r="L2024">
            <v>0</v>
          </cell>
          <cell r="M2024">
            <v>0</v>
          </cell>
          <cell r="N2024">
            <v>0</v>
          </cell>
          <cell r="O2024">
            <v>0</v>
          </cell>
          <cell r="P2024">
            <v>0</v>
          </cell>
          <cell r="Q2024">
            <v>0</v>
          </cell>
          <cell r="R2024">
            <v>0</v>
          </cell>
          <cell r="S2024">
            <v>0</v>
          </cell>
          <cell r="T2024">
            <v>0</v>
          </cell>
          <cell r="U2024" t="e">
            <v>#N/A</v>
          </cell>
        </row>
        <row r="2025">
          <cell r="A2025">
            <v>1002019</v>
          </cell>
          <cell r="B2025" t="str">
            <v>Terminal Preformado 5/16"</v>
          </cell>
          <cell r="D2025">
            <v>6003</v>
          </cell>
          <cell r="E2025">
            <v>1000</v>
          </cell>
          <cell r="F2025" t="str">
            <v>ZALM</v>
          </cell>
          <cell r="G2025" t="str">
            <v>UN</v>
          </cell>
          <cell r="H2025" t="str">
            <v>DOP</v>
          </cell>
          <cell r="I2025">
            <v>609</v>
          </cell>
          <cell r="J2025">
            <v>40395.699999999997</v>
          </cell>
          <cell r="K2025">
            <v>0</v>
          </cell>
          <cell r="L2025">
            <v>0</v>
          </cell>
          <cell r="M2025">
            <v>2</v>
          </cell>
          <cell r="N2025">
            <v>132.66</v>
          </cell>
          <cell r="O2025">
            <v>0</v>
          </cell>
          <cell r="P2025">
            <v>0</v>
          </cell>
          <cell r="Q2025">
            <v>21</v>
          </cell>
          <cell r="R2025">
            <v>1392.96</v>
          </cell>
          <cell r="S2025">
            <v>632</v>
          </cell>
          <cell r="T2025">
            <v>41921.32</v>
          </cell>
          <cell r="U2025">
            <v>66.331202531645602</v>
          </cell>
        </row>
        <row r="2026">
          <cell r="A2026">
            <v>1002020</v>
          </cell>
          <cell r="B2026" t="str">
            <v>Terminal Preformado 7/16"</v>
          </cell>
          <cell r="D2026">
            <v>6003</v>
          </cell>
          <cell r="E2026">
            <v>1000</v>
          </cell>
          <cell r="F2026" t="str">
            <v>ZALM</v>
          </cell>
          <cell r="G2026" t="str">
            <v>UN</v>
          </cell>
          <cell r="H2026" t="str">
            <v>DOP</v>
          </cell>
          <cell r="I2026">
            <v>0</v>
          </cell>
          <cell r="J2026">
            <v>0</v>
          </cell>
          <cell r="K2026">
            <v>0</v>
          </cell>
          <cell r="L2026">
            <v>0</v>
          </cell>
          <cell r="M2026">
            <v>2</v>
          </cell>
          <cell r="N2026">
            <v>132.66</v>
          </cell>
          <cell r="O2026">
            <v>0</v>
          </cell>
          <cell r="P2026">
            <v>0</v>
          </cell>
          <cell r="Q2026">
            <v>0</v>
          </cell>
          <cell r="R2026">
            <v>0</v>
          </cell>
          <cell r="S2026">
            <v>2</v>
          </cell>
          <cell r="T2026">
            <v>132.66</v>
          </cell>
          <cell r="U2026">
            <v>66.33</v>
          </cell>
        </row>
        <row r="2027">
          <cell r="A2027">
            <v>1002021</v>
          </cell>
          <cell r="B2027" t="str">
            <v>Terminal SAM 1000-2N 2 Aguj Cu-Al</v>
          </cell>
          <cell r="D2027">
            <v>6003</v>
          </cell>
          <cell r="E2027">
            <v>1000</v>
          </cell>
          <cell r="F2027" t="str">
            <v>ZALM</v>
          </cell>
          <cell r="G2027" t="str">
            <v>UN</v>
          </cell>
          <cell r="H2027" t="str">
            <v>DOP</v>
          </cell>
          <cell r="I2027">
            <v>27</v>
          </cell>
          <cell r="J2027">
            <v>14877</v>
          </cell>
          <cell r="K2027">
            <v>0</v>
          </cell>
          <cell r="L2027">
            <v>0</v>
          </cell>
          <cell r="M2027">
            <v>0</v>
          </cell>
          <cell r="N2027">
            <v>0</v>
          </cell>
          <cell r="O2027">
            <v>0</v>
          </cell>
          <cell r="P2027">
            <v>0</v>
          </cell>
          <cell r="Q2027">
            <v>0</v>
          </cell>
          <cell r="R2027">
            <v>0</v>
          </cell>
          <cell r="S2027">
            <v>27</v>
          </cell>
          <cell r="T2027">
            <v>14877</v>
          </cell>
          <cell r="U2027">
            <v>551</v>
          </cell>
        </row>
        <row r="2028">
          <cell r="A2028">
            <v>1002022</v>
          </cell>
          <cell r="B2028" t="str">
            <v>Terminal SAM 1000-4N 4 Aguj Cu-Al</v>
          </cell>
          <cell r="D2028">
            <v>6003</v>
          </cell>
          <cell r="E2028">
            <v>1000</v>
          </cell>
          <cell r="F2028" t="str">
            <v>ZALM</v>
          </cell>
          <cell r="G2028" t="str">
            <v>UN</v>
          </cell>
          <cell r="H2028" t="str">
            <v>DOP</v>
          </cell>
          <cell r="I2028">
            <v>7</v>
          </cell>
          <cell r="J2028">
            <v>14210</v>
          </cell>
          <cell r="K2028">
            <v>0</v>
          </cell>
          <cell r="L2028">
            <v>0</v>
          </cell>
          <cell r="M2028">
            <v>0</v>
          </cell>
          <cell r="N2028">
            <v>0</v>
          </cell>
          <cell r="O2028">
            <v>0</v>
          </cell>
          <cell r="P2028">
            <v>0</v>
          </cell>
          <cell r="Q2028">
            <v>0</v>
          </cell>
          <cell r="R2028">
            <v>0</v>
          </cell>
          <cell r="S2028">
            <v>7</v>
          </cell>
          <cell r="T2028">
            <v>14210</v>
          </cell>
          <cell r="U2028">
            <v>2030</v>
          </cell>
        </row>
        <row r="2029">
          <cell r="A2029">
            <v>1002023</v>
          </cell>
          <cell r="B2029" t="str">
            <v>Terminal SAM 250-4N 4 Aguj Cu-Al</v>
          </cell>
          <cell r="D2029">
            <v>6003</v>
          </cell>
          <cell r="E2029">
            <v>1000</v>
          </cell>
          <cell r="F2029" t="str">
            <v>ZALM</v>
          </cell>
          <cell r="G2029" t="str">
            <v>UN</v>
          </cell>
          <cell r="H2029" t="str">
            <v>DOP</v>
          </cell>
          <cell r="I2029">
            <v>19</v>
          </cell>
          <cell r="J2029">
            <v>9095.68</v>
          </cell>
          <cell r="K2029">
            <v>0</v>
          </cell>
          <cell r="L2029">
            <v>0</v>
          </cell>
          <cell r="M2029">
            <v>0</v>
          </cell>
          <cell r="N2029">
            <v>0</v>
          </cell>
          <cell r="O2029">
            <v>0</v>
          </cell>
          <cell r="P2029">
            <v>0</v>
          </cell>
          <cell r="Q2029">
            <v>0</v>
          </cell>
          <cell r="R2029">
            <v>0</v>
          </cell>
          <cell r="S2029">
            <v>19</v>
          </cell>
          <cell r="T2029">
            <v>9095.68</v>
          </cell>
          <cell r="U2029">
            <v>478.72</v>
          </cell>
        </row>
        <row r="2030">
          <cell r="A2030">
            <v>1002024</v>
          </cell>
          <cell r="B2030" t="str">
            <v>Terminal SAM 500-2N 2 Aguj Cu-Al</v>
          </cell>
          <cell r="D2030">
            <v>6003</v>
          </cell>
          <cell r="E2030">
            <v>1000</v>
          </cell>
          <cell r="F2030" t="str">
            <v>ZALM</v>
          </cell>
          <cell r="G2030" t="str">
            <v>UN</v>
          </cell>
          <cell r="H2030" t="str">
            <v>DOP</v>
          </cell>
          <cell r="I2030">
            <v>0</v>
          </cell>
          <cell r="J2030">
            <v>0</v>
          </cell>
          <cell r="K2030">
            <v>0</v>
          </cell>
          <cell r="L2030">
            <v>0</v>
          </cell>
          <cell r="M2030">
            <v>0</v>
          </cell>
          <cell r="N2030">
            <v>0</v>
          </cell>
          <cell r="O2030">
            <v>0</v>
          </cell>
          <cell r="P2030">
            <v>0</v>
          </cell>
          <cell r="Q2030">
            <v>0</v>
          </cell>
          <cell r="R2030">
            <v>0</v>
          </cell>
          <cell r="S2030">
            <v>0</v>
          </cell>
          <cell r="T2030">
            <v>0</v>
          </cell>
          <cell r="U2030" t="e">
            <v>#N/A</v>
          </cell>
        </row>
        <row r="2031">
          <cell r="A2031">
            <v>1002025</v>
          </cell>
          <cell r="B2031" t="str">
            <v>Terminal SAM 500-4N 4 Aguj Cu-Al</v>
          </cell>
          <cell r="D2031">
            <v>6003</v>
          </cell>
          <cell r="E2031">
            <v>1000</v>
          </cell>
          <cell r="F2031" t="str">
            <v>ZALM</v>
          </cell>
          <cell r="G2031" t="str">
            <v>UN</v>
          </cell>
          <cell r="H2031" t="str">
            <v>DOP</v>
          </cell>
          <cell r="I2031">
            <v>0</v>
          </cell>
          <cell r="J2031">
            <v>0</v>
          </cell>
          <cell r="K2031">
            <v>0</v>
          </cell>
          <cell r="L2031">
            <v>0</v>
          </cell>
          <cell r="M2031">
            <v>0</v>
          </cell>
          <cell r="N2031">
            <v>0</v>
          </cell>
          <cell r="O2031">
            <v>0</v>
          </cell>
          <cell r="P2031">
            <v>0</v>
          </cell>
          <cell r="Q2031">
            <v>0</v>
          </cell>
          <cell r="R2031">
            <v>0</v>
          </cell>
          <cell r="S2031">
            <v>0</v>
          </cell>
          <cell r="T2031">
            <v>0</v>
          </cell>
          <cell r="U2031" t="e">
            <v>#N/A</v>
          </cell>
        </row>
        <row r="2032">
          <cell r="A2032">
            <v>1002026</v>
          </cell>
          <cell r="B2032" t="str">
            <v>Terminal SAM 600-4N 4 Aguj Cu-Al</v>
          </cell>
          <cell r="D2032">
            <v>6003</v>
          </cell>
          <cell r="E2032">
            <v>1000</v>
          </cell>
          <cell r="F2032" t="str">
            <v>ZALM</v>
          </cell>
          <cell r="G2032" t="str">
            <v>UN</v>
          </cell>
          <cell r="H2032" t="str">
            <v>DOP</v>
          </cell>
          <cell r="I2032">
            <v>0</v>
          </cell>
          <cell r="J2032">
            <v>0</v>
          </cell>
          <cell r="K2032">
            <v>0</v>
          </cell>
          <cell r="L2032">
            <v>0</v>
          </cell>
          <cell r="M2032">
            <v>0</v>
          </cell>
          <cell r="N2032">
            <v>0</v>
          </cell>
          <cell r="O2032">
            <v>0</v>
          </cell>
          <cell r="P2032">
            <v>0</v>
          </cell>
          <cell r="Q2032">
            <v>0</v>
          </cell>
          <cell r="R2032">
            <v>0</v>
          </cell>
          <cell r="S2032">
            <v>0</v>
          </cell>
          <cell r="T2032">
            <v>0</v>
          </cell>
          <cell r="U2032" t="e">
            <v>#N/A</v>
          </cell>
        </row>
        <row r="2033">
          <cell r="A2033">
            <v>1002027</v>
          </cell>
          <cell r="B2033" t="str">
            <v>Terminal SAM 750 N 608 2 Aguj Cu-Al</v>
          </cell>
          <cell r="D2033">
            <v>6003</v>
          </cell>
          <cell r="E2033">
            <v>1000</v>
          </cell>
          <cell r="F2033" t="str">
            <v>ZALM</v>
          </cell>
          <cell r="G2033" t="str">
            <v>UN</v>
          </cell>
          <cell r="H2033" t="str">
            <v>DOP</v>
          </cell>
          <cell r="I2033">
            <v>0</v>
          </cell>
          <cell r="J2033">
            <v>0</v>
          </cell>
          <cell r="K2033">
            <v>0</v>
          </cell>
          <cell r="L2033">
            <v>0</v>
          </cell>
          <cell r="M2033">
            <v>0</v>
          </cell>
          <cell r="N2033">
            <v>0</v>
          </cell>
          <cell r="O2033">
            <v>0</v>
          </cell>
          <cell r="P2033">
            <v>0</v>
          </cell>
          <cell r="Q2033">
            <v>0</v>
          </cell>
          <cell r="R2033">
            <v>0</v>
          </cell>
          <cell r="S2033">
            <v>0</v>
          </cell>
          <cell r="T2033">
            <v>0</v>
          </cell>
          <cell r="U2033" t="e">
            <v>#N/A</v>
          </cell>
        </row>
        <row r="2034">
          <cell r="A2034">
            <v>1002028</v>
          </cell>
          <cell r="B2034" t="str">
            <v>Terminal T/ PIN Bimet Compr P/ Cond 4/0</v>
          </cell>
          <cell r="D2034">
            <v>6003</v>
          </cell>
          <cell r="E2034">
            <v>1000</v>
          </cell>
          <cell r="F2034" t="str">
            <v>ZALM</v>
          </cell>
          <cell r="G2034" t="str">
            <v>UN</v>
          </cell>
          <cell r="H2034" t="str">
            <v>DOP</v>
          </cell>
          <cell r="I2034">
            <v>0</v>
          </cell>
          <cell r="J2034">
            <v>0</v>
          </cell>
          <cell r="K2034">
            <v>0</v>
          </cell>
          <cell r="L2034">
            <v>0</v>
          </cell>
          <cell r="M2034">
            <v>0</v>
          </cell>
          <cell r="N2034">
            <v>0</v>
          </cell>
          <cell r="O2034">
            <v>0</v>
          </cell>
          <cell r="P2034">
            <v>0</v>
          </cell>
          <cell r="Q2034">
            <v>0</v>
          </cell>
          <cell r="R2034">
            <v>0</v>
          </cell>
          <cell r="S2034">
            <v>0</v>
          </cell>
          <cell r="T2034">
            <v>0</v>
          </cell>
          <cell r="U2034" t="e">
            <v>#N/A</v>
          </cell>
        </row>
        <row r="2035">
          <cell r="A2035">
            <v>1002029</v>
          </cell>
          <cell r="B2035" t="str">
            <v>Terminal T/ Planch Cu 4 Aguj 2/0-500 MCM</v>
          </cell>
          <cell r="D2035">
            <v>6003</v>
          </cell>
          <cell r="E2035">
            <v>1000</v>
          </cell>
          <cell r="F2035" t="str">
            <v>ZALM</v>
          </cell>
          <cell r="G2035" t="str">
            <v>UN</v>
          </cell>
          <cell r="H2035" t="str">
            <v>DOP</v>
          </cell>
          <cell r="I2035">
            <v>5</v>
          </cell>
          <cell r="J2035">
            <v>5</v>
          </cell>
          <cell r="K2035">
            <v>0</v>
          </cell>
          <cell r="L2035">
            <v>0</v>
          </cell>
          <cell r="M2035">
            <v>0</v>
          </cell>
          <cell r="N2035">
            <v>0</v>
          </cell>
          <cell r="O2035">
            <v>0</v>
          </cell>
          <cell r="P2035">
            <v>0</v>
          </cell>
          <cell r="Q2035">
            <v>0</v>
          </cell>
          <cell r="R2035">
            <v>0</v>
          </cell>
          <cell r="S2035">
            <v>5</v>
          </cell>
          <cell r="T2035">
            <v>5</v>
          </cell>
          <cell r="U2035">
            <v>1</v>
          </cell>
        </row>
        <row r="2036">
          <cell r="A2036">
            <v>1002030</v>
          </cell>
          <cell r="B2036" t="str">
            <v>Terminal T/ Planchuela 4 Aguj 1 1/2"</v>
          </cell>
          <cell r="D2036">
            <v>6003</v>
          </cell>
          <cell r="E2036">
            <v>1000</v>
          </cell>
          <cell r="F2036" t="str">
            <v>ZALM</v>
          </cell>
          <cell r="G2036" t="str">
            <v>UN</v>
          </cell>
          <cell r="H2036" t="str">
            <v>DOP</v>
          </cell>
          <cell r="I2036">
            <v>0</v>
          </cell>
          <cell r="J2036">
            <v>0</v>
          </cell>
          <cell r="K2036">
            <v>0</v>
          </cell>
          <cell r="L2036">
            <v>0</v>
          </cell>
          <cell r="M2036">
            <v>0</v>
          </cell>
          <cell r="N2036">
            <v>0</v>
          </cell>
          <cell r="O2036">
            <v>0</v>
          </cell>
          <cell r="P2036">
            <v>0</v>
          </cell>
          <cell r="Q2036">
            <v>0</v>
          </cell>
          <cell r="R2036">
            <v>0</v>
          </cell>
          <cell r="S2036">
            <v>0</v>
          </cell>
          <cell r="T2036">
            <v>0</v>
          </cell>
          <cell r="U2036" t="e">
            <v>#N/A</v>
          </cell>
        </row>
        <row r="2037">
          <cell r="A2037">
            <v>1002031</v>
          </cell>
          <cell r="B2037" t="str">
            <v>Terminal T/ Planchula P/ Tubo 2"</v>
          </cell>
          <cell r="D2037">
            <v>6003</v>
          </cell>
          <cell r="E2037">
            <v>1000</v>
          </cell>
          <cell r="F2037" t="str">
            <v>ZALM</v>
          </cell>
          <cell r="G2037" t="str">
            <v>UN</v>
          </cell>
          <cell r="H2037" t="str">
            <v>DOP</v>
          </cell>
          <cell r="I2037">
            <v>0</v>
          </cell>
          <cell r="J2037">
            <v>0</v>
          </cell>
          <cell r="K2037">
            <v>0</v>
          </cell>
          <cell r="L2037">
            <v>0</v>
          </cell>
          <cell r="M2037">
            <v>0</v>
          </cell>
          <cell r="N2037">
            <v>0</v>
          </cell>
          <cell r="O2037">
            <v>0</v>
          </cell>
          <cell r="P2037">
            <v>0</v>
          </cell>
          <cell r="Q2037">
            <v>0</v>
          </cell>
          <cell r="R2037">
            <v>0</v>
          </cell>
          <cell r="S2037">
            <v>0</v>
          </cell>
          <cell r="T2037">
            <v>0</v>
          </cell>
          <cell r="U2037" t="e">
            <v>#N/A</v>
          </cell>
        </row>
        <row r="2038">
          <cell r="A2038">
            <v>1002032</v>
          </cell>
          <cell r="B2038" t="str">
            <v>Terminal T/ Silla 2 Salida #10 AWG</v>
          </cell>
          <cell r="D2038">
            <v>6003</v>
          </cell>
          <cell r="E2038">
            <v>1000</v>
          </cell>
          <cell r="F2038" t="str">
            <v>ZALM</v>
          </cell>
          <cell r="G2038" t="str">
            <v>UN</v>
          </cell>
          <cell r="H2038" t="str">
            <v>DOP</v>
          </cell>
          <cell r="I2038">
            <v>0</v>
          </cell>
          <cell r="J2038">
            <v>0</v>
          </cell>
          <cell r="K2038">
            <v>0</v>
          </cell>
          <cell r="L2038">
            <v>0</v>
          </cell>
          <cell r="M2038">
            <v>0</v>
          </cell>
          <cell r="N2038">
            <v>0</v>
          </cell>
          <cell r="O2038">
            <v>0</v>
          </cell>
          <cell r="P2038">
            <v>0</v>
          </cell>
          <cell r="Q2038">
            <v>0</v>
          </cell>
          <cell r="R2038">
            <v>0</v>
          </cell>
          <cell r="S2038">
            <v>0</v>
          </cell>
          <cell r="T2038">
            <v>0</v>
          </cell>
          <cell r="U2038" t="e">
            <v>#N/A</v>
          </cell>
        </row>
        <row r="2039">
          <cell r="A2039">
            <v>1002033</v>
          </cell>
          <cell r="B2039" t="str">
            <v>Terminal T/ Silla 2 Salida #6 AWG</v>
          </cell>
          <cell r="D2039">
            <v>6003</v>
          </cell>
          <cell r="E2039">
            <v>1000</v>
          </cell>
          <cell r="F2039" t="str">
            <v>ZALM</v>
          </cell>
          <cell r="G2039" t="str">
            <v>UN</v>
          </cell>
          <cell r="H2039" t="str">
            <v>DOP</v>
          </cell>
          <cell r="I2039">
            <v>0</v>
          </cell>
          <cell r="J2039">
            <v>0</v>
          </cell>
          <cell r="K2039">
            <v>0</v>
          </cell>
          <cell r="L2039">
            <v>0</v>
          </cell>
          <cell r="M2039">
            <v>0</v>
          </cell>
          <cell r="N2039">
            <v>0</v>
          </cell>
          <cell r="O2039">
            <v>0</v>
          </cell>
          <cell r="P2039">
            <v>0</v>
          </cell>
          <cell r="Q2039">
            <v>0</v>
          </cell>
          <cell r="R2039">
            <v>0</v>
          </cell>
          <cell r="S2039">
            <v>0</v>
          </cell>
          <cell r="T2039">
            <v>0</v>
          </cell>
          <cell r="U2039" t="e">
            <v>#N/A</v>
          </cell>
        </row>
        <row r="2040">
          <cell r="A2040">
            <v>1002034</v>
          </cell>
          <cell r="B2040" t="str">
            <v>Terminal T/ Silla 2 Salidas #1/0 AWG</v>
          </cell>
          <cell r="D2040">
            <v>6003</v>
          </cell>
          <cell r="E2040">
            <v>1000</v>
          </cell>
          <cell r="F2040" t="str">
            <v>ZALM</v>
          </cell>
          <cell r="G2040" t="str">
            <v>UN</v>
          </cell>
          <cell r="H2040" t="str">
            <v>DOP</v>
          </cell>
          <cell r="I2040">
            <v>0</v>
          </cell>
          <cell r="J2040">
            <v>0</v>
          </cell>
          <cell r="K2040">
            <v>0</v>
          </cell>
          <cell r="L2040">
            <v>0</v>
          </cell>
          <cell r="M2040">
            <v>0</v>
          </cell>
          <cell r="N2040">
            <v>0</v>
          </cell>
          <cell r="O2040">
            <v>0</v>
          </cell>
          <cell r="P2040">
            <v>0</v>
          </cell>
          <cell r="Q2040">
            <v>0</v>
          </cell>
          <cell r="R2040">
            <v>0</v>
          </cell>
          <cell r="S2040">
            <v>0</v>
          </cell>
          <cell r="T2040">
            <v>0</v>
          </cell>
          <cell r="U2040" t="e">
            <v>#N/A</v>
          </cell>
        </row>
        <row r="2041">
          <cell r="A2041">
            <v>1002035</v>
          </cell>
          <cell r="B2041" t="str">
            <v>Terminal T/ Silla 2 Salidas #2 AWG</v>
          </cell>
          <cell r="D2041">
            <v>6003</v>
          </cell>
          <cell r="E2041">
            <v>1000</v>
          </cell>
          <cell r="F2041" t="str">
            <v>ZALM</v>
          </cell>
          <cell r="G2041" t="str">
            <v>UN</v>
          </cell>
          <cell r="H2041" t="str">
            <v>DOP</v>
          </cell>
          <cell r="I2041">
            <v>0</v>
          </cell>
          <cell r="J2041">
            <v>0</v>
          </cell>
          <cell r="K2041">
            <v>0</v>
          </cell>
          <cell r="L2041">
            <v>0</v>
          </cell>
          <cell r="M2041">
            <v>0</v>
          </cell>
          <cell r="N2041">
            <v>0</v>
          </cell>
          <cell r="O2041">
            <v>0</v>
          </cell>
          <cell r="P2041">
            <v>0</v>
          </cell>
          <cell r="Q2041">
            <v>0</v>
          </cell>
          <cell r="R2041">
            <v>0</v>
          </cell>
          <cell r="S2041">
            <v>0</v>
          </cell>
          <cell r="T2041">
            <v>0</v>
          </cell>
          <cell r="U2041" t="e">
            <v>#N/A</v>
          </cell>
        </row>
        <row r="2042">
          <cell r="A2042">
            <v>1002036</v>
          </cell>
          <cell r="B2042" t="str">
            <v>Terminal Termocontraible Inter P/ URD #2</v>
          </cell>
          <cell r="D2042">
            <v>6003</v>
          </cell>
          <cell r="E2042">
            <v>1000</v>
          </cell>
          <cell r="F2042" t="str">
            <v>ZALM</v>
          </cell>
          <cell r="G2042" t="str">
            <v>UN</v>
          </cell>
          <cell r="H2042" t="str">
            <v>DOP</v>
          </cell>
          <cell r="I2042">
            <v>0</v>
          </cell>
          <cell r="J2042">
            <v>0</v>
          </cell>
          <cell r="K2042">
            <v>0</v>
          </cell>
          <cell r="L2042">
            <v>0</v>
          </cell>
          <cell r="M2042">
            <v>0</v>
          </cell>
          <cell r="N2042">
            <v>0</v>
          </cell>
          <cell r="O2042">
            <v>0</v>
          </cell>
          <cell r="P2042">
            <v>0</v>
          </cell>
          <cell r="Q2042">
            <v>0</v>
          </cell>
          <cell r="R2042">
            <v>0</v>
          </cell>
          <cell r="S2042">
            <v>0</v>
          </cell>
          <cell r="T2042">
            <v>0</v>
          </cell>
          <cell r="U2042" t="e">
            <v>#N/A</v>
          </cell>
        </row>
        <row r="2043">
          <cell r="A2043">
            <v>1002037</v>
          </cell>
          <cell r="B2043" t="str">
            <v>Terminal Termocontraible P/ URD #2</v>
          </cell>
          <cell r="D2043">
            <v>6003</v>
          </cell>
          <cell r="E2043">
            <v>1000</v>
          </cell>
          <cell r="F2043" t="str">
            <v>ZALM</v>
          </cell>
          <cell r="G2043" t="str">
            <v>UN</v>
          </cell>
          <cell r="H2043" t="str">
            <v>DOP</v>
          </cell>
          <cell r="I2043">
            <v>0</v>
          </cell>
          <cell r="J2043">
            <v>0</v>
          </cell>
          <cell r="K2043">
            <v>0</v>
          </cell>
          <cell r="L2043">
            <v>0</v>
          </cell>
          <cell r="M2043">
            <v>0</v>
          </cell>
          <cell r="N2043">
            <v>0</v>
          </cell>
          <cell r="O2043">
            <v>0</v>
          </cell>
          <cell r="P2043">
            <v>0</v>
          </cell>
          <cell r="Q2043">
            <v>0</v>
          </cell>
          <cell r="R2043">
            <v>0</v>
          </cell>
          <cell r="S2043">
            <v>0</v>
          </cell>
          <cell r="T2043">
            <v>0</v>
          </cell>
          <cell r="U2043" t="e">
            <v>#N/A</v>
          </cell>
        </row>
        <row r="2044">
          <cell r="A2044">
            <v>1002038</v>
          </cell>
          <cell r="B2044" t="str">
            <v>Terminal Termocontraible P/ URD #2/0</v>
          </cell>
          <cell r="D2044">
            <v>6003</v>
          </cell>
          <cell r="E2044">
            <v>1000</v>
          </cell>
          <cell r="F2044" t="str">
            <v>ZALM</v>
          </cell>
          <cell r="G2044" t="str">
            <v>UN</v>
          </cell>
          <cell r="H2044" t="str">
            <v>DOP</v>
          </cell>
          <cell r="I2044">
            <v>33</v>
          </cell>
          <cell r="J2044">
            <v>48915.57</v>
          </cell>
          <cell r="K2044">
            <v>0</v>
          </cell>
          <cell r="L2044">
            <v>0</v>
          </cell>
          <cell r="M2044">
            <v>0</v>
          </cell>
          <cell r="N2044">
            <v>0</v>
          </cell>
          <cell r="O2044">
            <v>0</v>
          </cell>
          <cell r="P2044">
            <v>0</v>
          </cell>
          <cell r="Q2044">
            <v>0</v>
          </cell>
          <cell r="R2044">
            <v>0</v>
          </cell>
          <cell r="S2044">
            <v>33</v>
          </cell>
          <cell r="T2044">
            <v>48915.57</v>
          </cell>
          <cell r="U2044">
            <v>1482.29</v>
          </cell>
        </row>
        <row r="2045">
          <cell r="A2045">
            <v>1002039</v>
          </cell>
          <cell r="B2045" t="str">
            <v>Terminal Termocontraible URD Ext 2/0</v>
          </cell>
          <cell r="D2045">
            <v>6003</v>
          </cell>
          <cell r="E2045">
            <v>1000</v>
          </cell>
          <cell r="F2045" t="str">
            <v>ZALM</v>
          </cell>
          <cell r="G2045" t="str">
            <v>UN</v>
          </cell>
          <cell r="H2045" t="str">
            <v>DOP</v>
          </cell>
          <cell r="I2045">
            <v>60</v>
          </cell>
          <cell r="J2045">
            <v>80161.77</v>
          </cell>
          <cell r="K2045">
            <v>0</v>
          </cell>
          <cell r="L2045">
            <v>0</v>
          </cell>
          <cell r="M2045">
            <v>0</v>
          </cell>
          <cell r="N2045">
            <v>0</v>
          </cell>
          <cell r="O2045">
            <v>0</v>
          </cell>
          <cell r="P2045">
            <v>0</v>
          </cell>
          <cell r="Q2045">
            <v>0</v>
          </cell>
          <cell r="R2045">
            <v>0</v>
          </cell>
          <cell r="S2045">
            <v>60</v>
          </cell>
          <cell r="T2045">
            <v>80161.77</v>
          </cell>
          <cell r="U2045">
            <v>1336.0295000000001</v>
          </cell>
        </row>
        <row r="2046">
          <cell r="A2046">
            <v>1002040</v>
          </cell>
          <cell r="B2046" t="str">
            <v>Tope Bornera de 6mm</v>
          </cell>
          <cell r="D2046">
            <v>6003</v>
          </cell>
          <cell r="E2046">
            <v>1000</v>
          </cell>
          <cell r="F2046" t="str">
            <v>ZALM</v>
          </cell>
          <cell r="G2046" t="str">
            <v>UN</v>
          </cell>
          <cell r="H2046" t="str">
            <v>DOP</v>
          </cell>
          <cell r="I2046">
            <v>0</v>
          </cell>
          <cell r="J2046">
            <v>0</v>
          </cell>
          <cell r="K2046">
            <v>0</v>
          </cell>
          <cell r="L2046">
            <v>0</v>
          </cell>
          <cell r="M2046">
            <v>0</v>
          </cell>
          <cell r="N2046">
            <v>0</v>
          </cell>
          <cell r="O2046">
            <v>0</v>
          </cell>
          <cell r="P2046">
            <v>0</v>
          </cell>
          <cell r="Q2046">
            <v>0</v>
          </cell>
          <cell r="R2046">
            <v>0</v>
          </cell>
          <cell r="S2046">
            <v>0</v>
          </cell>
          <cell r="T2046">
            <v>0</v>
          </cell>
          <cell r="U2046" t="e">
            <v>#N/A</v>
          </cell>
        </row>
        <row r="2047">
          <cell r="A2047">
            <v>1002041</v>
          </cell>
          <cell r="B2047" t="str">
            <v>Tope Final P/ Borneras Ref. 36458</v>
          </cell>
          <cell r="D2047">
            <v>6003</v>
          </cell>
          <cell r="E2047">
            <v>1000</v>
          </cell>
          <cell r="F2047" t="str">
            <v>ZALM</v>
          </cell>
          <cell r="G2047" t="str">
            <v>UN</v>
          </cell>
          <cell r="H2047" t="str">
            <v>DOP</v>
          </cell>
          <cell r="I2047">
            <v>0</v>
          </cell>
          <cell r="J2047">
            <v>0</v>
          </cell>
          <cell r="K2047">
            <v>0</v>
          </cell>
          <cell r="L2047">
            <v>0</v>
          </cell>
          <cell r="M2047">
            <v>0</v>
          </cell>
          <cell r="N2047">
            <v>0</v>
          </cell>
          <cell r="O2047">
            <v>0</v>
          </cell>
          <cell r="P2047">
            <v>0</v>
          </cell>
          <cell r="Q2047">
            <v>0</v>
          </cell>
          <cell r="R2047">
            <v>0</v>
          </cell>
          <cell r="S2047">
            <v>0</v>
          </cell>
          <cell r="T2047">
            <v>0</v>
          </cell>
          <cell r="U2047" t="e">
            <v>#N/A</v>
          </cell>
        </row>
        <row r="2048">
          <cell r="A2048">
            <v>1002042</v>
          </cell>
          <cell r="B2048" t="str">
            <v>Unión N-N Macho</v>
          </cell>
          <cell r="D2048">
            <v>6003</v>
          </cell>
          <cell r="E2048">
            <v>1000</v>
          </cell>
          <cell r="F2048" t="str">
            <v>ZALM</v>
          </cell>
          <cell r="G2048" t="str">
            <v>UN</v>
          </cell>
          <cell r="H2048" t="str">
            <v>DOP</v>
          </cell>
          <cell r="I2048">
            <v>0</v>
          </cell>
          <cell r="J2048">
            <v>0</v>
          </cell>
          <cell r="K2048">
            <v>0</v>
          </cell>
          <cell r="L2048">
            <v>0</v>
          </cell>
          <cell r="M2048">
            <v>0</v>
          </cell>
          <cell r="N2048">
            <v>0</v>
          </cell>
          <cell r="O2048">
            <v>0</v>
          </cell>
          <cell r="P2048">
            <v>0</v>
          </cell>
          <cell r="Q2048">
            <v>0</v>
          </cell>
          <cell r="R2048">
            <v>0</v>
          </cell>
          <cell r="S2048">
            <v>0</v>
          </cell>
          <cell r="T2048">
            <v>0</v>
          </cell>
          <cell r="U2048" t="e">
            <v>#N/A</v>
          </cell>
        </row>
        <row r="2049">
          <cell r="A2049">
            <v>1002043</v>
          </cell>
          <cell r="B2049" t="str">
            <v>Unión PL-PL</v>
          </cell>
          <cell r="D2049">
            <v>6003</v>
          </cell>
          <cell r="E2049">
            <v>1000</v>
          </cell>
          <cell r="F2049" t="str">
            <v>ZALM</v>
          </cell>
          <cell r="G2049" t="str">
            <v>UN</v>
          </cell>
          <cell r="H2049" t="str">
            <v>DOP</v>
          </cell>
          <cell r="I2049">
            <v>0</v>
          </cell>
          <cell r="J2049">
            <v>0</v>
          </cell>
          <cell r="K2049">
            <v>0</v>
          </cell>
          <cell r="L2049">
            <v>0</v>
          </cell>
          <cell r="M2049">
            <v>0</v>
          </cell>
          <cell r="N2049">
            <v>0</v>
          </cell>
          <cell r="O2049">
            <v>0</v>
          </cell>
          <cell r="P2049">
            <v>0</v>
          </cell>
          <cell r="Q2049">
            <v>0</v>
          </cell>
          <cell r="R2049">
            <v>0</v>
          </cell>
          <cell r="S2049">
            <v>0</v>
          </cell>
          <cell r="T2049">
            <v>0</v>
          </cell>
          <cell r="U2049" t="e">
            <v>#N/A</v>
          </cell>
        </row>
        <row r="2050">
          <cell r="A2050">
            <v>1002044</v>
          </cell>
          <cell r="B2050" t="str">
            <v>Union TUBING O/D x O/D 316 JUU 1/4"x1/4"</v>
          </cell>
          <cell r="D2050">
            <v>6003</v>
          </cell>
          <cell r="E2050">
            <v>1000</v>
          </cell>
          <cell r="F2050" t="str">
            <v>ZALM</v>
          </cell>
          <cell r="G2050" t="str">
            <v>UN</v>
          </cell>
          <cell r="H2050" t="str">
            <v>DOP</v>
          </cell>
          <cell r="I2050">
            <v>0</v>
          </cell>
          <cell r="J2050">
            <v>0</v>
          </cell>
          <cell r="K2050">
            <v>0</v>
          </cell>
          <cell r="L2050">
            <v>0</v>
          </cell>
          <cell r="M2050">
            <v>0</v>
          </cell>
          <cell r="N2050">
            <v>0</v>
          </cell>
          <cell r="O2050">
            <v>0</v>
          </cell>
          <cell r="P2050">
            <v>0</v>
          </cell>
          <cell r="Q2050">
            <v>0</v>
          </cell>
          <cell r="R2050">
            <v>0</v>
          </cell>
          <cell r="S2050">
            <v>0</v>
          </cell>
          <cell r="T2050">
            <v>0</v>
          </cell>
          <cell r="U2050" t="e">
            <v>#N/A</v>
          </cell>
        </row>
        <row r="2051">
          <cell r="A2051">
            <v>1002045</v>
          </cell>
          <cell r="B2051" t="str">
            <v>Zocalo T Baquelita 100A</v>
          </cell>
          <cell r="D2051">
            <v>6003</v>
          </cell>
          <cell r="E2051">
            <v>1000</v>
          </cell>
          <cell r="F2051" t="str">
            <v>ZALM</v>
          </cell>
          <cell r="G2051" t="str">
            <v>UN</v>
          </cell>
          <cell r="H2051" t="str">
            <v>DOP</v>
          </cell>
          <cell r="I2051">
            <v>0</v>
          </cell>
          <cell r="J2051">
            <v>0</v>
          </cell>
          <cell r="K2051">
            <v>0</v>
          </cell>
          <cell r="L2051">
            <v>0</v>
          </cell>
          <cell r="M2051">
            <v>0</v>
          </cell>
          <cell r="N2051">
            <v>0</v>
          </cell>
          <cell r="O2051">
            <v>0</v>
          </cell>
          <cell r="P2051">
            <v>0</v>
          </cell>
          <cell r="Q2051">
            <v>0</v>
          </cell>
          <cell r="R2051">
            <v>0</v>
          </cell>
          <cell r="S2051">
            <v>0</v>
          </cell>
          <cell r="T2051">
            <v>0</v>
          </cell>
          <cell r="U2051" t="e">
            <v>#N/A</v>
          </cell>
        </row>
        <row r="2052">
          <cell r="A2052">
            <v>1002046</v>
          </cell>
          <cell r="B2052" t="str">
            <v>Base C/ Bypass P/ Medidor Cl 200 4h Prep</v>
          </cell>
          <cell r="D2052">
            <v>5409</v>
          </cell>
          <cell r="E2052">
            <v>1000</v>
          </cell>
          <cell r="F2052" t="str">
            <v>ZALM</v>
          </cell>
          <cell r="G2052" t="str">
            <v>UN</v>
          </cell>
          <cell r="H2052" t="str">
            <v>DOP</v>
          </cell>
          <cell r="I2052">
            <v>0</v>
          </cell>
          <cell r="J2052">
            <v>0</v>
          </cell>
          <cell r="K2052">
            <v>0</v>
          </cell>
          <cell r="L2052">
            <v>0</v>
          </cell>
          <cell r="M2052">
            <v>0</v>
          </cell>
          <cell r="N2052">
            <v>0</v>
          </cell>
          <cell r="O2052">
            <v>0</v>
          </cell>
          <cell r="P2052">
            <v>0</v>
          </cell>
          <cell r="Q2052">
            <v>0</v>
          </cell>
          <cell r="R2052">
            <v>0</v>
          </cell>
          <cell r="S2052">
            <v>0</v>
          </cell>
          <cell r="T2052">
            <v>0</v>
          </cell>
          <cell r="U2052" t="e">
            <v>#N/A</v>
          </cell>
        </row>
        <row r="2053">
          <cell r="A2053">
            <v>1002047</v>
          </cell>
          <cell r="B2053" t="str">
            <v>Base P/ Medidor Electrónico Clase 320</v>
          </cell>
          <cell r="D2053">
            <v>5409</v>
          </cell>
          <cell r="E2053">
            <v>1000</v>
          </cell>
          <cell r="F2053" t="str">
            <v>ZALM</v>
          </cell>
          <cell r="G2053" t="str">
            <v>UN</v>
          </cell>
          <cell r="H2053" t="str">
            <v>DOP</v>
          </cell>
          <cell r="I2053">
            <v>0</v>
          </cell>
          <cell r="J2053">
            <v>0</v>
          </cell>
          <cell r="K2053">
            <v>0</v>
          </cell>
          <cell r="L2053">
            <v>0</v>
          </cell>
          <cell r="M2053">
            <v>0</v>
          </cell>
          <cell r="N2053">
            <v>0</v>
          </cell>
          <cell r="O2053">
            <v>0</v>
          </cell>
          <cell r="P2053">
            <v>0</v>
          </cell>
          <cell r="Q2053">
            <v>0</v>
          </cell>
          <cell r="R2053">
            <v>0</v>
          </cell>
          <cell r="S2053">
            <v>0</v>
          </cell>
          <cell r="T2053">
            <v>0</v>
          </cell>
          <cell r="U2053" t="e">
            <v>#N/A</v>
          </cell>
        </row>
        <row r="2054">
          <cell r="A2054">
            <v>1002048</v>
          </cell>
          <cell r="B2054" t="str">
            <v>Bornera EB-1 de 2 Polos</v>
          </cell>
          <cell r="D2054">
            <v>5409</v>
          </cell>
          <cell r="E2054">
            <v>1000</v>
          </cell>
          <cell r="F2054" t="str">
            <v>ZALM</v>
          </cell>
          <cell r="G2054" t="str">
            <v>UN</v>
          </cell>
          <cell r="H2054" t="str">
            <v>DOP</v>
          </cell>
          <cell r="I2054">
            <v>0</v>
          </cell>
          <cell r="J2054">
            <v>0</v>
          </cell>
          <cell r="K2054">
            <v>0</v>
          </cell>
          <cell r="L2054">
            <v>0</v>
          </cell>
          <cell r="M2054">
            <v>0</v>
          </cell>
          <cell r="N2054">
            <v>0</v>
          </cell>
          <cell r="O2054">
            <v>0</v>
          </cell>
          <cell r="P2054">
            <v>0</v>
          </cell>
          <cell r="Q2054">
            <v>0</v>
          </cell>
          <cell r="R2054">
            <v>0</v>
          </cell>
          <cell r="S2054">
            <v>0</v>
          </cell>
          <cell r="T2054">
            <v>0</v>
          </cell>
          <cell r="U2054" t="e">
            <v>#N/A</v>
          </cell>
        </row>
        <row r="2055">
          <cell r="A2055">
            <v>1002049</v>
          </cell>
          <cell r="B2055" t="str">
            <v>Bornera EB-1 de 4 Polos</v>
          </cell>
          <cell r="D2055">
            <v>5409</v>
          </cell>
          <cell r="E2055">
            <v>1000</v>
          </cell>
          <cell r="F2055" t="str">
            <v>ZALM</v>
          </cell>
          <cell r="G2055" t="str">
            <v>UN</v>
          </cell>
          <cell r="H2055" t="str">
            <v>DOP</v>
          </cell>
          <cell r="I2055">
            <v>255</v>
          </cell>
          <cell r="J2055">
            <v>252883.37</v>
          </cell>
          <cell r="K2055">
            <v>0</v>
          </cell>
          <cell r="L2055">
            <v>0</v>
          </cell>
          <cell r="M2055">
            <v>0</v>
          </cell>
          <cell r="N2055">
            <v>0</v>
          </cell>
          <cell r="O2055">
            <v>0</v>
          </cell>
          <cell r="P2055">
            <v>0</v>
          </cell>
          <cell r="Q2055">
            <v>0</v>
          </cell>
          <cell r="R2055">
            <v>0</v>
          </cell>
          <cell r="S2055">
            <v>255</v>
          </cell>
          <cell r="T2055">
            <v>252883.37</v>
          </cell>
          <cell r="U2055">
            <v>991.69949019607805</v>
          </cell>
        </row>
        <row r="2056">
          <cell r="A2056">
            <v>1002050</v>
          </cell>
          <cell r="B2056" t="str">
            <v>Bornera EB-1B 6mm Cuadrados Ref. 39062</v>
          </cell>
          <cell r="D2056">
            <v>5409</v>
          </cell>
          <cell r="E2056">
            <v>1000</v>
          </cell>
          <cell r="F2056" t="str">
            <v>ZALM</v>
          </cell>
          <cell r="G2056" t="str">
            <v>UN</v>
          </cell>
          <cell r="H2056" t="str">
            <v>DOP</v>
          </cell>
          <cell r="I2056">
            <v>25</v>
          </cell>
          <cell r="J2056">
            <v>947.43</v>
          </cell>
          <cell r="K2056">
            <v>0</v>
          </cell>
          <cell r="L2056">
            <v>0</v>
          </cell>
          <cell r="M2056">
            <v>0</v>
          </cell>
          <cell r="N2056">
            <v>0</v>
          </cell>
          <cell r="O2056">
            <v>0</v>
          </cell>
          <cell r="P2056">
            <v>0</v>
          </cell>
          <cell r="Q2056">
            <v>0</v>
          </cell>
          <cell r="R2056">
            <v>0</v>
          </cell>
          <cell r="S2056">
            <v>25</v>
          </cell>
          <cell r="T2056">
            <v>947.43</v>
          </cell>
          <cell r="U2056">
            <v>37.897199999999998</v>
          </cell>
        </row>
        <row r="2057">
          <cell r="A2057">
            <v>1002051</v>
          </cell>
          <cell r="B2057" t="str">
            <v>Bornera EB-26</v>
          </cell>
          <cell r="D2057">
            <v>5409</v>
          </cell>
          <cell r="E2057">
            <v>1000</v>
          </cell>
          <cell r="F2057" t="str">
            <v>ZALM</v>
          </cell>
          <cell r="G2057" t="str">
            <v>UN</v>
          </cell>
          <cell r="H2057" t="str">
            <v>DOP</v>
          </cell>
          <cell r="I2057">
            <v>41</v>
          </cell>
          <cell r="J2057">
            <v>5544.84</v>
          </cell>
          <cell r="K2057">
            <v>0</v>
          </cell>
          <cell r="L2057">
            <v>0</v>
          </cell>
          <cell r="M2057">
            <v>0</v>
          </cell>
          <cell r="N2057">
            <v>0</v>
          </cell>
          <cell r="O2057">
            <v>0</v>
          </cell>
          <cell r="P2057">
            <v>0</v>
          </cell>
          <cell r="Q2057">
            <v>0</v>
          </cell>
          <cell r="R2057">
            <v>0</v>
          </cell>
          <cell r="S2057">
            <v>41</v>
          </cell>
          <cell r="T2057">
            <v>5544.84</v>
          </cell>
          <cell r="U2057">
            <v>135.24</v>
          </cell>
        </row>
        <row r="2058">
          <cell r="A2058">
            <v>1002052</v>
          </cell>
          <cell r="B2058" t="str">
            <v>Bornera EB-27</v>
          </cell>
          <cell r="D2058">
            <v>5409</v>
          </cell>
          <cell r="E2058">
            <v>1000</v>
          </cell>
          <cell r="F2058" t="str">
            <v>ZALM</v>
          </cell>
          <cell r="G2058" t="str">
            <v>UN</v>
          </cell>
          <cell r="H2058" t="str">
            <v>DOP</v>
          </cell>
          <cell r="I2058">
            <v>430</v>
          </cell>
          <cell r="J2058">
            <v>414341.39</v>
          </cell>
          <cell r="K2058">
            <v>0</v>
          </cell>
          <cell r="L2058">
            <v>0</v>
          </cell>
          <cell r="M2058">
            <v>0</v>
          </cell>
          <cell r="N2058">
            <v>0</v>
          </cell>
          <cell r="O2058">
            <v>0</v>
          </cell>
          <cell r="P2058">
            <v>0</v>
          </cell>
          <cell r="Q2058">
            <v>0</v>
          </cell>
          <cell r="R2058">
            <v>0</v>
          </cell>
          <cell r="S2058">
            <v>430</v>
          </cell>
          <cell r="T2058">
            <v>414341.39</v>
          </cell>
          <cell r="U2058">
            <v>963.58462790697695</v>
          </cell>
        </row>
        <row r="2059">
          <cell r="A2059">
            <v>1002053</v>
          </cell>
          <cell r="B2059" t="str">
            <v>Computadora y Acces P/ Medidores</v>
          </cell>
          <cell r="D2059">
            <v>5409</v>
          </cell>
          <cell r="E2059">
            <v>1000</v>
          </cell>
          <cell r="F2059" t="str">
            <v>ZALM</v>
          </cell>
          <cell r="G2059" t="str">
            <v>UN</v>
          </cell>
          <cell r="H2059" t="str">
            <v>DOP</v>
          </cell>
          <cell r="I2059">
            <v>1</v>
          </cell>
          <cell r="J2059">
            <v>30452.81</v>
          </cell>
          <cell r="K2059">
            <v>0</v>
          </cell>
          <cell r="L2059">
            <v>0</v>
          </cell>
          <cell r="M2059">
            <v>0</v>
          </cell>
          <cell r="N2059">
            <v>0</v>
          </cell>
          <cell r="O2059">
            <v>0</v>
          </cell>
          <cell r="P2059">
            <v>0</v>
          </cell>
          <cell r="Q2059">
            <v>0</v>
          </cell>
          <cell r="R2059">
            <v>0</v>
          </cell>
          <cell r="S2059">
            <v>1</v>
          </cell>
          <cell r="T2059">
            <v>30452.81</v>
          </cell>
          <cell r="U2059">
            <v>30452.81</v>
          </cell>
        </row>
        <row r="2060">
          <cell r="A2060">
            <v>1002054</v>
          </cell>
          <cell r="B2060" t="str">
            <v>Contador de Descarga 9/10kV</v>
          </cell>
          <cell r="D2060">
            <v>5409</v>
          </cell>
          <cell r="E2060">
            <v>1000</v>
          </cell>
          <cell r="F2060" t="str">
            <v>ZALM</v>
          </cell>
          <cell r="G2060" t="str">
            <v>UN</v>
          </cell>
          <cell r="H2060" t="str">
            <v>DOP</v>
          </cell>
          <cell r="I2060">
            <v>0</v>
          </cell>
          <cell r="J2060">
            <v>0</v>
          </cell>
          <cell r="K2060">
            <v>0</v>
          </cell>
          <cell r="L2060">
            <v>0</v>
          </cell>
          <cell r="M2060">
            <v>0</v>
          </cell>
          <cell r="N2060">
            <v>0</v>
          </cell>
          <cell r="O2060">
            <v>0</v>
          </cell>
          <cell r="P2060">
            <v>0</v>
          </cell>
          <cell r="Q2060">
            <v>0</v>
          </cell>
          <cell r="R2060">
            <v>0</v>
          </cell>
          <cell r="S2060">
            <v>0</v>
          </cell>
          <cell r="T2060">
            <v>0</v>
          </cell>
          <cell r="U2060" t="e">
            <v>#N/A</v>
          </cell>
        </row>
        <row r="2061">
          <cell r="A2061">
            <v>1002055</v>
          </cell>
          <cell r="B2061" t="str">
            <v>Cristal P/ Medidor 120V Landis &amp; Gyr MX</v>
          </cell>
          <cell r="D2061">
            <v>5409</v>
          </cell>
          <cell r="E2061">
            <v>1000</v>
          </cell>
          <cell r="F2061" t="str">
            <v>ZALM</v>
          </cell>
          <cell r="G2061" t="str">
            <v>UN</v>
          </cell>
          <cell r="H2061" t="str">
            <v>DOP</v>
          </cell>
          <cell r="I2061">
            <v>0</v>
          </cell>
          <cell r="J2061">
            <v>0</v>
          </cell>
          <cell r="K2061">
            <v>0</v>
          </cell>
          <cell r="L2061">
            <v>0</v>
          </cell>
          <cell r="M2061">
            <v>0</v>
          </cell>
          <cell r="N2061">
            <v>0</v>
          </cell>
          <cell r="O2061">
            <v>0</v>
          </cell>
          <cell r="P2061">
            <v>0</v>
          </cell>
          <cell r="Q2061">
            <v>0</v>
          </cell>
          <cell r="R2061">
            <v>0</v>
          </cell>
          <cell r="S2061">
            <v>0</v>
          </cell>
          <cell r="T2061">
            <v>0</v>
          </cell>
          <cell r="U2061" t="e">
            <v>#N/A</v>
          </cell>
        </row>
        <row r="2062">
          <cell r="A2062">
            <v>1002056</v>
          </cell>
          <cell r="B2062" t="str">
            <v>Cristal P/ Medidor 240V Sangamo J3S</v>
          </cell>
          <cell r="D2062">
            <v>5409</v>
          </cell>
          <cell r="E2062">
            <v>1000</v>
          </cell>
          <cell r="F2062" t="str">
            <v>ZALM</v>
          </cell>
          <cell r="G2062" t="str">
            <v>UN</v>
          </cell>
          <cell r="H2062" t="str">
            <v>DOP</v>
          </cell>
          <cell r="I2062">
            <v>0</v>
          </cell>
          <cell r="J2062">
            <v>0</v>
          </cell>
          <cell r="K2062">
            <v>0</v>
          </cell>
          <cell r="L2062">
            <v>0</v>
          </cell>
          <cell r="M2062">
            <v>0</v>
          </cell>
          <cell r="N2062">
            <v>0</v>
          </cell>
          <cell r="O2062">
            <v>0</v>
          </cell>
          <cell r="P2062">
            <v>0</v>
          </cell>
          <cell r="Q2062">
            <v>0</v>
          </cell>
          <cell r="R2062">
            <v>0</v>
          </cell>
          <cell r="S2062">
            <v>0</v>
          </cell>
          <cell r="T2062">
            <v>0</v>
          </cell>
          <cell r="U2062" t="e">
            <v>#N/A</v>
          </cell>
        </row>
        <row r="2063">
          <cell r="A2063">
            <v>1002057</v>
          </cell>
          <cell r="B2063" t="str">
            <v>Etiqueta Seguridad P/ Cuerpo de Medidor</v>
          </cell>
          <cell r="D2063">
            <v>5409</v>
          </cell>
          <cell r="E2063">
            <v>1000</v>
          </cell>
          <cell r="F2063" t="str">
            <v>ZALM</v>
          </cell>
          <cell r="G2063" t="str">
            <v>UN</v>
          </cell>
          <cell r="H2063" t="str">
            <v>DOP</v>
          </cell>
          <cell r="I2063">
            <v>0</v>
          </cell>
          <cell r="J2063">
            <v>0</v>
          </cell>
          <cell r="K2063">
            <v>0</v>
          </cell>
          <cell r="L2063">
            <v>0</v>
          </cell>
          <cell r="M2063">
            <v>0</v>
          </cell>
          <cell r="N2063">
            <v>0</v>
          </cell>
          <cell r="O2063">
            <v>0</v>
          </cell>
          <cell r="P2063">
            <v>0</v>
          </cell>
          <cell r="Q2063">
            <v>0</v>
          </cell>
          <cell r="R2063">
            <v>0</v>
          </cell>
          <cell r="S2063">
            <v>0</v>
          </cell>
          <cell r="T2063">
            <v>0</v>
          </cell>
          <cell r="U2063" t="e">
            <v>#N/A</v>
          </cell>
        </row>
        <row r="2064">
          <cell r="A2064">
            <v>1002058</v>
          </cell>
          <cell r="B2064" t="str">
            <v>Fuente Polif P/ Med Cl 20 4h 120/480V</v>
          </cell>
          <cell r="D2064">
            <v>5409</v>
          </cell>
          <cell r="E2064">
            <v>1000</v>
          </cell>
          <cell r="F2064" t="str">
            <v>ZALM</v>
          </cell>
          <cell r="G2064" t="str">
            <v>UN</v>
          </cell>
          <cell r="H2064" t="str">
            <v>DOP</v>
          </cell>
          <cell r="I2064">
            <v>0</v>
          </cell>
          <cell r="J2064">
            <v>0</v>
          </cell>
          <cell r="K2064">
            <v>0</v>
          </cell>
          <cell r="L2064">
            <v>0</v>
          </cell>
          <cell r="M2064">
            <v>0</v>
          </cell>
          <cell r="N2064">
            <v>0</v>
          </cell>
          <cell r="O2064">
            <v>0</v>
          </cell>
          <cell r="P2064">
            <v>0</v>
          </cell>
          <cell r="Q2064">
            <v>0</v>
          </cell>
          <cell r="R2064">
            <v>0</v>
          </cell>
          <cell r="S2064">
            <v>0</v>
          </cell>
          <cell r="T2064">
            <v>0</v>
          </cell>
          <cell r="U2064" t="e">
            <v>#N/A</v>
          </cell>
        </row>
        <row r="2065">
          <cell r="A2065">
            <v>1002059</v>
          </cell>
          <cell r="B2065" t="str">
            <v>Fuente Polif P/ Med Cl 200 4h 120/480V</v>
          </cell>
          <cell r="D2065">
            <v>5409</v>
          </cell>
          <cell r="E2065">
            <v>1000</v>
          </cell>
          <cell r="F2065" t="str">
            <v>ZALM</v>
          </cell>
          <cell r="G2065" t="str">
            <v>UN</v>
          </cell>
          <cell r="H2065" t="str">
            <v>DOP</v>
          </cell>
          <cell r="I2065">
            <v>0</v>
          </cell>
          <cell r="J2065">
            <v>0</v>
          </cell>
          <cell r="K2065">
            <v>0</v>
          </cell>
          <cell r="L2065">
            <v>0</v>
          </cell>
          <cell r="M2065">
            <v>0</v>
          </cell>
          <cell r="N2065">
            <v>0</v>
          </cell>
          <cell r="O2065">
            <v>0</v>
          </cell>
          <cell r="P2065">
            <v>0</v>
          </cell>
          <cell r="Q2065">
            <v>0</v>
          </cell>
          <cell r="R2065">
            <v>0</v>
          </cell>
          <cell r="S2065">
            <v>0</v>
          </cell>
          <cell r="T2065">
            <v>0</v>
          </cell>
          <cell r="U2065" t="e">
            <v>#N/A</v>
          </cell>
        </row>
        <row r="2066">
          <cell r="A2066">
            <v>1002060</v>
          </cell>
          <cell r="B2066" t="str">
            <v>Med Ruido C/ Interf RS 232 31.5-8kHZ</v>
          </cell>
          <cell r="D2066">
            <v>5409</v>
          </cell>
          <cell r="E2066">
            <v>1000</v>
          </cell>
          <cell r="F2066" t="str">
            <v>ZALM</v>
          </cell>
          <cell r="G2066" t="str">
            <v>UN</v>
          </cell>
          <cell r="H2066" t="str">
            <v>DOP</v>
          </cell>
          <cell r="I2066">
            <v>0</v>
          </cell>
          <cell r="J2066">
            <v>0</v>
          </cell>
          <cell r="K2066">
            <v>0</v>
          </cell>
          <cell r="L2066">
            <v>0</v>
          </cell>
          <cell r="M2066">
            <v>0</v>
          </cell>
          <cell r="N2066">
            <v>0</v>
          </cell>
          <cell r="O2066">
            <v>0</v>
          </cell>
          <cell r="P2066">
            <v>0</v>
          </cell>
          <cell r="Q2066">
            <v>0</v>
          </cell>
          <cell r="R2066">
            <v>0</v>
          </cell>
          <cell r="S2066">
            <v>0</v>
          </cell>
          <cell r="T2066">
            <v>0</v>
          </cell>
          <cell r="U2066" t="e">
            <v>#N/A</v>
          </cell>
        </row>
        <row r="2067">
          <cell r="A2067">
            <v>1002061</v>
          </cell>
          <cell r="B2067" t="str">
            <v>Memoria P/ Medidores</v>
          </cell>
          <cell r="D2067">
            <v>5409</v>
          </cell>
          <cell r="E2067">
            <v>1000</v>
          </cell>
          <cell r="F2067" t="str">
            <v>ZALM</v>
          </cell>
          <cell r="G2067" t="str">
            <v>UN</v>
          </cell>
          <cell r="H2067" t="str">
            <v>DOP</v>
          </cell>
          <cell r="I2067">
            <v>0</v>
          </cell>
          <cell r="J2067">
            <v>0</v>
          </cell>
          <cell r="K2067">
            <v>0</v>
          </cell>
          <cell r="L2067">
            <v>0</v>
          </cell>
          <cell r="M2067">
            <v>0</v>
          </cell>
          <cell r="N2067">
            <v>0</v>
          </cell>
          <cell r="O2067">
            <v>0</v>
          </cell>
          <cell r="P2067">
            <v>0</v>
          </cell>
          <cell r="Q2067">
            <v>0</v>
          </cell>
          <cell r="R2067">
            <v>0</v>
          </cell>
          <cell r="S2067">
            <v>0</v>
          </cell>
          <cell r="T2067">
            <v>0</v>
          </cell>
          <cell r="U2067" t="e">
            <v>#N/A</v>
          </cell>
        </row>
        <row r="2068">
          <cell r="A2068">
            <v>1002062</v>
          </cell>
          <cell r="B2068" t="str">
            <v>Separador de Bornera de 6mm</v>
          </cell>
          <cell r="D2068">
            <v>5409</v>
          </cell>
          <cell r="E2068">
            <v>1000</v>
          </cell>
          <cell r="F2068" t="str">
            <v>ZALM</v>
          </cell>
          <cell r="G2068" t="str">
            <v>UN</v>
          </cell>
          <cell r="H2068" t="str">
            <v>DOP</v>
          </cell>
          <cell r="I2068">
            <v>0</v>
          </cell>
          <cell r="J2068">
            <v>0</v>
          </cell>
          <cell r="K2068">
            <v>0</v>
          </cell>
          <cell r="L2068">
            <v>0</v>
          </cell>
          <cell r="M2068">
            <v>0</v>
          </cell>
          <cell r="N2068">
            <v>0</v>
          </cell>
          <cell r="O2068">
            <v>0</v>
          </cell>
          <cell r="P2068">
            <v>0</v>
          </cell>
          <cell r="Q2068">
            <v>0</v>
          </cell>
          <cell r="R2068">
            <v>0</v>
          </cell>
          <cell r="S2068">
            <v>0</v>
          </cell>
          <cell r="T2068">
            <v>0</v>
          </cell>
          <cell r="U2068" t="e">
            <v>#N/A</v>
          </cell>
        </row>
        <row r="2069">
          <cell r="A2069">
            <v>1002063</v>
          </cell>
          <cell r="B2069" t="str">
            <v>Single-Phase TTR Hand-Crank Med Rel Tr</v>
          </cell>
          <cell r="D2069">
            <v>5409</v>
          </cell>
          <cell r="E2069">
            <v>1000</v>
          </cell>
          <cell r="F2069" t="str">
            <v>ZALM</v>
          </cell>
          <cell r="G2069" t="str">
            <v>UN</v>
          </cell>
          <cell r="H2069" t="str">
            <v>DOP</v>
          </cell>
          <cell r="I2069">
            <v>0</v>
          </cell>
          <cell r="J2069">
            <v>0</v>
          </cell>
          <cell r="K2069">
            <v>0</v>
          </cell>
          <cell r="L2069">
            <v>0</v>
          </cell>
          <cell r="M2069">
            <v>0</v>
          </cell>
          <cell r="N2069">
            <v>0</v>
          </cell>
          <cell r="O2069">
            <v>0</v>
          </cell>
          <cell r="P2069">
            <v>0</v>
          </cell>
          <cell r="Q2069">
            <v>0</v>
          </cell>
          <cell r="R2069">
            <v>0</v>
          </cell>
          <cell r="S2069">
            <v>0</v>
          </cell>
          <cell r="T2069">
            <v>0</v>
          </cell>
          <cell r="U2069" t="e">
            <v>#N/A</v>
          </cell>
        </row>
        <row r="2070">
          <cell r="A2070">
            <v>1002064</v>
          </cell>
          <cell r="B2070" t="str">
            <v>Software EPS P/ Med Prepago 120/240V</v>
          </cell>
          <cell r="D2070">
            <v>5409</v>
          </cell>
          <cell r="E2070">
            <v>1000</v>
          </cell>
          <cell r="F2070" t="str">
            <v>ZALM</v>
          </cell>
          <cell r="G2070" t="str">
            <v>UN</v>
          </cell>
          <cell r="H2070" t="str">
            <v>DOP</v>
          </cell>
          <cell r="I2070">
            <v>0</v>
          </cell>
          <cell r="J2070">
            <v>0</v>
          </cell>
          <cell r="K2070">
            <v>0</v>
          </cell>
          <cell r="L2070">
            <v>0</v>
          </cell>
          <cell r="M2070">
            <v>0</v>
          </cell>
          <cell r="N2070">
            <v>0</v>
          </cell>
          <cell r="O2070">
            <v>0</v>
          </cell>
          <cell r="P2070">
            <v>0</v>
          </cell>
          <cell r="Q2070">
            <v>0</v>
          </cell>
          <cell r="R2070">
            <v>0</v>
          </cell>
          <cell r="S2070">
            <v>0</v>
          </cell>
          <cell r="T2070">
            <v>0</v>
          </cell>
          <cell r="U2070" t="e">
            <v>#N/A</v>
          </cell>
        </row>
        <row r="2071">
          <cell r="A2071">
            <v>1002065</v>
          </cell>
          <cell r="B2071" t="str">
            <v>Tapa Crist C/ Aro Met P/ Med Res Socket</v>
          </cell>
          <cell r="D2071">
            <v>5409</v>
          </cell>
          <cell r="E2071">
            <v>1000</v>
          </cell>
          <cell r="F2071" t="str">
            <v>ZALM</v>
          </cell>
          <cell r="G2071" t="str">
            <v>UN</v>
          </cell>
          <cell r="H2071" t="str">
            <v>DOP</v>
          </cell>
          <cell r="I2071">
            <v>0</v>
          </cell>
          <cell r="J2071">
            <v>0</v>
          </cell>
          <cell r="K2071">
            <v>0</v>
          </cell>
          <cell r="L2071">
            <v>0</v>
          </cell>
          <cell r="M2071">
            <v>0</v>
          </cell>
          <cell r="N2071">
            <v>0</v>
          </cell>
          <cell r="O2071">
            <v>0</v>
          </cell>
          <cell r="P2071">
            <v>0</v>
          </cell>
          <cell r="Q2071">
            <v>0</v>
          </cell>
          <cell r="R2071">
            <v>0</v>
          </cell>
          <cell r="S2071">
            <v>0</v>
          </cell>
          <cell r="T2071">
            <v>0</v>
          </cell>
          <cell r="U2071" t="e">
            <v>#N/A</v>
          </cell>
        </row>
        <row r="2072">
          <cell r="A2072">
            <v>1002066</v>
          </cell>
          <cell r="B2072" t="str">
            <v>Tapa Crist C/ Aro Plást P/ Med Socket</v>
          </cell>
          <cell r="D2072">
            <v>5409</v>
          </cell>
          <cell r="E2072">
            <v>1000</v>
          </cell>
          <cell r="F2072" t="str">
            <v>ZALM</v>
          </cell>
          <cell r="G2072" t="str">
            <v>UN</v>
          </cell>
          <cell r="H2072" t="str">
            <v>DOP</v>
          </cell>
          <cell r="I2072">
            <v>0</v>
          </cell>
          <cell r="J2072">
            <v>0</v>
          </cell>
          <cell r="K2072">
            <v>0</v>
          </cell>
          <cell r="L2072">
            <v>0</v>
          </cell>
          <cell r="M2072">
            <v>0</v>
          </cell>
          <cell r="N2072">
            <v>0</v>
          </cell>
          <cell r="O2072">
            <v>0</v>
          </cell>
          <cell r="P2072">
            <v>0</v>
          </cell>
          <cell r="Q2072">
            <v>0</v>
          </cell>
          <cell r="R2072">
            <v>0</v>
          </cell>
          <cell r="S2072">
            <v>0</v>
          </cell>
          <cell r="T2072">
            <v>0</v>
          </cell>
          <cell r="U2072" t="e">
            <v>#N/A</v>
          </cell>
        </row>
        <row r="2073">
          <cell r="A2073">
            <v>1002067</v>
          </cell>
          <cell r="B2073" t="str">
            <v>Tapa Plást P/ Medidor Residencial</v>
          </cell>
          <cell r="D2073">
            <v>5409</v>
          </cell>
          <cell r="E2073">
            <v>1000</v>
          </cell>
          <cell r="F2073" t="str">
            <v>ZALM</v>
          </cell>
          <cell r="G2073" t="str">
            <v>UN</v>
          </cell>
          <cell r="H2073" t="str">
            <v>DOP</v>
          </cell>
          <cell r="I2073">
            <v>0</v>
          </cell>
          <cell r="J2073">
            <v>0</v>
          </cell>
          <cell r="K2073">
            <v>0</v>
          </cell>
          <cell r="L2073">
            <v>0</v>
          </cell>
          <cell r="M2073">
            <v>0</v>
          </cell>
          <cell r="N2073">
            <v>0</v>
          </cell>
          <cell r="O2073">
            <v>0</v>
          </cell>
          <cell r="P2073">
            <v>0</v>
          </cell>
          <cell r="Q2073">
            <v>0</v>
          </cell>
          <cell r="R2073">
            <v>0</v>
          </cell>
          <cell r="S2073">
            <v>0</v>
          </cell>
          <cell r="T2073">
            <v>0</v>
          </cell>
          <cell r="U2073" t="e">
            <v>#N/A</v>
          </cell>
        </row>
        <row r="2074">
          <cell r="A2074">
            <v>1002068</v>
          </cell>
          <cell r="B2074" t="str">
            <v>Tarjeta Módem P/ Med Elster A3 Dial-Up</v>
          </cell>
          <cell r="D2074">
            <v>5409</v>
          </cell>
          <cell r="E2074">
            <v>1000</v>
          </cell>
          <cell r="F2074" t="str">
            <v>ZALM</v>
          </cell>
          <cell r="G2074" t="str">
            <v>UN</v>
          </cell>
          <cell r="H2074" t="str">
            <v>DOP</v>
          </cell>
          <cell r="I2074">
            <v>53</v>
          </cell>
          <cell r="J2074">
            <v>305212.69</v>
          </cell>
          <cell r="K2074">
            <v>0</v>
          </cell>
          <cell r="L2074">
            <v>0</v>
          </cell>
          <cell r="M2074">
            <v>0</v>
          </cell>
          <cell r="N2074">
            <v>0</v>
          </cell>
          <cell r="O2074">
            <v>0</v>
          </cell>
          <cell r="P2074">
            <v>0</v>
          </cell>
          <cell r="Q2074">
            <v>0</v>
          </cell>
          <cell r="R2074">
            <v>0</v>
          </cell>
          <cell r="S2074">
            <v>53</v>
          </cell>
          <cell r="T2074">
            <v>305212.69</v>
          </cell>
          <cell r="U2074">
            <v>5758.73</v>
          </cell>
        </row>
        <row r="2075">
          <cell r="A2075">
            <v>1002069</v>
          </cell>
          <cell r="B2075" t="str">
            <v>Tarjeta Módem P/ Med Elster A3 RS-232</v>
          </cell>
          <cell r="D2075">
            <v>5409</v>
          </cell>
          <cell r="E2075">
            <v>1000</v>
          </cell>
          <cell r="F2075" t="str">
            <v>ZALM</v>
          </cell>
          <cell r="G2075" t="str">
            <v>UN</v>
          </cell>
          <cell r="H2075" t="str">
            <v>DOP</v>
          </cell>
          <cell r="I2075">
            <v>29</v>
          </cell>
          <cell r="J2075">
            <v>154085.51999999999</v>
          </cell>
          <cell r="K2075">
            <v>0</v>
          </cell>
          <cell r="L2075">
            <v>0</v>
          </cell>
          <cell r="M2075">
            <v>0</v>
          </cell>
          <cell r="N2075">
            <v>0</v>
          </cell>
          <cell r="O2075">
            <v>0</v>
          </cell>
          <cell r="P2075">
            <v>0</v>
          </cell>
          <cell r="Q2075">
            <v>0</v>
          </cell>
          <cell r="R2075">
            <v>0</v>
          </cell>
          <cell r="S2075">
            <v>29</v>
          </cell>
          <cell r="T2075">
            <v>154085.51999999999</v>
          </cell>
          <cell r="U2075">
            <v>5313.2937931034503</v>
          </cell>
        </row>
        <row r="2076">
          <cell r="A2076">
            <v>1002070</v>
          </cell>
          <cell r="B2076" t="str">
            <v>Tarjeta Módem P/ Med ION 8500 V232</v>
          </cell>
          <cell r="D2076">
            <v>5409</v>
          </cell>
          <cell r="E2076">
            <v>1000</v>
          </cell>
          <cell r="F2076" t="str">
            <v>ZALM</v>
          </cell>
          <cell r="G2076" t="str">
            <v>UN</v>
          </cell>
          <cell r="H2076" t="str">
            <v>DOP</v>
          </cell>
          <cell r="I2076">
            <v>0</v>
          </cell>
          <cell r="J2076">
            <v>0</v>
          </cell>
          <cell r="K2076">
            <v>0</v>
          </cell>
          <cell r="L2076">
            <v>0</v>
          </cell>
          <cell r="M2076">
            <v>0</v>
          </cell>
          <cell r="N2076">
            <v>0</v>
          </cell>
          <cell r="O2076">
            <v>0</v>
          </cell>
          <cell r="P2076">
            <v>0</v>
          </cell>
          <cell r="Q2076">
            <v>0</v>
          </cell>
          <cell r="R2076">
            <v>0</v>
          </cell>
          <cell r="S2076">
            <v>0</v>
          </cell>
          <cell r="T2076">
            <v>0</v>
          </cell>
          <cell r="U2076" t="e">
            <v>#N/A</v>
          </cell>
        </row>
        <row r="2077">
          <cell r="A2077">
            <v>1002071</v>
          </cell>
          <cell r="B2077" t="str">
            <v>Tarjeta Módem P/ Med ION 8500 V240</v>
          </cell>
          <cell r="D2077">
            <v>5409</v>
          </cell>
          <cell r="E2077">
            <v>1000</v>
          </cell>
          <cell r="F2077" t="str">
            <v>ZALM</v>
          </cell>
          <cell r="G2077" t="str">
            <v>UN</v>
          </cell>
          <cell r="H2077" t="str">
            <v>DOP</v>
          </cell>
          <cell r="I2077">
            <v>0</v>
          </cell>
          <cell r="J2077">
            <v>0</v>
          </cell>
          <cell r="K2077">
            <v>0</v>
          </cell>
          <cell r="L2077">
            <v>0</v>
          </cell>
          <cell r="M2077">
            <v>0</v>
          </cell>
          <cell r="N2077">
            <v>0</v>
          </cell>
          <cell r="O2077">
            <v>0</v>
          </cell>
          <cell r="P2077">
            <v>0</v>
          </cell>
          <cell r="Q2077">
            <v>0</v>
          </cell>
          <cell r="R2077">
            <v>0</v>
          </cell>
          <cell r="S2077">
            <v>0</v>
          </cell>
          <cell r="T2077">
            <v>0</v>
          </cell>
          <cell r="U2077" t="e">
            <v>#N/A</v>
          </cell>
        </row>
        <row r="2078">
          <cell r="A2078">
            <v>1002072</v>
          </cell>
          <cell r="B2078" t="str">
            <v>Tarjeta Módem P/ Med Landis RXRS4 D-Up</v>
          </cell>
          <cell r="D2078">
            <v>5409</v>
          </cell>
          <cell r="E2078">
            <v>1000</v>
          </cell>
          <cell r="F2078" t="str">
            <v>ZALM</v>
          </cell>
          <cell r="G2078" t="str">
            <v>UN</v>
          </cell>
          <cell r="H2078" t="str">
            <v>DOP</v>
          </cell>
          <cell r="I2078">
            <v>0</v>
          </cell>
          <cell r="J2078">
            <v>0</v>
          </cell>
          <cell r="K2078">
            <v>0</v>
          </cell>
          <cell r="L2078">
            <v>0</v>
          </cell>
          <cell r="M2078">
            <v>0</v>
          </cell>
          <cell r="N2078">
            <v>0</v>
          </cell>
          <cell r="O2078">
            <v>0</v>
          </cell>
          <cell r="P2078">
            <v>0</v>
          </cell>
          <cell r="Q2078">
            <v>0</v>
          </cell>
          <cell r="R2078">
            <v>0</v>
          </cell>
          <cell r="S2078">
            <v>0</v>
          </cell>
          <cell r="T2078">
            <v>0</v>
          </cell>
          <cell r="U2078" t="e">
            <v>#N/A</v>
          </cell>
        </row>
        <row r="2079">
          <cell r="A2079">
            <v>1002073</v>
          </cell>
          <cell r="B2079" t="str">
            <v>Tarjeta Módem P/ Med Landis RXRS4 RS-232</v>
          </cell>
          <cell r="D2079">
            <v>5409</v>
          </cell>
          <cell r="E2079">
            <v>1000</v>
          </cell>
          <cell r="F2079" t="str">
            <v>ZALM</v>
          </cell>
          <cell r="G2079" t="str">
            <v>UN</v>
          </cell>
          <cell r="H2079" t="str">
            <v>DOP</v>
          </cell>
          <cell r="I2079">
            <v>211</v>
          </cell>
          <cell r="J2079">
            <v>1178200.79</v>
          </cell>
          <cell r="K2079">
            <v>0</v>
          </cell>
          <cell r="L2079">
            <v>0</v>
          </cell>
          <cell r="M2079">
            <v>0</v>
          </cell>
          <cell r="N2079">
            <v>0</v>
          </cell>
          <cell r="O2079">
            <v>0</v>
          </cell>
          <cell r="P2079">
            <v>0</v>
          </cell>
          <cell r="Q2079">
            <v>0</v>
          </cell>
          <cell r="R2079">
            <v>0</v>
          </cell>
          <cell r="S2079">
            <v>211</v>
          </cell>
          <cell r="T2079">
            <v>1178200.79</v>
          </cell>
          <cell r="U2079">
            <v>5583.89</v>
          </cell>
        </row>
        <row r="2080">
          <cell r="A2080">
            <v>1002074</v>
          </cell>
          <cell r="B2080" t="str">
            <v>Tarjeta Módem P/ Med Q1000 Firmw 3.03</v>
          </cell>
          <cell r="D2080">
            <v>5409</v>
          </cell>
          <cell r="E2080">
            <v>1000</v>
          </cell>
          <cell r="F2080" t="str">
            <v>ZALM</v>
          </cell>
          <cell r="G2080" t="str">
            <v>UN</v>
          </cell>
          <cell r="H2080" t="str">
            <v>DOP</v>
          </cell>
          <cell r="I2080">
            <v>1</v>
          </cell>
          <cell r="J2080">
            <v>10996.97</v>
          </cell>
          <cell r="K2080">
            <v>0</v>
          </cell>
          <cell r="L2080">
            <v>0</v>
          </cell>
          <cell r="M2080">
            <v>0</v>
          </cell>
          <cell r="N2080">
            <v>0</v>
          </cell>
          <cell r="O2080">
            <v>0</v>
          </cell>
          <cell r="P2080">
            <v>0</v>
          </cell>
          <cell r="Q2080">
            <v>0</v>
          </cell>
          <cell r="R2080">
            <v>0</v>
          </cell>
          <cell r="S2080">
            <v>1</v>
          </cell>
          <cell r="T2080">
            <v>10996.97</v>
          </cell>
          <cell r="U2080">
            <v>10996.97</v>
          </cell>
        </row>
        <row r="2081">
          <cell r="A2081">
            <v>1002075</v>
          </cell>
          <cell r="B2081" t="str">
            <v>Tarjeta Módem P/ Med Q1000 Firmw 5.x</v>
          </cell>
          <cell r="D2081">
            <v>5409</v>
          </cell>
          <cell r="E2081">
            <v>1000</v>
          </cell>
          <cell r="F2081" t="str">
            <v>ZALM</v>
          </cell>
          <cell r="G2081" t="str">
            <v>UN</v>
          </cell>
          <cell r="H2081" t="str">
            <v>DOP</v>
          </cell>
          <cell r="I2081">
            <v>3</v>
          </cell>
          <cell r="J2081">
            <v>32990.910000000003</v>
          </cell>
          <cell r="K2081">
            <v>0</v>
          </cell>
          <cell r="L2081">
            <v>0</v>
          </cell>
          <cell r="M2081">
            <v>0</v>
          </cell>
          <cell r="N2081">
            <v>0</v>
          </cell>
          <cell r="O2081">
            <v>0</v>
          </cell>
          <cell r="P2081">
            <v>0</v>
          </cell>
          <cell r="Q2081">
            <v>0</v>
          </cell>
          <cell r="R2081">
            <v>0</v>
          </cell>
          <cell r="S2081">
            <v>3</v>
          </cell>
          <cell r="T2081">
            <v>32990.910000000003</v>
          </cell>
          <cell r="U2081">
            <v>10996.97</v>
          </cell>
        </row>
        <row r="2082">
          <cell r="A2082">
            <v>1002076</v>
          </cell>
          <cell r="B2082" t="str">
            <v>Cono Anclar Concreto 15"x6''x8''</v>
          </cell>
          <cell r="D2082">
            <v>3300</v>
          </cell>
          <cell r="E2082">
            <v>1000</v>
          </cell>
          <cell r="F2082" t="str">
            <v>ZALM</v>
          </cell>
          <cell r="G2082" t="str">
            <v>UN</v>
          </cell>
          <cell r="H2082" t="str">
            <v>DOP</v>
          </cell>
          <cell r="I2082">
            <v>0</v>
          </cell>
          <cell r="J2082">
            <v>0</v>
          </cell>
          <cell r="K2082">
            <v>0</v>
          </cell>
          <cell r="L2082">
            <v>0</v>
          </cell>
          <cell r="M2082">
            <v>0</v>
          </cell>
          <cell r="N2082">
            <v>0</v>
          </cell>
          <cell r="O2082">
            <v>0</v>
          </cell>
          <cell r="P2082">
            <v>0</v>
          </cell>
          <cell r="Q2082">
            <v>0</v>
          </cell>
          <cell r="R2082">
            <v>0</v>
          </cell>
          <cell r="S2082">
            <v>0</v>
          </cell>
          <cell r="T2082">
            <v>0</v>
          </cell>
          <cell r="U2082" t="e">
            <v>#N/A</v>
          </cell>
        </row>
        <row r="2083">
          <cell r="A2083">
            <v>1002077</v>
          </cell>
          <cell r="B2083" t="str">
            <v>Cono Anclar Concreto 18"x6"x8"</v>
          </cell>
          <cell r="D2083">
            <v>3300</v>
          </cell>
          <cell r="E2083">
            <v>1000</v>
          </cell>
          <cell r="F2083" t="str">
            <v>ZALM</v>
          </cell>
          <cell r="G2083" t="str">
            <v>UN</v>
          </cell>
          <cell r="H2083" t="str">
            <v>DOP</v>
          </cell>
          <cell r="I2083">
            <v>0</v>
          </cell>
          <cell r="J2083">
            <v>0</v>
          </cell>
          <cell r="K2083">
            <v>0</v>
          </cell>
          <cell r="L2083">
            <v>0</v>
          </cell>
          <cell r="M2083">
            <v>10</v>
          </cell>
          <cell r="N2083">
            <v>1508</v>
          </cell>
          <cell r="O2083">
            <v>0</v>
          </cell>
          <cell r="P2083">
            <v>0</v>
          </cell>
          <cell r="Q2083">
            <v>0</v>
          </cell>
          <cell r="R2083">
            <v>0</v>
          </cell>
          <cell r="S2083">
            <v>10</v>
          </cell>
          <cell r="T2083">
            <v>1508</v>
          </cell>
          <cell r="U2083">
            <v>150.80000000000001</v>
          </cell>
        </row>
        <row r="2084">
          <cell r="A2084">
            <v>1002078</v>
          </cell>
          <cell r="B2084" t="str">
            <v>Cono Anclar Superf 250" 161-300mm2</v>
          </cell>
          <cell r="D2084">
            <v>3300</v>
          </cell>
          <cell r="E2084">
            <v>1000</v>
          </cell>
          <cell r="F2084" t="str">
            <v>ZALM</v>
          </cell>
          <cell r="G2084" t="str">
            <v>UN</v>
          </cell>
          <cell r="H2084" t="str">
            <v>DOP</v>
          </cell>
          <cell r="I2084">
            <v>0</v>
          </cell>
          <cell r="J2084">
            <v>0</v>
          </cell>
          <cell r="K2084">
            <v>0</v>
          </cell>
          <cell r="L2084">
            <v>0</v>
          </cell>
          <cell r="M2084">
            <v>0</v>
          </cell>
          <cell r="N2084">
            <v>0</v>
          </cell>
          <cell r="O2084">
            <v>0</v>
          </cell>
          <cell r="P2084">
            <v>0</v>
          </cell>
          <cell r="Q2084">
            <v>0</v>
          </cell>
          <cell r="R2084">
            <v>0</v>
          </cell>
          <cell r="S2084">
            <v>0</v>
          </cell>
          <cell r="T2084">
            <v>0</v>
          </cell>
          <cell r="U2084" t="e">
            <v>#N/A</v>
          </cell>
        </row>
        <row r="2085">
          <cell r="A2085">
            <v>1002079</v>
          </cell>
          <cell r="B2085" t="str">
            <v>Cruceta Acer 3"x3"x1/4" 45° Perf L 5'-7"</v>
          </cell>
          <cell r="D2085">
            <v>3300</v>
          </cell>
          <cell r="E2085">
            <v>1000</v>
          </cell>
          <cell r="F2085" t="str">
            <v>ZALM</v>
          </cell>
          <cell r="G2085" t="str">
            <v>UN</v>
          </cell>
          <cell r="H2085" t="str">
            <v>DOP</v>
          </cell>
          <cell r="I2085">
            <v>0</v>
          </cell>
          <cell r="J2085">
            <v>0</v>
          </cell>
          <cell r="K2085">
            <v>0</v>
          </cell>
          <cell r="L2085">
            <v>0</v>
          </cell>
          <cell r="M2085">
            <v>0</v>
          </cell>
          <cell r="N2085">
            <v>0</v>
          </cell>
          <cell r="O2085">
            <v>0</v>
          </cell>
          <cell r="P2085">
            <v>0</v>
          </cell>
          <cell r="Q2085">
            <v>0</v>
          </cell>
          <cell r="R2085">
            <v>0</v>
          </cell>
          <cell r="S2085">
            <v>0</v>
          </cell>
          <cell r="T2085">
            <v>0</v>
          </cell>
          <cell r="U2085" t="e">
            <v>#N/A</v>
          </cell>
        </row>
        <row r="2086">
          <cell r="A2086">
            <v>1002080</v>
          </cell>
          <cell r="B2086" t="str">
            <v>Cruceta Acer 3"x3"x1/4" 45° Perf L 8'-0"</v>
          </cell>
          <cell r="D2086">
            <v>3300</v>
          </cell>
          <cell r="E2086">
            <v>1000</v>
          </cell>
          <cell r="F2086" t="str">
            <v>ZALM</v>
          </cell>
          <cell r="G2086" t="str">
            <v>UN</v>
          </cell>
          <cell r="H2086" t="str">
            <v>DOP</v>
          </cell>
          <cell r="I2086">
            <v>0</v>
          </cell>
          <cell r="J2086">
            <v>0</v>
          </cell>
          <cell r="K2086">
            <v>0</v>
          </cell>
          <cell r="L2086">
            <v>0</v>
          </cell>
          <cell r="M2086">
            <v>0</v>
          </cell>
          <cell r="N2086">
            <v>0</v>
          </cell>
          <cell r="O2086">
            <v>0</v>
          </cell>
          <cell r="P2086">
            <v>0</v>
          </cell>
          <cell r="Q2086">
            <v>0</v>
          </cell>
          <cell r="R2086">
            <v>0</v>
          </cell>
          <cell r="S2086">
            <v>0</v>
          </cell>
          <cell r="T2086">
            <v>0</v>
          </cell>
          <cell r="U2086" t="e">
            <v>#N/A</v>
          </cell>
        </row>
        <row r="2087">
          <cell r="A2087">
            <v>1002081</v>
          </cell>
          <cell r="B2087" t="str">
            <v>Cruceta Acer 3"x3"x1/4" Perf L 3'-0"</v>
          </cell>
          <cell r="D2087">
            <v>3300</v>
          </cell>
          <cell r="E2087">
            <v>1000</v>
          </cell>
          <cell r="F2087" t="str">
            <v>ZALM</v>
          </cell>
          <cell r="G2087" t="str">
            <v>UN</v>
          </cell>
          <cell r="H2087" t="str">
            <v>DOP</v>
          </cell>
          <cell r="I2087">
            <v>0</v>
          </cell>
          <cell r="J2087">
            <v>0</v>
          </cell>
          <cell r="K2087">
            <v>0</v>
          </cell>
          <cell r="L2087">
            <v>0</v>
          </cell>
          <cell r="M2087">
            <v>0</v>
          </cell>
          <cell r="N2087">
            <v>0</v>
          </cell>
          <cell r="O2087">
            <v>0</v>
          </cell>
          <cell r="P2087">
            <v>0</v>
          </cell>
          <cell r="Q2087">
            <v>0</v>
          </cell>
          <cell r="R2087">
            <v>0</v>
          </cell>
          <cell r="S2087">
            <v>0</v>
          </cell>
          <cell r="T2087">
            <v>0</v>
          </cell>
          <cell r="U2087" t="e">
            <v>#N/A</v>
          </cell>
        </row>
        <row r="2088">
          <cell r="A2088">
            <v>1002082</v>
          </cell>
          <cell r="B2088" t="str">
            <v>Cruceta Acer 3"x3"x1/4" Perf L 5'-7"</v>
          </cell>
          <cell r="D2088">
            <v>3300</v>
          </cell>
          <cell r="E2088">
            <v>1000</v>
          </cell>
          <cell r="F2088" t="str">
            <v>ZALM</v>
          </cell>
          <cell r="G2088" t="str">
            <v>UN</v>
          </cell>
          <cell r="H2088" t="str">
            <v>DOP</v>
          </cell>
          <cell r="I2088">
            <v>0</v>
          </cell>
          <cell r="J2088">
            <v>0</v>
          </cell>
          <cell r="K2088">
            <v>0</v>
          </cell>
          <cell r="L2088">
            <v>0</v>
          </cell>
          <cell r="M2088">
            <v>0</v>
          </cell>
          <cell r="N2088">
            <v>0</v>
          </cell>
          <cell r="O2088">
            <v>0</v>
          </cell>
          <cell r="P2088">
            <v>0</v>
          </cell>
          <cell r="Q2088">
            <v>0</v>
          </cell>
          <cell r="R2088">
            <v>0</v>
          </cell>
          <cell r="S2088">
            <v>0</v>
          </cell>
          <cell r="T2088">
            <v>0</v>
          </cell>
          <cell r="U2088" t="e">
            <v>#N/A</v>
          </cell>
        </row>
        <row r="2089">
          <cell r="A2089">
            <v>1002083</v>
          </cell>
          <cell r="B2089" t="str">
            <v>Cruceta Acer 3"x3"x1/4" Perf L 8'-0"</v>
          </cell>
          <cell r="D2089">
            <v>3300</v>
          </cell>
          <cell r="E2089">
            <v>1000</v>
          </cell>
          <cell r="F2089" t="str">
            <v>ZALM</v>
          </cell>
          <cell r="G2089" t="str">
            <v>UN</v>
          </cell>
          <cell r="H2089" t="str">
            <v>DOP</v>
          </cell>
          <cell r="I2089">
            <v>0</v>
          </cell>
          <cell r="J2089">
            <v>0</v>
          </cell>
          <cell r="K2089">
            <v>0</v>
          </cell>
          <cell r="L2089">
            <v>0</v>
          </cell>
          <cell r="M2089">
            <v>665</v>
          </cell>
          <cell r="N2089">
            <v>1273765</v>
          </cell>
          <cell r="O2089">
            <v>0</v>
          </cell>
          <cell r="P2089">
            <v>0</v>
          </cell>
          <cell r="Q2089">
            <v>2</v>
          </cell>
          <cell r="R2089">
            <v>3830.87</v>
          </cell>
          <cell r="S2089">
            <v>667</v>
          </cell>
          <cell r="T2089">
            <v>1277595.8700000001</v>
          </cell>
          <cell r="U2089">
            <v>1915.4360869565201</v>
          </cell>
        </row>
        <row r="2090">
          <cell r="A2090">
            <v>1002084</v>
          </cell>
          <cell r="B2090" t="str">
            <v>Cruceta Acer 4"x4"x3/8" Perf L 20'-0"</v>
          </cell>
          <cell r="D2090">
            <v>3300</v>
          </cell>
          <cell r="E2090">
            <v>1000</v>
          </cell>
          <cell r="F2090" t="str">
            <v>ZALM</v>
          </cell>
          <cell r="G2090" t="str">
            <v>UN</v>
          </cell>
          <cell r="H2090" t="str">
            <v>DOP</v>
          </cell>
          <cell r="I2090">
            <v>0</v>
          </cell>
          <cell r="J2090">
            <v>0</v>
          </cell>
          <cell r="K2090">
            <v>0</v>
          </cell>
          <cell r="L2090">
            <v>0</v>
          </cell>
          <cell r="M2090">
            <v>0</v>
          </cell>
          <cell r="N2090">
            <v>0</v>
          </cell>
          <cell r="O2090">
            <v>0</v>
          </cell>
          <cell r="P2090">
            <v>0</v>
          </cell>
          <cell r="Q2090">
            <v>0</v>
          </cell>
          <cell r="R2090">
            <v>0</v>
          </cell>
          <cell r="S2090">
            <v>0</v>
          </cell>
          <cell r="T2090">
            <v>0</v>
          </cell>
          <cell r="U2090" t="e">
            <v>#N/A</v>
          </cell>
        </row>
        <row r="2091">
          <cell r="A2091">
            <v>1002085</v>
          </cell>
          <cell r="B2091" t="str">
            <v>Cruceta Mad 3 3/4"x3 3/4" 8'</v>
          </cell>
          <cell r="D2091">
            <v>3300</v>
          </cell>
          <cell r="E2091">
            <v>1000</v>
          </cell>
          <cell r="F2091" t="str">
            <v>ZALM</v>
          </cell>
          <cell r="G2091" t="str">
            <v>UN</v>
          </cell>
          <cell r="H2091" t="str">
            <v>DOP</v>
          </cell>
          <cell r="I2091">
            <v>0</v>
          </cell>
          <cell r="J2091">
            <v>0</v>
          </cell>
          <cell r="K2091">
            <v>0</v>
          </cell>
          <cell r="L2091">
            <v>0</v>
          </cell>
          <cell r="M2091">
            <v>0</v>
          </cell>
          <cell r="N2091">
            <v>0</v>
          </cell>
          <cell r="O2091">
            <v>0</v>
          </cell>
          <cell r="P2091">
            <v>0</v>
          </cell>
          <cell r="Q2091">
            <v>0</v>
          </cell>
          <cell r="R2091">
            <v>0</v>
          </cell>
          <cell r="S2091">
            <v>0</v>
          </cell>
          <cell r="T2091">
            <v>0</v>
          </cell>
          <cell r="U2091" t="e">
            <v>#N/A</v>
          </cell>
        </row>
        <row r="2092">
          <cell r="A2092">
            <v>1002086</v>
          </cell>
          <cell r="B2092" t="str">
            <v>Cruceta Mad 3 3/4"x3 3/4" L 6'-0 Galv</v>
          </cell>
          <cell r="D2092">
            <v>3300</v>
          </cell>
          <cell r="E2092">
            <v>1000</v>
          </cell>
          <cell r="F2092" t="str">
            <v>ZALM</v>
          </cell>
          <cell r="G2092" t="str">
            <v>UN</v>
          </cell>
          <cell r="H2092" t="str">
            <v>DOP</v>
          </cell>
          <cell r="I2092">
            <v>0</v>
          </cell>
          <cell r="J2092">
            <v>0</v>
          </cell>
          <cell r="K2092">
            <v>0</v>
          </cell>
          <cell r="L2092">
            <v>0</v>
          </cell>
          <cell r="M2092">
            <v>0</v>
          </cell>
          <cell r="N2092">
            <v>0</v>
          </cell>
          <cell r="O2092">
            <v>0</v>
          </cell>
          <cell r="P2092">
            <v>0</v>
          </cell>
          <cell r="Q2092">
            <v>0</v>
          </cell>
          <cell r="R2092">
            <v>0</v>
          </cell>
          <cell r="S2092">
            <v>0</v>
          </cell>
          <cell r="T2092">
            <v>0</v>
          </cell>
          <cell r="U2092" t="e">
            <v>#N/A</v>
          </cell>
        </row>
        <row r="2093">
          <cell r="A2093">
            <v>1002087</v>
          </cell>
          <cell r="B2093" t="str">
            <v>Cruceta Mad 3 3/4"x4 3/4'' 8'</v>
          </cell>
          <cell r="D2093">
            <v>3300</v>
          </cell>
          <cell r="E2093">
            <v>1000</v>
          </cell>
          <cell r="F2093" t="str">
            <v>ZALM</v>
          </cell>
          <cell r="G2093" t="str">
            <v>UN</v>
          </cell>
          <cell r="H2093" t="str">
            <v>DOP</v>
          </cell>
          <cell r="I2093">
            <v>0</v>
          </cell>
          <cell r="J2093">
            <v>0</v>
          </cell>
          <cell r="K2093">
            <v>0</v>
          </cell>
          <cell r="L2093">
            <v>0</v>
          </cell>
          <cell r="M2093">
            <v>2</v>
          </cell>
          <cell r="N2093">
            <v>1723.62</v>
          </cell>
          <cell r="O2093">
            <v>0</v>
          </cell>
          <cell r="P2093">
            <v>0</v>
          </cell>
          <cell r="Q2093">
            <v>59</v>
          </cell>
          <cell r="R2093">
            <v>50846.8</v>
          </cell>
          <cell r="S2093">
            <v>61</v>
          </cell>
          <cell r="T2093">
            <v>52570.42</v>
          </cell>
          <cell r="U2093">
            <v>861.81016393442599</v>
          </cell>
        </row>
        <row r="2094">
          <cell r="A2094">
            <v>1002088</v>
          </cell>
          <cell r="B2094" t="str">
            <v>Cruceta Mad 3 3/4"x4 3/4" 10'</v>
          </cell>
          <cell r="D2094">
            <v>3300</v>
          </cell>
          <cell r="E2094">
            <v>1000</v>
          </cell>
          <cell r="F2094" t="str">
            <v>ZALM</v>
          </cell>
          <cell r="G2094" t="str">
            <v>UN</v>
          </cell>
          <cell r="H2094" t="str">
            <v>DOP</v>
          </cell>
          <cell r="I2094">
            <v>0</v>
          </cell>
          <cell r="J2094">
            <v>0</v>
          </cell>
          <cell r="K2094">
            <v>0</v>
          </cell>
          <cell r="L2094">
            <v>0</v>
          </cell>
          <cell r="M2094">
            <v>0</v>
          </cell>
          <cell r="N2094">
            <v>0</v>
          </cell>
          <cell r="O2094">
            <v>0</v>
          </cell>
          <cell r="P2094">
            <v>0</v>
          </cell>
          <cell r="Q2094">
            <v>0</v>
          </cell>
          <cell r="R2094">
            <v>0</v>
          </cell>
          <cell r="S2094">
            <v>0</v>
          </cell>
          <cell r="T2094">
            <v>0</v>
          </cell>
          <cell r="U2094" t="e">
            <v>#N/A</v>
          </cell>
        </row>
        <row r="2095">
          <cell r="A2095">
            <v>1002089</v>
          </cell>
          <cell r="B2095" t="str">
            <v>Cruceta Mad 3 3/4"x4 3/4" 6'</v>
          </cell>
          <cell r="D2095">
            <v>3300</v>
          </cell>
          <cell r="E2095">
            <v>1000</v>
          </cell>
          <cell r="F2095" t="str">
            <v>ZALM</v>
          </cell>
          <cell r="G2095" t="str">
            <v>UN</v>
          </cell>
          <cell r="H2095" t="str">
            <v>DOP</v>
          </cell>
          <cell r="I2095">
            <v>0</v>
          </cell>
          <cell r="J2095">
            <v>0</v>
          </cell>
          <cell r="K2095">
            <v>0</v>
          </cell>
          <cell r="L2095">
            <v>0</v>
          </cell>
          <cell r="M2095">
            <v>0</v>
          </cell>
          <cell r="N2095">
            <v>0</v>
          </cell>
          <cell r="O2095">
            <v>0</v>
          </cell>
          <cell r="P2095">
            <v>0</v>
          </cell>
          <cell r="Q2095">
            <v>0</v>
          </cell>
          <cell r="R2095">
            <v>0</v>
          </cell>
          <cell r="S2095">
            <v>0</v>
          </cell>
          <cell r="T2095">
            <v>0</v>
          </cell>
          <cell r="U2095" t="e">
            <v>#N/A</v>
          </cell>
        </row>
        <row r="2096">
          <cell r="A2096">
            <v>1002090</v>
          </cell>
          <cell r="B2096" t="str">
            <v>Cruceta Mad 4 3/4"x4 3/4" L 6'-0 S/ Orif</v>
          </cell>
          <cell r="D2096">
            <v>3300</v>
          </cell>
          <cell r="E2096">
            <v>1000</v>
          </cell>
          <cell r="F2096" t="str">
            <v>ZALM</v>
          </cell>
          <cell r="G2096" t="str">
            <v>UN</v>
          </cell>
          <cell r="H2096" t="str">
            <v>DOP</v>
          </cell>
          <cell r="I2096">
            <v>0</v>
          </cell>
          <cell r="J2096">
            <v>0</v>
          </cell>
          <cell r="K2096">
            <v>0</v>
          </cell>
          <cell r="L2096">
            <v>0</v>
          </cell>
          <cell r="M2096">
            <v>0</v>
          </cell>
          <cell r="N2096">
            <v>0</v>
          </cell>
          <cell r="O2096">
            <v>0</v>
          </cell>
          <cell r="P2096">
            <v>0</v>
          </cell>
          <cell r="Q2096">
            <v>0</v>
          </cell>
          <cell r="R2096">
            <v>0</v>
          </cell>
          <cell r="S2096">
            <v>0</v>
          </cell>
          <cell r="T2096">
            <v>0</v>
          </cell>
          <cell r="U2096" t="e">
            <v>#N/A</v>
          </cell>
        </row>
        <row r="2097">
          <cell r="A2097">
            <v>1002091</v>
          </cell>
          <cell r="B2097" t="str">
            <v>Cruceta Mad 4 3/4"x5 3/4" L 22'</v>
          </cell>
          <cell r="D2097">
            <v>3300</v>
          </cell>
          <cell r="E2097">
            <v>1000</v>
          </cell>
          <cell r="F2097" t="str">
            <v>ZALM</v>
          </cell>
          <cell r="G2097" t="str">
            <v>UN</v>
          </cell>
          <cell r="H2097" t="str">
            <v>DOP</v>
          </cell>
          <cell r="I2097">
            <v>0</v>
          </cell>
          <cell r="J2097">
            <v>0</v>
          </cell>
          <cell r="K2097">
            <v>0</v>
          </cell>
          <cell r="L2097">
            <v>0</v>
          </cell>
          <cell r="M2097">
            <v>0</v>
          </cell>
          <cell r="N2097">
            <v>0</v>
          </cell>
          <cell r="O2097">
            <v>0</v>
          </cell>
          <cell r="P2097">
            <v>0</v>
          </cell>
          <cell r="Q2097">
            <v>0</v>
          </cell>
          <cell r="R2097">
            <v>0</v>
          </cell>
          <cell r="S2097">
            <v>0</v>
          </cell>
          <cell r="T2097">
            <v>0</v>
          </cell>
          <cell r="U2097" t="e">
            <v>#N/A</v>
          </cell>
        </row>
        <row r="2098">
          <cell r="A2098">
            <v>1002092</v>
          </cell>
          <cell r="B2098" t="str">
            <v>Cruceta Mad 4"x4" 10'</v>
          </cell>
          <cell r="D2098">
            <v>3300</v>
          </cell>
          <cell r="E2098">
            <v>1000</v>
          </cell>
          <cell r="F2098" t="str">
            <v>ZALM</v>
          </cell>
          <cell r="G2098" t="str">
            <v>UN</v>
          </cell>
          <cell r="H2098" t="str">
            <v>DOP</v>
          </cell>
          <cell r="I2098">
            <v>0</v>
          </cell>
          <cell r="J2098">
            <v>0</v>
          </cell>
          <cell r="K2098">
            <v>0</v>
          </cell>
          <cell r="L2098">
            <v>0</v>
          </cell>
          <cell r="M2098">
            <v>0</v>
          </cell>
          <cell r="N2098">
            <v>0</v>
          </cell>
          <cell r="O2098">
            <v>0</v>
          </cell>
          <cell r="P2098">
            <v>0</v>
          </cell>
          <cell r="Q2098">
            <v>0</v>
          </cell>
          <cell r="R2098">
            <v>0</v>
          </cell>
          <cell r="S2098">
            <v>0</v>
          </cell>
          <cell r="T2098">
            <v>0</v>
          </cell>
          <cell r="U2098" t="e">
            <v>#N/A</v>
          </cell>
        </row>
        <row r="2099">
          <cell r="A2099">
            <v>1002093</v>
          </cell>
          <cell r="B2099" t="str">
            <v>Cruceta Mad 4"x4" 6'</v>
          </cell>
          <cell r="D2099">
            <v>3300</v>
          </cell>
          <cell r="E2099">
            <v>1000</v>
          </cell>
          <cell r="F2099" t="str">
            <v>ZALM</v>
          </cell>
          <cell r="G2099" t="str">
            <v>UN</v>
          </cell>
          <cell r="H2099" t="str">
            <v>DOP</v>
          </cell>
          <cell r="I2099">
            <v>0</v>
          </cell>
          <cell r="J2099">
            <v>0</v>
          </cell>
          <cell r="K2099">
            <v>0</v>
          </cell>
          <cell r="L2099">
            <v>0</v>
          </cell>
          <cell r="M2099">
            <v>0</v>
          </cell>
          <cell r="N2099">
            <v>0</v>
          </cell>
          <cell r="O2099">
            <v>0</v>
          </cell>
          <cell r="P2099">
            <v>0</v>
          </cell>
          <cell r="Q2099">
            <v>0</v>
          </cell>
          <cell r="R2099">
            <v>0</v>
          </cell>
          <cell r="S2099">
            <v>0</v>
          </cell>
          <cell r="T2099">
            <v>0</v>
          </cell>
          <cell r="U2099" t="e">
            <v>#N/A</v>
          </cell>
        </row>
        <row r="2100">
          <cell r="A2100">
            <v>1002094</v>
          </cell>
          <cell r="B2100" t="str">
            <v>Pilastra de Hormigón Armado de 3 Mtr</v>
          </cell>
          <cell r="D2100">
            <v>3300</v>
          </cell>
          <cell r="E2100">
            <v>1000</v>
          </cell>
          <cell r="F2100" t="str">
            <v>ZALM</v>
          </cell>
          <cell r="G2100" t="str">
            <v>UN</v>
          </cell>
          <cell r="H2100" t="str">
            <v>DOP</v>
          </cell>
          <cell r="I2100">
            <v>0</v>
          </cell>
          <cell r="J2100">
            <v>0</v>
          </cell>
          <cell r="K2100">
            <v>0</v>
          </cell>
          <cell r="L2100">
            <v>0</v>
          </cell>
          <cell r="M2100">
            <v>0</v>
          </cell>
          <cell r="N2100">
            <v>0</v>
          </cell>
          <cell r="O2100">
            <v>0</v>
          </cell>
          <cell r="P2100">
            <v>0</v>
          </cell>
          <cell r="Q2100">
            <v>0</v>
          </cell>
          <cell r="R2100">
            <v>0</v>
          </cell>
          <cell r="S2100">
            <v>0</v>
          </cell>
          <cell r="T2100">
            <v>0</v>
          </cell>
          <cell r="U2100" t="e">
            <v>#N/A</v>
          </cell>
        </row>
        <row r="2101">
          <cell r="A2101">
            <v>1002095</v>
          </cell>
          <cell r="B2101" t="str">
            <v>Poste de Acero Galvanizado 25' 2.5 KN</v>
          </cell>
          <cell r="D2101">
            <v>3300</v>
          </cell>
          <cell r="E2101">
            <v>1000</v>
          </cell>
          <cell r="F2101" t="str">
            <v>ZALM</v>
          </cell>
          <cell r="G2101" t="str">
            <v>UN</v>
          </cell>
          <cell r="H2101" t="str">
            <v>DOP</v>
          </cell>
          <cell r="I2101">
            <v>0</v>
          </cell>
          <cell r="J2101">
            <v>0</v>
          </cell>
          <cell r="K2101">
            <v>0</v>
          </cell>
          <cell r="L2101">
            <v>0</v>
          </cell>
          <cell r="M2101">
            <v>0</v>
          </cell>
          <cell r="N2101">
            <v>0</v>
          </cell>
          <cell r="O2101">
            <v>0</v>
          </cell>
          <cell r="P2101">
            <v>0</v>
          </cell>
          <cell r="Q2101">
            <v>0</v>
          </cell>
          <cell r="R2101">
            <v>0</v>
          </cell>
          <cell r="S2101">
            <v>0</v>
          </cell>
          <cell r="T2101">
            <v>0</v>
          </cell>
          <cell r="U2101" t="e">
            <v>#N/A</v>
          </cell>
        </row>
        <row r="2102">
          <cell r="A2102">
            <v>1002096</v>
          </cell>
          <cell r="B2102" t="str">
            <v>Poste de Acero Galvanizado 30' 2 KN</v>
          </cell>
          <cell r="D2102">
            <v>3300</v>
          </cell>
          <cell r="E2102">
            <v>1000</v>
          </cell>
          <cell r="F2102" t="str">
            <v>ZALM</v>
          </cell>
          <cell r="G2102" t="str">
            <v>UN</v>
          </cell>
          <cell r="H2102" t="str">
            <v>DOP</v>
          </cell>
          <cell r="I2102">
            <v>0</v>
          </cell>
          <cell r="J2102">
            <v>0</v>
          </cell>
          <cell r="K2102">
            <v>0</v>
          </cell>
          <cell r="L2102">
            <v>0</v>
          </cell>
          <cell r="M2102">
            <v>0</v>
          </cell>
          <cell r="N2102">
            <v>0</v>
          </cell>
          <cell r="O2102">
            <v>0</v>
          </cell>
          <cell r="P2102">
            <v>0</v>
          </cell>
          <cell r="Q2102">
            <v>0</v>
          </cell>
          <cell r="R2102">
            <v>0</v>
          </cell>
          <cell r="S2102">
            <v>0</v>
          </cell>
          <cell r="T2102">
            <v>0</v>
          </cell>
          <cell r="U2102" t="e">
            <v>#N/A</v>
          </cell>
        </row>
        <row r="2103">
          <cell r="A2103">
            <v>1002097</v>
          </cell>
          <cell r="B2103" t="str">
            <v>Poste de Acero Galvanizado 30' 3.0 KN</v>
          </cell>
          <cell r="D2103">
            <v>3300</v>
          </cell>
          <cell r="E2103">
            <v>1000</v>
          </cell>
          <cell r="F2103" t="str">
            <v>ZALM</v>
          </cell>
          <cell r="G2103" t="str">
            <v>UN</v>
          </cell>
          <cell r="H2103" t="str">
            <v>DOP</v>
          </cell>
          <cell r="I2103">
            <v>0</v>
          </cell>
          <cell r="J2103">
            <v>0</v>
          </cell>
          <cell r="K2103">
            <v>0</v>
          </cell>
          <cell r="L2103">
            <v>0</v>
          </cell>
          <cell r="M2103">
            <v>0</v>
          </cell>
          <cell r="N2103">
            <v>0</v>
          </cell>
          <cell r="O2103">
            <v>0</v>
          </cell>
          <cell r="P2103">
            <v>0</v>
          </cell>
          <cell r="Q2103">
            <v>0</v>
          </cell>
          <cell r="R2103">
            <v>0</v>
          </cell>
          <cell r="S2103">
            <v>0</v>
          </cell>
          <cell r="T2103">
            <v>0</v>
          </cell>
          <cell r="U2103" t="e">
            <v>#N/A</v>
          </cell>
        </row>
        <row r="2104">
          <cell r="A2104">
            <v>1002098</v>
          </cell>
          <cell r="B2104" t="str">
            <v>Poste de Acero Galvanizado 30' 4.0 KN</v>
          </cell>
          <cell r="D2104">
            <v>3300</v>
          </cell>
          <cell r="E2104">
            <v>1000</v>
          </cell>
          <cell r="F2104" t="str">
            <v>ZALM</v>
          </cell>
          <cell r="G2104" t="str">
            <v>UN</v>
          </cell>
          <cell r="H2104" t="str">
            <v>DOP</v>
          </cell>
          <cell r="I2104">
            <v>0</v>
          </cell>
          <cell r="J2104">
            <v>0</v>
          </cell>
          <cell r="K2104">
            <v>0</v>
          </cell>
          <cell r="L2104">
            <v>0</v>
          </cell>
          <cell r="M2104">
            <v>0</v>
          </cell>
          <cell r="N2104">
            <v>0</v>
          </cell>
          <cell r="O2104">
            <v>0</v>
          </cell>
          <cell r="P2104">
            <v>0</v>
          </cell>
          <cell r="Q2104">
            <v>0</v>
          </cell>
          <cell r="R2104">
            <v>0</v>
          </cell>
          <cell r="S2104">
            <v>0</v>
          </cell>
          <cell r="T2104">
            <v>0</v>
          </cell>
          <cell r="U2104" t="e">
            <v>#N/A</v>
          </cell>
        </row>
        <row r="2105">
          <cell r="A2105">
            <v>1002099</v>
          </cell>
          <cell r="B2105" t="str">
            <v>Poste de Acero Galvanizado 35' 4.0 KN</v>
          </cell>
          <cell r="D2105">
            <v>3300</v>
          </cell>
          <cell r="E2105">
            <v>1000</v>
          </cell>
          <cell r="F2105" t="str">
            <v>ZALM</v>
          </cell>
          <cell r="G2105" t="str">
            <v>UN</v>
          </cell>
          <cell r="H2105" t="str">
            <v>DOP</v>
          </cell>
          <cell r="I2105">
            <v>0</v>
          </cell>
          <cell r="J2105">
            <v>0</v>
          </cell>
          <cell r="K2105">
            <v>0</v>
          </cell>
          <cell r="L2105">
            <v>0</v>
          </cell>
          <cell r="M2105">
            <v>0</v>
          </cell>
          <cell r="N2105">
            <v>0</v>
          </cell>
          <cell r="O2105">
            <v>0</v>
          </cell>
          <cell r="P2105">
            <v>0</v>
          </cell>
          <cell r="Q2105">
            <v>0</v>
          </cell>
          <cell r="R2105">
            <v>0</v>
          </cell>
          <cell r="S2105">
            <v>0</v>
          </cell>
          <cell r="T2105">
            <v>0</v>
          </cell>
          <cell r="U2105" t="e">
            <v>#N/A</v>
          </cell>
        </row>
        <row r="2106">
          <cell r="A2106">
            <v>1002100</v>
          </cell>
          <cell r="B2106" t="str">
            <v>Poste de Acero Galvanizado 35' 5.0 KN</v>
          </cell>
          <cell r="C2106" t="str">
            <v/>
          </cell>
          <cell r="D2106">
            <v>3300</v>
          </cell>
          <cell r="E2106">
            <v>1000</v>
          </cell>
          <cell r="F2106" t="str">
            <v>ZALM</v>
          </cell>
          <cell r="G2106" t="str">
            <v>UN</v>
          </cell>
          <cell r="H2106" t="str">
            <v>DOP</v>
          </cell>
          <cell r="I2106">
            <v>0</v>
          </cell>
          <cell r="J2106">
            <v>0</v>
          </cell>
          <cell r="K2106">
            <v>0</v>
          </cell>
          <cell r="L2106">
            <v>0</v>
          </cell>
          <cell r="M2106">
            <v>0</v>
          </cell>
          <cell r="N2106">
            <v>0</v>
          </cell>
          <cell r="O2106">
            <v>0</v>
          </cell>
          <cell r="P2106">
            <v>0</v>
          </cell>
          <cell r="Q2106">
            <v>0</v>
          </cell>
          <cell r="R2106">
            <v>0</v>
          </cell>
          <cell r="S2106">
            <v>0</v>
          </cell>
          <cell r="T2106">
            <v>0</v>
          </cell>
          <cell r="U2106" t="e">
            <v>#N/A</v>
          </cell>
        </row>
        <row r="2107">
          <cell r="A2107">
            <v>1002101</v>
          </cell>
          <cell r="B2107" t="str">
            <v>Poste de Acero Galvanizado 40' 5.0 KN</v>
          </cell>
          <cell r="D2107">
            <v>3300</v>
          </cell>
          <cell r="E2107">
            <v>1000</v>
          </cell>
          <cell r="F2107" t="str">
            <v>ZALM</v>
          </cell>
          <cell r="G2107" t="str">
            <v>UN</v>
          </cell>
          <cell r="H2107" t="str">
            <v>DOP</v>
          </cell>
          <cell r="I2107">
            <v>0</v>
          </cell>
          <cell r="J2107">
            <v>0</v>
          </cell>
          <cell r="K2107">
            <v>0</v>
          </cell>
          <cell r="L2107">
            <v>0</v>
          </cell>
          <cell r="M2107">
            <v>0</v>
          </cell>
          <cell r="N2107">
            <v>0</v>
          </cell>
          <cell r="O2107">
            <v>0</v>
          </cell>
          <cell r="P2107">
            <v>0</v>
          </cell>
          <cell r="Q2107">
            <v>0</v>
          </cell>
          <cell r="R2107">
            <v>0</v>
          </cell>
          <cell r="S2107">
            <v>0</v>
          </cell>
          <cell r="T2107">
            <v>0</v>
          </cell>
          <cell r="U2107" t="e">
            <v>#N/A</v>
          </cell>
        </row>
        <row r="2108">
          <cell r="A2108">
            <v>1002102</v>
          </cell>
          <cell r="B2108" t="str">
            <v>Poste de Acero Galvanizado 40' 6.0 KN</v>
          </cell>
          <cell r="D2108">
            <v>3300</v>
          </cell>
          <cell r="E2108">
            <v>1000</v>
          </cell>
          <cell r="F2108" t="str">
            <v>ZALM</v>
          </cell>
          <cell r="G2108" t="str">
            <v>UN</v>
          </cell>
          <cell r="H2108" t="str">
            <v>DOP</v>
          </cell>
          <cell r="I2108">
            <v>0</v>
          </cell>
          <cell r="J2108">
            <v>0</v>
          </cell>
          <cell r="K2108">
            <v>0</v>
          </cell>
          <cell r="L2108">
            <v>0</v>
          </cell>
          <cell r="M2108">
            <v>0</v>
          </cell>
          <cell r="N2108">
            <v>0</v>
          </cell>
          <cell r="O2108">
            <v>0</v>
          </cell>
          <cell r="P2108">
            <v>0</v>
          </cell>
          <cell r="Q2108">
            <v>0</v>
          </cell>
          <cell r="R2108">
            <v>0</v>
          </cell>
          <cell r="S2108">
            <v>0</v>
          </cell>
          <cell r="T2108">
            <v>0</v>
          </cell>
          <cell r="U2108" t="e">
            <v>#N/A</v>
          </cell>
        </row>
        <row r="2109">
          <cell r="A2109">
            <v>1002103</v>
          </cell>
          <cell r="B2109" t="str">
            <v>Poste de Acero Galvanizado 45' 6.0 KN</v>
          </cell>
          <cell r="D2109">
            <v>3300</v>
          </cell>
          <cell r="E2109">
            <v>1000</v>
          </cell>
          <cell r="F2109" t="str">
            <v>ZALM</v>
          </cell>
          <cell r="G2109" t="str">
            <v>UN</v>
          </cell>
          <cell r="H2109" t="str">
            <v>DOP</v>
          </cell>
          <cell r="I2109">
            <v>0</v>
          </cell>
          <cell r="J2109">
            <v>0</v>
          </cell>
          <cell r="K2109">
            <v>0</v>
          </cell>
          <cell r="L2109">
            <v>0</v>
          </cell>
          <cell r="M2109">
            <v>0</v>
          </cell>
          <cell r="N2109">
            <v>0</v>
          </cell>
          <cell r="O2109">
            <v>0</v>
          </cell>
          <cell r="P2109">
            <v>0</v>
          </cell>
          <cell r="Q2109">
            <v>0</v>
          </cell>
          <cell r="R2109">
            <v>0</v>
          </cell>
          <cell r="S2109">
            <v>0</v>
          </cell>
          <cell r="T2109">
            <v>0</v>
          </cell>
          <cell r="U2109" t="e">
            <v>#N/A</v>
          </cell>
        </row>
        <row r="2110">
          <cell r="A2110">
            <v>1002104</v>
          </cell>
          <cell r="B2110" t="str">
            <v>Poste de Acero Galvanizado 45' 7.0 KN</v>
          </cell>
          <cell r="D2110">
            <v>3300</v>
          </cell>
          <cell r="E2110">
            <v>1000</v>
          </cell>
          <cell r="F2110" t="str">
            <v>ZALM</v>
          </cell>
          <cell r="G2110" t="str">
            <v>UN</v>
          </cell>
          <cell r="H2110" t="str">
            <v>DOP</v>
          </cell>
          <cell r="I2110">
            <v>0</v>
          </cell>
          <cell r="J2110">
            <v>0</v>
          </cell>
          <cell r="K2110">
            <v>0</v>
          </cell>
          <cell r="L2110">
            <v>0</v>
          </cell>
          <cell r="M2110">
            <v>0</v>
          </cell>
          <cell r="N2110">
            <v>0</v>
          </cell>
          <cell r="O2110">
            <v>0</v>
          </cell>
          <cell r="P2110">
            <v>0</v>
          </cell>
          <cell r="Q2110">
            <v>0</v>
          </cell>
          <cell r="R2110">
            <v>0</v>
          </cell>
          <cell r="S2110">
            <v>0</v>
          </cell>
          <cell r="T2110">
            <v>0</v>
          </cell>
          <cell r="U2110" t="e">
            <v>#N/A</v>
          </cell>
        </row>
        <row r="2111">
          <cell r="A2111">
            <v>1002105</v>
          </cell>
          <cell r="B2111" t="str">
            <v>Poste de Concreto Hormigón Armado 30'</v>
          </cell>
          <cell r="D2111">
            <v>3300</v>
          </cell>
          <cell r="E2111">
            <v>1000</v>
          </cell>
          <cell r="F2111" t="str">
            <v>ZALM</v>
          </cell>
          <cell r="G2111" t="str">
            <v>UN</v>
          </cell>
          <cell r="H2111" t="str">
            <v>DOP</v>
          </cell>
          <cell r="I2111">
            <v>0</v>
          </cell>
          <cell r="J2111">
            <v>0</v>
          </cell>
          <cell r="K2111">
            <v>0</v>
          </cell>
          <cell r="L2111">
            <v>0</v>
          </cell>
          <cell r="M2111">
            <v>0</v>
          </cell>
          <cell r="N2111">
            <v>0</v>
          </cell>
          <cell r="O2111">
            <v>0</v>
          </cell>
          <cell r="P2111">
            <v>0</v>
          </cell>
          <cell r="Q2111">
            <v>0</v>
          </cell>
          <cell r="R2111">
            <v>0</v>
          </cell>
          <cell r="S2111">
            <v>0</v>
          </cell>
          <cell r="T2111">
            <v>0</v>
          </cell>
          <cell r="U2111" t="e">
            <v>#N/A</v>
          </cell>
        </row>
        <row r="2112">
          <cell r="A2112">
            <v>1002106</v>
          </cell>
          <cell r="B2112" t="str">
            <v>Poste de Concreto Pretensado 25' 2.5 KN</v>
          </cell>
          <cell r="D2112">
            <v>3300</v>
          </cell>
          <cell r="E2112">
            <v>1000</v>
          </cell>
          <cell r="F2112" t="str">
            <v>ZALM</v>
          </cell>
          <cell r="G2112" t="str">
            <v>UN</v>
          </cell>
          <cell r="H2112" t="str">
            <v>DOP</v>
          </cell>
          <cell r="I2112">
            <v>0</v>
          </cell>
          <cell r="J2112">
            <v>0</v>
          </cell>
          <cell r="K2112">
            <v>0</v>
          </cell>
          <cell r="L2112">
            <v>0</v>
          </cell>
          <cell r="M2112">
            <v>0</v>
          </cell>
          <cell r="N2112">
            <v>0</v>
          </cell>
          <cell r="O2112">
            <v>0</v>
          </cell>
          <cell r="P2112">
            <v>0</v>
          </cell>
          <cell r="Q2112">
            <v>0</v>
          </cell>
          <cell r="R2112">
            <v>0</v>
          </cell>
          <cell r="S2112">
            <v>0</v>
          </cell>
          <cell r="T2112">
            <v>0</v>
          </cell>
          <cell r="U2112" t="e">
            <v>#N/A</v>
          </cell>
        </row>
        <row r="2113">
          <cell r="A2113">
            <v>1002107</v>
          </cell>
          <cell r="B2113" t="str">
            <v>Poste de Concreto Pretensado 30' 3 KN</v>
          </cell>
          <cell r="D2113">
            <v>3300</v>
          </cell>
          <cell r="E2113">
            <v>1000</v>
          </cell>
          <cell r="F2113" t="str">
            <v>ZALM</v>
          </cell>
          <cell r="G2113" t="str">
            <v>UN</v>
          </cell>
          <cell r="H2113" t="str">
            <v>DOP</v>
          </cell>
          <cell r="I2113">
            <v>0</v>
          </cell>
          <cell r="J2113">
            <v>0</v>
          </cell>
          <cell r="K2113">
            <v>0</v>
          </cell>
          <cell r="L2113">
            <v>0</v>
          </cell>
          <cell r="M2113">
            <v>0</v>
          </cell>
          <cell r="N2113">
            <v>0</v>
          </cell>
          <cell r="O2113">
            <v>0</v>
          </cell>
          <cell r="P2113">
            <v>0</v>
          </cell>
          <cell r="Q2113">
            <v>0</v>
          </cell>
          <cell r="R2113">
            <v>0</v>
          </cell>
          <cell r="S2113">
            <v>0</v>
          </cell>
          <cell r="T2113">
            <v>0</v>
          </cell>
          <cell r="U2113" t="e">
            <v>#N/A</v>
          </cell>
        </row>
        <row r="2114">
          <cell r="A2114">
            <v>1002108</v>
          </cell>
          <cell r="B2114" t="str">
            <v>Poste de Concreto Pretensado 35' 4 KN</v>
          </cell>
          <cell r="D2114">
            <v>3300</v>
          </cell>
          <cell r="E2114">
            <v>1000</v>
          </cell>
          <cell r="F2114" t="str">
            <v>ZALM</v>
          </cell>
          <cell r="G2114" t="str">
            <v>UN</v>
          </cell>
          <cell r="H2114" t="str">
            <v>DOP</v>
          </cell>
          <cell r="I2114">
            <v>0</v>
          </cell>
          <cell r="J2114">
            <v>0</v>
          </cell>
          <cell r="K2114">
            <v>0</v>
          </cell>
          <cell r="L2114">
            <v>0</v>
          </cell>
          <cell r="M2114">
            <v>0</v>
          </cell>
          <cell r="N2114">
            <v>0</v>
          </cell>
          <cell r="O2114">
            <v>0</v>
          </cell>
          <cell r="P2114">
            <v>0</v>
          </cell>
          <cell r="Q2114">
            <v>0</v>
          </cell>
          <cell r="R2114">
            <v>0</v>
          </cell>
          <cell r="S2114">
            <v>0</v>
          </cell>
          <cell r="T2114">
            <v>0</v>
          </cell>
          <cell r="U2114" t="e">
            <v>#N/A</v>
          </cell>
        </row>
        <row r="2115">
          <cell r="A2115">
            <v>1002109</v>
          </cell>
          <cell r="B2115" t="str">
            <v>Poste de Concreto Pretensado 35' 5.0 KN</v>
          </cell>
          <cell r="D2115">
            <v>3300</v>
          </cell>
          <cell r="E2115">
            <v>1000</v>
          </cell>
          <cell r="F2115" t="str">
            <v>ZALM</v>
          </cell>
          <cell r="G2115" t="str">
            <v>UN</v>
          </cell>
          <cell r="H2115" t="str">
            <v>DOP</v>
          </cell>
          <cell r="I2115">
            <v>0</v>
          </cell>
          <cell r="J2115">
            <v>0</v>
          </cell>
          <cell r="K2115">
            <v>0</v>
          </cell>
          <cell r="L2115">
            <v>0</v>
          </cell>
          <cell r="M2115">
            <v>0</v>
          </cell>
          <cell r="N2115">
            <v>0</v>
          </cell>
          <cell r="O2115">
            <v>0</v>
          </cell>
          <cell r="P2115">
            <v>0</v>
          </cell>
          <cell r="Q2115">
            <v>0</v>
          </cell>
          <cell r="R2115">
            <v>0</v>
          </cell>
          <cell r="S2115">
            <v>0</v>
          </cell>
          <cell r="T2115">
            <v>0</v>
          </cell>
          <cell r="U2115" t="e">
            <v>#N/A</v>
          </cell>
        </row>
        <row r="2116">
          <cell r="A2116">
            <v>1002110</v>
          </cell>
          <cell r="B2116" t="str">
            <v>Poste de Concreto Pretensado 40' 5 KN</v>
          </cell>
          <cell r="D2116">
            <v>3300</v>
          </cell>
          <cell r="E2116">
            <v>1000</v>
          </cell>
          <cell r="F2116" t="str">
            <v>ZALM</v>
          </cell>
          <cell r="G2116" t="str">
            <v>UN</v>
          </cell>
          <cell r="H2116" t="str">
            <v>DOP</v>
          </cell>
          <cell r="I2116">
            <v>0</v>
          </cell>
          <cell r="J2116">
            <v>0</v>
          </cell>
          <cell r="K2116">
            <v>0</v>
          </cell>
          <cell r="L2116">
            <v>0</v>
          </cell>
          <cell r="M2116">
            <v>12</v>
          </cell>
          <cell r="N2116">
            <v>239393.56</v>
          </cell>
          <cell r="O2116">
            <v>0</v>
          </cell>
          <cell r="P2116">
            <v>0</v>
          </cell>
          <cell r="Q2116">
            <v>0</v>
          </cell>
          <cell r="R2116">
            <v>0</v>
          </cell>
          <cell r="S2116">
            <v>12</v>
          </cell>
          <cell r="T2116">
            <v>239393.56</v>
          </cell>
          <cell r="U2116">
            <v>19949.4633333333</v>
          </cell>
        </row>
        <row r="2117">
          <cell r="A2117">
            <v>1002111</v>
          </cell>
          <cell r="B2117" t="str">
            <v>Poste de Concreto Pretensado 40' 6 KN</v>
          </cell>
          <cell r="D2117">
            <v>3300</v>
          </cell>
          <cell r="E2117">
            <v>1000</v>
          </cell>
          <cell r="F2117" t="str">
            <v>ZALM</v>
          </cell>
          <cell r="G2117" t="str">
            <v>UN</v>
          </cell>
          <cell r="H2117" t="str">
            <v>DOP</v>
          </cell>
          <cell r="I2117">
            <v>0</v>
          </cell>
          <cell r="J2117">
            <v>0</v>
          </cell>
          <cell r="K2117">
            <v>0</v>
          </cell>
          <cell r="L2117">
            <v>0</v>
          </cell>
          <cell r="M2117">
            <v>0</v>
          </cell>
          <cell r="N2117">
            <v>0</v>
          </cell>
          <cell r="O2117">
            <v>0</v>
          </cell>
          <cell r="P2117">
            <v>0</v>
          </cell>
          <cell r="Q2117">
            <v>0</v>
          </cell>
          <cell r="R2117">
            <v>0</v>
          </cell>
          <cell r="S2117">
            <v>0</v>
          </cell>
          <cell r="T2117">
            <v>0</v>
          </cell>
          <cell r="U2117" t="e">
            <v>#N/A</v>
          </cell>
        </row>
        <row r="2118">
          <cell r="A2118">
            <v>1002112</v>
          </cell>
          <cell r="B2118" t="str">
            <v>Poste de Concreto Pretensado 45' 7 KN</v>
          </cell>
          <cell r="D2118">
            <v>3300</v>
          </cell>
          <cell r="E2118">
            <v>1000</v>
          </cell>
          <cell r="F2118" t="str">
            <v>ZALM</v>
          </cell>
          <cell r="G2118" t="str">
            <v>UN</v>
          </cell>
          <cell r="H2118" t="str">
            <v>DOP</v>
          </cell>
          <cell r="I2118">
            <v>0</v>
          </cell>
          <cell r="J2118">
            <v>0</v>
          </cell>
          <cell r="K2118">
            <v>0</v>
          </cell>
          <cell r="L2118">
            <v>0</v>
          </cell>
          <cell r="M2118">
            <v>44</v>
          </cell>
          <cell r="N2118">
            <v>1487405.5</v>
          </cell>
          <cell r="O2118">
            <v>0</v>
          </cell>
          <cell r="P2118">
            <v>0</v>
          </cell>
          <cell r="Q2118">
            <v>0</v>
          </cell>
          <cell r="R2118">
            <v>0</v>
          </cell>
          <cell r="S2118">
            <v>44</v>
          </cell>
          <cell r="T2118">
            <v>1487405.5</v>
          </cell>
          <cell r="U2118">
            <v>33804.6704545455</v>
          </cell>
        </row>
        <row r="2119">
          <cell r="A2119">
            <v>1002113</v>
          </cell>
          <cell r="B2119" t="str">
            <v>Poste de Concreto Vibrado 30' 3 KN</v>
          </cell>
          <cell r="D2119">
            <v>3300</v>
          </cell>
          <cell r="E2119">
            <v>1000</v>
          </cell>
          <cell r="F2119" t="str">
            <v>ZALM</v>
          </cell>
          <cell r="G2119" t="str">
            <v>UN</v>
          </cell>
          <cell r="H2119" t="str">
            <v>DOP</v>
          </cell>
          <cell r="I2119">
            <v>0</v>
          </cell>
          <cell r="J2119">
            <v>0</v>
          </cell>
          <cell r="K2119">
            <v>0</v>
          </cell>
          <cell r="L2119">
            <v>0</v>
          </cell>
          <cell r="M2119">
            <v>0</v>
          </cell>
          <cell r="N2119">
            <v>0</v>
          </cell>
          <cell r="O2119">
            <v>0</v>
          </cell>
          <cell r="P2119">
            <v>0</v>
          </cell>
          <cell r="Q2119">
            <v>0</v>
          </cell>
          <cell r="R2119">
            <v>0</v>
          </cell>
          <cell r="S2119">
            <v>0</v>
          </cell>
          <cell r="T2119">
            <v>0</v>
          </cell>
          <cell r="U2119" t="e">
            <v>#N/A</v>
          </cell>
        </row>
        <row r="2120">
          <cell r="A2120">
            <v>1002114</v>
          </cell>
          <cell r="B2120" t="str">
            <v>Poste de Concreto Vibrado 35' 4 KN</v>
          </cell>
          <cell r="D2120">
            <v>3300</v>
          </cell>
          <cell r="E2120">
            <v>1000</v>
          </cell>
          <cell r="F2120" t="str">
            <v>ZALM</v>
          </cell>
          <cell r="G2120" t="str">
            <v>UN</v>
          </cell>
          <cell r="H2120" t="str">
            <v>DOP</v>
          </cell>
          <cell r="I2120">
            <v>0</v>
          </cell>
          <cell r="J2120">
            <v>0</v>
          </cell>
          <cell r="K2120">
            <v>0</v>
          </cell>
          <cell r="L2120">
            <v>0</v>
          </cell>
          <cell r="M2120">
            <v>0</v>
          </cell>
          <cell r="N2120">
            <v>0</v>
          </cell>
          <cell r="O2120">
            <v>0</v>
          </cell>
          <cell r="P2120">
            <v>0</v>
          </cell>
          <cell r="Q2120">
            <v>0</v>
          </cell>
          <cell r="R2120">
            <v>0</v>
          </cell>
          <cell r="S2120">
            <v>0</v>
          </cell>
          <cell r="T2120">
            <v>0</v>
          </cell>
          <cell r="U2120" t="e">
            <v>#N/A</v>
          </cell>
        </row>
        <row r="2121">
          <cell r="A2121">
            <v>1002115</v>
          </cell>
          <cell r="B2121" t="str">
            <v>Poste de Concreto Vibrado 40' 5 KN</v>
          </cell>
          <cell r="D2121">
            <v>3300</v>
          </cell>
          <cell r="E2121">
            <v>1000</v>
          </cell>
          <cell r="F2121" t="str">
            <v>ZALM</v>
          </cell>
          <cell r="G2121" t="str">
            <v>UN</v>
          </cell>
          <cell r="H2121" t="str">
            <v>DOP</v>
          </cell>
          <cell r="I2121">
            <v>0</v>
          </cell>
          <cell r="J2121">
            <v>0</v>
          </cell>
          <cell r="K2121">
            <v>0</v>
          </cell>
          <cell r="L2121">
            <v>0</v>
          </cell>
          <cell r="M2121">
            <v>0</v>
          </cell>
          <cell r="N2121">
            <v>0</v>
          </cell>
          <cell r="O2121">
            <v>0</v>
          </cell>
          <cell r="P2121">
            <v>0</v>
          </cell>
          <cell r="Q2121">
            <v>0</v>
          </cell>
          <cell r="R2121">
            <v>0</v>
          </cell>
          <cell r="S2121">
            <v>0</v>
          </cell>
          <cell r="T2121">
            <v>0</v>
          </cell>
          <cell r="U2121" t="e">
            <v>#N/A</v>
          </cell>
        </row>
        <row r="2122">
          <cell r="A2122">
            <v>1002116</v>
          </cell>
          <cell r="B2122" t="str">
            <v>Poste de Madera 25' Clase 3</v>
          </cell>
          <cell r="D2122">
            <v>3300</v>
          </cell>
          <cell r="E2122">
            <v>1000</v>
          </cell>
          <cell r="F2122" t="str">
            <v>ZALM</v>
          </cell>
          <cell r="G2122" t="str">
            <v>UN</v>
          </cell>
          <cell r="H2122" t="str">
            <v>DOP</v>
          </cell>
          <cell r="I2122">
            <v>0</v>
          </cell>
          <cell r="J2122">
            <v>0</v>
          </cell>
          <cell r="K2122">
            <v>0</v>
          </cell>
          <cell r="L2122">
            <v>0</v>
          </cell>
          <cell r="M2122">
            <v>0</v>
          </cell>
          <cell r="N2122">
            <v>0</v>
          </cell>
          <cell r="O2122">
            <v>0</v>
          </cell>
          <cell r="P2122">
            <v>0</v>
          </cell>
          <cell r="Q2122">
            <v>0</v>
          </cell>
          <cell r="R2122">
            <v>0</v>
          </cell>
          <cell r="S2122">
            <v>0</v>
          </cell>
          <cell r="T2122">
            <v>0</v>
          </cell>
          <cell r="U2122" t="e">
            <v>#N/A</v>
          </cell>
        </row>
        <row r="2123">
          <cell r="A2123">
            <v>1002117</v>
          </cell>
          <cell r="B2123" t="str">
            <v>Poste de Madera 25' Clase 5</v>
          </cell>
          <cell r="D2123">
            <v>3300</v>
          </cell>
          <cell r="E2123">
            <v>1000</v>
          </cell>
          <cell r="F2123" t="str">
            <v>ZALM</v>
          </cell>
          <cell r="G2123" t="str">
            <v>UN</v>
          </cell>
          <cell r="H2123" t="str">
            <v>DOP</v>
          </cell>
          <cell r="I2123">
            <v>0</v>
          </cell>
          <cell r="J2123">
            <v>0</v>
          </cell>
          <cell r="K2123">
            <v>0</v>
          </cell>
          <cell r="L2123">
            <v>0</v>
          </cell>
          <cell r="M2123">
            <v>0</v>
          </cell>
          <cell r="N2123">
            <v>0</v>
          </cell>
          <cell r="O2123">
            <v>0</v>
          </cell>
          <cell r="P2123">
            <v>0</v>
          </cell>
          <cell r="Q2123">
            <v>0</v>
          </cell>
          <cell r="R2123">
            <v>0</v>
          </cell>
          <cell r="S2123">
            <v>0</v>
          </cell>
          <cell r="T2123">
            <v>0</v>
          </cell>
          <cell r="U2123" t="e">
            <v>#N/A</v>
          </cell>
        </row>
        <row r="2124">
          <cell r="A2124">
            <v>1002118</v>
          </cell>
          <cell r="B2124" t="str">
            <v>Poste de Madera 30' Clase 3</v>
          </cell>
          <cell r="D2124">
            <v>3300</v>
          </cell>
          <cell r="E2124">
            <v>1000</v>
          </cell>
          <cell r="F2124" t="str">
            <v>ZALM</v>
          </cell>
          <cell r="G2124" t="str">
            <v>UN</v>
          </cell>
          <cell r="H2124" t="str">
            <v>DOP</v>
          </cell>
          <cell r="I2124">
            <v>0</v>
          </cell>
          <cell r="J2124">
            <v>0</v>
          </cell>
          <cell r="K2124">
            <v>0</v>
          </cell>
          <cell r="L2124">
            <v>0</v>
          </cell>
          <cell r="M2124">
            <v>0</v>
          </cell>
          <cell r="N2124">
            <v>0</v>
          </cell>
          <cell r="O2124">
            <v>0</v>
          </cell>
          <cell r="P2124">
            <v>0</v>
          </cell>
          <cell r="Q2124">
            <v>0</v>
          </cell>
          <cell r="R2124">
            <v>0</v>
          </cell>
          <cell r="S2124">
            <v>0</v>
          </cell>
          <cell r="T2124">
            <v>0</v>
          </cell>
          <cell r="U2124" t="e">
            <v>#N/A</v>
          </cell>
        </row>
        <row r="2125">
          <cell r="A2125">
            <v>1002119</v>
          </cell>
          <cell r="B2125" t="str">
            <v>Poste de Madera 30' Clase 5</v>
          </cell>
          <cell r="D2125">
            <v>3300</v>
          </cell>
          <cell r="E2125">
            <v>1000</v>
          </cell>
          <cell r="F2125" t="str">
            <v>ZALM</v>
          </cell>
          <cell r="G2125" t="str">
            <v>UN</v>
          </cell>
          <cell r="H2125" t="str">
            <v>DOP</v>
          </cell>
          <cell r="I2125">
            <v>0</v>
          </cell>
          <cell r="J2125">
            <v>0</v>
          </cell>
          <cell r="K2125">
            <v>0</v>
          </cell>
          <cell r="L2125">
            <v>0</v>
          </cell>
          <cell r="M2125">
            <v>0</v>
          </cell>
          <cell r="N2125">
            <v>0</v>
          </cell>
          <cell r="O2125">
            <v>0</v>
          </cell>
          <cell r="P2125">
            <v>0</v>
          </cell>
          <cell r="Q2125">
            <v>0</v>
          </cell>
          <cell r="R2125">
            <v>0</v>
          </cell>
          <cell r="S2125">
            <v>0</v>
          </cell>
          <cell r="T2125">
            <v>0</v>
          </cell>
          <cell r="U2125" t="e">
            <v>#N/A</v>
          </cell>
        </row>
        <row r="2126">
          <cell r="A2126">
            <v>1002120</v>
          </cell>
          <cell r="B2126" t="str">
            <v>Poste de Madera 35' Clase 3</v>
          </cell>
          <cell r="D2126">
            <v>3300</v>
          </cell>
          <cell r="E2126">
            <v>1000</v>
          </cell>
          <cell r="F2126" t="str">
            <v>ZALM</v>
          </cell>
          <cell r="G2126" t="str">
            <v>UN</v>
          </cell>
          <cell r="H2126" t="str">
            <v>DOP</v>
          </cell>
          <cell r="I2126">
            <v>0</v>
          </cell>
          <cell r="J2126">
            <v>0</v>
          </cell>
          <cell r="K2126">
            <v>0</v>
          </cell>
          <cell r="L2126">
            <v>0</v>
          </cell>
          <cell r="M2126">
            <v>0</v>
          </cell>
          <cell r="N2126">
            <v>0</v>
          </cell>
          <cell r="O2126">
            <v>0</v>
          </cell>
          <cell r="P2126">
            <v>0</v>
          </cell>
          <cell r="Q2126">
            <v>0</v>
          </cell>
          <cell r="R2126">
            <v>0</v>
          </cell>
          <cell r="S2126">
            <v>0</v>
          </cell>
          <cell r="T2126">
            <v>0</v>
          </cell>
          <cell r="U2126" t="e">
            <v>#N/A</v>
          </cell>
        </row>
        <row r="2127">
          <cell r="A2127">
            <v>1002121</v>
          </cell>
          <cell r="B2127" t="str">
            <v>Poste de Madera 35' Clase 4</v>
          </cell>
          <cell r="D2127">
            <v>3300</v>
          </cell>
          <cell r="E2127">
            <v>1000</v>
          </cell>
          <cell r="F2127" t="str">
            <v>ZALM</v>
          </cell>
          <cell r="G2127" t="str">
            <v>UN</v>
          </cell>
          <cell r="H2127" t="str">
            <v>DOP</v>
          </cell>
          <cell r="I2127">
            <v>0</v>
          </cell>
          <cell r="J2127">
            <v>0</v>
          </cell>
          <cell r="K2127">
            <v>0</v>
          </cell>
          <cell r="L2127">
            <v>0</v>
          </cell>
          <cell r="M2127">
            <v>0</v>
          </cell>
          <cell r="N2127">
            <v>0</v>
          </cell>
          <cell r="O2127">
            <v>0</v>
          </cell>
          <cell r="P2127">
            <v>0</v>
          </cell>
          <cell r="Q2127">
            <v>0</v>
          </cell>
          <cell r="R2127">
            <v>0</v>
          </cell>
          <cell r="S2127">
            <v>0</v>
          </cell>
          <cell r="T2127">
            <v>0</v>
          </cell>
          <cell r="U2127" t="e">
            <v>#N/A</v>
          </cell>
        </row>
        <row r="2128">
          <cell r="A2128">
            <v>1002122</v>
          </cell>
          <cell r="B2128" t="str">
            <v>Poste de Madera 40' Clase 3</v>
          </cell>
          <cell r="D2128">
            <v>3300</v>
          </cell>
          <cell r="E2128">
            <v>1000</v>
          </cell>
          <cell r="F2128" t="str">
            <v>ZALM</v>
          </cell>
          <cell r="G2128" t="str">
            <v>UN</v>
          </cell>
          <cell r="H2128" t="str">
            <v>DOP</v>
          </cell>
          <cell r="I2128">
            <v>0</v>
          </cell>
          <cell r="J2128">
            <v>0</v>
          </cell>
          <cell r="K2128">
            <v>0</v>
          </cell>
          <cell r="L2128">
            <v>0</v>
          </cell>
          <cell r="M2128">
            <v>0</v>
          </cell>
          <cell r="N2128">
            <v>0</v>
          </cell>
          <cell r="O2128">
            <v>0</v>
          </cell>
          <cell r="P2128">
            <v>0</v>
          </cell>
          <cell r="Q2128">
            <v>0</v>
          </cell>
          <cell r="R2128">
            <v>0</v>
          </cell>
          <cell r="S2128">
            <v>0</v>
          </cell>
          <cell r="T2128">
            <v>0</v>
          </cell>
          <cell r="U2128" t="e">
            <v>#N/A</v>
          </cell>
        </row>
        <row r="2129">
          <cell r="A2129">
            <v>1002123</v>
          </cell>
          <cell r="B2129" t="str">
            <v>Poste de madera 45' Clase 2</v>
          </cell>
          <cell r="D2129">
            <v>3300</v>
          </cell>
          <cell r="E2129">
            <v>1000</v>
          </cell>
          <cell r="F2129" t="str">
            <v>ZALM</v>
          </cell>
          <cell r="G2129" t="str">
            <v>UN</v>
          </cell>
          <cell r="H2129" t="str">
            <v>DOP</v>
          </cell>
          <cell r="I2129">
            <v>0</v>
          </cell>
          <cell r="J2129">
            <v>0</v>
          </cell>
          <cell r="K2129">
            <v>0</v>
          </cell>
          <cell r="L2129">
            <v>0</v>
          </cell>
          <cell r="M2129">
            <v>0</v>
          </cell>
          <cell r="N2129">
            <v>0</v>
          </cell>
          <cell r="O2129">
            <v>0</v>
          </cell>
          <cell r="P2129">
            <v>0</v>
          </cell>
          <cell r="Q2129">
            <v>0</v>
          </cell>
          <cell r="R2129">
            <v>0</v>
          </cell>
          <cell r="S2129">
            <v>0</v>
          </cell>
          <cell r="T2129">
            <v>0</v>
          </cell>
          <cell r="U2129" t="e">
            <v>#N/A</v>
          </cell>
        </row>
        <row r="2130">
          <cell r="A2130">
            <v>1002124</v>
          </cell>
          <cell r="B2130" t="str">
            <v>Poste de Madera 45' Clase 3</v>
          </cell>
          <cell r="D2130">
            <v>3300</v>
          </cell>
          <cell r="E2130">
            <v>1000</v>
          </cell>
          <cell r="F2130" t="str">
            <v>ZALM</v>
          </cell>
          <cell r="G2130" t="str">
            <v>UN</v>
          </cell>
          <cell r="H2130" t="str">
            <v>DOP</v>
          </cell>
          <cell r="I2130">
            <v>0</v>
          </cell>
          <cell r="J2130">
            <v>0</v>
          </cell>
          <cell r="K2130">
            <v>0</v>
          </cell>
          <cell r="L2130">
            <v>0</v>
          </cell>
          <cell r="M2130">
            <v>0</v>
          </cell>
          <cell r="N2130">
            <v>0</v>
          </cell>
          <cell r="O2130">
            <v>0</v>
          </cell>
          <cell r="P2130">
            <v>0</v>
          </cell>
          <cell r="Q2130">
            <v>0</v>
          </cell>
          <cell r="R2130">
            <v>0</v>
          </cell>
          <cell r="S2130">
            <v>0</v>
          </cell>
          <cell r="T2130">
            <v>0</v>
          </cell>
          <cell r="U2130" t="e">
            <v>#N/A</v>
          </cell>
        </row>
        <row r="2131">
          <cell r="A2131">
            <v>1002125</v>
          </cell>
          <cell r="B2131" t="str">
            <v>Poste de Madera 50' Clase 3</v>
          </cell>
          <cell r="D2131">
            <v>3300</v>
          </cell>
          <cell r="E2131">
            <v>1000</v>
          </cell>
          <cell r="F2131" t="str">
            <v>ZALM</v>
          </cell>
          <cell r="G2131" t="str">
            <v>UN</v>
          </cell>
          <cell r="H2131" t="str">
            <v>DOP</v>
          </cell>
          <cell r="I2131">
            <v>0</v>
          </cell>
          <cell r="J2131">
            <v>0</v>
          </cell>
          <cell r="K2131">
            <v>0</v>
          </cell>
          <cell r="L2131">
            <v>0</v>
          </cell>
          <cell r="M2131">
            <v>0</v>
          </cell>
          <cell r="N2131">
            <v>0</v>
          </cell>
          <cell r="O2131">
            <v>0</v>
          </cell>
          <cell r="P2131">
            <v>0</v>
          </cell>
          <cell r="Q2131">
            <v>0</v>
          </cell>
          <cell r="R2131">
            <v>0</v>
          </cell>
          <cell r="S2131">
            <v>0</v>
          </cell>
          <cell r="T2131">
            <v>0</v>
          </cell>
          <cell r="U2131" t="e">
            <v>#N/A</v>
          </cell>
        </row>
        <row r="2132">
          <cell r="A2132">
            <v>1002126</v>
          </cell>
          <cell r="B2132" t="str">
            <v>Poste de Madera 55'</v>
          </cell>
          <cell r="D2132">
            <v>3300</v>
          </cell>
          <cell r="E2132">
            <v>1000</v>
          </cell>
          <cell r="F2132" t="str">
            <v>ZALM</v>
          </cell>
          <cell r="G2132" t="str">
            <v>UN</v>
          </cell>
          <cell r="H2132" t="str">
            <v>DOP</v>
          </cell>
          <cell r="I2132">
            <v>0</v>
          </cell>
          <cell r="J2132">
            <v>0</v>
          </cell>
          <cell r="K2132">
            <v>0</v>
          </cell>
          <cell r="L2132">
            <v>0</v>
          </cell>
          <cell r="M2132">
            <v>0</v>
          </cell>
          <cell r="N2132">
            <v>0</v>
          </cell>
          <cell r="O2132">
            <v>0</v>
          </cell>
          <cell r="P2132">
            <v>0</v>
          </cell>
          <cell r="Q2132">
            <v>0</v>
          </cell>
          <cell r="R2132">
            <v>0</v>
          </cell>
          <cell r="S2132">
            <v>0</v>
          </cell>
          <cell r="T2132">
            <v>0</v>
          </cell>
          <cell r="U2132" t="e">
            <v>#N/A</v>
          </cell>
        </row>
        <row r="2133">
          <cell r="A2133">
            <v>1002127</v>
          </cell>
          <cell r="B2133" t="str">
            <v>Poste de Madera 60' Clase 3</v>
          </cell>
          <cell r="D2133">
            <v>3300</v>
          </cell>
          <cell r="E2133">
            <v>1000</v>
          </cell>
          <cell r="F2133" t="str">
            <v>ZALM</v>
          </cell>
          <cell r="G2133" t="str">
            <v>UN</v>
          </cell>
          <cell r="H2133" t="str">
            <v>DOP</v>
          </cell>
          <cell r="I2133">
            <v>0</v>
          </cell>
          <cell r="J2133">
            <v>0</v>
          </cell>
          <cell r="K2133">
            <v>0</v>
          </cell>
          <cell r="L2133">
            <v>0</v>
          </cell>
          <cell r="M2133">
            <v>0</v>
          </cell>
          <cell r="N2133">
            <v>0</v>
          </cell>
          <cell r="O2133">
            <v>0</v>
          </cell>
          <cell r="P2133">
            <v>0</v>
          </cell>
          <cell r="Q2133">
            <v>0</v>
          </cell>
          <cell r="R2133">
            <v>0</v>
          </cell>
          <cell r="S2133">
            <v>0</v>
          </cell>
          <cell r="T2133">
            <v>0</v>
          </cell>
          <cell r="U2133" t="e">
            <v>#N/A</v>
          </cell>
        </row>
        <row r="2134">
          <cell r="A2134">
            <v>1002128</v>
          </cell>
          <cell r="B2134" t="str">
            <v>115 VAC/125VDC Power Supply P/ NTU-7550</v>
          </cell>
          <cell r="D2134">
            <v>5721</v>
          </cell>
          <cell r="E2134">
            <v>1000</v>
          </cell>
          <cell r="F2134" t="str">
            <v>ZALM</v>
          </cell>
          <cell r="G2134" t="str">
            <v>UN</v>
          </cell>
          <cell r="H2134" t="str">
            <v>DOP</v>
          </cell>
          <cell r="I2134">
            <v>0</v>
          </cell>
          <cell r="J2134">
            <v>0</v>
          </cell>
          <cell r="K2134">
            <v>0</v>
          </cell>
          <cell r="L2134">
            <v>0</v>
          </cell>
          <cell r="M2134">
            <v>0</v>
          </cell>
          <cell r="N2134">
            <v>0</v>
          </cell>
          <cell r="O2134">
            <v>0</v>
          </cell>
          <cell r="P2134">
            <v>0</v>
          </cell>
          <cell r="Q2134">
            <v>0</v>
          </cell>
          <cell r="R2134">
            <v>0</v>
          </cell>
          <cell r="S2134">
            <v>0</v>
          </cell>
          <cell r="T2134">
            <v>0</v>
          </cell>
          <cell r="U2134" t="e">
            <v>#N/A</v>
          </cell>
        </row>
        <row r="2135">
          <cell r="A2135">
            <v>1002129</v>
          </cell>
          <cell r="B2135" t="str">
            <v>115 VAC/125VDC Power Supply P/ NTU-7550A</v>
          </cell>
          <cell r="D2135">
            <v>5721</v>
          </cell>
          <cell r="E2135">
            <v>1000</v>
          </cell>
          <cell r="F2135" t="str">
            <v>ZALM</v>
          </cell>
          <cell r="G2135" t="str">
            <v>UN</v>
          </cell>
          <cell r="H2135" t="str">
            <v>DOP</v>
          </cell>
          <cell r="I2135">
            <v>0</v>
          </cell>
          <cell r="J2135">
            <v>0</v>
          </cell>
          <cell r="K2135">
            <v>0</v>
          </cell>
          <cell r="L2135">
            <v>0</v>
          </cell>
          <cell r="M2135">
            <v>0</v>
          </cell>
          <cell r="N2135">
            <v>0</v>
          </cell>
          <cell r="O2135">
            <v>0</v>
          </cell>
          <cell r="P2135">
            <v>0</v>
          </cell>
          <cell r="Q2135">
            <v>0</v>
          </cell>
          <cell r="R2135">
            <v>0</v>
          </cell>
          <cell r="S2135">
            <v>0</v>
          </cell>
          <cell r="T2135">
            <v>0</v>
          </cell>
          <cell r="U2135" t="e">
            <v>#N/A</v>
          </cell>
        </row>
        <row r="2136">
          <cell r="A2136">
            <v>1002130</v>
          </cell>
          <cell r="B2136" t="str">
            <v>125 VDC Input Power Supply P/ NTU-7575</v>
          </cell>
          <cell r="D2136">
            <v>5721</v>
          </cell>
          <cell r="E2136">
            <v>1000</v>
          </cell>
          <cell r="F2136" t="str">
            <v>ZALM</v>
          </cell>
          <cell r="G2136" t="str">
            <v>UN</v>
          </cell>
          <cell r="H2136" t="str">
            <v>DOP</v>
          </cell>
          <cell r="I2136">
            <v>3</v>
          </cell>
          <cell r="J2136">
            <v>15389.47</v>
          </cell>
          <cell r="K2136">
            <v>0</v>
          </cell>
          <cell r="L2136">
            <v>0</v>
          </cell>
          <cell r="M2136">
            <v>0</v>
          </cell>
          <cell r="N2136">
            <v>0</v>
          </cell>
          <cell r="O2136">
            <v>0</v>
          </cell>
          <cell r="P2136">
            <v>0</v>
          </cell>
          <cell r="Q2136">
            <v>0</v>
          </cell>
          <cell r="R2136">
            <v>0</v>
          </cell>
          <cell r="S2136">
            <v>3</v>
          </cell>
          <cell r="T2136">
            <v>15389.47</v>
          </cell>
          <cell r="U2136">
            <v>5129.8233333333301</v>
          </cell>
        </row>
        <row r="2137">
          <cell r="A2137">
            <v>1002131</v>
          </cell>
          <cell r="B2137" t="str">
            <v>Broche Plástico P/ Manta</v>
          </cell>
          <cell r="D2137">
            <v>7201</v>
          </cell>
          <cell r="E2137">
            <v>1000</v>
          </cell>
          <cell r="F2137" t="str">
            <v>ZALM</v>
          </cell>
          <cell r="G2137" t="str">
            <v>UN</v>
          </cell>
          <cell r="H2137" t="str">
            <v>DOP</v>
          </cell>
          <cell r="I2137">
            <v>48</v>
          </cell>
          <cell r="J2137">
            <v>32916.61</v>
          </cell>
          <cell r="K2137">
            <v>0</v>
          </cell>
          <cell r="L2137">
            <v>0</v>
          </cell>
          <cell r="M2137">
            <v>0</v>
          </cell>
          <cell r="N2137">
            <v>0</v>
          </cell>
          <cell r="O2137">
            <v>0</v>
          </cell>
          <cell r="P2137">
            <v>0</v>
          </cell>
          <cell r="Q2137">
            <v>0</v>
          </cell>
          <cell r="R2137">
            <v>0</v>
          </cell>
          <cell r="S2137">
            <v>48</v>
          </cell>
          <cell r="T2137">
            <v>32916.61</v>
          </cell>
          <cell r="U2137">
            <v>685.76270833333297</v>
          </cell>
        </row>
        <row r="2138">
          <cell r="A2138">
            <v>1002132</v>
          </cell>
          <cell r="B2138" t="str">
            <v>Camara Apagachisp P/ Seccionador APR630</v>
          </cell>
          <cell r="D2138">
            <v>5721</v>
          </cell>
          <cell r="E2138">
            <v>1000</v>
          </cell>
          <cell r="F2138" t="str">
            <v>ZALM</v>
          </cell>
          <cell r="G2138" t="str">
            <v>UN</v>
          </cell>
          <cell r="H2138" t="str">
            <v>DOP</v>
          </cell>
          <cell r="I2138">
            <v>200</v>
          </cell>
          <cell r="J2138">
            <v>13828.64</v>
          </cell>
          <cell r="K2138">
            <v>0</v>
          </cell>
          <cell r="L2138">
            <v>0</v>
          </cell>
          <cell r="M2138">
            <v>0</v>
          </cell>
          <cell r="N2138">
            <v>0</v>
          </cell>
          <cell r="O2138">
            <v>0</v>
          </cell>
          <cell r="P2138">
            <v>0</v>
          </cell>
          <cell r="Q2138">
            <v>0</v>
          </cell>
          <cell r="R2138">
            <v>0</v>
          </cell>
          <cell r="S2138">
            <v>200</v>
          </cell>
          <cell r="T2138">
            <v>13828.64</v>
          </cell>
          <cell r="U2138">
            <v>69.143199999999993</v>
          </cell>
        </row>
        <row r="2139">
          <cell r="A2139">
            <v>1002133</v>
          </cell>
          <cell r="B2139" t="str">
            <v>Cargador Loader RX-ML Single Way Master</v>
          </cell>
          <cell r="D2139">
            <v>5721</v>
          </cell>
          <cell r="E2139">
            <v>1000</v>
          </cell>
          <cell r="F2139" t="str">
            <v>ZALM</v>
          </cell>
          <cell r="G2139" t="str">
            <v>UN</v>
          </cell>
          <cell r="H2139" t="str">
            <v>DOP</v>
          </cell>
          <cell r="I2139">
            <v>0</v>
          </cell>
          <cell r="J2139">
            <v>0</v>
          </cell>
          <cell r="K2139">
            <v>0</v>
          </cell>
          <cell r="L2139">
            <v>0</v>
          </cell>
          <cell r="M2139">
            <v>0</v>
          </cell>
          <cell r="N2139">
            <v>0</v>
          </cell>
          <cell r="O2139">
            <v>0</v>
          </cell>
          <cell r="P2139">
            <v>0</v>
          </cell>
          <cell r="Q2139">
            <v>0</v>
          </cell>
          <cell r="R2139">
            <v>0</v>
          </cell>
          <cell r="S2139">
            <v>0</v>
          </cell>
          <cell r="T2139">
            <v>0</v>
          </cell>
          <cell r="U2139" t="e">
            <v>#N/A</v>
          </cell>
        </row>
        <row r="2140">
          <cell r="A2140">
            <v>1002134</v>
          </cell>
          <cell r="B2140" t="str">
            <v>Cargador Loader RX-SL Single Way Secund</v>
          </cell>
          <cell r="D2140">
            <v>5721</v>
          </cell>
          <cell r="E2140">
            <v>1000</v>
          </cell>
          <cell r="F2140" t="str">
            <v>ZALM</v>
          </cell>
          <cell r="G2140" t="str">
            <v>UN</v>
          </cell>
          <cell r="H2140" t="str">
            <v>DOP</v>
          </cell>
          <cell r="I2140">
            <v>0</v>
          </cell>
          <cell r="J2140">
            <v>0</v>
          </cell>
          <cell r="K2140">
            <v>0</v>
          </cell>
          <cell r="L2140">
            <v>0</v>
          </cell>
          <cell r="M2140">
            <v>0</v>
          </cell>
          <cell r="N2140">
            <v>0</v>
          </cell>
          <cell r="O2140">
            <v>0</v>
          </cell>
          <cell r="P2140">
            <v>0</v>
          </cell>
          <cell r="Q2140">
            <v>0</v>
          </cell>
          <cell r="R2140">
            <v>0</v>
          </cell>
          <cell r="S2140">
            <v>0</v>
          </cell>
          <cell r="T2140">
            <v>0</v>
          </cell>
          <cell r="U2140" t="e">
            <v>#N/A</v>
          </cell>
        </row>
        <row r="2141">
          <cell r="A2141">
            <v>1002135</v>
          </cell>
          <cell r="B2141" t="str">
            <v>Carro Porta Interruptor ABB VD4 1200A</v>
          </cell>
          <cell r="D2141">
            <v>5721</v>
          </cell>
          <cell r="E2141">
            <v>1000</v>
          </cell>
          <cell r="F2141" t="str">
            <v>ZALM</v>
          </cell>
          <cell r="G2141" t="str">
            <v>UN</v>
          </cell>
          <cell r="H2141" t="str">
            <v>DOP</v>
          </cell>
          <cell r="I2141">
            <v>0</v>
          </cell>
          <cell r="J2141">
            <v>0</v>
          </cell>
          <cell r="K2141">
            <v>0</v>
          </cell>
          <cell r="L2141">
            <v>0</v>
          </cell>
          <cell r="M2141">
            <v>0</v>
          </cell>
          <cell r="N2141">
            <v>0</v>
          </cell>
          <cell r="O2141">
            <v>0</v>
          </cell>
          <cell r="P2141">
            <v>0</v>
          </cell>
          <cell r="Q2141">
            <v>0</v>
          </cell>
          <cell r="R2141">
            <v>0</v>
          </cell>
          <cell r="S2141">
            <v>0</v>
          </cell>
          <cell r="T2141">
            <v>0</v>
          </cell>
          <cell r="U2141" t="e">
            <v>#N/A</v>
          </cell>
        </row>
        <row r="2142">
          <cell r="A2142">
            <v>1002136</v>
          </cell>
          <cell r="B2142" t="str">
            <v>Carro Porta Interruptor ABB VD4 2500A</v>
          </cell>
          <cell r="D2142">
            <v>5721</v>
          </cell>
          <cell r="E2142">
            <v>1000</v>
          </cell>
          <cell r="F2142" t="str">
            <v>ZALM</v>
          </cell>
          <cell r="G2142" t="str">
            <v>UN</v>
          </cell>
          <cell r="H2142" t="str">
            <v>DOP</v>
          </cell>
          <cell r="I2142">
            <v>0</v>
          </cell>
          <cell r="J2142">
            <v>0</v>
          </cell>
          <cell r="K2142">
            <v>0</v>
          </cell>
          <cell r="L2142">
            <v>0</v>
          </cell>
          <cell r="M2142">
            <v>0</v>
          </cell>
          <cell r="N2142">
            <v>0</v>
          </cell>
          <cell r="O2142">
            <v>0</v>
          </cell>
          <cell r="P2142">
            <v>0</v>
          </cell>
          <cell r="Q2142">
            <v>0</v>
          </cell>
          <cell r="R2142">
            <v>0</v>
          </cell>
          <cell r="S2142">
            <v>0</v>
          </cell>
          <cell r="T2142">
            <v>0</v>
          </cell>
          <cell r="U2142" t="e">
            <v>#N/A</v>
          </cell>
        </row>
        <row r="2143">
          <cell r="A2143">
            <v>1002137</v>
          </cell>
          <cell r="B2143" t="str">
            <v>Cilindro Gas SF6 P/ Interrupt Potencia</v>
          </cell>
          <cell r="D2143">
            <v>5721</v>
          </cell>
          <cell r="E2143">
            <v>1000</v>
          </cell>
          <cell r="F2143" t="str">
            <v>ZALM</v>
          </cell>
          <cell r="G2143" t="str">
            <v>UN</v>
          </cell>
          <cell r="H2143" t="str">
            <v>DOP</v>
          </cell>
          <cell r="I2143">
            <v>0</v>
          </cell>
          <cell r="J2143">
            <v>0</v>
          </cell>
          <cell r="K2143">
            <v>0</v>
          </cell>
          <cell r="L2143">
            <v>0</v>
          </cell>
          <cell r="M2143">
            <v>0</v>
          </cell>
          <cell r="N2143">
            <v>0</v>
          </cell>
          <cell r="O2143">
            <v>0</v>
          </cell>
          <cell r="P2143">
            <v>0</v>
          </cell>
          <cell r="Q2143">
            <v>0</v>
          </cell>
          <cell r="R2143">
            <v>0</v>
          </cell>
          <cell r="S2143">
            <v>0</v>
          </cell>
          <cell r="T2143">
            <v>0</v>
          </cell>
          <cell r="U2143" t="e">
            <v>#N/A</v>
          </cell>
        </row>
        <row r="2144">
          <cell r="A2144">
            <v>1002138</v>
          </cell>
          <cell r="B2144" t="str">
            <v>Data Load Logger</v>
          </cell>
          <cell r="D2144">
            <v>5721</v>
          </cell>
          <cell r="E2144">
            <v>1000</v>
          </cell>
          <cell r="F2144" t="str">
            <v>ZALM</v>
          </cell>
          <cell r="G2144" t="str">
            <v>UN</v>
          </cell>
          <cell r="H2144" t="str">
            <v>DOP</v>
          </cell>
          <cell r="I2144">
            <v>0</v>
          </cell>
          <cell r="J2144">
            <v>0</v>
          </cell>
          <cell r="K2144">
            <v>0</v>
          </cell>
          <cell r="L2144">
            <v>0</v>
          </cell>
          <cell r="M2144">
            <v>0</v>
          </cell>
          <cell r="N2144">
            <v>0</v>
          </cell>
          <cell r="O2144">
            <v>0</v>
          </cell>
          <cell r="P2144">
            <v>0</v>
          </cell>
          <cell r="Q2144">
            <v>0</v>
          </cell>
          <cell r="R2144">
            <v>0</v>
          </cell>
          <cell r="S2144">
            <v>0</v>
          </cell>
          <cell r="T2144">
            <v>0</v>
          </cell>
          <cell r="U2144" t="e">
            <v>#N/A</v>
          </cell>
        </row>
        <row r="2145">
          <cell r="A2145">
            <v>1002139</v>
          </cell>
          <cell r="B2145" t="str">
            <v>Equipo Comunicación P/ Reclosers</v>
          </cell>
          <cell r="D2145">
            <v>5721</v>
          </cell>
          <cell r="E2145">
            <v>1000</v>
          </cell>
          <cell r="F2145" t="str">
            <v>ZALM</v>
          </cell>
          <cell r="G2145" t="str">
            <v>UN</v>
          </cell>
          <cell r="H2145" t="str">
            <v>DOP</v>
          </cell>
          <cell r="I2145">
            <v>0</v>
          </cell>
          <cell r="J2145">
            <v>0</v>
          </cell>
          <cell r="K2145">
            <v>0</v>
          </cell>
          <cell r="L2145">
            <v>0</v>
          </cell>
          <cell r="M2145">
            <v>0</v>
          </cell>
          <cell r="N2145">
            <v>0</v>
          </cell>
          <cell r="O2145">
            <v>0</v>
          </cell>
          <cell r="P2145">
            <v>0</v>
          </cell>
          <cell r="Q2145">
            <v>0</v>
          </cell>
          <cell r="R2145">
            <v>0</v>
          </cell>
          <cell r="S2145">
            <v>0</v>
          </cell>
          <cell r="T2145">
            <v>0</v>
          </cell>
          <cell r="U2145" t="e">
            <v>#N/A</v>
          </cell>
        </row>
        <row r="2146">
          <cell r="A2146">
            <v>1002140</v>
          </cell>
          <cell r="B2146" t="str">
            <v>Fundente Colweld #90</v>
          </cell>
          <cell r="D2146">
            <v>5721</v>
          </cell>
          <cell r="E2146">
            <v>1000</v>
          </cell>
          <cell r="F2146" t="str">
            <v>ZALM</v>
          </cell>
          <cell r="G2146" t="str">
            <v>UN</v>
          </cell>
          <cell r="H2146" t="str">
            <v>DOP</v>
          </cell>
          <cell r="I2146">
            <v>7516</v>
          </cell>
          <cell r="J2146">
            <v>479821.44</v>
          </cell>
          <cell r="K2146">
            <v>0</v>
          </cell>
          <cell r="L2146">
            <v>0</v>
          </cell>
          <cell r="M2146">
            <v>0</v>
          </cell>
          <cell r="N2146">
            <v>0</v>
          </cell>
          <cell r="O2146">
            <v>0</v>
          </cell>
          <cell r="P2146">
            <v>0</v>
          </cell>
          <cell r="Q2146">
            <v>12</v>
          </cell>
          <cell r="R2146">
            <v>766.08</v>
          </cell>
          <cell r="S2146">
            <v>7528</v>
          </cell>
          <cell r="T2146">
            <v>480587.52000000002</v>
          </cell>
          <cell r="U2146">
            <v>63.84</v>
          </cell>
        </row>
        <row r="2147">
          <cell r="A2147">
            <v>1002141</v>
          </cell>
          <cell r="B2147" t="str">
            <v>Interruptor KANOPY de 10A</v>
          </cell>
          <cell r="D2147">
            <v>5721</v>
          </cell>
          <cell r="E2147">
            <v>1000</v>
          </cell>
          <cell r="F2147" t="str">
            <v>ZALM</v>
          </cell>
          <cell r="G2147" t="str">
            <v>UN</v>
          </cell>
          <cell r="H2147" t="str">
            <v>DOP</v>
          </cell>
          <cell r="I2147">
            <v>0</v>
          </cell>
          <cell r="J2147">
            <v>0</v>
          </cell>
          <cell r="K2147">
            <v>0</v>
          </cell>
          <cell r="L2147">
            <v>0</v>
          </cell>
          <cell r="M2147">
            <v>0</v>
          </cell>
          <cell r="N2147">
            <v>0</v>
          </cell>
          <cell r="O2147">
            <v>0</v>
          </cell>
          <cell r="P2147">
            <v>0</v>
          </cell>
          <cell r="Q2147">
            <v>0</v>
          </cell>
          <cell r="R2147">
            <v>0</v>
          </cell>
          <cell r="S2147">
            <v>0</v>
          </cell>
          <cell r="T2147">
            <v>0</v>
          </cell>
          <cell r="U2147" t="e">
            <v>#N/A</v>
          </cell>
        </row>
        <row r="2148">
          <cell r="A2148">
            <v>1002142</v>
          </cell>
          <cell r="B2148" t="str">
            <v>Interruptor Termomagnetico K32a 50/1</v>
          </cell>
          <cell r="D2148">
            <v>5721</v>
          </cell>
          <cell r="E2148">
            <v>1000</v>
          </cell>
          <cell r="F2148" t="str">
            <v>ZALM</v>
          </cell>
          <cell r="G2148" t="str">
            <v>UN</v>
          </cell>
          <cell r="H2148" t="str">
            <v>DOP</v>
          </cell>
          <cell r="I2148">
            <v>0</v>
          </cell>
          <cell r="J2148">
            <v>0</v>
          </cell>
          <cell r="K2148">
            <v>0</v>
          </cell>
          <cell r="L2148">
            <v>0</v>
          </cell>
          <cell r="M2148">
            <v>0</v>
          </cell>
          <cell r="N2148">
            <v>0</v>
          </cell>
          <cell r="O2148">
            <v>0</v>
          </cell>
          <cell r="P2148">
            <v>0</v>
          </cell>
          <cell r="Q2148">
            <v>0</v>
          </cell>
          <cell r="R2148">
            <v>0</v>
          </cell>
          <cell r="S2148">
            <v>0</v>
          </cell>
          <cell r="T2148">
            <v>0</v>
          </cell>
          <cell r="U2148" t="e">
            <v>#N/A</v>
          </cell>
        </row>
        <row r="2149">
          <cell r="A2149">
            <v>1002143</v>
          </cell>
          <cell r="B2149" t="str">
            <v>Interruptor Termomagnetico K32a 60/1</v>
          </cell>
          <cell r="D2149">
            <v>5721</v>
          </cell>
          <cell r="E2149">
            <v>1000</v>
          </cell>
          <cell r="F2149" t="str">
            <v>ZALM</v>
          </cell>
          <cell r="G2149" t="str">
            <v>UN</v>
          </cell>
          <cell r="H2149" t="str">
            <v>DOP</v>
          </cell>
          <cell r="I2149">
            <v>0</v>
          </cell>
          <cell r="J2149">
            <v>0</v>
          </cell>
          <cell r="K2149">
            <v>0</v>
          </cell>
          <cell r="L2149">
            <v>0</v>
          </cell>
          <cell r="M2149">
            <v>0</v>
          </cell>
          <cell r="N2149">
            <v>0</v>
          </cell>
          <cell r="O2149">
            <v>0</v>
          </cell>
          <cell r="P2149">
            <v>0</v>
          </cell>
          <cell r="Q2149">
            <v>0</v>
          </cell>
          <cell r="R2149">
            <v>0</v>
          </cell>
          <cell r="S2149">
            <v>0</v>
          </cell>
          <cell r="T2149">
            <v>0</v>
          </cell>
          <cell r="U2149" t="e">
            <v>#N/A</v>
          </cell>
        </row>
        <row r="2150">
          <cell r="A2150">
            <v>1002144</v>
          </cell>
          <cell r="B2150" t="str">
            <v>Kit 1Carrying Case &amp; 3Eq LoadLog LL-230A</v>
          </cell>
          <cell r="D2150">
            <v>5721</v>
          </cell>
          <cell r="E2150">
            <v>1000</v>
          </cell>
          <cell r="F2150" t="str">
            <v>ZALM</v>
          </cell>
          <cell r="G2150" t="str">
            <v>UN</v>
          </cell>
          <cell r="H2150" t="str">
            <v>DOP</v>
          </cell>
          <cell r="I2150">
            <v>0</v>
          </cell>
          <cell r="J2150">
            <v>0</v>
          </cell>
          <cell r="K2150">
            <v>0</v>
          </cell>
          <cell r="L2150">
            <v>0</v>
          </cell>
          <cell r="M2150">
            <v>0</v>
          </cell>
          <cell r="N2150">
            <v>0</v>
          </cell>
          <cell r="O2150">
            <v>0</v>
          </cell>
          <cell r="P2150">
            <v>0</v>
          </cell>
          <cell r="Q2150">
            <v>0</v>
          </cell>
          <cell r="R2150">
            <v>0</v>
          </cell>
          <cell r="S2150">
            <v>0</v>
          </cell>
          <cell r="T2150">
            <v>0</v>
          </cell>
          <cell r="U2150" t="e">
            <v>#N/A</v>
          </cell>
        </row>
        <row r="2151">
          <cell r="A2151">
            <v>1002145</v>
          </cell>
          <cell r="B2151" t="str">
            <v>Maletin P/ 3 Equipos Loadlogger LL-230A</v>
          </cell>
          <cell r="D2151">
            <v>5721</v>
          </cell>
          <cell r="E2151">
            <v>1000</v>
          </cell>
          <cell r="F2151" t="str">
            <v>ZALM</v>
          </cell>
          <cell r="G2151" t="str">
            <v>UN</v>
          </cell>
          <cell r="H2151" t="str">
            <v>DOP</v>
          </cell>
          <cell r="I2151">
            <v>0</v>
          </cell>
          <cell r="J2151">
            <v>0</v>
          </cell>
          <cell r="K2151">
            <v>0</v>
          </cell>
          <cell r="L2151">
            <v>0</v>
          </cell>
          <cell r="M2151">
            <v>0</v>
          </cell>
          <cell r="N2151">
            <v>0</v>
          </cell>
          <cell r="O2151">
            <v>0</v>
          </cell>
          <cell r="P2151">
            <v>0</v>
          </cell>
          <cell r="Q2151">
            <v>0</v>
          </cell>
          <cell r="R2151">
            <v>0</v>
          </cell>
          <cell r="S2151">
            <v>0</v>
          </cell>
          <cell r="T2151">
            <v>0</v>
          </cell>
          <cell r="U2151" t="e">
            <v>#N/A</v>
          </cell>
        </row>
        <row r="2152">
          <cell r="A2152">
            <v>1002146</v>
          </cell>
          <cell r="B2152" t="str">
            <v>Motor Accionam P/ Recarg Resorte Int Pot</v>
          </cell>
          <cell r="D2152">
            <v>5721</v>
          </cell>
          <cell r="E2152">
            <v>1000</v>
          </cell>
          <cell r="F2152" t="str">
            <v>ZALM</v>
          </cell>
          <cell r="G2152" t="str">
            <v>UN</v>
          </cell>
          <cell r="H2152" t="str">
            <v>DOP</v>
          </cell>
          <cell r="I2152">
            <v>0</v>
          </cell>
          <cell r="J2152">
            <v>0</v>
          </cell>
          <cell r="K2152">
            <v>0</v>
          </cell>
          <cell r="L2152">
            <v>0</v>
          </cell>
          <cell r="M2152">
            <v>0</v>
          </cell>
          <cell r="N2152">
            <v>0</v>
          </cell>
          <cell r="O2152">
            <v>0</v>
          </cell>
          <cell r="P2152">
            <v>0</v>
          </cell>
          <cell r="Q2152">
            <v>0</v>
          </cell>
          <cell r="R2152">
            <v>0</v>
          </cell>
          <cell r="S2152">
            <v>0</v>
          </cell>
          <cell r="T2152">
            <v>0</v>
          </cell>
          <cell r="U2152" t="e">
            <v>#N/A</v>
          </cell>
        </row>
        <row r="2153">
          <cell r="A2153">
            <v>1002147</v>
          </cell>
          <cell r="B2153" t="str">
            <v>Repuestos Compuesto P/ 3AP1  FG-72.5kV</v>
          </cell>
          <cell r="D2153">
            <v>5721</v>
          </cell>
          <cell r="E2153">
            <v>1000</v>
          </cell>
          <cell r="F2153" t="str">
            <v>ZALM</v>
          </cell>
          <cell r="G2153" t="str">
            <v>UN</v>
          </cell>
          <cell r="H2153" t="str">
            <v>DOP</v>
          </cell>
          <cell r="I2153">
            <v>1</v>
          </cell>
          <cell r="J2153">
            <v>28436.18</v>
          </cell>
          <cell r="K2153">
            <v>0</v>
          </cell>
          <cell r="L2153">
            <v>0</v>
          </cell>
          <cell r="M2153">
            <v>0</v>
          </cell>
          <cell r="N2153">
            <v>0</v>
          </cell>
          <cell r="O2153">
            <v>0</v>
          </cell>
          <cell r="P2153">
            <v>0</v>
          </cell>
          <cell r="Q2153">
            <v>0</v>
          </cell>
          <cell r="R2153">
            <v>0</v>
          </cell>
          <cell r="S2153">
            <v>1</v>
          </cell>
          <cell r="T2153">
            <v>28436.18</v>
          </cell>
          <cell r="U2153">
            <v>28436.18</v>
          </cell>
        </row>
        <row r="2154">
          <cell r="A2154">
            <v>1002148</v>
          </cell>
          <cell r="B2154" t="str">
            <v>Seccionad 15.5kV 600A</v>
          </cell>
          <cell r="D2154">
            <v>5721</v>
          </cell>
          <cell r="E2154">
            <v>1000</v>
          </cell>
          <cell r="F2154" t="str">
            <v>ZALM</v>
          </cell>
          <cell r="G2154" t="str">
            <v>UN</v>
          </cell>
          <cell r="H2154" t="str">
            <v>DOP</v>
          </cell>
          <cell r="I2154">
            <v>1</v>
          </cell>
          <cell r="J2154">
            <v>8140.39</v>
          </cell>
          <cell r="K2154">
            <v>0</v>
          </cell>
          <cell r="L2154">
            <v>0</v>
          </cell>
          <cell r="M2154">
            <v>869</v>
          </cell>
          <cell r="N2154">
            <v>7073997.6600000001</v>
          </cell>
          <cell r="O2154">
            <v>0</v>
          </cell>
          <cell r="P2154">
            <v>0</v>
          </cell>
          <cell r="Q2154">
            <v>33</v>
          </cell>
          <cell r="R2154">
            <v>268632.82</v>
          </cell>
          <cell r="S2154">
            <v>903</v>
          </cell>
          <cell r="T2154">
            <v>7350770.8700000001</v>
          </cell>
          <cell r="U2154">
            <v>8140.3885603543704</v>
          </cell>
        </row>
        <row r="2155">
          <cell r="A2155">
            <v>1002149</v>
          </cell>
          <cell r="B2155" t="str">
            <v>Seccionad 15.5kV 900A</v>
          </cell>
          <cell r="D2155">
            <v>5721</v>
          </cell>
          <cell r="E2155">
            <v>1000</v>
          </cell>
          <cell r="F2155" t="str">
            <v>ZALM</v>
          </cell>
          <cell r="G2155" t="str">
            <v>UN</v>
          </cell>
          <cell r="H2155" t="str">
            <v>DOP</v>
          </cell>
          <cell r="I2155">
            <v>46</v>
          </cell>
          <cell r="J2155">
            <v>383302.39</v>
          </cell>
          <cell r="K2155">
            <v>0</v>
          </cell>
          <cell r="L2155">
            <v>0</v>
          </cell>
          <cell r="M2155">
            <v>278</v>
          </cell>
          <cell r="N2155">
            <v>2316479.65</v>
          </cell>
          <cell r="O2155">
            <v>0</v>
          </cell>
          <cell r="P2155">
            <v>0</v>
          </cell>
          <cell r="Q2155">
            <v>0</v>
          </cell>
          <cell r="R2155">
            <v>0</v>
          </cell>
          <cell r="S2155">
            <v>324</v>
          </cell>
          <cell r="T2155">
            <v>2699782.04</v>
          </cell>
          <cell r="U2155">
            <v>8332.6606172839493</v>
          </cell>
        </row>
        <row r="2156">
          <cell r="A2156">
            <v>1002150</v>
          </cell>
          <cell r="B2156" t="str">
            <v>Seccionad 35kV 600A</v>
          </cell>
          <cell r="D2156">
            <v>5721</v>
          </cell>
          <cell r="E2156">
            <v>1000</v>
          </cell>
          <cell r="F2156" t="str">
            <v>ZALM</v>
          </cell>
          <cell r="G2156" t="str">
            <v>UN</v>
          </cell>
          <cell r="H2156" t="str">
            <v>DOP</v>
          </cell>
          <cell r="I2156">
            <v>27</v>
          </cell>
          <cell r="J2156">
            <v>267682.90000000002</v>
          </cell>
          <cell r="K2156">
            <v>0</v>
          </cell>
          <cell r="L2156">
            <v>0</v>
          </cell>
          <cell r="M2156">
            <v>165</v>
          </cell>
          <cell r="N2156">
            <v>1635839.97</v>
          </cell>
          <cell r="O2156">
            <v>0</v>
          </cell>
          <cell r="P2156">
            <v>0</v>
          </cell>
          <cell r="Q2156">
            <v>0</v>
          </cell>
          <cell r="R2156">
            <v>0</v>
          </cell>
          <cell r="S2156">
            <v>192</v>
          </cell>
          <cell r="T2156">
            <v>1903522.87</v>
          </cell>
          <cell r="U2156">
            <v>9914.1816145833309</v>
          </cell>
        </row>
        <row r="2157">
          <cell r="A2157">
            <v>1002151</v>
          </cell>
          <cell r="B2157" t="str">
            <v>Seccionad ABB T/ HOP 34.4kV 600A</v>
          </cell>
          <cell r="D2157">
            <v>5721</v>
          </cell>
          <cell r="E2157">
            <v>1000</v>
          </cell>
          <cell r="F2157" t="str">
            <v>ZALM</v>
          </cell>
          <cell r="G2157" t="str">
            <v>UN</v>
          </cell>
          <cell r="H2157" t="str">
            <v>DOP</v>
          </cell>
          <cell r="I2157">
            <v>0</v>
          </cell>
          <cell r="J2157">
            <v>0</v>
          </cell>
          <cell r="K2157">
            <v>0</v>
          </cell>
          <cell r="L2157">
            <v>0</v>
          </cell>
          <cell r="M2157">
            <v>0</v>
          </cell>
          <cell r="N2157">
            <v>0</v>
          </cell>
          <cell r="O2157">
            <v>0</v>
          </cell>
          <cell r="P2157">
            <v>0</v>
          </cell>
          <cell r="Q2157">
            <v>0</v>
          </cell>
          <cell r="R2157">
            <v>0</v>
          </cell>
          <cell r="S2157">
            <v>0</v>
          </cell>
          <cell r="T2157">
            <v>0</v>
          </cell>
          <cell r="U2157" t="e">
            <v>#N/A</v>
          </cell>
        </row>
        <row r="2158">
          <cell r="A2158">
            <v>1002152</v>
          </cell>
          <cell r="B2158" t="str">
            <v>Seccionad Air 69kV 1200A RF-2</v>
          </cell>
          <cell r="D2158">
            <v>5721</v>
          </cell>
          <cell r="E2158">
            <v>1000</v>
          </cell>
          <cell r="F2158" t="str">
            <v>ZALM</v>
          </cell>
          <cell r="G2158" t="str">
            <v>UN</v>
          </cell>
          <cell r="H2158" t="str">
            <v>DOP</v>
          </cell>
          <cell r="I2158">
            <v>0</v>
          </cell>
          <cell r="J2158">
            <v>0</v>
          </cell>
          <cell r="K2158">
            <v>0</v>
          </cell>
          <cell r="L2158">
            <v>0</v>
          </cell>
          <cell r="M2158">
            <v>0</v>
          </cell>
          <cell r="N2158">
            <v>0</v>
          </cell>
          <cell r="O2158">
            <v>0</v>
          </cell>
          <cell r="P2158">
            <v>0</v>
          </cell>
          <cell r="Q2158">
            <v>0</v>
          </cell>
          <cell r="R2158">
            <v>0</v>
          </cell>
          <cell r="S2158">
            <v>0</v>
          </cell>
          <cell r="T2158">
            <v>0</v>
          </cell>
          <cell r="U2158" t="e">
            <v>#N/A</v>
          </cell>
        </row>
        <row r="2159">
          <cell r="A2159">
            <v>1002153</v>
          </cell>
          <cell r="B2159" t="str">
            <v>Seccionad By-Pass 600A Min 8.3kV Max</v>
          </cell>
          <cell r="D2159">
            <v>5721</v>
          </cell>
          <cell r="E2159">
            <v>1000</v>
          </cell>
          <cell r="F2159" t="str">
            <v>ZALM</v>
          </cell>
          <cell r="G2159" t="str">
            <v>UN</v>
          </cell>
          <cell r="H2159" t="str">
            <v>DOP</v>
          </cell>
          <cell r="I2159">
            <v>0</v>
          </cell>
          <cell r="J2159">
            <v>0</v>
          </cell>
          <cell r="K2159">
            <v>0</v>
          </cell>
          <cell r="L2159">
            <v>0</v>
          </cell>
          <cell r="M2159">
            <v>0</v>
          </cell>
          <cell r="N2159">
            <v>0</v>
          </cell>
          <cell r="O2159">
            <v>0</v>
          </cell>
          <cell r="P2159">
            <v>0</v>
          </cell>
          <cell r="Q2159">
            <v>0</v>
          </cell>
          <cell r="R2159">
            <v>0</v>
          </cell>
          <cell r="S2159">
            <v>0</v>
          </cell>
          <cell r="T2159">
            <v>0</v>
          </cell>
          <cell r="U2159" t="e">
            <v>#N/A</v>
          </cell>
        </row>
        <row r="2160">
          <cell r="A2160">
            <v>1002154</v>
          </cell>
          <cell r="B2160" t="str">
            <v>Seccionad Fusible BT 3P 630A 500V</v>
          </cell>
          <cell r="D2160">
            <v>5721</v>
          </cell>
          <cell r="E2160">
            <v>1000</v>
          </cell>
          <cell r="F2160" t="str">
            <v>ZALM</v>
          </cell>
          <cell r="G2160" t="str">
            <v>UN</v>
          </cell>
          <cell r="H2160" t="str">
            <v>DOP</v>
          </cell>
          <cell r="I2160">
            <v>0</v>
          </cell>
          <cell r="J2160">
            <v>0</v>
          </cell>
          <cell r="K2160">
            <v>0</v>
          </cell>
          <cell r="L2160">
            <v>0</v>
          </cell>
          <cell r="M2160">
            <v>0</v>
          </cell>
          <cell r="N2160">
            <v>0</v>
          </cell>
          <cell r="O2160">
            <v>0</v>
          </cell>
          <cell r="P2160">
            <v>0</v>
          </cell>
          <cell r="Q2160">
            <v>0</v>
          </cell>
          <cell r="R2160">
            <v>0</v>
          </cell>
          <cell r="S2160">
            <v>0</v>
          </cell>
          <cell r="T2160">
            <v>0</v>
          </cell>
          <cell r="U2160" t="e">
            <v>#N/A</v>
          </cell>
        </row>
        <row r="2161">
          <cell r="A2161">
            <v>1002155</v>
          </cell>
          <cell r="B2161" t="str">
            <v>Seccionad Monop 15kV 1200A T/ Estac</v>
          </cell>
          <cell r="D2161">
            <v>5721</v>
          </cell>
          <cell r="E2161">
            <v>1000</v>
          </cell>
          <cell r="F2161" t="str">
            <v>ZALM</v>
          </cell>
          <cell r="G2161" t="str">
            <v>UN</v>
          </cell>
          <cell r="H2161" t="str">
            <v>DOP</v>
          </cell>
          <cell r="I2161">
            <v>0</v>
          </cell>
          <cell r="J2161">
            <v>0</v>
          </cell>
          <cell r="K2161">
            <v>0</v>
          </cell>
          <cell r="L2161">
            <v>0</v>
          </cell>
          <cell r="M2161">
            <v>0</v>
          </cell>
          <cell r="N2161">
            <v>0</v>
          </cell>
          <cell r="O2161">
            <v>0</v>
          </cell>
          <cell r="P2161">
            <v>0</v>
          </cell>
          <cell r="Q2161">
            <v>0</v>
          </cell>
          <cell r="R2161">
            <v>0</v>
          </cell>
          <cell r="S2161">
            <v>0</v>
          </cell>
          <cell r="T2161">
            <v>0</v>
          </cell>
          <cell r="U2161" t="e">
            <v>#N/A</v>
          </cell>
        </row>
        <row r="2162">
          <cell r="A2162">
            <v>1002156</v>
          </cell>
          <cell r="B2162" t="str">
            <v>Seccionad Monop Cuchi Vert 630A 34.5kV</v>
          </cell>
          <cell r="D2162">
            <v>5721</v>
          </cell>
          <cell r="E2162">
            <v>1000</v>
          </cell>
          <cell r="F2162" t="str">
            <v>ZALM</v>
          </cell>
          <cell r="G2162" t="str">
            <v>UN</v>
          </cell>
          <cell r="H2162" t="str">
            <v>DOP</v>
          </cell>
          <cell r="I2162">
            <v>0</v>
          </cell>
          <cell r="J2162">
            <v>0</v>
          </cell>
          <cell r="K2162">
            <v>0</v>
          </cell>
          <cell r="L2162">
            <v>0</v>
          </cell>
          <cell r="M2162">
            <v>0</v>
          </cell>
          <cell r="N2162">
            <v>0</v>
          </cell>
          <cell r="O2162">
            <v>0</v>
          </cell>
          <cell r="P2162">
            <v>0</v>
          </cell>
          <cell r="Q2162">
            <v>0</v>
          </cell>
          <cell r="R2162">
            <v>0</v>
          </cell>
          <cell r="S2162">
            <v>0</v>
          </cell>
          <cell r="T2162">
            <v>0</v>
          </cell>
          <cell r="U2162" t="e">
            <v>#N/A</v>
          </cell>
        </row>
        <row r="2163">
          <cell r="A2163">
            <v>1002157</v>
          </cell>
          <cell r="B2163" t="str">
            <v>Seccionad Trip 15kV  35A</v>
          </cell>
          <cell r="D2163">
            <v>5721</v>
          </cell>
          <cell r="E2163">
            <v>1000</v>
          </cell>
          <cell r="F2163" t="str">
            <v>ZALM</v>
          </cell>
          <cell r="G2163" t="str">
            <v>UN</v>
          </cell>
          <cell r="H2163" t="str">
            <v>DOP</v>
          </cell>
          <cell r="I2163">
            <v>0</v>
          </cell>
          <cell r="J2163">
            <v>0</v>
          </cell>
          <cell r="K2163">
            <v>0</v>
          </cell>
          <cell r="L2163">
            <v>0</v>
          </cell>
          <cell r="M2163">
            <v>0</v>
          </cell>
          <cell r="N2163">
            <v>0</v>
          </cell>
          <cell r="O2163">
            <v>0</v>
          </cell>
          <cell r="P2163">
            <v>0</v>
          </cell>
          <cell r="Q2163">
            <v>0</v>
          </cell>
          <cell r="R2163">
            <v>0</v>
          </cell>
          <cell r="S2163">
            <v>0</v>
          </cell>
          <cell r="T2163">
            <v>0</v>
          </cell>
          <cell r="U2163" t="e">
            <v>#N/A</v>
          </cell>
        </row>
        <row r="2164">
          <cell r="A2164">
            <v>1002158</v>
          </cell>
          <cell r="B2164" t="str">
            <v>Seccionad Trip 72.2kV 1200A</v>
          </cell>
          <cell r="D2164">
            <v>5721</v>
          </cell>
          <cell r="E2164">
            <v>1000</v>
          </cell>
          <cell r="F2164" t="str">
            <v>ZALM</v>
          </cell>
          <cell r="G2164" t="str">
            <v>UN</v>
          </cell>
          <cell r="H2164" t="str">
            <v>DOP</v>
          </cell>
          <cell r="I2164">
            <v>0</v>
          </cell>
          <cell r="J2164">
            <v>0</v>
          </cell>
          <cell r="K2164">
            <v>0</v>
          </cell>
          <cell r="L2164">
            <v>0</v>
          </cell>
          <cell r="M2164">
            <v>0</v>
          </cell>
          <cell r="N2164">
            <v>0</v>
          </cell>
          <cell r="O2164">
            <v>0</v>
          </cell>
          <cell r="P2164">
            <v>0</v>
          </cell>
          <cell r="Q2164">
            <v>0</v>
          </cell>
          <cell r="R2164">
            <v>0</v>
          </cell>
          <cell r="S2164">
            <v>0</v>
          </cell>
          <cell r="T2164">
            <v>0</v>
          </cell>
          <cell r="U2164" t="e">
            <v>#N/A</v>
          </cell>
        </row>
        <row r="2165">
          <cell r="A2165">
            <v>1002159</v>
          </cell>
          <cell r="B2165" t="str">
            <v>Seccionad Trip 72.2kV 1200A KPF</v>
          </cell>
          <cell r="D2165">
            <v>5721</v>
          </cell>
          <cell r="E2165">
            <v>1000</v>
          </cell>
          <cell r="F2165" t="str">
            <v>ZALM</v>
          </cell>
          <cell r="G2165" t="str">
            <v>UN</v>
          </cell>
          <cell r="H2165" t="str">
            <v>DOP</v>
          </cell>
          <cell r="I2165">
            <v>0</v>
          </cell>
          <cell r="J2165">
            <v>0</v>
          </cell>
          <cell r="K2165">
            <v>0</v>
          </cell>
          <cell r="L2165">
            <v>0</v>
          </cell>
          <cell r="M2165">
            <v>0</v>
          </cell>
          <cell r="N2165">
            <v>0</v>
          </cell>
          <cell r="O2165">
            <v>0</v>
          </cell>
          <cell r="P2165">
            <v>0</v>
          </cell>
          <cell r="Q2165">
            <v>0</v>
          </cell>
          <cell r="R2165">
            <v>0</v>
          </cell>
          <cell r="S2165">
            <v>0</v>
          </cell>
          <cell r="T2165">
            <v>0</v>
          </cell>
          <cell r="U2165" t="e">
            <v>#N/A</v>
          </cell>
        </row>
        <row r="2166">
          <cell r="A2166">
            <v>1002160</v>
          </cell>
          <cell r="B2166" t="str">
            <v>Seccionad Trip H 630A 12.47kV Aisl 110kV</v>
          </cell>
          <cell r="D2166">
            <v>5721</v>
          </cell>
          <cell r="E2166">
            <v>1000</v>
          </cell>
          <cell r="F2166" t="str">
            <v>ZALM</v>
          </cell>
          <cell r="G2166" t="str">
            <v>UN</v>
          </cell>
          <cell r="H2166" t="str">
            <v>DOP</v>
          </cell>
          <cell r="I2166">
            <v>0</v>
          </cell>
          <cell r="J2166">
            <v>0</v>
          </cell>
          <cell r="K2166">
            <v>0</v>
          </cell>
          <cell r="L2166">
            <v>0</v>
          </cell>
          <cell r="M2166">
            <v>0</v>
          </cell>
          <cell r="N2166">
            <v>0</v>
          </cell>
          <cell r="O2166">
            <v>0</v>
          </cell>
          <cell r="P2166">
            <v>0</v>
          </cell>
          <cell r="Q2166">
            <v>0</v>
          </cell>
          <cell r="R2166">
            <v>0</v>
          </cell>
          <cell r="S2166">
            <v>0</v>
          </cell>
          <cell r="T2166">
            <v>0</v>
          </cell>
          <cell r="U2166" t="e">
            <v>#N/A</v>
          </cell>
        </row>
        <row r="2167">
          <cell r="A2167">
            <v>1002161</v>
          </cell>
          <cell r="B2167" t="str">
            <v>Seccionad Trip H 800A 12.47kV Aisl 110kV</v>
          </cell>
          <cell r="D2167">
            <v>5721</v>
          </cell>
          <cell r="E2167">
            <v>1000</v>
          </cell>
          <cell r="F2167" t="str">
            <v>ZALM</v>
          </cell>
          <cell r="G2167" t="str">
            <v>UN</v>
          </cell>
          <cell r="H2167" t="str">
            <v>DOP</v>
          </cell>
          <cell r="I2167">
            <v>0</v>
          </cell>
          <cell r="J2167">
            <v>0</v>
          </cell>
          <cell r="K2167">
            <v>0</v>
          </cell>
          <cell r="L2167">
            <v>0</v>
          </cell>
          <cell r="M2167">
            <v>0</v>
          </cell>
          <cell r="N2167">
            <v>0</v>
          </cell>
          <cell r="O2167">
            <v>0</v>
          </cell>
          <cell r="P2167">
            <v>0</v>
          </cell>
          <cell r="Q2167">
            <v>0</v>
          </cell>
          <cell r="R2167">
            <v>0</v>
          </cell>
          <cell r="S2167">
            <v>0</v>
          </cell>
          <cell r="T2167">
            <v>0</v>
          </cell>
          <cell r="U2167" t="e">
            <v>#N/A</v>
          </cell>
        </row>
        <row r="2168">
          <cell r="A2168">
            <v>1002162</v>
          </cell>
          <cell r="B2168" t="str">
            <v>Seccionad Trip T/ VJR 15.5kV 400A</v>
          </cell>
          <cell r="D2168">
            <v>5721</v>
          </cell>
          <cell r="E2168">
            <v>1000</v>
          </cell>
          <cell r="F2168" t="str">
            <v>ZALM</v>
          </cell>
          <cell r="G2168" t="str">
            <v>UN</v>
          </cell>
          <cell r="H2168" t="str">
            <v>DOP</v>
          </cell>
          <cell r="I2168">
            <v>0</v>
          </cell>
          <cell r="J2168">
            <v>0</v>
          </cell>
          <cell r="K2168">
            <v>0</v>
          </cell>
          <cell r="L2168">
            <v>0</v>
          </cell>
          <cell r="M2168">
            <v>0</v>
          </cell>
          <cell r="N2168">
            <v>0</v>
          </cell>
          <cell r="O2168">
            <v>0</v>
          </cell>
          <cell r="P2168">
            <v>0</v>
          </cell>
          <cell r="Q2168">
            <v>0</v>
          </cell>
          <cell r="R2168">
            <v>0</v>
          </cell>
          <cell r="S2168">
            <v>0</v>
          </cell>
          <cell r="T2168">
            <v>0</v>
          </cell>
          <cell r="U2168" t="e">
            <v>#N/A</v>
          </cell>
        </row>
        <row r="2169">
          <cell r="A2169">
            <v>1002163</v>
          </cell>
          <cell r="B2169" t="str">
            <v>Seccionad Trip V 630A 12.47kV Aisl 110kV</v>
          </cell>
          <cell r="D2169">
            <v>5721</v>
          </cell>
          <cell r="E2169">
            <v>1000</v>
          </cell>
          <cell r="F2169" t="str">
            <v>ZALM</v>
          </cell>
          <cell r="G2169" t="str">
            <v>UN</v>
          </cell>
          <cell r="H2169" t="str">
            <v>DOP</v>
          </cell>
          <cell r="I2169">
            <v>0</v>
          </cell>
          <cell r="J2169">
            <v>0</v>
          </cell>
          <cell r="K2169">
            <v>0</v>
          </cell>
          <cell r="L2169">
            <v>0</v>
          </cell>
          <cell r="M2169">
            <v>0</v>
          </cell>
          <cell r="N2169">
            <v>0</v>
          </cell>
          <cell r="O2169">
            <v>0</v>
          </cell>
          <cell r="P2169">
            <v>0</v>
          </cell>
          <cell r="Q2169">
            <v>0</v>
          </cell>
          <cell r="R2169">
            <v>0</v>
          </cell>
          <cell r="S2169">
            <v>0</v>
          </cell>
          <cell r="T2169">
            <v>0</v>
          </cell>
          <cell r="U2169" t="e">
            <v>#N/A</v>
          </cell>
        </row>
        <row r="2170">
          <cell r="A2170">
            <v>1002164</v>
          </cell>
          <cell r="B2170" t="str">
            <v>Seccionad Trip V 800A 12.47kV Aisl 110kV</v>
          </cell>
          <cell r="D2170">
            <v>5721</v>
          </cell>
          <cell r="E2170">
            <v>1000</v>
          </cell>
          <cell r="F2170" t="str">
            <v>ZALM</v>
          </cell>
          <cell r="G2170" t="str">
            <v>UN</v>
          </cell>
          <cell r="H2170" t="str">
            <v>DOP</v>
          </cell>
          <cell r="I2170">
            <v>0</v>
          </cell>
          <cell r="J2170">
            <v>0</v>
          </cell>
          <cell r="K2170">
            <v>0</v>
          </cell>
          <cell r="L2170">
            <v>0</v>
          </cell>
          <cell r="M2170">
            <v>0</v>
          </cell>
          <cell r="N2170">
            <v>0</v>
          </cell>
          <cell r="O2170">
            <v>0</v>
          </cell>
          <cell r="P2170">
            <v>0</v>
          </cell>
          <cell r="Q2170">
            <v>0</v>
          </cell>
          <cell r="R2170">
            <v>0</v>
          </cell>
          <cell r="S2170">
            <v>0</v>
          </cell>
          <cell r="T2170">
            <v>0</v>
          </cell>
          <cell r="U2170" t="e">
            <v>#N/A</v>
          </cell>
        </row>
        <row r="2171">
          <cell r="A2171">
            <v>1002165</v>
          </cell>
          <cell r="B2171" t="str">
            <v>Seccionad Trip Vert 34.4kV 600A</v>
          </cell>
          <cell r="D2171">
            <v>5721</v>
          </cell>
          <cell r="E2171">
            <v>1000</v>
          </cell>
          <cell r="F2171" t="str">
            <v>ZALM</v>
          </cell>
          <cell r="G2171" t="str">
            <v>UN</v>
          </cell>
          <cell r="H2171" t="str">
            <v>DOP</v>
          </cell>
          <cell r="I2171">
            <v>0</v>
          </cell>
          <cell r="J2171">
            <v>0</v>
          </cell>
          <cell r="K2171">
            <v>0</v>
          </cell>
          <cell r="L2171">
            <v>0</v>
          </cell>
          <cell r="M2171">
            <v>0</v>
          </cell>
          <cell r="N2171">
            <v>0</v>
          </cell>
          <cell r="O2171">
            <v>0</v>
          </cell>
          <cell r="P2171">
            <v>0</v>
          </cell>
          <cell r="Q2171">
            <v>0</v>
          </cell>
          <cell r="R2171">
            <v>0</v>
          </cell>
          <cell r="S2171">
            <v>0</v>
          </cell>
          <cell r="T2171">
            <v>0</v>
          </cell>
          <cell r="U2171" t="e">
            <v>#N/A</v>
          </cell>
        </row>
        <row r="2172">
          <cell r="A2172">
            <v>1002166</v>
          </cell>
          <cell r="B2172" t="str">
            <v>Seccionad Unip 15kV 50A</v>
          </cell>
          <cell r="D2172">
            <v>5721</v>
          </cell>
          <cell r="E2172">
            <v>1000</v>
          </cell>
          <cell r="F2172" t="str">
            <v>ZALM</v>
          </cell>
          <cell r="G2172" t="str">
            <v>UN</v>
          </cell>
          <cell r="H2172" t="str">
            <v>DOP</v>
          </cell>
          <cell r="I2172">
            <v>0</v>
          </cell>
          <cell r="J2172">
            <v>0</v>
          </cell>
          <cell r="K2172">
            <v>0</v>
          </cell>
          <cell r="L2172">
            <v>0</v>
          </cell>
          <cell r="M2172">
            <v>0</v>
          </cell>
          <cell r="N2172">
            <v>0</v>
          </cell>
          <cell r="O2172">
            <v>0</v>
          </cell>
          <cell r="P2172">
            <v>0</v>
          </cell>
          <cell r="Q2172">
            <v>0</v>
          </cell>
          <cell r="R2172">
            <v>0</v>
          </cell>
          <cell r="S2172">
            <v>0</v>
          </cell>
          <cell r="T2172">
            <v>0</v>
          </cell>
          <cell r="U2172" t="e">
            <v>#N/A</v>
          </cell>
        </row>
        <row r="2173">
          <cell r="A2173">
            <v>1002167</v>
          </cell>
          <cell r="B2173" t="str">
            <v>Seccionad Unip 15kV 70A</v>
          </cell>
          <cell r="D2173">
            <v>5721</v>
          </cell>
          <cell r="E2173">
            <v>1000</v>
          </cell>
          <cell r="F2173" t="str">
            <v>ZALM</v>
          </cell>
          <cell r="G2173" t="str">
            <v>UN</v>
          </cell>
          <cell r="H2173" t="str">
            <v>DOP</v>
          </cell>
          <cell r="I2173">
            <v>0</v>
          </cell>
          <cell r="J2173">
            <v>0</v>
          </cell>
          <cell r="K2173">
            <v>0</v>
          </cell>
          <cell r="L2173">
            <v>0</v>
          </cell>
          <cell r="M2173">
            <v>0</v>
          </cell>
          <cell r="N2173">
            <v>0</v>
          </cell>
          <cell r="O2173">
            <v>0</v>
          </cell>
          <cell r="P2173">
            <v>0</v>
          </cell>
          <cell r="Q2173">
            <v>0</v>
          </cell>
          <cell r="R2173">
            <v>0</v>
          </cell>
          <cell r="S2173">
            <v>0</v>
          </cell>
          <cell r="T2173">
            <v>0</v>
          </cell>
          <cell r="U2173" t="e">
            <v>#N/A</v>
          </cell>
        </row>
        <row r="2174">
          <cell r="A2174">
            <v>1002168</v>
          </cell>
          <cell r="B2174" t="str">
            <v>Seccionad Unip 36kV 25A</v>
          </cell>
          <cell r="D2174">
            <v>5721</v>
          </cell>
          <cell r="E2174">
            <v>1000</v>
          </cell>
          <cell r="F2174" t="str">
            <v>ZALM</v>
          </cell>
          <cell r="G2174" t="str">
            <v>UN</v>
          </cell>
          <cell r="H2174" t="str">
            <v>DOP</v>
          </cell>
          <cell r="I2174">
            <v>0</v>
          </cell>
          <cell r="J2174">
            <v>0</v>
          </cell>
          <cell r="K2174">
            <v>0</v>
          </cell>
          <cell r="L2174">
            <v>0</v>
          </cell>
          <cell r="M2174">
            <v>0</v>
          </cell>
          <cell r="N2174">
            <v>0</v>
          </cell>
          <cell r="O2174">
            <v>0</v>
          </cell>
          <cell r="P2174">
            <v>0</v>
          </cell>
          <cell r="Q2174">
            <v>0</v>
          </cell>
          <cell r="R2174">
            <v>0</v>
          </cell>
          <cell r="S2174">
            <v>0</v>
          </cell>
          <cell r="T2174">
            <v>0</v>
          </cell>
          <cell r="U2174" t="e">
            <v>#N/A</v>
          </cell>
        </row>
        <row r="2175">
          <cell r="A2175">
            <v>1002169</v>
          </cell>
          <cell r="B2175" t="str">
            <v>Seccionad Unip 36kV 35A</v>
          </cell>
          <cell r="D2175">
            <v>5721</v>
          </cell>
          <cell r="E2175">
            <v>1000</v>
          </cell>
          <cell r="F2175" t="str">
            <v>ZALM</v>
          </cell>
          <cell r="G2175" t="str">
            <v>UN</v>
          </cell>
          <cell r="H2175" t="str">
            <v>DOP</v>
          </cell>
          <cell r="I2175">
            <v>0</v>
          </cell>
          <cell r="J2175">
            <v>0</v>
          </cell>
          <cell r="K2175">
            <v>0</v>
          </cell>
          <cell r="L2175">
            <v>0</v>
          </cell>
          <cell r="M2175">
            <v>0</v>
          </cell>
          <cell r="N2175">
            <v>0</v>
          </cell>
          <cell r="O2175">
            <v>0</v>
          </cell>
          <cell r="P2175">
            <v>0</v>
          </cell>
          <cell r="Q2175">
            <v>0</v>
          </cell>
          <cell r="R2175">
            <v>0</v>
          </cell>
          <cell r="S2175">
            <v>0</v>
          </cell>
          <cell r="T2175">
            <v>0</v>
          </cell>
          <cell r="U2175" t="e">
            <v>#N/A</v>
          </cell>
        </row>
        <row r="2176">
          <cell r="A2176">
            <v>1002170</v>
          </cell>
          <cell r="B2176" t="str">
            <v>Seccionad Unip 36kV 50A</v>
          </cell>
          <cell r="D2176">
            <v>5721</v>
          </cell>
          <cell r="E2176">
            <v>1000</v>
          </cell>
          <cell r="F2176" t="str">
            <v>ZALM</v>
          </cell>
          <cell r="G2176" t="str">
            <v>UN</v>
          </cell>
          <cell r="H2176" t="str">
            <v>DOP</v>
          </cell>
          <cell r="I2176">
            <v>0</v>
          </cell>
          <cell r="J2176">
            <v>0</v>
          </cell>
          <cell r="K2176">
            <v>0</v>
          </cell>
          <cell r="L2176">
            <v>0</v>
          </cell>
          <cell r="M2176">
            <v>0</v>
          </cell>
          <cell r="N2176">
            <v>0</v>
          </cell>
          <cell r="O2176">
            <v>0</v>
          </cell>
          <cell r="P2176">
            <v>0</v>
          </cell>
          <cell r="Q2176">
            <v>0</v>
          </cell>
          <cell r="R2176">
            <v>0</v>
          </cell>
          <cell r="S2176">
            <v>0</v>
          </cell>
          <cell r="T2176">
            <v>0</v>
          </cell>
          <cell r="U2176" t="e">
            <v>#N/A</v>
          </cell>
        </row>
        <row r="2177">
          <cell r="A2177">
            <v>1002171</v>
          </cell>
          <cell r="B2177" t="str">
            <v>Seccionad Unip Automat 7.8-12.47kV</v>
          </cell>
          <cell r="D2177">
            <v>5721</v>
          </cell>
          <cell r="E2177">
            <v>1000</v>
          </cell>
          <cell r="F2177" t="str">
            <v>ZALM</v>
          </cell>
          <cell r="G2177" t="str">
            <v>UN</v>
          </cell>
          <cell r="H2177" t="str">
            <v>DOP</v>
          </cell>
          <cell r="I2177">
            <v>150</v>
          </cell>
          <cell r="J2177">
            <v>3022901.07</v>
          </cell>
          <cell r="K2177">
            <v>0</v>
          </cell>
          <cell r="L2177">
            <v>0</v>
          </cell>
          <cell r="M2177">
            <v>0</v>
          </cell>
          <cell r="N2177">
            <v>0</v>
          </cell>
          <cell r="O2177">
            <v>0</v>
          </cell>
          <cell r="P2177">
            <v>0</v>
          </cell>
          <cell r="Q2177">
            <v>0</v>
          </cell>
          <cell r="R2177">
            <v>0</v>
          </cell>
          <cell r="S2177">
            <v>150</v>
          </cell>
          <cell r="T2177">
            <v>3022901.07</v>
          </cell>
          <cell r="U2177">
            <v>20152.6738</v>
          </cell>
        </row>
        <row r="2178">
          <cell r="A2178">
            <v>1002172</v>
          </cell>
          <cell r="B2178" t="str">
            <v>Seccionad Unip NH 630C</v>
          </cell>
          <cell r="D2178">
            <v>5721</v>
          </cell>
          <cell r="E2178">
            <v>1000</v>
          </cell>
          <cell r="F2178" t="str">
            <v>ZALM</v>
          </cell>
          <cell r="G2178" t="str">
            <v>UN</v>
          </cell>
          <cell r="H2178" t="str">
            <v>DOP</v>
          </cell>
          <cell r="I2178">
            <v>207</v>
          </cell>
          <cell r="J2178">
            <v>244255.93</v>
          </cell>
          <cell r="K2178">
            <v>0</v>
          </cell>
          <cell r="L2178">
            <v>0</v>
          </cell>
          <cell r="M2178">
            <v>0</v>
          </cell>
          <cell r="N2178">
            <v>0</v>
          </cell>
          <cell r="O2178">
            <v>0</v>
          </cell>
          <cell r="P2178">
            <v>0</v>
          </cell>
          <cell r="Q2178">
            <v>0</v>
          </cell>
          <cell r="R2178">
            <v>0</v>
          </cell>
          <cell r="S2178">
            <v>207</v>
          </cell>
          <cell r="T2178">
            <v>244255.93</v>
          </cell>
          <cell r="U2178">
            <v>1179.98033816425</v>
          </cell>
        </row>
        <row r="2179">
          <cell r="A2179">
            <v>1002173</v>
          </cell>
          <cell r="B2179" t="str">
            <v>Seccionad Vert 600A 14.4kV Aisl 95kV</v>
          </cell>
          <cell r="D2179">
            <v>5721</v>
          </cell>
          <cell r="E2179">
            <v>1000</v>
          </cell>
          <cell r="F2179" t="str">
            <v>ZALM</v>
          </cell>
          <cell r="G2179" t="str">
            <v>UN</v>
          </cell>
          <cell r="H2179" t="str">
            <v>DOP</v>
          </cell>
          <cell r="I2179">
            <v>0</v>
          </cell>
          <cell r="J2179">
            <v>0</v>
          </cell>
          <cell r="K2179">
            <v>0</v>
          </cell>
          <cell r="L2179">
            <v>0</v>
          </cell>
          <cell r="M2179">
            <v>0</v>
          </cell>
          <cell r="N2179">
            <v>0</v>
          </cell>
          <cell r="O2179">
            <v>0</v>
          </cell>
          <cell r="P2179">
            <v>0</v>
          </cell>
          <cell r="Q2179">
            <v>0</v>
          </cell>
          <cell r="R2179">
            <v>0</v>
          </cell>
          <cell r="S2179">
            <v>0</v>
          </cell>
          <cell r="T2179">
            <v>0</v>
          </cell>
          <cell r="U2179" t="e">
            <v>#N/A</v>
          </cell>
        </row>
        <row r="2180">
          <cell r="A2180">
            <v>1002174</v>
          </cell>
          <cell r="B2180" t="str">
            <v>Seccionad Vert 630A 12.47kV Aisl 95kV</v>
          </cell>
          <cell r="D2180">
            <v>5721</v>
          </cell>
          <cell r="E2180">
            <v>1000</v>
          </cell>
          <cell r="F2180" t="str">
            <v>ZALM</v>
          </cell>
          <cell r="G2180" t="str">
            <v>UN</v>
          </cell>
          <cell r="H2180" t="str">
            <v>DOP</v>
          </cell>
          <cell r="I2180">
            <v>0</v>
          </cell>
          <cell r="J2180">
            <v>0</v>
          </cell>
          <cell r="K2180">
            <v>0</v>
          </cell>
          <cell r="L2180">
            <v>0</v>
          </cell>
          <cell r="M2180">
            <v>0</v>
          </cell>
          <cell r="N2180">
            <v>0</v>
          </cell>
          <cell r="O2180">
            <v>0</v>
          </cell>
          <cell r="P2180">
            <v>0</v>
          </cell>
          <cell r="Q2180">
            <v>0</v>
          </cell>
          <cell r="R2180">
            <v>0</v>
          </cell>
          <cell r="S2180">
            <v>0</v>
          </cell>
          <cell r="T2180">
            <v>0</v>
          </cell>
          <cell r="U2180" t="e">
            <v>#N/A</v>
          </cell>
        </row>
        <row r="2181">
          <cell r="A2181">
            <v>1002175</v>
          </cell>
          <cell r="B2181" t="str">
            <v>Seccionad Vert 630A 7.2kV Aisl 95kV</v>
          </cell>
          <cell r="D2181">
            <v>5721</v>
          </cell>
          <cell r="E2181">
            <v>1000</v>
          </cell>
          <cell r="F2181" t="str">
            <v>ZALM</v>
          </cell>
          <cell r="G2181" t="str">
            <v>UN</v>
          </cell>
          <cell r="H2181" t="str">
            <v>DOP</v>
          </cell>
          <cell r="I2181">
            <v>0</v>
          </cell>
          <cell r="J2181">
            <v>0</v>
          </cell>
          <cell r="K2181">
            <v>0</v>
          </cell>
          <cell r="L2181">
            <v>0</v>
          </cell>
          <cell r="M2181">
            <v>0</v>
          </cell>
          <cell r="N2181">
            <v>0</v>
          </cell>
          <cell r="O2181">
            <v>0</v>
          </cell>
          <cell r="P2181">
            <v>0</v>
          </cell>
          <cell r="Q2181">
            <v>0</v>
          </cell>
          <cell r="R2181">
            <v>0</v>
          </cell>
          <cell r="S2181">
            <v>0</v>
          </cell>
          <cell r="T2181">
            <v>0</v>
          </cell>
          <cell r="U2181" t="e">
            <v>#N/A</v>
          </cell>
        </row>
        <row r="2182">
          <cell r="A2182">
            <v>1002176</v>
          </cell>
          <cell r="B2182" t="str">
            <v>Seccionad Vert 800A 12.47kV Aisl 95kV</v>
          </cell>
          <cell r="D2182">
            <v>5721</v>
          </cell>
          <cell r="E2182">
            <v>1000</v>
          </cell>
          <cell r="F2182" t="str">
            <v>ZALM</v>
          </cell>
          <cell r="G2182" t="str">
            <v>UN</v>
          </cell>
          <cell r="H2182" t="str">
            <v>DOP</v>
          </cell>
          <cell r="I2182">
            <v>0</v>
          </cell>
          <cell r="J2182">
            <v>0</v>
          </cell>
          <cell r="K2182">
            <v>0</v>
          </cell>
          <cell r="L2182">
            <v>0</v>
          </cell>
          <cell r="M2182">
            <v>0</v>
          </cell>
          <cell r="N2182">
            <v>0</v>
          </cell>
          <cell r="O2182">
            <v>0</v>
          </cell>
          <cell r="P2182">
            <v>0</v>
          </cell>
          <cell r="Q2182">
            <v>0</v>
          </cell>
          <cell r="R2182">
            <v>0</v>
          </cell>
          <cell r="S2182">
            <v>0</v>
          </cell>
          <cell r="T2182">
            <v>0</v>
          </cell>
          <cell r="U2182" t="e">
            <v>#N/A</v>
          </cell>
        </row>
        <row r="2183">
          <cell r="A2183">
            <v>1002177</v>
          </cell>
          <cell r="B2183" t="str">
            <v>Tarjeta P/ Recloser ABB DIO Tipo 1</v>
          </cell>
          <cell r="D2183">
            <v>5721</v>
          </cell>
          <cell r="E2183">
            <v>1000</v>
          </cell>
          <cell r="F2183" t="str">
            <v>ZALM</v>
          </cell>
          <cell r="G2183" t="str">
            <v>UN</v>
          </cell>
          <cell r="H2183" t="str">
            <v>DOP</v>
          </cell>
          <cell r="I2183">
            <v>0</v>
          </cell>
          <cell r="J2183">
            <v>0</v>
          </cell>
          <cell r="K2183">
            <v>0</v>
          </cell>
          <cell r="L2183">
            <v>0</v>
          </cell>
          <cell r="M2183">
            <v>0</v>
          </cell>
          <cell r="N2183">
            <v>0</v>
          </cell>
          <cell r="O2183">
            <v>0</v>
          </cell>
          <cell r="P2183">
            <v>0</v>
          </cell>
          <cell r="Q2183">
            <v>0</v>
          </cell>
          <cell r="R2183">
            <v>0</v>
          </cell>
          <cell r="S2183">
            <v>0</v>
          </cell>
          <cell r="T2183">
            <v>0</v>
          </cell>
          <cell r="U2183" t="e">
            <v>#N/A</v>
          </cell>
        </row>
        <row r="2184">
          <cell r="A2184">
            <v>1002178</v>
          </cell>
          <cell r="B2184" t="str">
            <v>Tarjeta P/ Recloser ABB DIO Tipo 2</v>
          </cell>
          <cell r="D2184">
            <v>5721</v>
          </cell>
          <cell r="E2184">
            <v>1000</v>
          </cell>
          <cell r="F2184" t="str">
            <v>ZALM</v>
          </cell>
          <cell r="G2184" t="str">
            <v>UN</v>
          </cell>
          <cell r="H2184" t="str">
            <v>DOP</v>
          </cell>
          <cell r="I2184">
            <v>0</v>
          </cell>
          <cell r="J2184">
            <v>0</v>
          </cell>
          <cell r="K2184">
            <v>0</v>
          </cell>
          <cell r="L2184">
            <v>0</v>
          </cell>
          <cell r="M2184">
            <v>0</v>
          </cell>
          <cell r="N2184">
            <v>0</v>
          </cell>
          <cell r="O2184">
            <v>0</v>
          </cell>
          <cell r="P2184">
            <v>0</v>
          </cell>
          <cell r="Q2184">
            <v>0</v>
          </cell>
          <cell r="R2184">
            <v>0</v>
          </cell>
          <cell r="S2184">
            <v>0</v>
          </cell>
          <cell r="T2184">
            <v>0</v>
          </cell>
          <cell r="U2184" t="e">
            <v>#N/A</v>
          </cell>
        </row>
        <row r="2185">
          <cell r="A2185">
            <v>1002179</v>
          </cell>
          <cell r="B2185" t="str">
            <v>Tarjeta P/ Recloser ABB UPS Tipo 2</v>
          </cell>
          <cell r="D2185">
            <v>5721</v>
          </cell>
          <cell r="E2185">
            <v>1000</v>
          </cell>
          <cell r="F2185" t="str">
            <v>ZALM</v>
          </cell>
          <cell r="G2185" t="str">
            <v>UN</v>
          </cell>
          <cell r="H2185" t="str">
            <v>DOP</v>
          </cell>
          <cell r="I2185">
            <v>0</v>
          </cell>
          <cell r="J2185">
            <v>0</v>
          </cell>
          <cell r="K2185">
            <v>0</v>
          </cell>
          <cell r="L2185">
            <v>0</v>
          </cell>
          <cell r="M2185">
            <v>0</v>
          </cell>
          <cell r="N2185">
            <v>0</v>
          </cell>
          <cell r="O2185">
            <v>0</v>
          </cell>
          <cell r="P2185">
            <v>0</v>
          </cell>
          <cell r="Q2185">
            <v>0</v>
          </cell>
          <cell r="R2185">
            <v>0</v>
          </cell>
          <cell r="S2185">
            <v>0</v>
          </cell>
          <cell r="T2185">
            <v>0</v>
          </cell>
          <cell r="U2185" t="e">
            <v>#N/A</v>
          </cell>
        </row>
        <row r="2186">
          <cell r="A2186">
            <v>1002180</v>
          </cell>
          <cell r="B2186" t="str">
            <v>Tarjeta P/ Reconectador COOPER RS-232</v>
          </cell>
          <cell r="D2186">
            <v>5721</v>
          </cell>
          <cell r="E2186">
            <v>1000</v>
          </cell>
          <cell r="F2186" t="str">
            <v>ZALM</v>
          </cell>
          <cell r="G2186" t="str">
            <v>UN</v>
          </cell>
          <cell r="H2186" t="str">
            <v>DOP</v>
          </cell>
          <cell r="I2186">
            <v>0</v>
          </cell>
          <cell r="J2186">
            <v>0</v>
          </cell>
          <cell r="K2186">
            <v>0</v>
          </cell>
          <cell r="L2186">
            <v>0</v>
          </cell>
          <cell r="M2186">
            <v>0</v>
          </cell>
          <cell r="N2186">
            <v>0</v>
          </cell>
          <cell r="O2186">
            <v>0</v>
          </cell>
          <cell r="P2186">
            <v>0</v>
          </cell>
          <cell r="Q2186">
            <v>0</v>
          </cell>
          <cell r="R2186">
            <v>0</v>
          </cell>
          <cell r="S2186">
            <v>0</v>
          </cell>
          <cell r="T2186">
            <v>0</v>
          </cell>
          <cell r="U2186" t="e">
            <v>#N/A</v>
          </cell>
        </row>
        <row r="2187">
          <cell r="A2187">
            <v>1002181</v>
          </cell>
          <cell r="B2187" t="str">
            <v>Arandela 3/16"</v>
          </cell>
          <cell r="D2187">
            <v>5108</v>
          </cell>
          <cell r="E2187">
            <v>1000</v>
          </cell>
          <cell r="F2187" t="str">
            <v>ZALM</v>
          </cell>
          <cell r="G2187" t="str">
            <v>UN</v>
          </cell>
          <cell r="H2187" t="str">
            <v>DOP</v>
          </cell>
          <cell r="I2187">
            <v>0</v>
          </cell>
          <cell r="J2187">
            <v>0</v>
          </cell>
          <cell r="K2187">
            <v>0</v>
          </cell>
          <cell r="L2187">
            <v>0</v>
          </cell>
          <cell r="M2187">
            <v>0</v>
          </cell>
          <cell r="N2187">
            <v>0</v>
          </cell>
          <cell r="O2187">
            <v>0</v>
          </cell>
          <cell r="P2187">
            <v>0</v>
          </cell>
          <cell r="Q2187">
            <v>0</v>
          </cell>
          <cell r="R2187">
            <v>0</v>
          </cell>
          <cell r="S2187">
            <v>0</v>
          </cell>
          <cell r="T2187">
            <v>0</v>
          </cell>
          <cell r="U2187" t="e">
            <v>#N/A</v>
          </cell>
        </row>
        <row r="2188">
          <cell r="A2188">
            <v>1002182</v>
          </cell>
          <cell r="B2188" t="str">
            <v>Arandela Cuad 2 1/4x2 1/4x3/16 Aguj11/16</v>
          </cell>
          <cell r="D2188">
            <v>5108</v>
          </cell>
          <cell r="E2188">
            <v>1000</v>
          </cell>
          <cell r="F2188" t="str">
            <v>ZALM</v>
          </cell>
          <cell r="G2188" t="str">
            <v>UN</v>
          </cell>
          <cell r="H2188" t="str">
            <v>DOP</v>
          </cell>
          <cell r="I2188">
            <v>0</v>
          </cell>
          <cell r="J2188">
            <v>0</v>
          </cell>
          <cell r="K2188">
            <v>0</v>
          </cell>
          <cell r="L2188">
            <v>0</v>
          </cell>
          <cell r="M2188">
            <v>0</v>
          </cell>
          <cell r="N2188">
            <v>0</v>
          </cell>
          <cell r="O2188">
            <v>0</v>
          </cell>
          <cell r="P2188">
            <v>0</v>
          </cell>
          <cell r="Q2188">
            <v>0</v>
          </cell>
          <cell r="R2188">
            <v>0</v>
          </cell>
          <cell r="S2188">
            <v>0</v>
          </cell>
          <cell r="T2188">
            <v>0</v>
          </cell>
          <cell r="U2188" t="e">
            <v>#N/A</v>
          </cell>
        </row>
        <row r="2189">
          <cell r="A2189">
            <v>1002183</v>
          </cell>
          <cell r="B2189" t="str">
            <v>Arandela Cuad 2x2" P/ Tornillo 1/2"</v>
          </cell>
          <cell r="D2189">
            <v>5108</v>
          </cell>
          <cell r="E2189">
            <v>1000</v>
          </cell>
          <cell r="F2189" t="str">
            <v>ZALM</v>
          </cell>
          <cell r="G2189" t="str">
            <v>UN</v>
          </cell>
          <cell r="H2189" t="str">
            <v>DOP</v>
          </cell>
          <cell r="I2189">
            <v>116</v>
          </cell>
          <cell r="J2189">
            <v>1259.71</v>
          </cell>
          <cell r="K2189">
            <v>0</v>
          </cell>
          <cell r="L2189">
            <v>0</v>
          </cell>
          <cell r="M2189">
            <v>1434</v>
          </cell>
          <cell r="N2189">
            <v>15572.58</v>
          </cell>
          <cell r="O2189">
            <v>0</v>
          </cell>
          <cell r="P2189">
            <v>0</v>
          </cell>
          <cell r="Q2189">
            <v>873</v>
          </cell>
          <cell r="R2189">
            <v>9480.3799999999992</v>
          </cell>
          <cell r="S2189">
            <v>2423</v>
          </cell>
          <cell r="T2189">
            <v>26312.67</v>
          </cell>
          <cell r="U2189">
            <v>10.859541890218701</v>
          </cell>
        </row>
        <row r="2190">
          <cell r="A2190">
            <v>1002184</v>
          </cell>
          <cell r="B2190" t="str">
            <v>Arandela Cuad 2x2" P/ Tornillo 5/8"</v>
          </cell>
          <cell r="D2190">
            <v>5108</v>
          </cell>
          <cell r="E2190">
            <v>1000</v>
          </cell>
          <cell r="F2190" t="str">
            <v>ZALM</v>
          </cell>
          <cell r="G2190" t="str">
            <v>UN</v>
          </cell>
          <cell r="H2190" t="str">
            <v>DOP</v>
          </cell>
          <cell r="I2190">
            <v>0</v>
          </cell>
          <cell r="J2190">
            <v>0</v>
          </cell>
          <cell r="K2190">
            <v>0</v>
          </cell>
          <cell r="L2190">
            <v>0</v>
          </cell>
          <cell r="M2190">
            <v>0</v>
          </cell>
          <cell r="N2190">
            <v>0</v>
          </cell>
          <cell r="O2190">
            <v>0</v>
          </cell>
          <cell r="P2190">
            <v>0</v>
          </cell>
          <cell r="Q2190">
            <v>0</v>
          </cell>
          <cell r="R2190">
            <v>0</v>
          </cell>
          <cell r="S2190">
            <v>0</v>
          </cell>
          <cell r="T2190">
            <v>0</v>
          </cell>
          <cell r="U2190" t="e">
            <v>#N/A</v>
          </cell>
        </row>
        <row r="2191">
          <cell r="A2191">
            <v>1002185</v>
          </cell>
          <cell r="B2191" t="str">
            <v>Arandela Cuad 3x3" P/ Tornillo 5/8"-3/4"</v>
          </cell>
          <cell r="C2191" t="str">
            <v>Para tornillo y viento</v>
          </cell>
          <cell r="D2191">
            <v>5108</v>
          </cell>
          <cell r="E2191">
            <v>1000</v>
          </cell>
          <cell r="F2191" t="str">
            <v>ZALM</v>
          </cell>
          <cell r="G2191" t="str">
            <v>UN</v>
          </cell>
          <cell r="H2191" t="str">
            <v>DOP</v>
          </cell>
          <cell r="I2191">
            <v>0</v>
          </cell>
          <cell r="J2191">
            <v>0</v>
          </cell>
          <cell r="K2191">
            <v>0</v>
          </cell>
          <cell r="L2191">
            <v>0</v>
          </cell>
          <cell r="M2191">
            <v>173</v>
          </cell>
          <cell r="N2191">
            <v>2710.91</v>
          </cell>
          <cell r="O2191">
            <v>0</v>
          </cell>
          <cell r="P2191">
            <v>0</v>
          </cell>
          <cell r="Q2191">
            <v>97</v>
          </cell>
          <cell r="R2191">
            <v>1519.99</v>
          </cell>
          <cell r="S2191">
            <v>270</v>
          </cell>
          <cell r="T2191">
            <v>4230.8999999999996</v>
          </cell>
          <cell r="U2191">
            <v>15.67</v>
          </cell>
        </row>
        <row r="2192">
          <cell r="A2192">
            <v>1002186</v>
          </cell>
          <cell r="B2192" t="str">
            <v>Arandela Cuad 4x4" P/ Tornillo 1"</v>
          </cell>
          <cell r="D2192">
            <v>5108</v>
          </cell>
          <cell r="E2192">
            <v>1000</v>
          </cell>
          <cell r="F2192" t="str">
            <v>ZALM</v>
          </cell>
          <cell r="G2192" t="str">
            <v>UN</v>
          </cell>
          <cell r="H2192" t="str">
            <v>DOP</v>
          </cell>
          <cell r="I2192">
            <v>0</v>
          </cell>
          <cell r="J2192">
            <v>0</v>
          </cell>
          <cell r="K2192">
            <v>0</v>
          </cell>
          <cell r="L2192">
            <v>0</v>
          </cell>
          <cell r="M2192">
            <v>0</v>
          </cell>
          <cell r="N2192">
            <v>0</v>
          </cell>
          <cell r="O2192">
            <v>0</v>
          </cell>
          <cell r="P2192">
            <v>0</v>
          </cell>
          <cell r="Q2192">
            <v>0</v>
          </cell>
          <cell r="R2192">
            <v>0</v>
          </cell>
          <cell r="S2192">
            <v>0</v>
          </cell>
          <cell r="T2192">
            <v>0</v>
          </cell>
          <cell r="U2192" t="e">
            <v>#N/A</v>
          </cell>
        </row>
        <row r="2193">
          <cell r="A2193">
            <v>1002187</v>
          </cell>
          <cell r="B2193" t="str">
            <v>Arandela Cuad Plana 3x3x1/4 Aguj13/16</v>
          </cell>
          <cell r="D2193">
            <v>5108</v>
          </cell>
          <cell r="E2193">
            <v>1000</v>
          </cell>
          <cell r="F2193" t="str">
            <v>ZALM</v>
          </cell>
          <cell r="G2193" t="str">
            <v>UN</v>
          </cell>
          <cell r="H2193" t="str">
            <v>DOP</v>
          </cell>
          <cell r="I2193">
            <v>0</v>
          </cell>
          <cell r="J2193">
            <v>0</v>
          </cell>
          <cell r="K2193">
            <v>0</v>
          </cell>
          <cell r="L2193">
            <v>0</v>
          </cell>
          <cell r="M2193">
            <v>0</v>
          </cell>
          <cell r="N2193">
            <v>0</v>
          </cell>
          <cell r="O2193">
            <v>0</v>
          </cell>
          <cell r="P2193">
            <v>0</v>
          </cell>
          <cell r="Q2193">
            <v>4804</v>
          </cell>
          <cell r="R2193">
            <v>158541.60999999999</v>
          </cell>
          <cell r="S2193">
            <v>4804</v>
          </cell>
          <cell r="T2193">
            <v>158541.60999999999</v>
          </cell>
          <cell r="U2193">
            <v>33.002000416319703</v>
          </cell>
        </row>
        <row r="2194">
          <cell r="A2194">
            <v>1002188</v>
          </cell>
          <cell r="B2194" t="str">
            <v>Arandela Cuad Plana 3x3x3/16 Aguj 13/16</v>
          </cell>
          <cell r="D2194">
            <v>5108</v>
          </cell>
          <cell r="E2194">
            <v>1000</v>
          </cell>
          <cell r="F2194" t="str">
            <v>ZALM</v>
          </cell>
          <cell r="G2194" t="str">
            <v>UN</v>
          </cell>
          <cell r="H2194" t="str">
            <v>DOP</v>
          </cell>
          <cell r="I2194">
            <v>0</v>
          </cell>
          <cell r="J2194">
            <v>0</v>
          </cell>
          <cell r="K2194">
            <v>0</v>
          </cell>
          <cell r="L2194">
            <v>0</v>
          </cell>
          <cell r="M2194">
            <v>0</v>
          </cell>
          <cell r="N2194">
            <v>0</v>
          </cell>
          <cell r="O2194">
            <v>0</v>
          </cell>
          <cell r="P2194">
            <v>0</v>
          </cell>
          <cell r="Q2194">
            <v>0</v>
          </cell>
          <cell r="R2194">
            <v>0</v>
          </cell>
          <cell r="S2194">
            <v>0</v>
          </cell>
          <cell r="T2194">
            <v>0</v>
          </cell>
          <cell r="U2194" t="e">
            <v>#N/A</v>
          </cell>
        </row>
        <row r="2195">
          <cell r="A2195">
            <v>1002189</v>
          </cell>
          <cell r="B2195" t="str">
            <v>Arandela Cuad Plana 4x4x3/16 Aguj 5/8</v>
          </cell>
          <cell r="D2195">
            <v>5108</v>
          </cell>
          <cell r="E2195">
            <v>1000</v>
          </cell>
          <cell r="F2195" t="str">
            <v>ZALM</v>
          </cell>
          <cell r="G2195" t="str">
            <v>UN</v>
          </cell>
          <cell r="H2195" t="str">
            <v>DOP</v>
          </cell>
          <cell r="I2195">
            <v>0</v>
          </cell>
          <cell r="J2195">
            <v>0</v>
          </cell>
          <cell r="K2195">
            <v>0</v>
          </cell>
          <cell r="L2195">
            <v>0</v>
          </cell>
          <cell r="M2195">
            <v>0</v>
          </cell>
          <cell r="N2195">
            <v>0</v>
          </cell>
          <cell r="O2195">
            <v>0</v>
          </cell>
          <cell r="P2195">
            <v>0</v>
          </cell>
          <cell r="Q2195">
            <v>0</v>
          </cell>
          <cell r="R2195">
            <v>0</v>
          </cell>
          <cell r="S2195">
            <v>0</v>
          </cell>
          <cell r="T2195">
            <v>0</v>
          </cell>
          <cell r="U2195" t="e">
            <v>#N/A</v>
          </cell>
        </row>
        <row r="2196">
          <cell r="A2196">
            <v>1002190</v>
          </cell>
          <cell r="B2196" t="str">
            <v>Arandela Cuad Pln 2 1/4"x2 1/4" 5/8-3/4"</v>
          </cell>
          <cell r="D2196">
            <v>5108</v>
          </cell>
          <cell r="E2196">
            <v>1000</v>
          </cell>
          <cell r="F2196" t="str">
            <v>ZALM</v>
          </cell>
          <cell r="G2196" t="str">
            <v>UN</v>
          </cell>
          <cell r="H2196" t="str">
            <v>DOP</v>
          </cell>
          <cell r="I2196">
            <v>0</v>
          </cell>
          <cell r="J2196">
            <v>0</v>
          </cell>
          <cell r="K2196">
            <v>0</v>
          </cell>
          <cell r="L2196">
            <v>0</v>
          </cell>
          <cell r="M2196">
            <v>376</v>
          </cell>
          <cell r="N2196">
            <v>5124.88</v>
          </cell>
          <cell r="O2196">
            <v>0</v>
          </cell>
          <cell r="P2196">
            <v>0</v>
          </cell>
          <cell r="Q2196">
            <v>8049</v>
          </cell>
          <cell r="R2196">
            <v>109707.87</v>
          </cell>
          <cell r="S2196">
            <v>8425</v>
          </cell>
          <cell r="T2196">
            <v>114832.75</v>
          </cell>
          <cell r="U2196">
            <v>13.63</v>
          </cell>
        </row>
        <row r="2197">
          <cell r="A2197">
            <v>1002191</v>
          </cell>
          <cell r="B2197" t="str">
            <v>Arandela Cuad Pln 2x2"x1/4 Aguj 5/8-3/4"</v>
          </cell>
          <cell r="D2197">
            <v>5108</v>
          </cell>
          <cell r="E2197">
            <v>1000</v>
          </cell>
          <cell r="F2197" t="str">
            <v>ZALM</v>
          </cell>
          <cell r="G2197" t="str">
            <v>UN</v>
          </cell>
          <cell r="H2197" t="str">
            <v>DOP</v>
          </cell>
          <cell r="I2197">
            <v>0</v>
          </cell>
          <cell r="J2197">
            <v>0</v>
          </cell>
          <cell r="K2197">
            <v>0</v>
          </cell>
          <cell r="L2197">
            <v>0</v>
          </cell>
          <cell r="M2197">
            <v>16291</v>
          </cell>
          <cell r="N2197">
            <v>255335.75</v>
          </cell>
          <cell r="O2197">
            <v>0</v>
          </cell>
          <cell r="P2197">
            <v>0</v>
          </cell>
          <cell r="Q2197">
            <v>460</v>
          </cell>
          <cell r="R2197">
            <v>7209.78</v>
          </cell>
          <cell r="S2197">
            <v>16751</v>
          </cell>
          <cell r="T2197">
            <v>262545.53000000003</v>
          </cell>
          <cell r="U2197">
            <v>15.6734242731777</v>
          </cell>
        </row>
        <row r="2198">
          <cell r="A2198">
            <v>1002192</v>
          </cell>
          <cell r="B2198" t="str">
            <v>Arandela Cuad Pln 4x4"x3/16" Aguj 11/16"</v>
          </cell>
          <cell r="D2198">
            <v>5108</v>
          </cell>
          <cell r="E2198">
            <v>1000</v>
          </cell>
          <cell r="F2198" t="str">
            <v>ZALM</v>
          </cell>
          <cell r="G2198" t="str">
            <v>UN</v>
          </cell>
          <cell r="H2198" t="str">
            <v>DOP</v>
          </cell>
          <cell r="I2198">
            <v>0</v>
          </cell>
          <cell r="J2198">
            <v>0</v>
          </cell>
          <cell r="K2198">
            <v>0</v>
          </cell>
          <cell r="L2198">
            <v>0</v>
          </cell>
          <cell r="M2198">
            <v>0</v>
          </cell>
          <cell r="N2198">
            <v>0</v>
          </cell>
          <cell r="O2198">
            <v>0</v>
          </cell>
          <cell r="P2198">
            <v>0</v>
          </cell>
          <cell r="Q2198">
            <v>0</v>
          </cell>
          <cell r="R2198">
            <v>0</v>
          </cell>
          <cell r="S2198">
            <v>0</v>
          </cell>
          <cell r="T2198">
            <v>0</v>
          </cell>
          <cell r="U2198" t="e">
            <v>#N/A</v>
          </cell>
        </row>
        <row r="2199">
          <cell r="A2199">
            <v>1002193</v>
          </cell>
          <cell r="B2199" t="str">
            <v>Arandela Curv 2 1/4x2 1/4 T3/4 Orif 5/8"</v>
          </cell>
          <cell r="D2199">
            <v>5108</v>
          </cell>
          <cell r="E2199">
            <v>1000</v>
          </cell>
          <cell r="F2199" t="str">
            <v>ZALM</v>
          </cell>
          <cell r="G2199" t="str">
            <v>UN</v>
          </cell>
          <cell r="H2199" t="str">
            <v>DOP</v>
          </cell>
          <cell r="I2199">
            <v>0</v>
          </cell>
          <cell r="J2199">
            <v>0</v>
          </cell>
          <cell r="K2199">
            <v>0</v>
          </cell>
          <cell r="L2199">
            <v>0</v>
          </cell>
          <cell r="M2199">
            <v>0</v>
          </cell>
          <cell r="N2199">
            <v>0</v>
          </cell>
          <cell r="O2199">
            <v>0</v>
          </cell>
          <cell r="P2199">
            <v>0</v>
          </cell>
          <cell r="Q2199">
            <v>0</v>
          </cell>
          <cell r="R2199">
            <v>0</v>
          </cell>
          <cell r="S2199">
            <v>0</v>
          </cell>
          <cell r="T2199">
            <v>0</v>
          </cell>
          <cell r="U2199" t="e">
            <v>#N/A</v>
          </cell>
        </row>
        <row r="2200">
          <cell r="A2200">
            <v>1002194</v>
          </cell>
          <cell r="B2200" t="str">
            <v>Arandela Curva 2"x2" P/Tornillo 5/8''</v>
          </cell>
          <cell r="D2200">
            <v>5108</v>
          </cell>
          <cell r="E2200">
            <v>1000</v>
          </cell>
          <cell r="F2200" t="str">
            <v>ZALM</v>
          </cell>
          <cell r="G2200" t="str">
            <v>UN</v>
          </cell>
          <cell r="H2200" t="str">
            <v>DOP</v>
          </cell>
          <cell r="I2200">
            <v>1</v>
          </cell>
          <cell r="J2200">
            <v>15.67</v>
          </cell>
          <cell r="K2200">
            <v>0</v>
          </cell>
          <cell r="L2200">
            <v>0</v>
          </cell>
          <cell r="M2200">
            <v>0</v>
          </cell>
          <cell r="N2200">
            <v>0</v>
          </cell>
          <cell r="O2200">
            <v>0</v>
          </cell>
          <cell r="P2200">
            <v>0</v>
          </cell>
          <cell r="Q2200">
            <v>0</v>
          </cell>
          <cell r="R2200">
            <v>0</v>
          </cell>
          <cell r="S2200">
            <v>1</v>
          </cell>
          <cell r="T2200">
            <v>15.67</v>
          </cell>
          <cell r="U2200">
            <v>15.67</v>
          </cell>
        </row>
        <row r="2201">
          <cell r="A2201">
            <v>1002195</v>
          </cell>
          <cell r="B2201" t="str">
            <v>Arandela Curva 3"x3" P/Tornillo 5/8"</v>
          </cell>
          <cell r="D2201">
            <v>5108</v>
          </cell>
          <cell r="E2201">
            <v>1000</v>
          </cell>
          <cell r="F2201" t="str">
            <v>ZALM</v>
          </cell>
          <cell r="G2201" t="str">
            <v>UN</v>
          </cell>
          <cell r="H2201" t="str">
            <v>DOP</v>
          </cell>
          <cell r="I2201">
            <v>0</v>
          </cell>
          <cell r="J2201">
            <v>0</v>
          </cell>
          <cell r="K2201">
            <v>0</v>
          </cell>
          <cell r="L2201">
            <v>0</v>
          </cell>
          <cell r="M2201">
            <v>0</v>
          </cell>
          <cell r="N2201">
            <v>0</v>
          </cell>
          <cell r="O2201">
            <v>0</v>
          </cell>
          <cell r="P2201">
            <v>0</v>
          </cell>
          <cell r="Q2201">
            <v>0</v>
          </cell>
          <cell r="R2201">
            <v>0</v>
          </cell>
          <cell r="S2201">
            <v>0</v>
          </cell>
          <cell r="T2201">
            <v>0</v>
          </cell>
          <cell r="U2201" t="e">
            <v>#N/A</v>
          </cell>
        </row>
        <row r="2202">
          <cell r="A2202">
            <v>1002196</v>
          </cell>
          <cell r="B2202" t="str">
            <v>Arandela Plana 1/2"</v>
          </cell>
          <cell r="D2202">
            <v>5108</v>
          </cell>
          <cell r="E2202">
            <v>1000</v>
          </cell>
          <cell r="F2202" t="str">
            <v>ZALM</v>
          </cell>
          <cell r="G2202" t="str">
            <v>UN</v>
          </cell>
          <cell r="H2202" t="str">
            <v>DOP</v>
          </cell>
          <cell r="I2202">
            <v>0</v>
          </cell>
          <cell r="J2202">
            <v>0</v>
          </cell>
          <cell r="K2202">
            <v>0</v>
          </cell>
          <cell r="L2202">
            <v>0</v>
          </cell>
          <cell r="M2202">
            <v>9</v>
          </cell>
          <cell r="N2202">
            <v>51.23</v>
          </cell>
          <cell r="O2202">
            <v>0</v>
          </cell>
          <cell r="P2202">
            <v>0</v>
          </cell>
          <cell r="Q2202">
            <v>0</v>
          </cell>
          <cell r="R2202">
            <v>0</v>
          </cell>
          <cell r="S2202">
            <v>9</v>
          </cell>
          <cell r="T2202">
            <v>51.23</v>
          </cell>
          <cell r="U2202">
            <v>5.6922222222222203</v>
          </cell>
        </row>
        <row r="2203">
          <cell r="A2203">
            <v>1002197</v>
          </cell>
          <cell r="B2203" t="str">
            <v>Arandela Plana 5/16"</v>
          </cell>
          <cell r="D2203">
            <v>5108</v>
          </cell>
          <cell r="E2203">
            <v>1000</v>
          </cell>
          <cell r="F2203" t="str">
            <v>ZALM</v>
          </cell>
          <cell r="G2203" t="str">
            <v>UN</v>
          </cell>
          <cell r="H2203" t="str">
            <v>DOP</v>
          </cell>
          <cell r="I2203">
            <v>3394</v>
          </cell>
          <cell r="J2203">
            <v>3733.4</v>
          </cell>
          <cell r="K2203">
            <v>0</v>
          </cell>
          <cell r="L2203">
            <v>0</v>
          </cell>
          <cell r="M2203">
            <v>0</v>
          </cell>
          <cell r="N2203">
            <v>0</v>
          </cell>
          <cell r="O2203">
            <v>0</v>
          </cell>
          <cell r="P2203">
            <v>0</v>
          </cell>
          <cell r="Q2203">
            <v>113</v>
          </cell>
          <cell r="R2203">
            <v>124.3</v>
          </cell>
          <cell r="S2203">
            <v>3507</v>
          </cell>
          <cell r="T2203">
            <v>3857.7</v>
          </cell>
          <cell r="U2203">
            <v>1.1000000000000001</v>
          </cell>
        </row>
        <row r="2204">
          <cell r="A2204">
            <v>1002198</v>
          </cell>
          <cell r="B2204" t="str">
            <v>Arandela Plana Inox 1/2"</v>
          </cell>
          <cell r="D2204">
            <v>5108</v>
          </cell>
          <cell r="E2204">
            <v>1000</v>
          </cell>
          <cell r="F2204" t="str">
            <v>ZALM</v>
          </cell>
          <cell r="G2204" t="str">
            <v>UN</v>
          </cell>
          <cell r="H2204" t="str">
            <v>DOP</v>
          </cell>
          <cell r="I2204">
            <v>0</v>
          </cell>
          <cell r="J2204">
            <v>0</v>
          </cell>
          <cell r="K2204">
            <v>0</v>
          </cell>
          <cell r="L2204">
            <v>0</v>
          </cell>
          <cell r="M2204">
            <v>1200</v>
          </cell>
          <cell r="N2204">
            <v>5289.6</v>
          </cell>
          <cell r="O2204">
            <v>0</v>
          </cell>
          <cell r="P2204">
            <v>0</v>
          </cell>
          <cell r="Q2204">
            <v>0</v>
          </cell>
          <cell r="R2204">
            <v>0</v>
          </cell>
          <cell r="S2204">
            <v>1200</v>
          </cell>
          <cell r="T2204">
            <v>5289.6</v>
          </cell>
          <cell r="U2204">
            <v>4.4080000000000004</v>
          </cell>
        </row>
        <row r="2205">
          <cell r="A2205">
            <v>1002199</v>
          </cell>
          <cell r="B2205" t="str">
            <v>Arandela Presion 1/2" Niquelad</v>
          </cell>
          <cell r="D2205">
            <v>5108</v>
          </cell>
          <cell r="E2205">
            <v>1000</v>
          </cell>
          <cell r="F2205" t="str">
            <v>ZALM</v>
          </cell>
          <cell r="G2205" t="str">
            <v>UN</v>
          </cell>
          <cell r="H2205" t="str">
            <v>DOP</v>
          </cell>
          <cell r="I2205">
            <v>0</v>
          </cell>
          <cell r="J2205">
            <v>0</v>
          </cell>
          <cell r="K2205">
            <v>0</v>
          </cell>
          <cell r="L2205">
            <v>0</v>
          </cell>
          <cell r="M2205">
            <v>0</v>
          </cell>
          <cell r="N2205">
            <v>0</v>
          </cell>
          <cell r="O2205">
            <v>0</v>
          </cell>
          <cell r="P2205">
            <v>0</v>
          </cell>
          <cell r="Q2205">
            <v>0</v>
          </cell>
          <cell r="R2205">
            <v>0</v>
          </cell>
          <cell r="S2205">
            <v>0</v>
          </cell>
          <cell r="T2205">
            <v>0</v>
          </cell>
          <cell r="U2205" t="e">
            <v>#N/A</v>
          </cell>
        </row>
        <row r="2206">
          <cell r="A2206">
            <v>1002200</v>
          </cell>
          <cell r="B2206" t="str">
            <v>Arandela Presión Inox 1/2" Cat. HFS-500</v>
          </cell>
          <cell r="D2206">
            <v>5108</v>
          </cell>
          <cell r="E2206">
            <v>1000</v>
          </cell>
          <cell r="F2206" t="str">
            <v>ZALM</v>
          </cell>
          <cell r="G2206" t="str">
            <v>UN</v>
          </cell>
          <cell r="H2206" t="str">
            <v>DOP</v>
          </cell>
          <cell r="I2206">
            <v>0</v>
          </cell>
          <cell r="J2206">
            <v>0</v>
          </cell>
          <cell r="K2206">
            <v>0</v>
          </cell>
          <cell r="L2206">
            <v>0</v>
          </cell>
          <cell r="M2206">
            <v>0</v>
          </cell>
          <cell r="N2206">
            <v>0</v>
          </cell>
          <cell r="O2206">
            <v>0</v>
          </cell>
          <cell r="P2206">
            <v>0</v>
          </cell>
          <cell r="Q2206">
            <v>0</v>
          </cell>
          <cell r="R2206">
            <v>0</v>
          </cell>
          <cell r="S2206">
            <v>0</v>
          </cell>
          <cell r="T2206">
            <v>0</v>
          </cell>
          <cell r="U2206" t="e">
            <v>#N/A</v>
          </cell>
        </row>
        <row r="2207">
          <cell r="A2207">
            <v>1002201</v>
          </cell>
          <cell r="B2207" t="str">
            <v>Arandela Presión P/ Tornillo 1/2''</v>
          </cell>
          <cell r="D2207">
            <v>5108</v>
          </cell>
          <cell r="E2207">
            <v>1000</v>
          </cell>
          <cell r="F2207" t="str">
            <v>ZALM</v>
          </cell>
          <cell r="G2207" t="str">
            <v>UN</v>
          </cell>
          <cell r="H2207" t="str">
            <v>DOP</v>
          </cell>
          <cell r="I2207">
            <v>23213</v>
          </cell>
          <cell r="J2207">
            <v>91985</v>
          </cell>
          <cell r="K2207">
            <v>0</v>
          </cell>
          <cell r="L2207">
            <v>0</v>
          </cell>
          <cell r="M2207">
            <v>2108</v>
          </cell>
          <cell r="N2207">
            <v>8353.27</v>
          </cell>
          <cell r="O2207">
            <v>0</v>
          </cell>
          <cell r="P2207">
            <v>0</v>
          </cell>
          <cell r="Q2207">
            <v>504</v>
          </cell>
          <cell r="R2207">
            <v>1997.18</v>
          </cell>
          <cell r="S2207">
            <v>25825</v>
          </cell>
          <cell r="T2207">
            <v>102335.45</v>
          </cell>
          <cell r="U2207">
            <v>3.9626505324298198</v>
          </cell>
        </row>
        <row r="2208">
          <cell r="A2208">
            <v>1002202</v>
          </cell>
          <cell r="B2208" t="str">
            <v>Arandela Presión P/ Tornillo 1/8"</v>
          </cell>
          <cell r="D2208">
            <v>5108</v>
          </cell>
          <cell r="E2208">
            <v>1000</v>
          </cell>
          <cell r="F2208" t="str">
            <v>ZALM</v>
          </cell>
          <cell r="G2208" t="str">
            <v>UN</v>
          </cell>
          <cell r="H2208" t="str">
            <v>DOP</v>
          </cell>
          <cell r="I2208">
            <v>0</v>
          </cell>
          <cell r="J2208">
            <v>0</v>
          </cell>
          <cell r="K2208">
            <v>0</v>
          </cell>
          <cell r="L2208">
            <v>0</v>
          </cell>
          <cell r="M2208">
            <v>0</v>
          </cell>
          <cell r="N2208">
            <v>0</v>
          </cell>
          <cell r="O2208">
            <v>0</v>
          </cell>
          <cell r="P2208">
            <v>0</v>
          </cell>
          <cell r="Q2208">
            <v>0</v>
          </cell>
          <cell r="R2208">
            <v>0</v>
          </cell>
          <cell r="S2208">
            <v>0</v>
          </cell>
          <cell r="T2208">
            <v>0</v>
          </cell>
          <cell r="U2208" t="e">
            <v>#N/A</v>
          </cell>
        </row>
        <row r="2209">
          <cell r="A2209">
            <v>1002203</v>
          </cell>
          <cell r="B2209" t="str">
            <v>Arandela Presión P/ Tornillo 3/4"</v>
          </cell>
          <cell r="D2209">
            <v>5108</v>
          </cell>
          <cell r="E2209">
            <v>1000</v>
          </cell>
          <cell r="F2209" t="str">
            <v>ZALM</v>
          </cell>
          <cell r="G2209" t="str">
            <v>UN</v>
          </cell>
          <cell r="H2209" t="str">
            <v>DOP</v>
          </cell>
          <cell r="I2209">
            <v>20180</v>
          </cell>
          <cell r="J2209">
            <v>87064.74</v>
          </cell>
          <cell r="K2209">
            <v>0</v>
          </cell>
          <cell r="L2209">
            <v>0</v>
          </cell>
          <cell r="M2209">
            <v>0</v>
          </cell>
          <cell r="N2209">
            <v>0</v>
          </cell>
          <cell r="O2209">
            <v>0</v>
          </cell>
          <cell r="P2209">
            <v>0</v>
          </cell>
          <cell r="Q2209">
            <v>314</v>
          </cell>
          <cell r="R2209">
            <v>1354.72</v>
          </cell>
          <cell r="S2209">
            <v>20494</v>
          </cell>
          <cell r="T2209">
            <v>88419.46</v>
          </cell>
          <cell r="U2209">
            <v>4.3144071435542104</v>
          </cell>
        </row>
        <row r="2210">
          <cell r="A2210">
            <v>1002204</v>
          </cell>
          <cell r="B2210" t="str">
            <v>Arandela Presión P/ Tornillo 3/8"</v>
          </cell>
          <cell r="D2210">
            <v>5108</v>
          </cell>
          <cell r="E2210">
            <v>1000</v>
          </cell>
          <cell r="F2210" t="str">
            <v>ZALM</v>
          </cell>
          <cell r="G2210" t="str">
            <v>UN</v>
          </cell>
          <cell r="H2210" t="str">
            <v>DOP</v>
          </cell>
          <cell r="I2210">
            <v>47836</v>
          </cell>
          <cell r="J2210">
            <v>98986.59</v>
          </cell>
          <cell r="K2210">
            <v>0</v>
          </cell>
          <cell r="L2210">
            <v>0</v>
          </cell>
          <cell r="M2210">
            <v>892</v>
          </cell>
          <cell r="N2210">
            <v>1845.81</v>
          </cell>
          <cell r="O2210">
            <v>0</v>
          </cell>
          <cell r="P2210">
            <v>0</v>
          </cell>
          <cell r="Q2210">
            <v>2471</v>
          </cell>
          <cell r="R2210">
            <v>5113.22</v>
          </cell>
          <cell r="S2210">
            <v>51199</v>
          </cell>
          <cell r="T2210">
            <v>105945.62</v>
          </cell>
          <cell r="U2210">
            <v>2.0692908064610598</v>
          </cell>
        </row>
        <row r="2211">
          <cell r="A2211">
            <v>1002205</v>
          </cell>
          <cell r="B2211" t="str">
            <v>Arandela Presión P/ Tornillo 5/8''</v>
          </cell>
          <cell r="D2211">
            <v>5108</v>
          </cell>
          <cell r="E2211">
            <v>1000</v>
          </cell>
          <cell r="F2211" t="str">
            <v>ZALM</v>
          </cell>
          <cell r="G2211" t="str">
            <v>UN</v>
          </cell>
          <cell r="H2211" t="str">
            <v>DOP</v>
          </cell>
          <cell r="I2211">
            <v>238804</v>
          </cell>
          <cell r="J2211">
            <v>974977.46</v>
          </cell>
          <cell r="K2211">
            <v>0</v>
          </cell>
          <cell r="L2211">
            <v>0</v>
          </cell>
          <cell r="M2211">
            <v>2197</v>
          </cell>
          <cell r="N2211">
            <v>8969.81</v>
          </cell>
          <cell r="O2211">
            <v>0</v>
          </cell>
          <cell r="P2211">
            <v>0</v>
          </cell>
          <cell r="Q2211">
            <v>1562</v>
          </cell>
          <cell r="R2211">
            <v>6377.26</v>
          </cell>
          <cell r="S2211">
            <v>242563</v>
          </cell>
          <cell r="T2211">
            <v>990324.53</v>
          </cell>
          <cell r="U2211">
            <v>4.08275182117635</v>
          </cell>
        </row>
        <row r="2212">
          <cell r="A2212">
            <v>1002206</v>
          </cell>
          <cell r="B2212" t="str">
            <v>Arandela Redonda 1 1/2" P/ Tornillo 3/8"</v>
          </cell>
          <cell r="D2212">
            <v>5108</v>
          </cell>
          <cell r="E2212">
            <v>1000</v>
          </cell>
          <cell r="F2212" t="str">
            <v>ZALM</v>
          </cell>
          <cell r="G2212" t="str">
            <v>UN</v>
          </cell>
          <cell r="H2212" t="str">
            <v>DOP</v>
          </cell>
          <cell r="I2212">
            <v>0</v>
          </cell>
          <cell r="J2212">
            <v>0</v>
          </cell>
          <cell r="K2212">
            <v>0</v>
          </cell>
          <cell r="L2212">
            <v>0</v>
          </cell>
          <cell r="M2212">
            <v>0</v>
          </cell>
          <cell r="N2212">
            <v>0</v>
          </cell>
          <cell r="O2212">
            <v>0</v>
          </cell>
          <cell r="P2212">
            <v>0</v>
          </cell>
          <cell r="Q2212">
            <v>0</v>
          </cell>
          <cell r="R2212">
            <v>0</v>
          </cell>
          <cell r="S2212">
            <v>0</v>
          </cell>
          <cell r="T2212">
            <v>0</v>
          </cell>
          <cell r="U2212" t="e">
            <v>#N/A</v>
          </cell>
        </row>
        <row r="2213">
          <cell r="A2213">
            <v>1002207</v>
          </cell>
          <cell r="B2213" t="str">
            <v>Arandela Redonda P/ Tornillo 1/2"</v>
          </cell>
          <cell r="D2213">
            <v>5108</v>
          </cell>
          <cell r="E2213">
            <v>1000</v>
          </cell>
          <cell r="F2213" t="str">
            <v>ZALM</v>
          </cell>
          <cell r="G2213" t="str">
            <v>UN</v>
          </cell>
          <cell r="H2213" t="str">
            <v>DOP</v>
          </cell>
          <cell r="I2213">
            <v>3235</v>
          </cell>
          <cell r="J2213">
            <v>3235</v>
          </cell>
          <cell r="K2213">
            <v>0</v>
          </cell>
          <cell r="L2213">
            <v>0</v>
          </cell>
          <cell r="M2213">
            <v>0</v>
          </cell>
          <cell r="N2213">
            <v>0</v>
          </cell>
          <cell r="O2213">
            <v>0</v>
          </cell>
          <cell r="P2213">
            <v>0</v>
          </cell>
          <cell r="Q2213">
            <v>0</v>
          </cell>
          <cell r="R2213">
            <v>0</v>
          </cell>
          <cell r="S2213">
            <v>3235</v>
          </cell>
          <cell r="T2213">
            <v>3235</v>
          </cell>
          <cell r="U2213">
            <v>1</v>
          </cell>
        </row>
        <row r="2214">
          <cell r="A2214">
            <v>1002208</v>
          </cell>
          <cell r="B2214" t="str">
            <v>Arandela Ribete 1/4x3x6 Aguj 13/16"</v>
          </cell>
          <cell r="D2214">
            <v>5108</v>
          </cell>
          <cell r="E2214">
            <v>1000</v>
          </cell>
          <cell r="F2214" t="str">
            <v>ZALM</v>
          </cell>
          <cell r="G2214" t="str">
            <v>UN</v>
          </cell>
          <cell r="H2214" t="str">
            <v>DOP</v>
          </cell>
          <cell r="I2214">
            <v>0</v>
          </cell>
          <cell r="J2214">
            <v>0</v>
          </cell>
          <cell r="K2214">
            <v>0</v>
          </cell>
          <cell r="L2214">
            <v>0</v>
          </cell>
          <cell r="M2214">
            <v>0</v>
          </cell>
          <cell r="N2214">
            <v>0</v>
          </cell>
          <cell r="O2214">
            <v>0</v>
          </cell>
          <cell r="P2214">
            <v>0</v>
          </cell>
          <cell r="Q2214">
            <v>0</v>
          </cell>
          <cell r="R2214">
            <v>0</v>
          </cell>
          <cell r="S2214">
            <v>0</v>
          </cell>
          <cell r="T2214">
            <v>0</v>
          </cell>
          <cell r="U2214" t="e">
            <v>#N/A</v>
          </cell>
        </row>
        <row r="2215">
          <cell r="A2215">
            <v>1002209</v>
          </cell>
          <cell r="B2215" t="str">
            <v>Buje Adaptador de W 1/4" a W 3/8"</v>
          </cell>
          <cell r="D2215">
            <v>5108</v>
          </cell>
          <cell r="E2215">
            <v>1000</v>
          </cell>
          <cell r="F2215" t="str">
            <v>ZALM</v>
          </cell>
          <cell r="G2215" t="str">
            <v>UN</v>
          </cell>
          <cell r="H2215" t="str">
            <v>DOP</v>
          </cell>
          <cell r="I2215">
            <v>21345</v>
          </cell>
          <cell r="J2215">
            <v>451873.65</v>
          </cell>
          <cell r="K2215">
            <v>0</v>
          </cell>
          <cell r="L2215">
            <v>0</v>
          </cell>
          <cell r="M2215">
            <v>0</v>
          </cell>
          <cell r="N2215">
            <v>0</v>
          </cell>
          <cell r="O2215">
            <v>0</v>
          </cell>
          <cell r="P2215">
            <v>0</v>
          </cell>
          <cell r="Q2215">
            <v>1505</v>
          </cell>
          <cell r="R2215">
            <v>31860.85</v>
          </cell>
          <cell r="S2215">
            <v>22850</v>
          </cell>
          <cell r="T2215">
            <v>483734.5</v>
          </cell>
          <cell r="U2215">
            <v>21.17</v>
          </cell>
        </row>
        <row r="2216">
          <cell r="A2216">
            <v>1002210</v>
          </cell>
          <cell r="B2216" t="str">
            <v>Casquillo Liso Al C/ Protec Pern Liso 2</v>
          </cell>
          <cell r="D2216">
            <v>5108</v>
          </cell>
          <cell r="E2216">
            <v>1000</v>
          </cell>
          <cell r="F2216" t="str">
            <v>ZALM</v>
          </cell>
          <cell r="G2216" t="str">
            <v>UN</v>
          </cell>
          <cell r="H2216" t="str">
            <v>DOP</v>
          </cell>
          <cell r="I2216">
            <v>0</v>
          </cell>
          <cell r="J2216">
            <v>0</v>
          </cell>
          <cell r="K2216">
            <v>0</v>
          </cell>
          <cell r="L2216">
            <v>0</v>
          </cell>
          <cell r="M2216">
            <v>0</v>
          </cell>
          <cell r="N2216">
            <v>0</v>
          </cell>
          <cell r="O2216">
            <v>0</v>
          </cell>
          <cell r="P2216">
            <v>0</v>
          </cell>
          <cell r="Q2216">
            <v>0</v>
          </cell>
          <cell r="R2216">
            <v>0</v>
          </cell>
          <cell r="S2216">
            <v>0</v>
          </cell>
          <cell r="T2216">
            <v>0</v>
          </cell>
          <cell r="U2216" t="e">
            <v>#N/A</v>
          </cell>
        </row>
        <row r="2217">
          <cell r="A2217">
            <v>1002211</v>
          </cell>
          <cell r="B2217" t="str">
            <v>Casquillo Liso Al C/Protec Pern Liso 1/0</v>
          </cell>
          <cell r="D2217">
            <v>5108</v>
          </cell>
          <cell r="E2217">
            <v>1000</v>
          </cell>
          <cell r="F2217" t="str">
            <v>ZALM</v>
          </cell>
          <cell r="G2217" t="str">
            <v>UN</v>
          </cell>
          <cell r="H2217" t="str">
            <v>DOP</v>
          </cell>
          <cell r="I2217">
            <v>0</v>
          </cell>
          <cell r="J2217">
            <v>0</v>
          </cell>
          <cell r="K2217">
            <v>0</v>
          </cell>
          <cell r="L2217">
            <v>0</v>
          </cell>
          <cell r="M2217">
            <v>0</v>
          </cell>
          <cell r="N2217">
            <v>0</v>
          </cell>
          <cell r="O2217">
            <v>0</v>
          </cell>
          <cell r="P2217">
            <v>0</v>
          </cell>
          <cell r="Q2217">
            <v>0</v>
          </cell>
          <cell r="R2217">
            <v>0</v>
          </cell>
          <cell r="S2217">
            <v>0</v>
          </cell>
          <cell r="T2217">
            <v>0</v>
          </cell>
          <cell r="U2217" t="e">
            <v>#N/A</v>
          </cell>
        </row>
        <row r="2218">
          <cell r="A2218">
            <v>1002212</v>
          </cell>
          <cell r="B2218" t="str">
            <v>Casquillo Liso Al C/Protec Pern Liso 2/0</v>
          </cell>
          <cell r="D2218">
            <v>5108</v>
          </cell>
          <cell r="E2218">
            <v>1000</v>
          </cell>
          <cell r="F2218" t="str">
            <v>ZALM</v>
          </cell>
          <cell r="G2218" t="str">
            <v>UN</v>
          </cell>
          <cell r="H2218" t="str">
            <v>DOP</v>
          </cell>
          <cell r="I2218">
            <v>0</v>
          </cell>
          <cell r="J2218">
            <v>0</v>
          </cell>
          <cell r="K2218">
            <v>0</v>
          </cell>
          <cell r="L2218">
            <v>0</v>
          </cell>
          <cell r="M2218">
            <v>0</v>
          </cell>
          <cell r="N2218">
            <v>0</v>
          </cell>
          <cell r="O2218">
            <v>0</v>
          </cell>
          <cell r="P2218">
            <v>0</v>
          </cell>
          <cell r="Q2218">
            <v>0</v>
          </cell>
          <cell r="R2218">
            <v>0</v>
          </cell>
          <cell r="S2218">
            <v>0</v>
          </cell>
          <cell r="T2218">
            <v>0</v>
          </cell>
          <cell r="U2218" t="e">
            <v>#N/A</v>
          </cell>
        </row>
        <row r="2219">
          <cell r="A2219">
            <v>1002213</v>
          </cell>
          <cell r="B2219" t="str">
            <v>Contra Tuerca P/ Tuerca 1" EMT</v>
          </cell>
          <cell r="D2219">
            <v>5108</v>
          </cell>
          <cell r="E2219">
            <v>1000</v>
          </cell>
          <cell r="F2219" t="str">
            <v>ZALM</v>
          </cell>
          <cell r="G2219" t="str">
            <v>UN</v>
          </cell>
          <cell r="H2219" t="str">
            <v>DOP</v>
          </cell>
          <cell r="I2219">
            <v>0</v>
          </cell>
          <cell r="J2219">
            <v>0</v>
          </cell>
          <cell r="K2219">
            <v>0</v>
          </cell>
          <cell r="L2219">
            <v>0</v>
          </cell>
          <cell r="M2219">
            <v>0</v>
          </cell>
          <cell r="N2219">
            <v>0</v>
          </cell>
          <cell r="O2219">
            <v>0</v>
          </cell>
          <cell r="P2219">
            <v>0</v>
          </cell>
          <cell r="Q2219">
            <v>0</v>
          </cell>
          <cell r="R2219">
            <v>0</v>
          </cell>
          <cell r="S2219">
            <v>0</v>
          </cell>
          <cell r="T2219">
            <v>0</v>
          </cell>
          <cell r="U2219" t="e">
            <v>#N/A</v>
          </cell>
        </row>
        <row r="2220">
          <cell r="A2220">
            <v>1002214</v>
          </cell>
          <cell r="B2220" t="str">
            <v>Contra Tuerca P/ Tuerca 2" EMT</v>
          </cell>
          <cell r="D2220">
            <v>5108</v>
          </cell>
          <cell r="E2220">
            <v>1000</v>
          </cell>
          <cell r="F2220" t="str">
            <v>ZALM</v>
          </cell>
          <cell r="G2220" t="str">
            <v>UN</v>
          </cell>
          <cell r="H2220" t="str">
            <v>DOP</v>
          </cell>
          <cell r="I2220">
            <v>0</v>
          </cell>
          <cell r="J2220">
            <v>0</v>
          </cell>
          <cell r="K2220">
            <v>0</v>
          </cell>
          <cell r="L2220">
            <v>0</v>
          </cell>
          <cell r="M2220">
            <v>0</v>
          </cell>
          <cell r="N2220">
            <v>0</v>
          </cell>
          <cell r="O2220">
            <v>0</v>
          </cell>
          <cell r="P2220">
            <v>0</v>
          </cell>
          <cell r="Q2220">
            <v>0</v>
          </cell>
          <cell r="R2220">
            <v>0</v>
          </cell>
          <cell r="S2220">
            <v>0</v>
          </cell>
          <cell r="T2220">
            <v>0</v>
          </cell>
          <cell r="U2220" t="e">
            <v>#N/A</v>
          </cell>
        </row>
        <row r="2221">
          <cell r="A2221">
            <v>1002215</v>
          </cell>
          <cell r="B2221" t="str">
            <v>Fijadores 1"x1"</v>
          </cell>
          <cell r="D2221">
            <v>5108</v>
          </cell>
          <cell r="E2221">
            <v>1000</v>
          </cell>
          <cell r="F2221" t="str">
            <v>ZALM</v>
          </cell>
          <cell r="G2221" t="str">
            <v>UN</v>
          </cell>
          <cell r="H2221" t="str">
            <v>DOP</v>
          </cell>
          <cell r="I2221">
            <v>0</v>
          </cell>
          <cell r="J2221">
            <v>0</v>
          </cell>
          <cell r="K2221">
            <v>0</v>
          </cell>
          <cell r="L2221">
            <v>0</v>
          </cell>
          <cell r="M2221">
            <v>0</v>
          </cell>
          <cell r="N2221">
            <v>0</v>
          </cell>
          <cell r="O2221">
            <v>0</v>
          </cell>
          <cell r="P2221">
            <v>0</v>
          </cell>
          <cell r="Q2221">
            <v>0</v>
          </cell>
          <cell r="R2221">
            <v>0</v>
          </cell>
          <cell r="S2221">
            <v>0</v>
          </cell>
          <cell r="T2221">
            <v>0</v>
          </cell>
          <cell r="U2221" t="e">
            <v>#N/A</v>
          </cell>
        </row>
        <row r="2222">
          <cell r="A2222">
            <v>1002216</v>
          </cell>
          <cell r="B2222" t="str">
            <v>Grapa Galv P/ Alambre de Púa</v>
          </cell>
          <cell r="D2222">
            <v>5108</v>
          </cell>
          <cell r="E2222">
            <v>1000</v>
          </cell>
          <cell r="F2222" t="str">
            <v>ZALM</v>
          </cell>
          <cell r="G2222" t="str">
            <v>UN</v>
          </cell>
          <cell r="H2222" t="str">
            <v>DOP</v>
          </cell>
          <cell r="I2222">
            <v>2009</v>
          </cell>
          <cell r="J2222">
            <v>200.9</v>
          </cell>
          <cell r="K2222">
            <v>0</v>
          </cell>
          <cell r="L2222">
            <v>0</v>
          </cell>
          <cell r="M2222">
            <v>0</v>
          </cell>
          <cell r="N2222">
            <v>0</v>
          </cell>
          <cell r="O2222">
            <v>0</v>
          </cell>
          <cell r="P2222">
            <v>0</v>
          </cell>
          <cell r="Q2222">
            <v>0</v>
          </cell>
          <cell r="R2222">
            <v>0</v>
          </cell>
          <cell r="S2222">
            <v>2009</v>
          </cell>
          <cell r="T2222">
            <v>200.9</v>
          </cell>
          <cell r="U2222">
            <v>0.1</v>
          </cell>
        </row>
        <row r="2223">
          <cell r="A2223">
            <v>1002217</v>
          </cell>
          <cell r="B2223" t="str">
            <v>Perno Guardac P/Retenida 3/4" Tuerc Cuad</v>
          </cell>
          <cell r="D2223">
            <v>5108</v>
          </cell>
          <cell r="E2223">
            <v>1000</v>
          </cell>
          <cell r="F2223" t="str">
            <v>ZALM</v>
          </cell>
          <cell r="G2223" t="str">
            <v>UN</v>
          </cell>
          <cell r="H2223" t="str">
            <v>DOP</v>
          </cell>
          <cell r="I2223">
            <v>935</v>
          </cell>
          <cell r="J2223">
            <v>227766</v>
          </cell>
          <cell r="K2223">
            <v>0</v>
          </cell>
          <cell r="L2223">
            <v>0</v>
          </cell>
          <cell r="M2223">
            <v>0</v>
          </cell>
          <cell r="N2223">
            <v>0</v>
          </cell>
          <cell r="O2223">
            <v>0</v>
          </cell>
          <cell r="P2223">
            <v>0</v>
          </cell>
          <cell r="Q2223">
            <v>0</v>
          </cell>
          <cell r="R2223">
            <v>0</v>
          </cell>
          <cell r="S2223">
            <v>935</v>
          </cell>
          <cell r="T2223">
            <v>227766</v>
          </cell>
          <cell r="U2223">
            <v>243.6</v>
          </cell>
        </row>
        <row r="2224">
          <cell r="A2224">
            <v>1002218</v>
          </cell>
          <cell r="B2224" t="str">
            <v>Perno Guardac P/Retenida 5/8"x12  T Cuad</v>
          </cell>
          <cell r="D2224">
            <v>5108</v>
          </cell>
          <cell r="E2224">
            <v>1000</v>
          </cell>
          <cell r="F2224" t="str">
            <v>ZALM</v>
          </cell>
          <cell r="G2224" t="str">
            <v>UN</v>
          </cell>
          <cell r="H2224" t="str">
            <v>DOP</v>
          </cell>
          <cell r="I2224">
            <v>0</v>
          </cell>
          <cell r="J2224">
            <v>0</v>
          </cell>
          <cell r="K2224">
            <v>0</v>
          </cell>
          <cell r="L2224">
            <v>0</v>
          </cell>
          <cell r="M2224">
            <v>0</v>
          </cell>
          <cell r="N2224">
            <v>0</v>
          </cell>
          <cell r="O2224">
            <v>0</v>
          </cell>
          <cell r="P2224">
            <v>0</v>
          </cell>
          <cell r="Q2224">
            <v>0</v>
          </cell>
          <cell r="R2224">
            <v>0</v>
          </cell>
          <cell r="S2224">
            <v>0</v>
          </cell>
          <cell r="T2224">
            <v>0</v>
          </cell>
          <cell r="U2224" t="e">
            <v>#N/A</v>
          </cell>
        </row>
        <row r="2225">
          <cell r="A2225">
            <v>1002219</v>
          </cell>
          <cell r="B2225" t="str">
            <v>Perno Seguridad Acero Inox Comb EDE-01</v>
          </cell>
          <cell r="D2225">
            <v>5108</v>
          </cell>
          <cell r="E2225">
            <v>1000</v>
          </cell>
          <cell r="F2225" t="str">
            <v>ZALM</v>
          </cell>
          <cell r="G2225" t="str">
            <v>UN</v>
          </cell>
          <cell r="H2225" t="str">
            <v>DOP</v>
          </cell>
          <cell r="I2225">
            <v>0</v>
          </cell>
          <cell r="J2225">
            <v>0</v>
          </cell>
          <cell r="K2225">
            <v>0</v>
          </cell>
          <cell r="L2225">
            <v>0</v>
          </cell>
          <cell r="M2225">
            <v>0</v>
          </cell>
          <cell r="N2225">
            <v>0</v>
          </cell>
          <cell r="O2225">
            <v>0</v>
          </cell>
          <cell r="P2225">
            <v>0</v>
          </cell>
          <cell r="Q2225">
            <v>0</v>
          </cell>
          <cell r="R2225">
            <v>0</v>
          </cell>
          <cell r="S2225">
            <v>0</v>
          </cell>
          <cell r="T2225">
            <v>0</v>
          </cell>
          <cell r="U2225" t="e">
            <v>#N/A</v>
          </cell>
        </row>
        <row r="2226">
          <cell r="A2226">
            <v>1002220</v>
          </cell>
          <cell r="B2226" t="str">
            <v>Perno Seguridad Acero Inox Comb EDE-02</v>
          </cell>
          <cell r="D2226">
            <v>5108</v>
          </cell>
          <cell r="E2226">
            <v>1000</v>
          </cell>
          <cell r="F2226" t="str">
            <v>ZALM</v>
          </cell>
          <cell r="G2226" t="str">
            <v>UN</v>
          </cell>
          <cell r="H2226" t="str">
            <v>DOP</v>
          </cell>
          <cell r="I2226">
            <v>0</v>
          </cell>
          <cell r="J2226">
            <v>0</v>
          </cell>
          <cell r="K2226">
            <v>0</v>
          </cell>
          <cell r="L2226">
            <v>0</v>
          </cell>
          <cell r="M2226">
            <v>0</v>
          </cell>
          <cell r="N2226">
            <v>0</v>
          </cell>
          <cell r="O2226">
            <v>0</v>
          </cell>
          <cell r="P2226">
            <v>0</v>
          </cell>
          <cell r="Q2226">
            <v>0</v>
          </cell>
          <cell r="R2226">
            <v>0</v>
          </cell>
          <cell r="S2226">
            <v>0</v>
          </cell>
          <cell r="T2226">
            <v>0</v>
          </cell>
          <cell r="U2226" t="e">
            <v>#N/A</v>
          </cell>
        </row>
        <row r="2227">
          <cell r="A2227">
            <v>1002221</v>
          </cell>
          <cell r="B2227" t="str">
            <v>Perno Seguridad Acero Inox Comb EDE-04</v>
          </cell>
          <cell r="D2227">
            <v>5108</v>
          </cell>
          <cell r="E2227">
            <v>1000</v>
          </cell>
          <cell r="F2227" t="str">
            <v>ZALM</v>
          </cell>
          <cell r="G2227" t="str">
            <v>UN</v>
          </cell>
          <cell r="H2227" t="str">
            <v>DOP</v>
          </cell>
          <cell r="I2227">
            <v>0</v>
          </cell>
          <cell r="J2227">
            <v>0</v>
          </cell>
          <cell r="K2227">
            <v>0</v>
          </cell>
          <cell r="L2227">
            <v>0</v>
          </cell>
          <cell r="M2227">
            <v>0</v>
          </cell>
          <cell r="N2227">
            <v>0</v>
          </cell>
          <cell r="O2227">
            <v>0</v>
          </cell>
          <cell r="P2227">
            <v>0</v>
          </cell>
          <cell r="Q2227">
            <v>0</v>
          </cell>
          <cell r="R2227">
            <v>0</v>
          </cell>
          <cell r="S2227">
            <v>0</v>
          </cell>
          <cell r="T2227">
            <v>0</v>
          </cell>
          <cell r="U2227" t="e">
            <v>#N/A</v>
          </cell>
        </row>
        <row r="2228">
          <cell r="A2228">
            <v>1002222</v>
          </cell>
          <cell r="B2228" t="str">
            <v>Perno Seguridad Carbon Steel Serie E1</v>
          </cell>
          <cell r="D2228">
            <v>5108</v>
          </cell>
          <cell r="E2228">
            <v>1000</v>
          </cell>
          <cell r="F2228" t="str">
            <v>ZALM</v>
          </cell>
          <cell r="G2228" t="str">
            <v>UN</v>
          </cell>
          <cell r="H2228" t="str">
            <v>DOP</v>
          </cell>
          <cell r="I2228">
            <v>0</v>
          </cell>
          <cell r="J2228">
            <v>0</v>
          </cell>
          <cell r="K2228">
            <v>0</v>
          </cell>
          <cell r="L2228">
            <v>0</v>
          </cell>
          <cell r="M2228">
            <v>0</v>
          </cell>
          <cell r="N2228">
            <v>0</v>
          </cell>
          <cell r="O2228">
            <v>0</v>
          </cell>
          <cell r="P2228">
            <v>0</v>
          </cell>
          <cell r="Q2228">
            <v>0</v>
          </cell>
          <cell r="R2228">
            <v>0</v>
          </cell>
          <cell r="S2228">
            <v>0</v>
          </cell>
          <cell r="T2228">
            <v>0</v>
          </cell>
          <cell r="U2228" t="e">
            <v>#N/A</v>
          </cell>
        </row>
        <row r="2229">
          <cell r="A2229">
            <v>1002223</v>
          </cell>
          <cell r="B2229" t="str">
            <v>Perno Seguridad Carbon Steel Serie E2</v>
          </cell>
          <cell r="D2229">
            <v>5108</v>
          </cell>
          <cell r="E2229">
            <v>1000</v>
          </cell>
          <cell r="F2229" t="str">
            <v>ZALM</v>
          </cell>
          <cell r="G2229" t="str">
            <v>UN</v>
          </cell>
          <cell r="H2229" t="str">
            <v>DOP</v>
          </cell>
          <cell r="I2229">
            <v>0</v>
          </cell>
          <cell r="J2229">
            <v>0</v>
          </cell>
          <cell r="K2229">
            <v>0</v>
          </cell>
          <cell r="L2229">
            <v>0</v>
          </cell>
          <cell r="M2229">
            <v>0</v>
          </cell>
          <cell r="N2229">
            <v>0</v>
          </cell>
          <cell r="O2229">
            <v>0</v>
          </cell>
          <cell r="P2229">
            <v>0</v>
          </cell>
          <cell r="Q2229">
            <v>0</v>
          </cell>
          <cell r="R2229">
            <v>0</v>
          </cell>
          <cell r="S2229">
            <v>0</v>
          </cell>
          <cell r="T2229">
            <v>0</v>
          </cell>
          <cell r="U2229" t="e">
            <v>#N/A</v>
          </cell>
        </row>
        <row r="2230">
          <cell r="A2230">
            <v>1002224</v>
          </cell>
          <cell r="B2230" t="str">
            <v>Perno Seguridad Carbon Steel Serie E3</v>
          </cell>
          <cell r="D2230">
            <v>5108</v>
          </cell>
          <cell r="E2230">
            <v>1000</v>
          </cell>
          <cell r="F2230" t="str">
            <v>ZALM</v>
          </cell>
          <cell r="G2230" t="str">
            <v>UN</v>
          </cell>
          <cell r="H2230" t="str">
            <v>DOP</v>
          </cell>
          <cell r="I2230">
            <v>198</v>
          </cell>
          <cell r="J2230">
            <v>40504.58</v>
          </cell>
          <cell r="K2230">
            <v>0</v>
          </cell>
          <cell r="L2230">
            <v>0</v>
          </cell>
          <cell r="M2230">
            <v>0</v>
          </cell>
          <cell r="N2230">
            <v>0</v>
          </cell>
          <cell r="O2230">
            <v>0</v>
          </cell>
          <cell r="P2230">
            <v>0</v>
          </cell>
          <cell r="Q2230">
            <v>1170</v>
          </cell>
          <cell r="R2230">
            <v>239345.24</v>
          </cell>
          <cell r="S2230">
            <v>1368</v>
          </cell>
          <cell r="T2230">
            <v>279849.82</v>
          </cell>
          <cell r="U2230">
            <v>204.568581871345</v>
          </cell>
        </row>
        <row r="2231">
          <cell r="A2231">
            <v>1002225</v>
          </cell>
          <cell r="B2231" t="str">
            <v>Perno Seguridad Carbon Steel Serie E4</v>
          </cell>
          <cell r="D2231">
            <v>5108</v>
          </cell>
          <cell r="E2231">
            <v>1000</v>
          </cell>
          <cell r="F2231" t="str">
            <v>ZALM</v>
          </cell>
          <cell r="G2231" t="str">
            <v>UN</v>
          </cell>
          <cell r="H2231" t="str">
            <v>DOP</v>
          </cell>
          <cell r="I2231">
            <v>5</v>
          </cell>
          <cell r="J2231">
            <v>1018.49</v>
          </cell>
          <cell r="K2231">
            <v>0</v>
          </cell>
          <cell r="L2231">
            <v>0</v>
          </cell>
          <cell r="M2231">
            <v>0</v>
          </cell>
          <cell r="N2231">
            <v>0</v>
          </cell>
          <cell r="O2231">
            <v>0</v>
          </cell>
          <cell r="P2231">
            <v>0</v>
          </cell>
          <cell r="Q2231">
            <v>17988</v>
          </cell>
          <cell r="R2231">
            <v>3664109.76</v>
          </cell>
          <cell r="S2231">
            <v>17993</v>
          </cell>
          <cell r="T2231">
            <v>3665128.25</v>
          </cell>
          <cell r="U2231">
            <v>203.697451786806</v>
          </cell>
        </row>
        <row r="2232">
          <cell r="A2232">
            <v>1002226</v>
          </cell>
          <cell r="B2232" t="str">
            <v>Perno Seguridad Nivel Seg I Comb EDE-03</v>
          </cell>
          <cell r="D2232">
            <v>5108</v>
          </cell>
          <cell r="E2232">
            <v>1000</v>
          </cell>
          <cell r="F2232" t="str">
            <v>ZALM</v>
          </cell>
          <cell r="G2232" t="str">
            <v>UN</v>
          </cell>
          <cell r="H2232" t="str">
            <v>DOP</v>
          </cell>
          <cell r="I2232">
            <v>0</v>
          </cell>
          <cell r="J2232">
            <v>0</v>
          </cell>
          <cell r="K2232">
            <v>0</v>
          </cell>
          <cell r="L2232">
            <v>0</v>
          </cell>
          <cell r="M2232">
            <v>0</v>
          </cell>
          <cell r="N2232">
            <v>0</v>
          </cell>
          <cell r="O2232">
            <v>0</v>
          </cell>
          <cell r="P2232">
            <v>0</v>
          </cell>
          <cell r="Q2232">
            <v>0</v>
          </cell>
          <cell r="R2232">
            <v>0</v>
          </cell>
          <cell r="S2232">
            <v>0</v>
          </cell>
          <cell r="T2232">
            <v>0</v>
          </cell>
          <cell r="U2232" t="e">
            <v>#N/A</v>
          </cell>
        </row>
        <row r="2233">
          <cell r="A2233">
            <v>1002227</v>
          </cell>
          <cell r="B2233" t="str">
            <v>Perno Seguridad Tipo Torpedo</v>
          </cell>
          <cell r="D2233">
            <v>5108</v>
          </cell>
          <cell r="E2233">
            <v>1000</v>
          </cell>
          <cell r="F2233" t="str">
            <v>ZALM</v>
          </cell>
          <cell r="G2233" t="str">
            <v>UN</v>
          </cell>
          <cell r="H2233" t="str">
            <v>DOP</v>
          </cell>
          <cell r="I2233">
            <v>0</v>
          </cell>
          <cell r="J2233">
            <v>0</v>
          </cell>
          <cell r="K2233">
            <v>0</v>
          </cell>
          <cell r="L2233">
            <v>0</v>
          </cell>
          <cell r="M2233">
            <v>0</v>
          </cell>
          <cell r="N2233">
            <v>0</v>
          </cell>
          <cell r="O2233">
            <v>0</v>
          </cell>
          <cell r="P2233">
            <v>0</v>
          </cell>
          <cell r="Q2233">
            <v>0</v>
          </cell>
          <cell r="R2233">
            <v>0</v>
          </cell>
          <cell r="S2233">
            <v>0</v>
          </cell>
          <cell r="T2233">
            <v>0</v>
          </cell>
          <cell r="U2233" t="e">
            <v>#N/A</v>
          </cell>
        </row>
        <row r="2234">
          <cell r="A2234">
            <v>1002228</v>
          </cell>
          <cell r="B2234" t="str">
            <v>Tarugo C/ Perno Para Ménsula</v>
          </cell>
          <cell r="D2234">
            <v>5108</v>
          </cell>
          <cell r="E2234">
            <v>1000</v>
          </cell>
          <cell r="F2234" t="str">
            <v>ZALM</v>
          </cell>
          <cell r="G2234" t="str">
            <v>UN</v>
          </cell>
          <cell r="H2234" t="str">
            <v>DOP</v>
          </cell>
          <cell r="I2234">
            <v>0</v>
          </cell>
          <cell r="J2234">
            <v>0</v>
          </cell>
          <cell r="K2234">
            <v>0</v>
          </cell>
          <cell r="L2234">
            <v>0</v>
          </cell>
          <cell r="M2234">
            <v>0</v>
          </cell>
          <cell r="N2234">
            <v>0</v>
          </cell>
          <cell r="O2234">
            <v>0</v>
          </cell>
          <cell r="P2234">
            <v>0</v>
          </cell>
          <cell r="Q2234">
            <v>626</v>
          </cell>
          <cell r="R2234">
            <v>5715.38</v>
          </cell>
          <cell r="S2234">
            <v>626</v>
          </cell>
          <cell r="T2234">
            <v>5715.38</v>
          </cell>
          <cell r="U2234">
            <v>9.1300000000000008</v>
          </cell>
        </row>
        <row r="2235">
          <cell r="A2235">
            <v>1002229</v>
          </cell>
          <cell r="B2235" t="str">
            <v>Tarugo Perno 1/2"x3 3/4" Galv T/ HILTI</v>
          </cell>
          <cell r="D2235">
            <v>5108</v>
          </cell>
          <cell r="E2235">
            <v>1000</v>
          </cell>
          <cell r="F2235" t="str">
            <v>ZALM</v>
          </cell>
          <cell r="G2235" t="str">
            <v>UN</v>
          </cell>
          <cell r="H2235" t="str">
            <v>DOP</v>
          </cell>
          <cell r="I2235">
            <v>28742</v>
          </cell>
          <cell r="J2235">
            <v>22993.599999999999</v>
          </cell>
          <cell r="K2235">
            <v>0</v>
          </cell>
          <cell r="L2235">
            <v>0</v>
          </cell>
          <cell r="M2235">
            <v>0</v>
          </cell>
          <cell r="N2235">
            <v>0</v>
          </cell>
          <cell r="O2235">
            <v>0</v>
          </cell>
          <cell r="P2235">
            <v>0</v>
          </cell>
          <cell r="Q2235">
            <v>0</v>
          </cell>
          <cell r="R2235">
            <v>0</v>
          </cell>
          <cell r="S2235">
            <v>28742</v>
          </cell>
          <cell r="T2235">
            <v>22993.599999999999</v>
          </cell>
          <cell r="U2235">
            <v>0.8</v>
          </cell>
        </row>
        <row r="2236">
          <cell r="A2236">
            <v>1002230</v>
          </cell>
          <cell r="B2236" t="str">
            <v>Tarugo Perno 1/2"x4" Galv T/ HILTI</v>
          </cell>
          <cell r="D2236">
            <v>5108</v>
          </cell>
          <cell r="E2236">
            <v>1000</v>
          </cell>
          <cell r="F2236" t="str">
            <v>ZALM</v>
          </cell>
          <cell r="G2236" t="str">
            <v>UN</v>
          </cell>
          <cell r="H2236" t="str">
            <v>DOP</v>
          </cell>
          <cell r="I2236">
            <v>100</v>
          </cell>
          <cell r="J2236">
            <v>100</v>
          </cell>
          <cell r="K2236">
            <v>0</v>
          </cell>
          <cell r="L2236">
            <v>0</v>
          </cell>
          <cell r="M2236">
            <v>0</v>
          </cell>
          <cell r="N2236">
            <v>0</v>
          </cell>
          <cell r="O2236">
            <v>0</v>
          </cell>
          <cell r="P2236">
            <v>0</v>
          </cell>
          <cell r="Q2236">
            <v>0</v>
          </cell>
          <cell r="R2236">
            <v>0</v>
          </cell>
          <cell r="S2236">
            <v>100</v>
          </cell>
          <cell r="T2236">
            <v>100</v>
          </cell>
          <cell r="U2236">
            <v>1</v>
          </cell>
        </row>
        <row r="2237">
          <cell r="A2237">
            <v>1002231</v>
          </cell>
          <cell r="B2237" t="str">
            <v>Tarugo Perno 1/4"x1 3/4" Galv T/ HILTI</v>
          </cell>
          <cell r="D2237">
            <v>5108</v>
          </cell>
          <cell r="E2237">
            <v>1000</v>
          </cell>
          <cell r="F2237" t="str">
            <v>ZALM</v>
          </cell>
          <cell r="G2237" t="str">
            <v>UN</v>
          </cell>
          <cell r="H2237" t="str">
            <v>DOP</v>
          </cell>
          <cell r="I2237">
            <v>0</v>
          </cell>
          <cell r="J2237">
            <v>0</v>
          </cell>
          <cell r="K2237">
            <v>0</v>
          </cell>
          <cell r="L2237">
            <v>0</v>
          </cell>
          <cell r="M2237">
            <v>0</v>
          </cell>
          <cell r="N2237">
            <v>0</v>
          </cell>
          <cell r="O2237">
            <v>0</v>
          </cell>
          <cell r="P2237">
            <v>0</v>
          </cell>
          <cell r="Q2237">
            <v>0</v>
          </cell>
          <cell r="R2237">
            <v>0</v>
          </cell>
          <cell r="S2237">
            <v>0</v>
          </cell>
          <cell r="T2237">
            <v>0</v>
          </cell>
          <cell r="U2237" t="e">
            <v>#N/A</v>
          </cell>
        </row>
        <row r="2238">
          <cell r="A2238">
            <v>1002232</v>
          </cell>
          <cell r="B2238" t="str">
            <v>Tarugo Perno 3/8"x2 1/4" Galv T/ HILTI</v>
          </cell>
          <cell r="D2238">
            <v>5108</v>
          </cell>
          <cell r="E2238">
            <v>1000</v>
          </cell>
          <cell r="F2238" t="str">
            <v>ZALM</v>
          </cell>
          <cell r="G2238" t="str">
            <v>UN</v>
          </cell>
          <cell r="H2238" t="str">
            <v>DOP</v>
          </cell>
          <cell r="I2238">
            <v>0</v>
          </cell>
          <cell r="J2238">
            <v>0</v>
          </cell>
          <cell r="K2238">
            <v>0</v>
          </cell>
          <cell r="L2238">
            <v>0</v>
          </cell>
          <cell r="M2238">
            <v>0</v>
          </cell>
          <cell r="N2238">
            <v>0</v>
          </cell>
          <cell r="O2238">
            <v>0</v>
          </cell>
          <cell r="P2238">
            <v>0</v>
          </cell>
          <cell r="Q2238">
            <v>0</v>
          </cell>
          <cell r="R2238">
            <v>0</v>
          </cell>
          <cell r="S2238">
            <v>0</v>
          </cell>
          <cell r="T2238">
            <v>0</v>
          </cell>
          <cell r="U2238" t="e">
            <v>#N/A</v>
          </cell>
        </row>
        <row r="2239">
          <cell r="A2239">
            <v>1002233</v>
          </cell>
          <cell r="B2239" t="str">
            <v>Tarugo Perno Acer Recub Zn 5/8-1/2x3.75</v>
          </cell>
          <cell r="D2239">
            <v>5108</v>
          </cell>
          <cell r="E2239">
            <v>1000</v>
          </cell>
          <cell r="F2239" t="str">
            <v>ZALM</v>
          </cell>
          <cell r="G2239" t="str">
            <v>UN</v>
          </cell>
          <cell r="H2239" t="str">
            <v>DOP</v>
          </cell>
          <cell r="I2239">
            <v>0</v>
          </cell>
          <cell r="J2239">
            <v>0</v>
          </cell>
          <cell r="K2239">
            <v>0</v>
          </cell>
          <cell r="L2239">
            <v>0</v>
          </cell>
          <cell r="M2239">
            <v>0</v>
          </cell>
          <cell r="N2239">
            <v>0</v>
          </cell>
          <cell r="O2239">
            <v>0</v>
          </cell>
          <cell r="P2239">
            <v>0</v>
          </cell>
          <cell r="Q2239">
            <v>0</v>
          </cell>
          <cell r="R2239">
            <v>0</v>
          </cell>
          <cell r="S2239">
            <v>0</v>
          </cell>
          <cell r="T2239">
            <v>0</v>
          </cell>
          <cell r="U2239" t="e">
            <v>#N/A</v>
          </cell>
        </row>
        <row r="2240">
          <cell r="A2240">
            <v>1002234</v>
          </cell>
          <cell r="B2240" t="str">
            <v>Tarugo Perno Acero Recub Zn 3/8x2 1/4"</v>
          </cell>
          <cell r="D2240">
            <v>5108</v>
          </cell>
          <cell r="E2240">
            <v>1000</v>
          </cell>
          <cell r="F2240" t="str">
            <v>ZALM</v>
          </cell>
          <cell r="G2240" t="str">
            <v>UN</v>
          </cell>
          <cell r="H2240" t="str">
            <v>DOP</v>
          </cell>
          <cell r="I2240">
            <v>0</v>
          </cell>
          <cell r="J2240">
            <v>0</v>
          </cell>
          <cell r="K2240">
            <v>0</v>
          </cell>
          <cell r="L2240">
            <v>0</v>
          </cell>
          <cell r="M2240">
            <v>0</v>
          </cell>
          <cell r="N2240">
            <v>0</v>
          </cell>
          <cell r="O2240">
            <v>0</v>
          </cell>
          <cell r="P2240">
            <v>0</v>
          </cell>
          <cell r="Q2240">
            <v>0</v>
          </cell>
          <cell r="R2240">
            <v>0</v>
          </cell>
          <cell r="S2240">
            <v>0</v>
          </cell>
          <cell r="T2240">
            <v>0</v>
          </cell>
          <cell r="U2240" t="e">
            <v>#N/A</v>
          </cell>
        </row>
        <row r="2241">
          <cell r="A2241">
            <v>1002235</v>
          </cell>
          <cell r="B2241" t="str">
            <v>Tarugo Plást 35mm</v>
          </cell>
          <cell r="D2241">
            <v>5108</v>
          </cell>
          <cell r="E2241">
            <v>1000</v>
          </cell>
          <cell r="F2241" t="str">
            <v>ZALM</v>
          </cell>
          <cell r="G2241" t="str">
            <v>UN</v>
          </cell>
          <cell r="H2241" t="str">
            <v>DOP</v>
          </cell>
          <cell r="I2241">
            <v>0</v>
          </cell>
          <cell r="J2241">
            <v>0</v>
          </cell>
          <cell r="K2241">
            <v>0</v>
          </cell>
          <cell r="L2241">
            <v>0</v>
          </cell>
          <cell r="M2241">
            <v>0</v>
          </cell>
          <cell r="N2241">
            <v>0</v>
          </cell>
          <cell r="O2241">
            <v>0</v>
          </cell>
          <cell r="P2241">
            <v>0</v>
          </cell>
          <cell r="Q2241">
            <v>0</v>
          </cell>
          <cell r="R2241">
            <v>0</v>
          </cell>
          <cell r="S2241">
            <v>0</v>
          </cell>
          <cell r="T2241">
            <v>0</v>
          </cell>
          <cell r="U2241" t="e">
            <v>#N/A</v>
          </cell>
        </row>
        <row r="2242">
          <cell r="A2242">
            <v>1002236</v>
          </cell>
          <cell r="B2242" t="str">
            <v>Tarugo Plást C/ Torn Cab Hex 9/32"x1"</v>
          </cell>
          <cell r="D2242">
            <v>5108</v>
          </cell>
          <cell r="E2242">
            <v>1000</v>
          </cell>
          <cell r="F2242" t="str">
            <v>ZALM</v>
          </cell>
          <cell r="G2242" t="str">
            <v>UN</v>
          </cell>
          <cell r="H2242" t="str">
            <v>DOP</v>
          </cell>
          <cell r="I2242">
            <v>81460</v>
          </cell>
          <cell r="J2242">
            <v>35027.800000000003</v>
          </cell>
          <cell r="K2242">
            <v>0</v>
          </cell>
          <cell r="L2242">
            <v>0</v>
          </cell>
          <cell r="M2242">
            <v>0</v>
          </cell>
          <cell r="N2242">
            <v>0</v>
          </cell>
          <cell r="O2242">
            <v>0</v>
          </cell>
          <cell r="P2242">
            <v>0</v>
          </cell>
          <cell r="Q2242">
            <v>5274</v>
          </cell>
          <cell r="R2242">
            <v>2267.8200000000002</v>
          </cell>
          <cell r="S2242">
            <v>86734</v>
          </cell>
          <cell r="T2242">
            <v>37295.620000000003</v>
          </cell>
          <cell r="U2242">
            <v>0.43</v>
          </cell>
        </row>
        <row r="2243">
          <cell r="A2243">
            <v>1002237</v>
          </cell>
          <cell r="B2243" t="str">
            <v>Tarugo Plast Cab Hex 1"</v>
          </cell>
          <cell r="D2243">
            <v>5108</v>
          </cell>
          <cell r="E2243">
            <v>1000</v>
          </cell>
          <cell r="F2243" t="str">
            <v>ZALM</v>
          </cell>
          <cell r="G2243" t="str">
            <v>UN</v>
          </cell>
          <cell r="H2243" t="str">
            <v>DOP</v>
          </cell>
          <cell r="I2243">
            <v>0</v>
          </cell>
          <cell r="J2243">
            <v>0</v>
          </cell>
          <cell r="K2243">
            <v>0</v>
          </cell>
          <cell r="L2243">
            <v>0</v>
          </cell>
          <cell r="M2243">
            <v>0</v>
          </cell>
          <cell r="N2243">
            <v>0</v>
          </cell>
          <cell r="O2243">
            <v>0</v>
          </cell>
          <cell r="P2243">
            <v>0</v>
          </cell>
          <cell r="Q2243">
            <v>0</v>
          </cell>
          <cell r="R2243">
            <v>0</v>
          </cell>
          <cell r="S2243">
            <v>0</v>
          </cell>
          <cell r="T2243">
            <v>0</v>
          </cell>
          <cell r="U2243" t="e">
            <v>#N/A</v>
          </cell>
        </row>
        <row r="2244">
          <cell r="A2244">
            <v>1002238</v>
          </cell>
          <cell r="B2244" t="str">
            <v>Tarugo Plast Cab Hex 1/4"x1"</v>
          </cell>
          <cell r="D2244">
            <v>5108</v>
          </cell>
          <cell r="E2244">
            <v>1000</v>
          </cell>
          <cell r="F2244" t="str">
            <v>ZALM</v>
          </cell>
          <cell r="G2244" t="str">
            <v>UN</v>
          </cell>
          <cell r="H2244" t="str">
            <v>DOP</v>
          </cell>
          <cell r="I2244">
            <v>1702</v>
          </cell>
          <cell r="J2244">
            <v>697.82</v>
          </cell>
          <cell r="K2244">
            <v>0</v>
          </cell>
          <cell r="L2244">
            <v>0</v>
          </cell>
          <cell r="M2244">
            <v>0</v>
          </cell>
          <cell r="N2244">
            <v>0</v>
          </cell>
          <cell r="O2244">
            <v>0</v>
          </cell>
          <cell r="P2244">
            <v>0</v>
          </cell>
          <cell r="Q2244">
            <v>0</v>
          </cell>
          <cell r="R2244">
            <v>0</v>
          </cell>
          <cell r="S2244">
            <v>1702</v>
          </cell>
          <cell r="T2244">
            <v>697.82</v>
          </cell>
          <cell r="U2244">
            <v>0.41</v>
          </cell>
        </row>
        <row r="2245">
          <cell r="A2245">
            <v>1002239</v>
          </cell>
          <cell r="B2245" t="str">
            <v>Tarugo Plast Mamey 3/8"x2"</v>
          </cell>
          <cell r="D2245">
            <v>5108</v>
          </cell>
          <cell r="E2245">
            <v>1000</v>
          </cell>
          <cell r="F2245" t="str">
            <v>ZALM</v>
          </cell>
          <cell r="G2245" t="str">
            <v>UN</v>
          </cell>
          <cell r="H2245" t="str">
            <v>DOP</v>
          </cell>
          <cell r="I2245">
            <v>246153</v>
          </cell>
          <cell r="J2245">
            <v>214140.47</v>
          </cell>
          <cell r="K2245">
            <v>0</v>
          </cell>
          <cell r="L2245">
            <v>0</v>
          </cell>
          <cell r="M2245">
            <v>0</v>
          </cell>
          <cell r="N2245">
            <v>0</v>
          </cell>
          <cell r="O2245">
            <v>0</v>
          </cell>
          <cell r="P2245">
            <v>0</v>
          </cell>
          <cell r="Q2245">
            <v>2893</v>
          </cell>
          <cell r="R2245">
            <v>2516.7600000000002</v>
          </cell>
          <cell r="S2245">
            <v>249046</v>
          </cell>
          <cell r="T2245">
            <v>216657.23</v>
          </cell>
          <cell r="U2245">
            <v>0.86994864402560201</v>
          </cell>
        </row>
        <row r="2246">
          <cell r="A2246">
            <v>1002240</v>
          </cell>
          <cell r="B2246" t="str">
            <v>Tarugo Plomo 1/4"x1"</v>
          </cell>
          <cell r="D2246">
            <v>5108</v>
          </cell>
          <cell r="E2246">
            <v>1000</v>
          </cell>
          <cell r="F2246" t="str">
            <v>ZALM</v>
          </cell>
          <cell r="G2246" t="str">
            <v>UN</v>
          </cell>
          <cell r="H2246" t="str">
            <v>DOP</v>
          </cell>
          <cell r="I2246">
            <v>0</v>
          </cell>
          <cell r="J2246">
            <v>0</v>
          </cell>
          <cell r="K2246">
            <v>0</v>
          </cell>
          <cell r="L2246">
            <v>0</v>
          </cell>
          <cell r="M2246">
            <v>0</v>
          </cell>
          <cell r="N2246">
            <v>0</v>
          </cell>
          <cell r="O2246">
            <v>0</v>
          </cell>
          <cell r="P2246">
            <v>0</v>
          </cell>
          <cell r="Q2246">
            <v>0</v>
          </cell>
          <cell r="R2246">
            <v>0</v>
          </cell>
          <cell r="S2246">
            <v>0</v>
          </cell>
          <cell r="T2246">
            <v>0</v>
          </cell>
          <cell r="U2246" t="e">
            <v>#N/A</v>
          </cell>
        </row>
        <row r="2247">
          <cell r="A2247">
            <v>1002241</v>
          </cell>
          <cell r="B2247" t="str">
            <v>Tarugo Plomo 1/4"x1/2"</v>
          </cell>
          <cell r="D2247">
            <v>5108</v>
          </cell>
          <cell r="E2247">
            <v>1000</v>
          </cell>
          <cell r="F2247" t="str">
            <v>ZALM</v>
          </cell>
          <cell r="G2247" t="str">
            <v>UN</v>
          </cell>
          <cell r="H2247" t="str">
            <v>DOP</v>
          </cell>
          <cell r="I2247">
            <v>14964</v>
          </cell>
          <cell r="J2247">
            <v>35609.14</v>
          </cell>
          <cell r="K2247">
            <v>0</v>
          </cell>
          <cell r="L2247">
            <v>0</v>
          </cell>
          <cell r="M2247">
            <v>0</v>
          </cell>
          <cell r="N2247">
            <v>0</v>
          </cell>
          <cell r="O2247">
            <v>0</v>
          </cell>
          <cell r="P2247">
            <v>0</v>
          </cell>
          <cell r="Q2247">
            <v>0</v>
          </cell>
          <cell r="R2247">
            <v>0</v>
          </cell>
          <cell r="S2247">
            <v>14964</v>
          </cell>
          <cell r="T2247">
            <v>35609.14</v>
          </cell>
          <cell r="U2247">
            <v>2.3796538358727601</v>
          </cell>
        </row>
        <row r="2248">
          <cell r="A2248">
            <v>1002242</v>
          </cell>
          <cell r="B2248" t="str">
            <v>Tarugo Plomo 3/8" C/ Tornillo</v>
          </cell>
          <cell r="D2248">
            <v>5108</v>
          </cell>
          <cell r="E2248">
            <v>1000</v>
          </cell>
          <cell r="F2248" t="str">
            <v>ZALM</v>
          </cell>
          <cell r="G2248" t="str">
            <v>UN</v>
          </cell>
          <cell r="H2248" t="str">
            <v>DOP</v>
          </cell>
          <cell r="I2248">
            <v>0</v>
          </cell>
          <cell r="J2248">
            <v>0</v>
          </cell>
          <cell r="K2248">
            <v>0</v>
          </cell>
          <cell r="L2248">
            <v>0</v>
          </cell>
          <cell r="M2248">
            <v>0</v>
          </cell>
          <cell r="N2248">
            <v>0</v>
          </cell>
          <cell r="O2248">
            <v>0</v>
          </cell>
          <cell r="P2248">
            <v>0</v>
          </cell>
          <cell r="Q2248">
            <v>0</v>
          </cell>
          <cell r="R2248">
            <v>0</v>
          </cell>
          <cell r="S2248">
            <v>0</v>
          </cell>
          <cell r="T2248">
            <v>0</v>
          </cell>
          <cell r="U2248" t="e">
            <v>#N/A</v>
          </cell>
        </row>
        <row r="2249">
          <cell r="A2249">
            <v>1002243</v>
          </cell>
          <cell r="B2249" t="str">
            <v>Tarugo Plomo 3/8"x1 3/4"</v>
          </cell>
          <cell r="D2249">
            <v>5108</v>
          </cell>
          <cell r="E2249">
            <v>1000</v>
          </cell>
          <cell r="F2249" t="str">
            <v>ZALM</v>
          </cell>
          <cell r="G2249" t="str">
            <v>UN</v>
          </cell>
          <cell r="H2249" t="str">
            <v>DOP</v>
          </cell>
          <cell r="I2249">
            <v>2800</v>
          </cell>
          <cell r="J2249">
            <v>23385.97</v>
          </cell>
          <cell r="K2249">
            <v>0</v>
          </cell>
          <cell r="L2249">
            <v>0</v>
          </cell>
          <cell r="M2249">
            <v>0</v>
          </cell>
          <cell r="N2249">
            <v>0</v>
          </cell>
          <cell r="O2249">
            <v>0</v>
          </cell>
          <cell r="P2249">
            <v>0</v>
          </cell>
          <cell r="Q2249">
            <v>0</v>
          </cell>
          <cell r="R2249">
            <v>0</v>
          </cell>
          <cell r="S2249">
            <v>2800</v>
          </cell>
          <cell r="T2249">
            <v>23385.97</v>
          </cell>
          <cell r="U2249">
            <v>8.3521321428571405</v>
          </cell>
        </row>
        <row r="2250">
          <cell r="A2250">
            <v>1002244</v>
          </cell>
          <cell r="B2250" t="str">
            <v>Tonillo Maq Cab 3/8"x16"</v>
          </cell>
          <cell r="D2250">
            <v>5108</v>
          </cell>
          <cell r="E2250">
            <v>1000</v>
          </cell>
          <cell r="F2250" t="str">
            <v>ZALM</v>
          </cell>
          <cell r="G2250" t="str">
            <v>UN</v>
          </cell>
          <cell r="H2250" t="str">
            <v>DOP</v>
          </cell>
          <cell r="I2250">
            <v>0</v>
          </cell>
          <cell r="J2250">
            <v>0</v>
          </cell>
          <cell r="K2250">
            <v>0</v>
          </cell>
          <cell r="L2250">
            <v>0</v>
          </cell>
          <cell r="M2250">
            <v>0</v>
          </cell>
          <cell r="N2250">
            <v>0</v>
          </cell>
          <cell r="O2250">
            <v>0</v>
          </cell>
          <cell r="P2250">
            <v>0</v>
          </cell>
          <cell r="Q2250">
            <v>0</v>
          </cell>
          <cell r="R2250">
            <v>0</v>
          </cell>
          <cell r="S2250">
            <v>0</v>
          </cell>
          <cell r="T2250">
            <v>0</v>
          </cell>
          <cell r="U2250" t="e">
            <v>#N/A</v>
          </cell>
        </row>
        <row r="2251">
          <cell r="A2251">
            <v>1002245</v>
          </cell>
          <cell r="B2251" t="str">
            <v>Tonillo Maq Cab 3/8"x20"</v>
          </cell>
          <cell r="D2251">
            <v>5108</v>
          </cell>
          <cell r="E2251">
            <v>1000</v>
          </cell>
          <cell r="F2251" t="str">
            <v>ZALM</v>
          </cell>
          <cell r="G2251" t="str">
            <v>UN</v>
          </cell>
          <cell r="H2251" t="str">
            <v>DOP</v>
          </cell>
          <cell r="I2251">
            <v>0</v>
          </cell>
          <cell r="J2251">
            <v>0</v>
          </cell>
          <cell r="K2251">
            <v>0</v>
          </cell>
          <cell r="L2251">
            <v>0</v>
          </cell>
          <cell r="M2251">
            <v>0</v>
          </cell>
          <cell r="N2251">
            <v>0</v>
          </cell>
          <cell r="O2251">
            <v>0</v>
          </cell>
          <cell r="P2251">
            <v>0</v>
          </cell>
          <cell r="Q2251">
            <v>0</v>
          </cell>
          <cell r="R2251">
            <v>0</v>
          </cell>
          <cell r="S2251">
            <v>0</v>
          </cell>
          <cell r="T2251">
            <v>0</v>
          </cell>
          <cell r="U2251" t="e">
            <v>#N/A</v>
          </cell>
        </row>
        <row r="2252">
          <cell r="A2252">
            <v>1002246</v>
          </cell>
          <cell r="B2252" t="str">
            <v>Tornillo 1/2" C/ Tuerca y Arandela</v>
          </cell>
          <cell r="D2252">
            <v>5108</v>
          </cell>
          <cell r="E2252">
            <v>1000</v>
          </cell>
          <cell r="F2252" t="str">
            <v>ZALM</v>
          </cell>
          <cell r="G2252" t="str">
            <v>UN</v>
          </cell>
          <cell r="H2252" t="str">
            <v>DOP</v>
          </cell>
          <cell r="I2252">
            <v>0</v>
          </cell>
          <cell r="J2252">
            <v>0</v>
          </cell>
          <cell r="K2252">
            <v>0</v>
          </cell>
          <cell r="L2252">
            <v>0</v>
          </cell>
          <cell r="M2252">
            <v>0</v>
          </cell>
          <cell r="N2252">
            <v>0</v>
          </cell>
          <cell r="O2252">
            <v>0</v>
          </cell>
          <cell r="P2252">
            <v>0</v>
          </cell>
          <cell r="Q2252">
            <v>0</v>
          </cell>
          <cell r="R2252">
            <v>0</v>
          </cell>
          <cell r="S2252">
            <v>0</v>
          </cell>
          <cell r="T2252">
            <v>0</v>
          </cell>
          <cell r="U2252" t="e">
            <v>#N/A</v>
          </cell>
        </row>
        <row r="2253">
          <cell r="A2253">
            <v>1002247</v>
          </cell>
          <cell r="B2253" t="str">
            <v>Tornillo 1/2"x2 1/2"Acer Inox Rosc Corr</v>
          </cell>
          <cell r="D2253">
            <v>5108</v>
          </cell>
          <cell r="E2253">
            <v>1000</v>
          </cell>
          <cell r="F2253" t="str">
            <v>ZALM</v>
          </cell>
          <cell r="G2253" t="str">
            <v>UN</v>
          </cell>
          <cell r="H2253" t="str">
            <v>DOP</v>
          </cell>
          <cell r="I2253">
            <v>0</v>
          </cell>
          <cell r="J2253">
            <v>0</v>
          </cell>
          <cell r="K2253">
            <v>0</v>
          </cell>
          <cell r="L2253">
            <v>0</v>
          </cell>
          <cell r="M2253">
            <v>0</v>
          </cell>
          <cell r="N2253">
            <v>0</v>
          </cell>
          <cell r="O2253">
            <v>0</v>
          </cell>
          <cell r="P2253">
            <v>0</v>
          </cell>
          <cell r="Q2253">
            <v>0</v>
          </cell>
          <cell r="R2253">
            <v>0</v>
          </cell>
          <cell r="S2253">
            <v>0</v>
          </cell>
          <cell r="T2253">
            <v>0</v>
          </cell>
          <cell r="U2253" t="e">
            <v>#N/A</v>
          </cell>
        </row>
        <row r="2254">
          <cell r="A2254">
            <v>1002248</v>
          </cell>
          <cell r="B2254" t="str">
            <v>Tornillo 1/2"x3" Acer Inox Rosc Corr</v>
          </cell>
          <cell r="D2254">
            <v>5108</v>
          </cell>
          <cell r="E2254">
            <v>1000</v>
          </cell>
          <cell r="F2254" t="str">
            <v>ZALM</v>
          </cell>
          <cell r="G2254" t="str">
            <v>UN</v>
          </cell>
          <cell r="H2254" t="str">
            <v>DOP</v>
          </cell>
          <cell r="I2254">
            <v>0</v>
          </cell>
          <cell r="J2254">
            <v>0</v>
          </cell>
          <cell r="K2254">
            <v>0</v>
          </cell>
          <cell r="L2254">
            <v>0</v>
          </cell>
          <cell r="M2254">
            <v>0</v>
          </cell>
          <cell r="N2254">
            <v>0</v>
          </cell>
          <cell r="O2254">
            <v>0</v>
          </cell>
          <cell r="P2254">
            <v>0</v>
          </cell>
          <cell r="Q2254">
            <v>0</v>
          </cell>
          <cell r="R2254">
            <v>0</v>
          </cell>
          <cell r="S2254">
            <v>0</v>
          </cell>
          <cell r="T2254">
            <v>0</v>
          </cell>
          <cell r="U2254" t="e">
            <v>#N/A</v>
          </cell>
        </row>
        <row r="2255">
          <cell r="A2255">
            <v>1002249</v>
          </cell>
          <cell r="B2255" t="str">
            <v>Tornillo 3/16"x1" C/ Tuerca</v>
          </cell>
          <cell r="D2255">
            <v>5108</v>
          </cell>
          <cell r="E2255">
            <v>1000</v>
          </cell>
          <cell r="F2255" t="str">
            <v>ZALM</v>
          </cell>
          <cell r="G2255" t="str">
            <v>UN</v>
          </cell>
          <cell r="H2255" t="str">
            <v>DOP</v>
          </cell>
          <cell r="I2255">
            <v>0</v>
          </cell>
          <cell r="J2255">
            <v>0</v>
          </cell>
          <cell r="K2255">
            <v>0</v>
          </cell>
          <cell r="L2255">
            <v>0</v>
          </cell>
          <cell r="M2255">
            <v>0</v>
          </cell>
          <cell r="N2255">
            <v>0</v>
          </cell>
          <cell r="O2255">
            <v>0</v>
          </cell>
          <cell r="P2255">
            <v>0</v>
          </cell>
          <cell r="Q2255">
            <v>0</v>
          </cell>
          <cell r="R2255">
            <v>0</v>
          </cell>
          <cell r="S2255">
            <v>0</v>
          </cell>
          <cell r="T2255">
            <v>0</v>
          </cell>
          <cell r="U2255" t="e">
            <v>#N/A</v>
          </cell>
        </row>
        <row r="2256">
          <cell r="A2256">
            <v>1002250</v>
          </cell>
          <cell r="B2256" t="str">
            <v>Tornillo Acero Inox 1/2"x 2 1/2"</v>
          </cell>
          <cell r="D2256">
            <v>5108</v>
          </cell>
          <cell r="E2256">
            <v>1000</v>
          </cell>
          <cell r="F2256" t="str">
            <v>ZALM</v>
          </cell>
          <cell r="G2256" t="str">
            <v>UN</v>
          </cell>
          <cell r="H2256" t="str">
            <v>DOP</v>
          </cell>
          <cell r="I2256">
            <v>0</v>
          </cell>
          <cell r="J2256">
            <v>0</v>
          </cell>
          <cell r="K2256">
            <v>0</v>
          </cell>
          <cell r="L2256">
            <v>0</v>
          </cell>
          <cell r="M2256">
            <v>0</v>
          </cell>
          <cell r="N2256">
            <v>0</v>
          </cell>
          <cell r="O2256">
            <v>0</v>
          </cell>
          <cell r="P2256">
            <v>0</v>
          </cell>
          <cell r="Q2256">
            <v>0</v>
          </cell>
          <cell r="R2256">
            <v>0</v>
          </cell>
          <cell r="S2256">
            <v>0</v>
          </cell>
          <cell r="T2256">
            <v>0</v>
          </cell>
          <cell r="U2256" t="e">
            <v>#N/A</v>
          </cell>
        </row>
        <row r="2257">
          <cell r="A2257">
            <v>1002251</v>
          </cell>
          <cell r="B2257" t="str">
            <v>Tornillo Activ de Energía Atrav Reseteo</v>
          </cell>
          <cell r="D2257">
            <v>5108</v>
          </cell>
          <cell r="E2257">
            <v>1000</v>
          </cell>
          <cell r="F2257" t="str">
            <v>ZALM</v>
          </cell>
          <cell r="G2257" t="str">
            <v>UN</v>
          </cell>
          <cell r="H2257" t="str">
            <v>DOP</v>
          </cell>
          <cell r="I2257">
            <v>1360</v>
          </cell>
          <cell r="J2257">
            <v>14252.8</v>
          </cell>
          <cell r="K2257">
            <v>0</v>
          </cell>
          <cell r="L2257">
            <v>0</v>
          </cell>
          <cell r="M2257">
            <v>0</v>
          </cell>
          <cell r="N2257">
            <v>0</v>
          </cell>
          <cell r="O2257">
            <v>0</v>
          </cell>
          <cell r="P2257">
            <v>0</v>
          </cell>
          <cell r="Q2257">
            <v>0</v>
          </cell>
          <cell r="R2257">
            <v>0</v>
          </cell>
          <cell r="S2257">
            <v>1360</v>
          </cell>
          <cell r="T2257">
            <v>14252.8</v>
          </cell>
          <cell r="U2257">
            <v>10.48</v>
          </cell>
        </row>
        <row r="2258">
          <cell r="A2258">
            <v>1002252</v>
          </cell>
          <cell r="B2258" t="str">
            <v>Tornillo Aluminio Terminal ACF7CY90</v>
          </cell>
          <cell r="D2258">
            <v>5108</v>
          </cell>
          <cell r="E2258">
            <v>1000</v>
          </cell>
          <cell r="F2258" t="str">
            <v>ZALM</v>
          </cell>
          <cell r="G2258" t="str">
            <v>UN</v>
          </cell>
          <cell r="H2258" t="str">
            <v>DOP</v>
          </cell>
          <cell r="I2258">
            <v>0</v>
          </cell>
          <cell r="J2258">
            <v>0</v>
          </cell>
          <cell r="K2258">
            <v>0</v>
          </cell>
          <cell r="L2258">
            <v>0</v>
          </cell>
          <cell r="M2258">
            <v>0</v>
          </cell>
          <cell r="N2258">
            <v>0</v>
          </cell>
          <cell r="O2258">
            <v>0</v>
          </cell>
          <cell r="P2258">
            <v>0</v>
          </cell>
          <cell r="Q2258">
            <v>0</v>
          </cell>
          <cell r="R2258">
            <v>0</v>
          </cell>
          <cell r="S2258">
            <v>0</v>
          </cell>
          <cell r="T2258">
            <v>0</v>
          </cell>
          <cell r="U2258" t="e">
            <v>#N/A</v>
          </cell>
        </row>
        <row r="2259">
          <cell r="A2259">
            <v>1002253</v>
          </cell>
          <cell r="B2259" t="str">
            <v>Tornillo Aluminio Terminal SHHO80C</v>
          </cell>
          <cell r="D2259">
            <v>5108</v>
          </cell>
          <cell r="E2259">
            <v>1000</v>
          </cell>
          <cell r="F2259" t="str">
            <v>ZALM</v>
          </cell>
          <cell r="G2259" t="str">
            <v>UN</v>
          </cell>
          <cell r="H2259" t="str">
            <v>DOP</v>
          </cell>
          <cell r="I2259">
            <v>0</v>
          </cell>
          <cell r="J2259">
            <v>0</v>
          </cell>
          <cell r="K2259">
            <v>0</v>
          </cell>
          <cell r="L2259">
            <v>0</v>
          </cell>
          <cell r="M2259">
            <v>0</v>
          </cell>
          <cell r="N2259">
            <v>0</v>
          </cell>
          <cell r="O2259">
            <v>0</v>
          </cell>
          <cell r="P2259">
            <v>0</v>
          </cell>
          <cell r="Q2259">
            <v>0</v>
          </cell>
          <cell r="R2259">
            <v>0</v>
          </cell>
          <cell r="S2259">
            <v>0</v>
          </cell>
          <cell r="T2259">
            <v>0</v>
          </cell>
          <cell r="U2259" t="e">
            <v>#N/A</v>
          </cell>
        </row>
        <row r="2260">
          <cell r="A2260">
            <v>1002254</v>
          </cell>
          <cell r="B2260" t="str">
            <v>Tornillo Aluminio Terminal T</v>
          </cell>
          <cell r="D2260">
            <v>5108</v>
          </cell>
          <cell r="E2260">
            <v>1000</v>
          </cell>
          <cell r="F2260" t="str">
            <v>ZALM</v>
          </cell>
          <cell r="G2260" t="str">
            <v>UN</v>
          </cell>
          <cell r="H2260" t="str">
            <v>DOP</v>
          </cell>
          <cell r="I2260">
            <v>0</v>
          </cell>
          <cell r="J2260">
            <v>0</v>
          </cell>
          <cell r="K2260">
            <v>0</v>
          </cell>
          <cell r="L2260">
            <v>0</v>
          </cell>
          <cell r="M2260">
            <v>0</v>
          </cell>
          <cell r="N2260">
            <v>0</v>
          </cell>
          <cell r="O2260">
            <v>0</v>
          </cell>
          <cell r="P2260">
            <v>0</v>
          </cell>
          <cell r="Q2260">
            <v>0</v>
          </cell>
          <cell r="R2260">
            <v>0</v>
          </cell>
          <cell r="S2260">
            <v>0</v>
          </cell>
          <cell r="T2260">
            <v>0</v>
          </cell>
          <cell r="U2260" t="e">
            <v>#N/A</v>
          </cell>
        </row>
        <row r="2261">
          <cell r="A2261">
            <v>1002255</v>
          </cell>
          <cell r="B2261" t="str">
            <v>Tornillo Antifrau P/ Activar Corte Energ</v>
          </cell>
          <cell r="D2261">
            <v>5108</v>
          </cell>
          <cell r="E2261">
            <v>1000</v>
          </cell>
          <cell r="F2261" t="str">
            <v>ZALM</v>
          </cell>
          <cell r="G2261" t="str">
            <v>UN</v>
          </cell>
          <cell r="H2261" t="str">
            <v>DOP</v>
          </cell>
          <cell r="I2261">
            <v>0</v>
          </cell>
          <cell r="J2261">
            <v>0</v>
          </cell>
          <cell r="K2261">
            <v>0</v>
          </cell>
          <cell r="L2261">
            <v>0</v>
          </cell>
          <cell r="M2261">
            <v>0</v>
          </cell>
          <cell r="N2261">
            <v>0</v>
          </cell>
          <cell r="O2261">
            <v>0</v>
          </cell>
          <cell r="P2261">
            <v>0</v>
          </cell>
          <cell r="Q2261">
            <v>0</v>
          </cell>
          <cell r="R2261">
            <v>0</v>
          </cell>
          <cell r="S2261">
            <v>0</v>
          </cell>
          <cell r="T2261">
            <v>0</v>
          </cell>
          <cell r="U2261" t="e">
            <v>#N/A</v>
          </cell>
        </row>
        <row r="2262">
          <cell r="A2262">
            <v>1002256</v>
          </cell>
          <cell r="B2262" t="str">
            <v>Tornillo Antifrau P/ Cierre de Caja</v>
          </cell>
          <cell r="D2262">
            <v>5108</v>
          </cell>
          <cell r="E2262">
            <v>1000</v>
          </cell>
          <cell r="F2262" t="str">
            <v>ZALM</v>
          </cell>
          <cell r="G2262" t="str">
            <v>UN</v>
          </cell>
          <cell r="H2262" t="str">
            <v>DOP</v>
          </cell>
          <cell r="I2262">
            <v>0</v>
          </cell>
          <cell r="J2262">
            <v>0</v>
          </cell>
          <cell r="K2262">
            <v>0</v>
          </cell>
          <cell r="L2262">
            <v>0</v>
          </cell>
          <cell r="M2262">
            <v>0</v>
          </cell>
          <cell r="N2262">
            <v>0</v>
          </cell>
          <cell r="O2262">
            <v>0</v>
          </cell>
          <cell r="P2262">
            <v>0</v>
          </cell>
          <cell r="Q2262">
            <v>0</v>
          </cell>
          <cell r="R2262">
            <v>0</v>
          </cell>
          <cell r="S2262">
            <v>0</v>
          </cell>
          <cell r="T2262">
            <v>0</v>
          </cell>
          <cell r="U2262" t="e">
            <v>#N/A</v>
          </cell>
        </row>
        <row r="2263">
          <cell r="A2263">
            <v>1002257</v>
          </cell>
          <cell r="B2263" t="str">
            <v>Tornillo Autoperf Cab Hex Zn1/4"x1 3/16"</v>
          </cell>
          <cell r="D2263">
            <v>5108</v>
          </cell>
          <cell r="E2263">
            <v>1000</v>
          </cell>
          <cell r="F2263" t="str">
            <v>ZALM</v>
          </cell>
          <cell r="G2263" t="str">
            <v>UN</v>
          </cell>
          <cell r="H2263" t="str">
            <v>DOP</v>
          </cell>
          <cell r="I2263">
            <v>3620</v>
          </cell>
          <cell r="J2263">
            <v>6298.8</v>
          </cell>
          <cell r="K2263">
            <v>0</v>
          </cell>
          <cell r="L2263">
            <v>0</v>
          </cell>
          <cell r="M2263">
            <v>0</v>
          </cell>
          <cell r="N2263">
            <v>0</v>
          </cell>
          <cell r="O2263">
            <v>0</v>
          </cell>
          <cell r="P2263">
            <v>0</v>
          </cell>
          <cell r="Q2263">
            <v>0</v>
          </cell>
          <cell r="R2263">
            <v>0</v>
          </cell>
          <cell r="S2263">
            <v>3620</v>
          </cell>
          <cell r="T2263">
            <v>6298.8</v>
          </cell>
          <cell r="U2263">
            <v>1.74</v>
          </cell>
        </row>
        <row r="2264">
          <cell r="A2264">
            <v>1002258</v>
          </cell>
          <cell r="B2264" t="str">
            <v>Tornillo Cab Estria 2x12mm</v>
          </cell>
          <cell r="D2264">
            <v>5108</v>
          </cell>
          <cell r="E2264">
            <v>1000</v>
          </cell>
          <cell r="F2264" t="str">
            <v>ZALM</v>
          </cell>
          <cell r="G2264" t="str">
            <v>UN</v>
          </cell>
          <cell r="H2264" t="str">
            <v>DOP</v>
          </cell>
          <cell r="I2264">
            <v>925</v>
          </cell>
          <cell r="J2264">
            <v>222</v>
          </cell>
          <cell r="K2264">
            <v>0</v>
          </cell>
          <cell r="L2264">
            <v>0</v>
          </cell>
          <cell r="M2264">
            <v>0</v>
          </cell>
          <cell r="N2264">
            <v>0</v>
          </cell>
          <cell r="O2264">
            <v>0</v>
          </cell>
          <cell r="P2264">
            <v>0</v>
          </cell>
          <cell r="Q2264">
            <v>0</v>
          </cell>
          <cell r="R2264">
            <v>0</v>
          </cell>
          <cell r="S2264">
            <v>925</v>
          </cell>
          <cell r="T2264">
            <v>222</v>
          </cell>
          <cell r="U2264">
            <v>0.24</v>
          </cell>
        </row>
        <row r="2265">
          <cell r="A2265">
            <v>1002259</v>
          </cell>
          <cell r="B2265" t="str">
            <v>Tornillo Cab Hex 1 1/2"x12" Cab Curva</v>
          </cell>
          <cell r="D2265">
            <v>5108</v>
          </cell>
          <cell r="E2265">
            <v>1000</v>
          </cell>
          <cell r="F2265" t="str">
            <v>ZALM</v>
          </cell>
          <cell r="G2265" t="str">
            <v>UN</v>
          </cell>
          <cell r="H2265" t="str">
            <v>DOP</v>
          </cell>
          <cell r="I2265">
            <v>0</v>
          </cell>
          <cell r="J2265">
            <v>0</v>
          </cell>
          <cell r="K2265">
            <v>0</v>
          </cell>
          <cell r="L2265">
            <v>0</v>
          </cell>
          <cell r="M2265">
            <v>0</v>
          </cell>
          <cell r="N2265">
            <v>0</v>
          </cell>
          <cell r="O2265">
            <v>0</v>
          </cell>
          <cell r="P2265">
            <v>0</v>
          </cell>
          <cell r="Q2265">
            <v>0</v>
          </cell>
          <cell r="R2265">
            <v>0</v>
          </cell>
          <cell r="S2265">
            <v>0</v>
          </cell>
          <cell r="T2265">
            <v>0</v>
          </cell>
          <cell r="U2265" t="e">
            <v>#N/A</v>
          </cell>
        </row>
        <row r="2266">
          <cell r="A2266">
            <v>1002260</v>
          </cell>
          <cell r="B2266" t="str">
            <v>Tornillo Cab Hex 1 1/2"x9"</v>
          </cell>
          <cell r="D2266">
            <v>5108</v>
          </cell>
          <cell r="E2266">
            <v>1000</v>
          </cell>
          <cell r="F2266" t="str">
            <v>ZALM</v>
          </cell>
          <cell r="G2266" t="str">
            <v>UN</v>
          </cell>
          <cell r="H2266" t="str">
            <v>DOP</v>
          </cell>
          <cell r="I2266">
            <v>0</v>
          </cell>
          <cell r="J2266">
            <v>0</v>
          </cell>
          <cell r="K2266">
            <v>0</v>
          </cell>
          <cell r="L2266">
            <v>0</v>
          </cell>
          <cell r="M2266">
            <v>0</v>
          </cell>
          <cell r="N2266">
            <v>0</v>
          </cell>
          <cell r="O2266">
            <v>0</v>
          </cell>
          <cell r="P2266">
            <v>0</v>
          </cell>
          <cell r="Q2266">
            <v>0</v>
          </cell>
          <cell r="R2266">
            <v>0</v>
          </cell>
          <cell r="S2266">
            <v>0</v>
          </cell>
          <cell r="T2266">
            <v>0</v>
          </cell>
          <cell r="U2266" t="e">
            <v>#N/A</v>
          </cell>
        </row>
        <row r="2267">
          <cell r="A2267">
            <v>1002261</v>
          </cell>
          <cell r="B2267" t="str">
            <v>Tornillo Cab Hex 1/2"x1 1/2" Tirafondo</v>
          </cell>
          <cell r="D2267">
            <v>5108</v>
          </cell>
          <cell r="E2267">
            <v>1000</v>
          </cell>
          <cell r="F2267" t="str">
            <v>ZALM</v>
          </cell>
          <cell r="G2267" t="str">
            <v>UN</v>
          </cell>
          <cell r="H2267" t="str">
            <v>DOP</v>
          </cell>
          <cell r="I2267">
            <v>0</v>
          </cell>
          <cell r="J2267">
            <v>0</v>
          </cell>
          <cell r="K2267">
            <v>0</v>
          </cell>
          <cell r="L2267">
            <v>0</v>
          </cell>
          <cell r="M2267">
            <v>0</v>
          </cell>
          <cell r="N2267">
            <v>0</v>
          </cell>
          <cell r="O2267">
            <v>0</v>
          </cell>
          <cell r="P2267">
            <v>0</v>
          </cell>
          <cell r="Q2267">
            <v>0</v>
          </cell>
          <cell r="R2267">
            <v>0</v>
          </cell>
          <cell r="S2267">
            <v>0</v>
          </cell>
          <cell r="T2267">
            <v>0</v>
          </cell>
          <cell r="U2267" t="e">
            <v>#N/A</v>
          </cell>
        </row>
        <row r="2268">
          <cell r="A2268">
            <v>1002262</v>
          </cell>
          <cell r="B2268" t="str">
            <v>Tornillo Cab Hex 1/2"x1"</v>
          </cell>
          <cell r="D2268">
            <v>5108</v>
          </cell>
          <cell r="E2268">
            <v>1000</v>
          </cell>
          <cell r="F2268" t="str">
            <v>ZALM</v>
          </cell>
          <cell r="G2268" t="str">
            <v>UN</v>
          </cell>
          <cell r="H2268" t="str">
            <v>DOP</v>
          </cell>
          <cell r="I2268">
            <v>0</v>
          </cell>
          <cell r="J2268">
            <v>0</v>
          </cell>
          <cell r="K2268">
            <v>0</v>
          </cell>
          <cell r="L2268">
            <v>0</v>
          </cell>
          <cell r="M2268">
            <v>0</v>
          </cell>
          <cell r="N2268">
            <v>0</v>
          </cell>
          <cell r="O2268">
            <v>0</v>
          </cell>
          <cell r="P2268">
            <v>0</v>
          </cell>
          <cell r="Q2268">
            <v>0</v>
          </cell>
          <cell r="R2268">
            <v>0</v>
          </cell>
          <cell r="S2268">
            <v>0</v>
          </cell>
          <cell r="T2268">
            <v>0</v>
          </cell>
          <cell r="U2268" t="e">
            <v>#N/A</v>
          </cell>
        </row>
        <row r="2269">
          <cell r="A2269">
            <v>1002263</v>
          </cell>
          <cell r="B2269" t="str">
            <v>Tornillo Cab Hex 1/2"x2" Tirafondo</v>
          </cell>
          <cell r="D2269">
            <v>5108</v>
          </cell>
          <cell r="E2269">
            <v>1000</v>
          </cell>
          <cell r="F2269" t="str">
            <v>ZALM</v>
          </cell>
          <cell r="G2269" t="str">
            <v>UN</v>
          </cell>
          <cell r="H2269" t="str">
            <v>DOP</v>
          </cell>
          <cell r="I2269">
            <v>0</v>
          </cell>
          <cell r="J2269">
            <v>0</v>
          </cell>
          <cell r="K2269">
            <v>0</v>
          </cell>
          <cell r="L2269">
            <v>0</v>
          </cell>
          <cell r="M2269">
            <v>0</v>
          </cell>
          <cell r="N2269">
            <v>0</v>
          </cell>
          <cell r="O2269">
            <v>0</v>
          </cell>
          <cell r="P2269">
            <v>0</v>
          </cell>
          <cell r="Q2269">
            <v>0</v>
          </cell>
          <cell r="R2269">
            <v>0</v>
          </cell>
          <cell r="S2269">
            <v>0</v>
          </cell>
          <cell r="T2269">
            <v>0</v>
          </cell>
          <cell r="U2269" t="e">
            <v>#N/A</v>
          </cell>
        </row>
        <row r="2270">
          <cell r="A2270">
            <v>1002264</v>
          </cell>
          <cell r="B2270" t="str">
            <v>Tornillo Cab Hex 1/2"x3" Tirafondo</v>
          </cell>
          <cell r="D2270">
            <v>5108</v>
          </cell>
          <cell r="E2270">
            <v>1000</v>
          </cell>
          <cell r="F2270" t="str">
            <v>ZALM</v>
          </cell>
          <cell r="G2270" t="str">
            <v>UN</v>
          </cell>
          <cell r="H2270" t="str">
            <v>DOP</v>
          </cell>
          <cell r="I2270">
            <v>0</v>
          </cell>
          <cell r="J2270">
            <v>0</v>
          </cell>
          <cell r="K2270">
            <v>0</v>
          </cell>
          <cell r="L2270">
            <v>0</v>
          </cell>
          <cell r="M2270">
            <v>0</v>
          </cell>
          <cell r="N2270">
            <v>0</v>
          </cell>
          <cell r="O2270">
            <v>0</v>
          </cell>
          <cell r="P2270">
            <v>0</v>
          </cell>
          <cell r="Q2270">
            <v>0</v>
          </cell>
          <cell r="R2270">
            <v>0</v>
          </cell>
          <cell r="S2270">
            <v>0</v>
          </cell>
          <cell r="T2270">
            <v>0</v>
          </cell>
          <cell r="U2270" t="e">
            <v>#N/A</v>
          </cell>
        </row>
        <row r="2271">
          <cell r="A2271">
            <v>1002265</v>
          </cell>
          <cell r="B2271" t="str">
            <v>Tornillo Cab Hex 3/8"x1"</v>
          </cell>
          <cell r="D2271">
            <v>5108</v>
          </cell>
          <cell r="E2271">
            <v>1000</v>
          </cell>
          <cell r="F2271" t="str">
            <v>ZALM</v>
          </cell>
          <cell r="G2271" t="str">
            <v>UN</v>
          </cell>
          <cell r="H2271" t="str">
            <v>DOP</v>
          </cell>
          <cell r="I2271">
            <v>0</v>
          </cell>
          <cell r="J2271">
            <v>0</v>
          </cell>
          <cell r="K2271">
            <v>0</v>
          </cell>
          <cell r="L2271">
            <v>0</v>
          </cell>
          <cell r="M2271">
            <v>0</v>
          </cell>
          <cell r="N2271">
            <v>0</v>
          </cell>
          <cell r="O2271">
            <v>0</v>
          </cell>
          <cell r="P2271">
            <v>0</v>
          </cell>
          <cell r="Q2271">
            <v>0</v>
          </cell>
          <cell r="R2271">
            <v>0</v>
          </cell>
          <cell r="S2271">
            <v>0</v>
          </cell>
          <cell r="T2271">
            <v>0</v>
          </cell>
          <cell r="U2271" t="e">
            <v>#N/A</v>
          </cell>
        </row>
        <row r="2272">
          <cell r="A2272">
            <v>1002266</v>
          </cell>
          <cell r="B2272" t="str">
            <v>Tornillo Cab Hex 7/16"-14x3/4"</v>
          </cell>
          <cell r="D2272">
            <v>5108</v>
          </cell>
          <cell r="E2272">
            <v>1000</v>
          </cell>
          <cell r="F2272" t="str">
            <v>ZALM</v>
          </cell>
          <cell r="G2272" t="str">
            <v>UN</v>
          </cell>
          <cell r="H2272" t="str">
            <v>DOP</v>
          </cell>
          <cell r="I2272">
            <v>0</v>
          </cell>
          <cell r="J2272">
            <v>0</v>
          </cell>
          <cell r="K2272">
            <v>0</v>
          </cell>
          <cell r="L2272">
            <v>0</v>
          </cell>
          <cell r="M2272">
            <v>0</v>
          </cell>
          <cell r="N2272">
            <v>0</v>
          </cell>
          <cell r="O2272">
            <v>0</v>
          </cell>
          <cell r="P2272">
            <v>0</v>
          </cell>
          <cell r="Q2272">
            <v>0</v>
          </cell>
          <cell r="R2272">
            <v>0</v>
          </cell>
          <cell r="S2272">
            <v>0</v>
          </cell>
          <cell r="T2272">
            <v>0</v>
          </cell>
          <cell r="U2272" t="e">
            <v>#N/A</v>
          </cell>
        </row>
        <row r="2273">
          <cell r="A2273">
            <v>1002267</v>
          </cell>
          <cell r="B2273" t="str">
            <v>Tornillo Cab Hex Ace Inox 1/2"x2" Rosc C</v>
          </cell>
          <cell r="D2273">
            <v>5108</v>
          </cell>
          <cell r="E2273">
            <v>1000</v>
          </cell>
          <cell r="F2273" t="str">
            <v>ZALM</v>
          </cell>
          <cell r="G2273" t="str">
            <v>UN</v>
          </cell>
          <cell r="H2273" t="str">
            <v>DOP</v>
          </cell>
          <cell r="I2273">
            <v>0</v>
          </cell>
          <cell r="J2273">
            <v>0</v>
          </cell>
          <cell r="K2273">
            <v>0</v>
          </cell>
          <cell r="L2273">
            <v>0</v>
          </cell>
          <cell r="M2273">
            <v>0</v>
          </cell>
          <cell r="N2273">
            <v>0</v>
          </cell>
          <cell r="O2273">
            <v>0</v>
          </cell>
          <cell r="P2273">
            <v>0</v>
          </cell>
          <cell r="Q2273">
            <v>0</v>
          </cell>
          <cell r="R2273">
            <v>0</v>
          </cell>
          <cell r="S2273">
            <v>0</v>
          </cell>
          <cell r="T2273">
            <v>0</v>
          </cell>
          <cell r="U2273" t="e">
            <v>#N/A</v>
          </cell>
        </row>
        <row r="2274">
          <cell r="A2274">
            <v>1002268</v>
          </cell>
          <cell r="B2274" t="str">
            <v>Tornillo Cab Hex Acero Inox 1/2"x2"</v>
          </cell>
          <cell r="D2274">
            <v>5108</v>
          </cell>
          <cell r="E2274">
            <v>1000</v>
          </cell>
          <cell r="F2274" t="str">
            <v>ZALM</v>
          </cell>
          <cell r="G2274" t="str">
            <v>UN</v>
          </cell>
          <cell r="H2274" t="str">
            <v>DOP</v>
          </cell>
          <cell r="I2274">
            <v>0</v>
          </cell>
          <cell r="J2274">
            <v>0</v>
          </cell>
          <cell r="K2274">
            <v>0</v>
          </cell>
          <cell r="L2274">
            <v>0</v>
          </cell>
          <cell r="M2274">
            <v>0</v>
          </cell>
          <cell r="N2274">
            <v>0</v>
          </cell>
          <cell r="O2274">
            <v>0</v>
          </cell>
          <cell r="P2274">
            <v>0</v>
          </cell>
          <cell r="Q2274">
            <v>0</v>
          </cell>
          <cell r="R2274">
            <v>0</v>
          </cell>
          <cell r="S2274">
            <v>0</v>
          </cell>
          <cell r="T2274">
            <v>0</v>
          </cell>
          <cell r="U2274" t="e">
            <v>#N/A</v>
          </cell>
        </row>
        <row r="2275">
          <cell r="A2275">
            <v>1002269</v>
          </cell>
          <cell r="B2275" t="str">
            <v>Tornillo Cab Hong Cuello Cuad 3/8x2 1/2"</v>
          </cell>
          <cell r="D2275">
            <v>5108</v>
          </cell>
          <cell r="E2275">
            <v>1000</v>
          </cell>
          <cell r="F2275" t="str">
            <v>ZALM</v>
          </cell>
          <cell r="G2275" t="str">
            <v>UN</v>
          </cell>
          <cell r="H2275" t="str">
            <v>DOP</v>
          </cell>
          <cell r="I2275">
            <v>0</v>
          </cell>
          <cell r="J2275">
            <v>0</v>
          </cell>
          <cell r="K2275">
            <v>0</v>
          </cell>
          <cell r="L2275">
            <v>0</v>
          </cell>
          <cell r="M2275">
            <v>0</v>
          </cell>
          <cell r="N2275">
            <v>0</v>
          </cell>
          <cell r="O2275">
            <v>0</v>
          </cell>
          <cell r="P2275">
            <v>0</v>
          </cell>
          <cell r="Q2275">
            <v>0</v>
          </cell>
          <cell r="R2275">
            <v>0</v>
          </cell>
          <cell r="S2275">
            <v>0</v>
          </cell>
          <cell r="T2275">
            <v>0</v>
          </cell>
          <cell r="U2275" t="e">
            <v>#N/A</v>
          </cell>
        </row>
        <row r="2276">
          <cell r="A2276">
            <v>1002270</v>
          </cell>
          <cell r="B2276" t="str">
            <v>Tornillo Cab Hong Cuello Cuad 3/8x3 1/2"</v>
          </cell>
          <cell r="D2276">
            <v>5108</v>
          </cell>
          <cell r="E2276">
            <v>1000</v>
          </cell>
          <cell r="F2276" t="str">
            <v>ZALM</v>
          </cell>
          <cell r="G2276" t="str">
            <v>UN</v>
          </cell>
          <cell r="H2276" t="str">
            <v>DOP</v>
          </cell>
          <cell r="I2276">
            <v>2349</v>
          </cell>
          <cell r="J2276">
            <v>15479.91</v>
          </cell>
          <cell r="K2276">
            <v>0</v>
          </cell>
          <cell r="L2276">
            <v>0</v>
          </cell>
          <cell r="M2276">
            <v>0</v>
          </cell>
          <cell r="N2276">
            <v>0</v>
          </cell>
          <cell r="O2276">
            <v>0</v>
          </cell>
          <cell r="P2276">
            <v>0</v>
          </cell>
          <cell r="Q2276">
            <v>574</v>
          </cell>
          <cell r="R2276">
            <v>3782.66</v>
          </cell>
          <cell r="S2276">
            <v>2923</v>
          </cell>
          <cell r="T2276">
            <v>19262.57</v>
          </cell>
          <cell r="U2276">
            <v>6.59</v>
          </cell>
        </row>
        <row r="2277">
          <cell r="A2277">
            <v>1002271</v>
          </cell>
          <cell r="B2277" t="str">
            <v>Tornillo Cab Hong Cuello Cuad 3/8x4 1/2"</v>
          </cell>
          <cell r="D2277">
            <v>5108</v>
          </cell>
          <cell r="E2277">
            <v>1000</v>
          </cell>
          <cell r="F2277" t="str">
            <v>ZALM</v>
          </cell>
          <cell r="G2277" t="str">
            <v>UN</v>
          </cell>
          <cell r="H2277" t="str">
            <v>DOP</v>
          </cell>
          <cell r="I2277">
            <v>1031</v>
          </cell>
          <cell r="J2277">
            <v>4639.5</v>
          </cell>
          <cell r="K2277">
            <v>0</v>
          </cell>
          <cell r="L2277">
            <v>0</v>
          </cell>
          <cell r="M2277">
            <v>0</v>
          </cell>
          <cell r="N2277">
            <v>0</v>
          </cell>
          <cell r="O2277">
            <v>0</v>
          </cell>
          <cell r="P2277">
            <v>0</v>
          </cell>
          <cell r="Q2277">
            <v>0</v>
          </cell>
          <cell r="R2277">
            <v>0</v>
          </cell>
          <cell r="S2277">
            <v>1031</v>
          </cell>
          <cell r="T2277">
            <v>4639.5</v>
          </cell>
          <cell r="U2277">
            <v>4.5</v>
          </cell>
        </row>
        <row r="2278">
          <cell r="A2278">
            <v>1002272</v>
          </cell>
          <cell r="B2278" t="str">
            <v>Tornillo Cab Hong Cuello Cuad 3/8x5 1/2"</v>
          </cell>
          <cell r="D2278">
            <v>5108</v>
          </cell>
          <cell r="E2278">
            <v>1000</v>
          </cell>
          <cell r="F2278" t="str">
            <v>ZALM</v>
          </cell>
          <cell r="G2278" t="str">
            <v>UN</v>
          </cell>
          <cell r="H2278" t="str">
            <v>DOP</v>
          </cell>
          <cell r="I2278">
            <v>0</v>
          </cell>
          <cell r="J2278">
            <v>0</v>
          </cell>
          <cell r="K2278">
            <v>0</v>
          </cell>
          <cell r="L2278">
            <v>0</v>
          </cell>
          <cell r="M2278">
            <v>0</v>
          </cell>
          <cell r="N2278">
            <v>0</v>
          </cell>
          <cell r="O2278">
            <v>0</v>
          </cell>
          <cell r="P2278">
            <v>0</v>
          </cell>
          <cell r="Q2278">
            <v>150</v>
          </cell>
          <cell r="R2278">
            <v>1345.5</v>
          </cell>
          <cell r="S2278">
            <v>150</v>
          </cell>
          <cell r="T2278">
            <v>1345.5</v>
          </cell>
          <cell r="U2278">
            <v>8.9700000000000006</v>
          </cell>
        </row>
        <row r="2279">
          <cell r="A2279">
            <v>1002273</v>
          </cell>
          <cell r="B2279" t="str">
            <v>Tornillo Cab Hong Cuello Cuad 3/8x5 3/4"</v>
          </cell>
          <cell r="D2279">
            <v>5108</v>
          </cell>
          <cell r="E2279">
            <v>1000</v>
          </cell>
          <cell r="F2279" t="str">
            <v>ZALM</v>
          </cell>
          <cell r="G2279" t="str">
            <v>UN</v>
          </cell>
          <cell r="H2279" t="str">
            <v>DOP</v>
          </cell>
          <cell r="I2279">
            <v>0</v>
          </cell>
          <cell r="J2279">
            <v>0</v>
          </cell>
          <cell r="K2279">
            <v>0</v>
          </cell>
          <cell r="L2279">
            <v>0</v>
          </cell>
          <cell r="M2279">
            <v>0</v>
          </cell>
          <cell r="N2279">
            <v>0</v>
          </cell>
          <cell r="O2279">
            <v>0</v>
          </cell>
          <cell r="P2279">
            <v>0</v>
          </cell>
          <cell r="Q2279">
            <v>0</v>
          </cell>
          <cell r="R2279">
            <v>0</v>
          </cell>
          <cell r="S2279">
            <v>0</v>
          </cell>
          <cell r="T2279">
            <v>0</v>
          </cell>
          <cell r="U2279" t="e">
            <v>#N/A</v>
          </cell>
        </row>
        <row r="2280">
          <cell r="A2280">
            <v>1002274</v>
          </cell>
          <cell r="B2280" t="str">
            <v>Tornillo Cab Hongo Cuello Cuad 3/8x7"</v>
          </cell>
          <cell r="D2280">
            <v>5108</v>
          </cell>
          <cell r="E2280">
            <v>1000</v>
          </cell>
          <cell r="F2280" t="str">
            <v>ZALM</v>
          </cell>
          <cell r="G2280" t="str">
            <v>UN</v>
          </cell>
          <cell r="H2280" t="str">
            <v>DOP</v>
          </cell>
          <cell r="I2280">
            <v>0</v>
          </cell>
          <cell r="J2280">
            <v>0</v>
          </cell>
          <cell r="K2280">
            <v>0</v>
          </cell>
          <cell r="L2280">
            <v>0</v>
          </cell>
          <cell r="M2280">
            <v>0</v>
          </cell>
          <cell r="N2280">
            <v>0</v>
          </cell>
          <cell r="O2280">
            <v>0</v>
          </cell>
          <cell r="P2280">
            <v>0</v>
          </cell>
          <cell r="Q2280">
            <v>10</v>
          </cell>
          <cell r="R2280">
            <v>50</v>
          </cell>
          <cell r="S2280">
            <v>10</v>
          </cell>
          <cell r="T2280">
            <v>50</v>
          </cell>
          <cell r="U2280">
            <v>5</v>
          </cell>
        </row>
        <row r="2281">
          <cell r="A2281">
            <v>1002275</v>
          </cell>
          <cell r="B2281" t="str">
            <v>Tornillo Carruaje de 1/2"x2 1/2"</v>
          </cell>
          <cell r="D2281">
            <v>5108</v>
          </cell>
          <cell r="E2281">
            <v>1000</v>
          </cell>
          <cell r="F2281" t="str">
            <v>ZALM</v>
          </cell>
          <cell r="G2281" t="str">
            <v>UN</v>
          </cell>
          <cell r="H2281" t="str">
            <v>DOP</v>
          </cell>
          <cell r="I2281">
            <v>0</v>
          </cell>
          <cell r="J2281">
            <v>0</v>
          </cell>
          <cell r="K2281">
            <v>0</v>
          </cell>
          <cell r="L2281">
            <v>0</v>
          </cell>
          <cell r="M2281">
            <v>0</v>
          </cell>
          <cell r="N2281">
            <v>0</v>
          </cell>
          <cell r="O2281">
            <v>0</v>
          </cell>
          <cell r="P2281">
            <v>0</v>
          </cell>
          <cell r="Q2281">
            <v>0</v>
          </cell>
          <cell r="R2281">
            <v>0</v>
          </cell>
          <cell r="S2281">
            <v>0</v>
          </cell>
          <cell r="T2281">
            <v>0</v>
          </cell>
          <cell r="U2281" t="e">
            <v>#N/A</v>
          </cell>
        </row>
        <row r="2282">
          <cell r="A2282">
            <v>1002276</v>
          </cell>
          <cell r="B2282" t="str">
            <v>Tornillo Carruaje de 5/8"x2 1/2"</v>
          </cell>
          <cell r="D2282">
            <v>5108</v>
          </cell>
          <cell r="E2282">
            <v>1000</v>
          </cell>
          <cell r="F2282" t="str">
            <v>ZALM</v>
          </cell>
          <cell r="G2282" t="str">
            <v>UN</v>
          </cell>
          <cell r="H2282" t="str">
            <v>DOP</v>
          </cell>
          <cell r="I2282">
            <v>0</v>
          </cell>
          <cell r="J2282">
            <v>0</v>
          </cell>
          <cell r="K2282">
            <v>0</v>
          </cell>
          <cell r="L2282">
            <v>0</v>
          </cell>
          <cell r="M2282">
            <v>0</v>
          </cell>
          <cell r="N2282">
            <v>0</v>
          </cell>
          <cell r="O2282">
            <v>0</v>
          </cell>
          <cell r="P2282">
            <v>0</v>
          </cell>
          <cell r="Q2282">
            <v>0</v>
          </cell>
          <cell r="R2282">
            <v>0</v>
          </cell>
          <cell r="S2282">
            <v>0</v>
          </cell>
          <cell r="T2282">
            <v>0</v>
          </cell>
          <cell r="U2282" t="e">
            <v>#N/A</v>
          </cell>
        </row>
        <row r="2283">
          <cell r="A2283">
            <v>1002277</v>
          </cell>
          <cell r="B2283" t="str">
            <v>Tornillo Carruaje de 5/8"x6"</v>
          </cell>
          <cell r="D2283">
            <v>5108</v>
          </cell>
          <cell r="E2283">
            <v>1000</v>
          </cell>
          <cell r="F2283" t="str">
            <v>ZALM</v>
          </cell>
          <cell r="G2283" t="str">
            <v>UN</v>
          </cell>
          <cell r="H2283" t="str">
            <v>DOP</v>
          </cell>
          <cell r="I2283">
            <v>0</v>
          </cell>
          <cell r="J2283">
            <v>0</v>
          </cell>
          <cell r="K2283">
            <v>0</v>
          </cell>
          <cell r="L2283">
            <v>0</v>
          </cell>
          <cell r="M2283">
            <v>0</v>
          </cell>
          <cell r="N2283">
            <v>0</v>
          </cell>
          <cell r="O2283">
            <v>0</v>
          </cell>
          <cell r="P2283">
            <v>0</v>
          </cell>
          <cell r="Q2283">
            <v>0</v>
          </cell>
          <cell r="R2283">
            <v>0</v>
          </cell>
          <cell r="S2283">
            <v>0</v>
          </cell>
          <cell r="T2283">
            <v>0</v>
          </cell>
          <cell r="U2283" t="e">
            <v>#N/A</v>
          </cell>
        </row>
        <row r="2284">
          <cell r="A2284">
            <v>1002278</v>
          </cell>
          <cell r="B2284" t="str">
            <v>Tornillo Conector P/ Cable</v>
          </cell>
          <cell r="D2284">
            <v>5108</v>
          </cell>
          <cell r="E2284">
            <v>1000</v>
          </cell>
          <cell r="F2284" t="str">
            <v>ZALM</v>
          </cell>
          <cell r="G2284" t="str">
            <v>UN</v>
          </cell>
          <cell r="H2284" t="str">
            <v>DOP</v>
          </cell>
          <cell r="I2284">
            <v>0</v>
          </cell>
          <cell r="J2284">
            <v>0</v>
          </cell>
          <cell r="K2284">
            <v>0</v>
          </cell>
          <cell r="L2284">
            <v>0</v>
          </cell>
          <cell r="M2284">
            <v>0</v>
          </cell>
          <cell r="N2284">
            <v>0</v>
          </cell>
          <cell r="O2284">
            <v>0</v>
          </cell>
          <cell r="P2284">
            <v>0</v>
          </cell>
          <cell r="Q2284">
            <v>0</v>
          </cell>
          <cell r="R2284">
            <v>0</v>
          </cell>
          <cell r="S2284">
            <v>0</v>
          </cell>
          <cell r="T2284">
            <v>0</v>
          </cell>
          <cell r="U2284" t="e">
            <v>#N/A</v>
          </cell>
        </row>
        <row r="2285">
          <cell r="A2285">
            <v>1002279</v>
          </cell>
          <cell r="B2285" t="str">
            <v>Tornillo de Bronce P/ Cable</v>
          </cell>
          <cell r="D2285">
            <v>5108</v>
          </cell>
          <cell r="E2285">
            <v>1000</v>
          </cell>
          <cell r="F2285" t="str">
            <v>ZALM</v>
          </cell>
          <cell r="G2285" t="str">
            <v>UN</v>
          </cell>
          <cell r="H2285" t="str">
            <v>DOP</v>
          </cell>
          <cell r="I2285">
            <v>0</v>
          </cell>
          <cell r="J2285">
            <v>0</v>
          </cell>
          <cell r="K2285">
            <v>0</v>
          </cell>
          <cell r="L2285">
            <v>0</v>
          </cell>
          <cell r="M2285">
            <v>0</v>
          </cell>
          <cell r="N2285">
            <v>0</v>
          </cell>
          <cell r="O2285">
            <v>0</v>
          </cell>
          <cell r="P2285">
            <v>0</v>
          </cell>
          <cell r="Q2285">
            <v>0</v>
          </cell>
          <cell r="R2285">
            <v>0</v>
          </cell>
          <cell r="S2285">
            <v>0</v>
          </cell>
          <cell r="T2285">
            <v>0</v>
          </cell>
          <cell r="U2285" t="e">
            <v>#N/A</v>
          </cell>
        </row>
        <row r="2286">
          <cell r="A2286">
            <v>1002280</v>
          </cell>
          <cell r="B2286" t="str">
            <v>Tornillo Desconectador P/ Caja</v>
          </cell>
          <cell r="D2286">
            <v>5108</v>
          </cell>
          <cell r="E2286">
            <v>1000</v>
          </cell>
          <cell r="F2286" t="str">
            <v>ZALM</v>
          </cell>
          <cell r="G2286" t="str">
            <v>UN</v>
          </cell>
          <cell r="H2286" t="str">
            <v>DOP</v>
          </cell>
          <cell r="I2286">
            <v>0</v>
          </cell>
          <cell r="J2286">
            <v>0</v>
          </cell>
          <cell r="K2286">
            <v>0</v>
          </cell>
          <cell r="L2286">
            <v>0</v>
          </cell>
          <cell r="M2286">
            <v>0</v>
          </cell>
          <cell r="N2286">
            <v>0</v>
          </cell>
          <cell r="O2286">
            <v>0</v>
          </cell>
          <cell r="P2286">
            <v>0</v>
          </cell>
          <cell r="Q2286">
            <v>0</v>
          </cell>
          <cell r="R2286">
            <v>0</v>
          </cell>
          <cell r="S2286">
            <v>0</v>
          </cell>
          <cell r="T2286">
            <v>0</v>
          </cell>
          <cell r="U2286" t="e">
            <v>#N/A</v>
          </cell>
        </row>
        <row r="2287">
          <cell r="A2287">
            <v>1002281</v>
          </cell>
          <cell r="B2287" t="str">
            <v>Tornillo Esp 4 Tuerc Cuad 3/4x24" Rosc C</v>
          </cell>
          <cell r="D2287">
            <v>5108</v>
          </cell>
          <cell r="E2287">
            <v>1000</v>
          </cell>
          <cell r="F2287" t="str">
            <v>ZALM</v>
          </cell>
          <cell r="G2287" t="str">
            <v>UN</v>
          </cell>
          <cell r="H2287" t="str">
            <v>DOP</v>
          </cell>
          <cell r="I2287">
            <v>0</v>
          </cell>
          <cell r="J2287">
            <v>0</v>
          </cell>
          <cell r="K2287">
            <v>0</v>
          </cell>
          <cell r="L2287">
            <v>0</v>
          </cell>
          <cell r="M2287">
            <v>0</v>
          </cell>
          <cell r="N2287">
            <v>0</v>
          </cell>
          <cell r="O2287">
            <v>0</v>
          </cell>
          <cell r="P2287">
            <v>0</v>
          </cell>
          <cell r="Q2287">
            <v>0</v>
          </cell>
          <cell r="R2287">
            <v>0</v>
          </cell>
          <cell r="S2287">
            <v>0</v>
          </cell>
          <cell r="T2287">
            <v>0</v>
          </cell>
          <cell r="U2287" t="e">
            <v>#N/A</v>
          </cell>
        </row>
        <row r="2288">
          <cell r="A2288">
            <v>1002282</v>
          </cell>
          <cell r="B2288" t="str">
            <v>Tornillo Esp 4 Tuerc Cuad 5/8"x10"</v>
          </cell>
          <cell r="D2288">
            <v>5108</v>
          </cell>
          <cell r="E2288">
            <v>1000</v>
          </cell>
          <cell r="F2288" t="str">
            <v>ZALM</v>
          </cell>
          <cell r="G2288" t="str">
            <v>UN</v>
          </cell>
          <cell r="H2288" t="str">
            <v>DOP</v>
          </cell>
          <cell r="I2288">
            <v>12165</v>
          </cell>
          <cell r="J2288">
            <v>312193.55</v>
          </cell>
          <cell r="K2288">
            <v>0</v>
          </cell>
          <cell r="L2288">
            <v>0</v>
          </cell>
          <cell r="M2288">
            <v>0</v>
          </cell>
          <cell r="N2288">
            <v>0</v>
          </cell>
          <cell r="O2288">
            <v>0</v>
          </cell>
          <cell r="P2288">
            <v>0</v>
          </cell>
          <cell r="Q2288">
            <v>118</v>
          </cell>
          <cell r="R2288">
            <v>3028.26</v>
          </cell>
          <cell r="S2288">
            <v>12283</v>
          </cell>
          <cell r="T2288">
            <v>315221.81</v>
          </cell>
          <cell r="U2288">
            <v>25.663258975820199</v>
          </cell>
        </row>
        <row r="2289">
          <cell r="A2289">
            <v>1002283</v>
          </cell>
          <cell r="B2289" t="str">
            <v>Tornillo Esp 4 Tuerc Cuad 5/8"x12"</v>
          </cell>
          <cell r="D2289">
            <v>5108</v>
          </cell>
          <cell r="E2289">
            <v>1000</v>
          </cell>
          <cell r="F2289" t="str">
            <v>ZALM</v>
          </cell>
          <cell r="G2289" t="str">
            <v>UN</v>
          </cell>
          <cell r="H2289" t="str">
            <v>DOP</v>
          </cell>
          <cell r="I2289">
            <v>5317</v>
          </cell>
          <cell r="J2289">
            <v>297713.87</v>
          </cell>
          <cell r="K2289">
            <v>0</v>
          </cell>
          <cell r="L2289">
            <v>0</v>
          </cell>
          <cell r="M2289">
            <v>0</v>
          </cell>
          <cell r="N2289">
            <v>0</v>
          </cell>
          <cell r="O2289">
            <v>0</v>
          </cell>
          <cell r="P2289">
            <v>0</v>
          </cell>
          <cell r="Q2289">
            <v>2261</v>
          </cell>
          <cell r="R2289">
            <v>126599.78</v>
          </cell>
          <cell r="S2289">
            <v>7578</v>
          </cell>
          <cell r="T2289">
            <v>424313.65</v>
          </cell>
          <cell r="U2289">
            <v>55.992827922934801</v>
          </cell>
        </row>
        <row r="2290">
          <cell r="A2290">
            <v>1002284</v>
          </cell>
          <cell r="B2290" t="str">
            <v>Tornillo Esp 4 Tuerc Cuad 5/8"x14"</v>
          </cell>
          <cell r="D2290">
            <v>5108</v>
          </cell>
          <cell r="E2290">
            <v>1000</v>
          </cell>
          <cell r="F2290" t="str">
            <v>ZALM</v>
          </cell>
          <cell r="G2290" t="str">
            <v>UN</v>
          </cell>
          <cell r="H2290" t="str">
            <v>DOP</v>
          </cell>
          <cell r="I2290">
            <v>172</v>
          </cell>
          <cell r="J2290">
            <v>9369.31</v>
          </cell>
          <cell r="K2290">
            <v>0</v>
          </cell>
          <cell r="L2290">
            <v>0</v>
          </cell>
          <cell r="M2290">
            <v>0</v>
          </cell>
          <cell r="N2290">
            <v>0</v>
          </cell>
          <cell r="O2290">
            <v>0</v>
          </cell>
          <cell r="P2290">
            <v>0</v>
          </cell>
          <cell r="Q2290">
            <v>254</v>
          </cell>
          <cell r="R2290">
            <v>13836.08</v>
          </cell>
          <cell r="S2290">
            <v>426</v>
          </cell>
          <cell r="T2290">
            <v>23205.39</v>
          </cell>
          <cell r="U2290">
            <v>54.472746478873198</v>
          </cell>
        </row>
        <row r="2291">
          <cell r="A2291">
            <v>1002285</v>
          </cell>
          <cell r="B2291" t="str">
            <v>Tornillo Esp 4 Tuerc Cuad 5/8"x16"</v>
          </cell>
          <cell r="D2291">
            <v>5108</v>
          </cell>
          <cell r="E2291">
            <v>1000</v>
          </cell>
          <cell r="F2291" t="str">
            <v>ZALM</v>
          </cell>
          <cell r="G2291" t="str">
            <v>UN</v>
          </cell>
          <cell r="H2291" t="str">
            <v>DOP</v>
          </cell>
          <cell r="I2291">
            <v>18462</v>
          </cell>
          <cell r="J2291">
            <v>346162.5</v>
          </cell>
          <cell r="K2291">
            <v>0</v>
          </cell>
          <cell r="L2291">
            <v>0</v>
          </cell>
          <cell r="M2291">
            <v>0</v>
          </cell>
          <cell r="N2291">
            <v>0</v>
          </cell>
          <cell r="O2291">
            <v>0</v>
          </cell>
          <cell r="P2291">
            <v>0</v>
          </cell>
          <cell r="Q2291">
            <v>84</v>
          </cell>
          <cell r="R2291">
            <v>1575</v>
          </cell>
          <cell r="S2291">
            <v>18546</v>
          </cell>
          <cell r="T2291">
            <v>347737.5</v>
          </cell>
          <cell r="U2291">
            <v>18.75</v>
          </cell>
        </row>
        <row r="2292">
          <cell r="A2292">
            <v>1002286</v>
          </cell>
          <cell r="B2292" t="str">
            <v>Tornillo Esp 4 Tuerc Cuad 5/8"x18"</v>
          </cell>
          <cell r="D2292">
            <v>5108</v>
          </cell>
          <cell r="E2292">
            <v>1000</v>
          </cell>
          <cell r="F2292" t="str">
            <v>ZALM</v>
          </cell>
          <cell r="G2292" t="str">
            <v>UN</v>
          </cell>
          <cell r="H2292" t="str">
            <v>DOP</v>
          </cell>
          <cell r="I2292">
            <v>26</v>
          </cell>
          <cell r="J2292">
            <v>3555.86</v>
          </cell>
          <cell r="K2292">
            <v>0</v>
          </cell>
          <cell r="L2292">
            <v>0</v>
          </cell>
          <cell r="M2292">
            <v>641</v>
          </cell>
          <cell r="N2292">
            <v>87665.71</v>
          </cell>
          <cell r="O2292">
            <v>0</v>
          </cell>
          <cell r="P2292">
            <v>0</v>
          </cell>
          <cell r="Q2292">
            <v>96</v>
          </cell>
          <cell r="R2292">
            <v>13129.34</v>
          </cell>
          <cell r="S2292">
            <v>763</v>
          </cell>
          <cell r="T2292">
            <v>104350.91</v>
          </cell>
          <cell r="U2292">
            <v>136.76397116644799</v>
          </cell>
        </row>
        <row r="2293">
          <cell r="A2293">
            <v>1002287</v>
          </cell>
          <cell r="B2293" t="str">
            <v>Tornillo Esp 4 Tuerc Cuad 5/8"x20"</v>
          </cell>
          <cell r="D2293">
            <v>5108</v>
          </cell>
          <cell r="E2293">
            <v>1000</v>
          </cell>
          <cell r="F2293" t="str">
            <v>ZALM</v>
          </cell>
          <cell r="G2293" t="str">
            <v>UN</v>
          </cell>
          <cell r="H2293" t="str">
            <v>DOP</v>
          </cell>
          <cell r="I2293">
            <v>12</v>
          </cell>
          <cell r="J2293">
            <v>1824.99</v>
          </cell>
          <cell r="K2293">
            <v>0</v>
          </cell>
          <cell r="L2293">
            <v>0</v>
          </cell>
          <cell r="M2293">
            <v>4343</v>
          </cell>
          <cell r="N2293">
            <v>660495.35</v>
          </cell>
          <cell r="O2293">
            <v>0</v>
          </cell>
          <cell r="P2293">
            <v>0</v>
          </cell>
          <cell r="Q2293">
            <v>2160</v>
          </cell>
          <cell r="R2293">
            <v>328498.71999999997</v>
          </cell>
          <cell r="S2293">
            <v>6515</v>
          </cell>
          <cell r="T2293">
            <v>990819.06</v>
          </cell>
          <cell r="U2293">
            <v>152.08274136607801</v>
          </cell>
        </row>
        <row r="2294">
          <cell r="A2294">
            <v>1002288</v>
          </cell>
          <cell r="B2294" t="str">
            <v>Tornillo Esp 4 Tuerc Cuad 5/8"x22"</v>
          </cell>
          <cell r="D2294">
            <v>5108</v>
          </cell>
          <cell r="E2294">
            <v>1000</v>
          </cell>
          <cell r="F2294" t="str">
            <v>ZALM</v>
          </cell>
          <cell r="G2294" t="str">
            <v>UN</v>
          </cell>
          <cell r="H2294" t="str">
            <v>DOP</v>
          </cell>
          <cell r="I2294">
            <v>0</v>
          </cell>
          <cell r="J2294">
            <v>0</v>
          </cell>
          <cell r="K2294">
            <v>0</v>
          </cell>
          <cell r="L2294">
            <v>0</v>
          </cell>
          <cell r="M2294">
            <v>1339</v>
          </cell>
          <cell r="N2294">
            <v>207015.82</v>
          </cell>
          <cell r="O2294">
            <v>0</v>
          </cell>
          <cell r="P2294">
            <v>0</v>
          </cell>
          <cell r="Q2294">
            <v>9</v>
          </cell>
          <cell r="R2294">
            <v>1391.44</v>
          </cell>
          <cell r="S2294">
            <v>1348</v>
          </cell>
          <cell r="T2294">
            <v>208407.26</v>
          </cell>
          <cell r="U2294">
            <v>154.60479228486599</v>
          </cell>
        </row>
        <row r="2295">
          <cell r="A2295">
            <v>1002289</v>
          </cell>
          <cell r="B2295" t="str">
            <v>Tornillo Esp 4 Tuerc Cuad 5/8"x24"</v>
          </cell>
          <cell r="D2295">
            <v>5108</v>
          </cell>
          <cell r="E2295">
            <v>1000</v>
          </cell>
          <cell r="F2295" t="str">
            <v>ZALM</v>
          </cell>
          <cell r="G2295" t="str">
            <v>UN</v>
          </cell>
          <cell r="H2295" t="str">
            <v>DOP</v>
          </cell>
          <cell r="I2295">
            <v>0</v>
          </cell>
          <cell r="J2295">
            <v>0</v>
          </cell>
          <cell r="K2295">
            <v>0</v>
          </cell>
          <cell r="L2295">
            <v>0</v>
          </cell>
          <cell r="M2295">
            <v>0</v>
          </cell>
          <cell r="N2295">
            <v>0</v>
          </cell>
          <cell r="O2295">
            <v>0</v>
          </cell>
          <cell r="P2295">
            <v>0</v>
          </cell>
          <cell r="Q2295">
            <v>0</v>
          </cell>
          <cell r="R2295">
            <v>0</v>
          </cell>
          <cell r="S2295">
            <v>0</v>
          </cell>
          <cell r="T2295">
            <v>0</v>
          </cell>
          <cell r="U2295" t="e">
            <v>#N/A</v>
          </cell>
        </row>
        <row r="2296">
          <cell r="A2296">
            <v>1002290</v>
          </cell>
          <cell r="B2296" t="str">
            <v>Tornillo Esp 4 Tuerc Cuad 5/8"x8"</v>
          </cell>
          <cell r="D2296">
            <v>5108</v>
          </cell>
          <cell r="E2296">
            <v>1000</v>
          </cell>
          <cell r="F2296" t="str">
            <v>ZALM</v>
          </cell>
          <cell r="G2296" t="str">
            <v>UN</v>
          </cell>
          <cell r="H2296" t="str">
            <v>DOP</v>
          </cell>
          <cell r="I2296">
            <v>0</v>
          </cell>
          <cell r="J2296">
            <v>0</v>
          </cell>
          <cell r="K2296">
            <v>0</v>
          </cell>
          <cell r="L2296">
            <v>0</v>
          </cell>
          <cell r="M2296">
            <v>0</v>
          </cell>
          <cell r="N2296">
            <v>0</v>
          </cell>
          <cell r="O2296">
            <v>0</v>
          </cell>
          <cell r="P2296">
            <v>0</v>
          </cell>
          <cell r="Q2296">
            <v>0</v>
          </cell>
          <cell r="R2296">
            <v>0</v>
          </cell>
          <cell r="S2296">
            <v>0</v>
          </cell>
          <cell r="T2296">
            <v>0</v>
          </cell>
          <cell r="U2296" t="e">
            <v>#N/A</v>
          </cell>
        </row>
        <row r="2297">
          <cell r="A2297">
            <v>1002291</v>
          </cell>
          <cell r="B2297" t="str">
            <v>Tornillo Guardacabo Curvo 3/4"x12"</v>
          </cell>
          <cell r="D2297">
            <v>5108</v>
          </cell>
          <cell r="E2297">
            <v>1000</v>
          </cell>
          <cell r="F2297" t="str">
            <v>ZALM</v>
          </cell>
          <cell r="G2297" t="str">
            <v>UN</v>
          </cell>
          <cell r="H2297" t="str">
            <v>DOP</v>
          </cell>
          <cell r="I2297">
            <v>5</v>
          </cell>
          <cell r="J2297">
            <v>415.8</v>
          </cell>
          <cell r="K2297">
            <v>0</v>
          </cell>
          <cell r="L2297">
            <v>0</v>
          </cell>
          <cell r="M2297">
            <v>0</v>
          </cell>
          <cell r="N2297">
            <v>0</v>
          </cell>
          <cell r="O2297">
            <v>0</v>
          </cell>
          <cell r="P2297">
            <v>0</v>
          </cell>
          <cell r="Q2297">
            <v>0</v>
          </cell>
          <cell r="R2297">
            <v>0</v>
          </cell>
          <cell r="S2297">
            <v>5</v>
          </cell>
          <cell r="T2297">
            <v>415.8</v>
          </cell>
          <cell r="U2297">
            <v>83.16</v>
          </cell>
        </row>
        <row r="2298">
          <cell r="A2298">
            <v>1002292</v>
          </cell>
          <cell r="B2298" t="str">
            <v>Tornillo Guardacabo Curvo 3/8"x10"</v>
          </cell>
          <cell r="D2298">
            <v>5108</v>
          </cell>
          <cell r="E2298">
            <v>1000</v>
          </cell>
          <cell r="F2298" t="str">
            <v>ZALM</v>
          </cell>
          <cell r="G2298" t="str">
            <v>UN</v>
          </cell>
          <cell r="H2298" t="str">
            <v>DOP</v>
          </cell>
          <cell r="I2298">
            <v>0</v>
          </cell>
          <cell r="J2298">
            <v>0</v>
          </cell>
          <cell r="K2298">
            <v>0</v>
          </cell>
          <cell r="L2298">
            <v>0</v>
          </cell>
          <cell r="M2298">
            <v>0</v>
          </cell>
          <cell r="N2298">
            <v>0</v>
          </cell>
          <cell r="O2298">
            <v>0</v>
          </cell>
          <cell r="P2298">
            <v>0</v>
          </cell>
          <cell r="Q2298">
            <v>0</v>
          </cell>
          <cell r="R2298">
            <v>0</v>
          </cell>
          <cell r="S2298">
            <v>0</v>
          </cell>
          <cell r="T2298">
            <v>0</v>
          </cell>
          <cell r="U2298" t="e">
            <v>#N/A</v>
          </cell>
        </row>
        <row r="2299">
          <cell r="A2299">
            <v>1002293</v>
          </cell>
          <cell r="B2299" t="str">
            <v>Tornillo Guardacabo Curvo 5/8"x10"</v>
          </cell>
          <cell r="D2299">
            <v>5108</v>
          </cell>
          <cell r="E2299">
            <v>1000</v>
          </cell>
          <cell r="F2299" t="str">
            <v>ZALM</v>
          </cell>
          <cell r="G2299" t="str">
            <v>UN</v>
          </cell>
          <cell r="H2299" t="str">
            <v>DOP</v>
          </cell>
          <cell r="I2299">
            <v>0</v>
          </cell>
          <cell r="J2299">
            <v>0</v>
          </cell>
          <cell r="K2299">
            <v>0</v>
          </cell>
          <cell r="L2299">
            <v>0</v>
          </cell>
          <cell r="M2299">
            <v>0</v>
          </cell>
          <cell r="N2299">
            <v>0</v>
          </cell>
          <cell r="O2299">
            <v>0</v>
          </cell>
          <cell r="P2299">
            <v>0</v>
          </cell>
          <cell r="Q2299">
            <v>0</v>
          </cell>
          <cell r="R2299">
            <v>0</v>
          </cell>
          <cell r="S2299">
            <v>0</v>
          </cell>
          <cell r="T2299">
            <v>0</v>
          </cell>
          <cell r="U2299" t="e">
            <v>#N/A</v>
          </cell>
        </row>
        <row r="2300">
          <cell r="A2300">
            <v>1002294</v>
          </cell>
          <cell r="B2300" t="str">
            <v>Tornillo Guardacabo Curvo 5/8"x12"</v>
          </cell>
          <cell r="D2300">
            <v>5108</v>
          </cell>
          <cell r="E2300">
            <v>1000</v>
          </cell>
          <cell r="F2300" t="str">
            <v>ZALM</v>
          </cell>
          <cell r="G2300" t="str">
            <v>UN</v>
          </cell>
          <cell r="H2300" t="str">
            <v>DOP</v>
          </cell>
          <cell r="I2300">
            <v>0</v>
          </cell>
          <cell r="J2300">
            <v>0</v>
          </cell>
          <cell r="K2300">
            <v>0</v>
          </cell>
          <cell r="L2300">
            <v>0</v>
          </cell>
          <cell r="M2300">
            <v>0</v>
          </cell>
          <cell r="N2300">
            <v>0</v>
          </cell>
          <cell r="O2300">
            <v>0</v>
          </cell>
          <cell r="P2300">
            <v>0</v>
          </cell>
          <cell r="Q2300">
            <v>0</v>
          </cell>
          <cell r="R2300">
            <v>0</v>
          </cell>
          <cell r="S2300">
            <v>0</v>
          </cell>
          <cell r="T2300">
            <v>0</v>
          </cell>
          <cell r="U2300" t="e">
            <v>#N/A</v>
          </cell>
        </row>
        <row r="2301">
          <cell r="A2301">
            <v>1002295</v>
          </cell>
          <cell r="B2301" t="str">
            <v>Tornillo Guardacabo Curvo 5/8"x14"</v>
          </cell>
          <cell r="D2301">
            <v>5108</v>
          </cell>
          <cell r="E2301">
            <v>1000</v>
          </cell>
          <cell r="F2301" t="str">
            <v>ZALM</v>
          </cell>
          <cell r="G2301" t="str">
            <v>UN</v>
          </cell>
          <cell r="H2301" t="str">
            <v>DOP</v>
          </cell>
          <cell r="I2301">
            <v>0</v>
          </cell>
          <cell r="J2301">
            <v>0</v>
          </cell>
          <cell r="K2301">
            <v>0</v>
          </cell>
          <cell r="L2301">
            <v>0</v>
          </cell>
          <cell r="M2301">
            <v>0</v>
          </cell>
          <cell r="N2301">
            <v>0</v>
          </cell>
          <cell r="O2301">
            <v>0</v>
          </cell>
          <cell r="P2301">
            <v>0</v>
          </cell>
          <cell r="Q2301">
            <v>0</v>
          </cell>
          <cell r="R2301">
            <v>0</v>
          </cell>
          <cell r="S2301">
            <v>0</v>
          </cell>
          <cell r="T2301">
            <v>0</v>
          </cell>
          <cell r="U2301" t="e">
            <v>#N/A</v>
          </cell>
        </row>
        <row r="2302">
          <cell r="A2302">
            <v>1002296</v>
          </cell>
          <cell r="B2302" t="str">
            <v>Tornillo Guardacabo Curvo 5/8"x16"</v>
          </cell>
          <cell r="D2302">
            <v>5108</v>
          </cell>
          <cell r="E2302">
            <v>1000</v>
          </cell>
          <cell r="F2302" t="str">
            <v>ZALM</v>
          </cell>
          <cell r="G2302" t="str">
            <v>UN</v>
          </cell>
          <cell r="H2302" t="str">
            <v>DOP</v>
          </cell>
          <cell r="I2302">
            <v>0</v>
          </cell>
          <cell r="J2302">
            <v>0</v>
          </cell>
          <cell r="K2302">
            <v>0</v>
          </cell>
          <cell r="L2302">
            <v>0</v>
          </cell>
          <cell r="M2302">
            <v>0</v>
          </cell>
          <cell r="N2302">
            <v>0</v>
          </cell>
          <cell r="O2302">
            <v>0</v>
          </cell>
          <cell r="P2302">
            <v>0</v>
          </cell>
          <cell r="Q2302">
            <v>0</v>
          </cell>
          <cell r="R2302">
            <v>0</v>
          </cell>
          <cell r="S2302">
            <v>0</v>
          </cell>
          <cell r="T2302">
            <v>0</v>
          </cell>
          <cell r="U2302" t="e">
            <v>#N/A</v>
          </cell>
        </row>
        <row r="2303">
          <cell r="A2303">
            <v>1002297</v>
          </cell>
          <cell r="B2303" t="str">
            <v>Tornillo Guardacabo Curvo 5/8"x8"</v>
          </cell>
          <cell r="D2303">
            <v>5108</v>
          </cell>
          <cell r="E2303">
            <v>1000</v>
          </cell>
          <cell r="F2303" t="str">
            <v>ZALM</v>
          </cell>
          <cell r="G2303" t="str">
            <v>UN</v>
          </cell>
          <cell r="H2303" t="str">
            <v>DOP</v>
          </cell>
          <cell r="I2303">
            <v>0</v>
          </cell>
          <cell r="J2303">
            <v>0</v>
          </cell>
          <cell r="K2303">
            <v>0</v>
          </cell>
          <cell r="L2303">
            <v>0</v>
          </cell>
          <cell r="M2303">
            <v>0</v>
          </cell>
          <cell r="N2303">
            <v>0</v>
          </cell>
          <cell r="O2303">
            <v>0</v>
          </cell>
          <cell r="P2303">
            <v>0</v>
          </cell>
          <cell r="Q2303">
            <v>0</v>
          </cell>
          <cell r="R2303">
            <v>0</v>
          </cell>
          <cell r="S2303">
            <v>0</v>
          </cell>
          <cell r="T2303">
            <v>0</v>
          </cell>
          <cell r="U2303" t="e">
            <v>#N/A</v>
          </cell>
        </row>
        <row r="2304">
          <cell r="A2304">
            <v>1002298</v>
          </cell>
          <cell r="B2304" t="str">
            <v>Tornillo Guardacabo Recto 3/4"x10"</v>
          </cell>
          <cell r="D2304">
            <v>5108</v>
          </cell>
          <cell r="E2304">
            <v>1000</v>
          </cell>
          <cell r="F2304" t="str">
            <v>ZALM</v>
          </cell>
          <cell r="G2304" t="str">
            <v>UN</v>
          </cell>
          <cell r="H2304" t="str">
            <v>DOP</v>
          </cell>
          <cell r="I2304">
            <v>490</v>
          </cell>
          <cell r="J2304">
            <v>34300</v>
          </cell>
          <cell r="K2304">
            <v>0</v>
          </cell>
          <cell r="L2304">
            <v>0</v>
          </cell>
          <cell r="M2304">
            <v>0</v>
          </cell>
          <cell r="N2304">
            <v>0</v>
          </cell>
          <cell r="O2304">
            <v>0</v>
          </cell>
          <cell r="P2304">
            <v>0</v>
          </cell>
          <cell r="Q2304">
            <v>0</v>
          </cell>
          <cell r="R2304">
            <v>0</v>
          </cell>
          <cell r="S2304">
            <v>490</v>
          </cell>
          <cell r="T2304">
            <v>34300</v>
          </cell>
          <cell r="U2304">
            <v>70</v>
          </cell>
        </row>
        <row r="2305">
          <cell r="A2305">
            <v>1002299</v>
          </cell>
          <cell r="B2305" t="str">
            <v>Tornillo Guardacabo Recto 3/4"x12"</v>
          </cell>
          <cell r="D2305">
            <v>5108</v>
          </cell>
          <cell r="E2305">
            <v>1000</v>
          </cell>
          <cell r="F2305" t="str">
            <v>ZALM</v>
          </cell>
          <cell r="G2305" t="str">
            <v>UN</v>
          </cell>
          <cell r="H2305" t="str">
            <v>DOP</v>
          </cell>
          <cell r="I2305">
            <v>103</v>
          </cell>
          <cell r="J2305">
            <v>29006.71</v>
          </cell>
          <cell r="K2305">
            <v>0</v>
          </cell>
          <cell r="L2305">
            <v>0</v>
          </cell>
          <cell r="M2305">
            <v>0</v>
          </cell>
          <cell r="N2305">
            <v>0</v>
          </cell>
          <cell r="O2305">
            <v>0</v>
          </cell>
          <cell r="P2305">
            <v>0</v>
          </cell>
          <cell r="Q2305">
            <v>0</v>
          </cell>
          <cell r="R2305">
            <v>0</v>
          </cell>
          <cell r="S2305">
            <v>103</v>
          </cell>
          <cell r="T2305">
            <v>29006.71</v>
          </cell>
          <cell r="U2305">
            <v>281.61854368932001</v>
          </cell>
        </row>
        <row r="2306">
          <cell r="A2306">
            <v>1002300</v>
          </cell>
          <cell r="B2306" t="str">
            <v>Tornillo Guardacabo Recto 3/4"x14"</v>
          </cell>
          <cell r="D2306">
            <v>5108</v>
          </cell>
          <cell r="E2306">
            <v>1000</v>
          </cell>
          <cell r="F2306" t="str">
            <v>ZALM</v>
          </cell>
          <cell r="G2306" t="str">
            <v>UN</v>
          </cell>
          <cell r="H2306" t="str">
            <v>DOP</v>
          </cell>
          <cell r="I2306">
            <v>13</v>
          </cell>
          <cell r="J2306">
            <v>13</v>
          </cell>
          <cell r="K2306">
            <v>0</v>
          </cell>
          <cell r="L2306">
            <v>0</v>
          </cell>
          <cell r="M2306">
            <v>0</v>
          </cell>
          <cell r="N2306">
            <v>0</v>
          </cell>
          <cell r="O2306">
            <v>0</v>
          </cell>
          <cell r="P2306">
            <v>0</v>
          </cell>
          <cell r="Q2306">
            <v>0</v>
          </cell>
          <cell r="R2306">
            <v>0</v>
          </cell>
          <cell r="S2306">
            <v>13</v>
          </cell>
          <cell r="T2306">
            <v>13</v>
          </cell>
          <cell r="U2306">
            <v>1</v>
          </cell>
        </row>
        <row r="2307">
          <cell r="A2307">
            <v>1002301</v>
          </cell>
          <cell r="B2307" t="str">
            <v>Tornillo Guardacabo Recto 5/8"x12"</v>
          </cell>
          <cell r="D2307">
            <v>5108</v>
          </cell>
          <cell r="E2307">
            <v>1000</v>
          </cell>
          <cell r="F2307" t="str">
            <v>ZALM</v>
          </cell>
          <cell r="G2307" t="str">
            <v>UN</v>
          </cell>
          <cell r="H2307" t="str">
            <v>DOP</v>
          </cell>
          <cell r="I2307">
            <v>0</v>
          </cell>
          <cell r="J2307">
            <v>0</v>
          </cell>
          <cell r="K2307">
            <v>0</v>
          </cell>
          <cell r="L2307">
            <v>0</v>
          </cell>
          <cell r="M2307">
            <v>0</v>
          </cell>
          <cell r="N2307">
            <v>0</v>
          </cell>
          <cell r="O2307">
            <v>0</v>
          </cell>
          <cell r="P2307">
            <v>0</v>
          </cell>
          <cell r="Q2307">
            <v>0</v>
          </cell>
          <cell r="R2307">
            <v>0</v>
          </cell>
          <cell r="S2307">
            <v>0</v>
          </cell>
          <cell r="T2307">
            <v>0</v>
          </cell>
          <cell r="U2307" t="e">
            <v>#N/A</v>
          </cell>
        </row>
        <row r="2308">
          <cell r="A2308">
            <v>1002302</v>
          </cell>
          <cell r="B2308" t="str">
            <v>Tornillo Hex Headbolts Cat HBS-250</v>
          </cell>
          <cell r="D2308">
            <v>5108</v>
          </cell>
          <cell r="E2308">
            <v>1000</v>
          </cell>
          <cell r="F2308" t="str">
            <v>ZALM</v>
          </cell>
          <cell r="G2308" t="str">
            <v>UN</v>
          </cell>
          <cell r="H2308" t="str">
            <v>DOP</v>
          </cell>
          <cell r="I2308">
            <v>0</v>
          </cell>
          <cell r="J2308">
            <v>0</v>
          </cell>
          <cell r="K2308">
            <v>0</v>
          </cell>
          <cell r="L2308">
            <v>0</v>
          </cell>
          <cell r="M2308">
            <v>0</v>
          </cell>
          <cell r="N2308">
            <v>0</v>
          </cell>
          <cell r="O2308">
            <v>0</v>
          </cell>
          <cell r="P2308">
            <v>0</v>
          </cell>
          <cell r="Q2308">
            <v>0</v>
          </cell>
          <cell r="R2308">
            <v>0</v>
          </cell>
          <cell r="S2308">
            <v>0</v>
          </cell>
          <cell r="T2308">
            <v>0</v>
          </cell>
          <cell r="U2308" t="e">
            <v>#N/A</v>
          </cell>
        </row>
        <row r="2309">
          <cell r="A2309">
            <v>1002303</v>
          </cell>
          <cell r="B2309" t="str">
            <v>Tornillo Hex Headbolts Cat HBS-300</v>
          </cell>
          <cell r="D2309">
            <v>5108</v>
          </cell>
          <cell r="E2309">
            <v>1000</v>
          </cell>
          <cell r="F2309" t="str">
            <v>ZALM</v>
          </cell>
          <cell r="G2309" t="str">
            <v>UN</v>
          </cell>
          <cell r="H2309" t="str">
            <v>DOP</v>
          </cell>
          <cell r="I2309">
            <v>0</v>
          </cell>
          <cell r="J2309">
            <v>0</v>
          </cell>
          <cell r="K2309">
            <v>0</v>
          </cell>
          <cell r="L2309">
            <v>0</v>
          </cell>
          <cell r="M2309">
            <v>0</v>
          </cell>
          <cell r="N2309">
            <v>0</v>
          </cell>
          <cell r="O2309">
            <v>0</v>
          </cell>
          <cell r="P2309">
            <v>0</v>
          </cell>
          <cell r="Q2309">
            <v>0</v>
          </cell>
          <cell r="R2309">
            <v>0</v>
          </cell>
          <cell r="S2309">
            <v>0</v>
          </cell>
          <cell r="T2309">
            <v>0</v>
          </cell>
          <cell r="U2309" t="e">
            <v>#N/A</v>
          </cell>
        </row>
        <row r="2310">
          <cell r="A2310">
            <v>1002304</v>
          </cell>
          <cell r="B2310" t="str">
            <v>Tornillo Hex Headbolts Cat HBS-350</v>
          </cell>
          <cell r="D2310">
            <v>5108</v>
          </cell>
          <cell r="E2310">
            <v>1000</v>
          </cell>
          <cell r="F2310" t="str">
            <v>ZALM</v>
          </cell>
          <cell r="G2310" t="str">
            <v>UN</v>
          </cell>
          <cell r="H2310" t="str">
            <v>DOP</v>
          </cell>
          <cell r="I2310">
            <v>0</v>
          </cell>
          <cell r="J2310">
            <v>0</v>
          </cell>
          <cell r="K2310">
            <v>0</v>
          </cell>
          <cell r="L2310">
            <v>0</v>
          </cell>
          <cell r="M2310">
            <v>0</v>
          </cell>
          <cell r="N2310">
            <v>0</v>
          </cell>
          <cell r="O2310">
            <v>0</v>
          </cell>
          <cell r="P2310">
            <v>0</v>
          </cell>
          <cell r="Q2310">
            <v>0</v>
          </cell>
          <cell r="R2310">
            <v>0</v>
          </cell>
          <cell r="S2310">
            <v>0</v>
          </cell>
          <cell r="T2310">
            <v>0</v>
          </cell>
          <cell r="U2310" t="e">
            <v>#N/A</v>
          </cell>
        </row>
        <row r="2311">
          <cell r="A2311">
            <v>1002305</v>
          </cell>
          <cell r="B2311" t="str">
            <v>Tornillo Mac Gard P/ Caja Policarb</v>
          </cell>
          <cell r="D2311">
            <v>5108</v>
          </cell>
          <cell r="E2311">
            <v>1000</v>
          </cell>
          <cell r="F2311" t="str">
            <v>ZALM</v>
          </cell>
          <cell r="G2311" t="str">
            <v>UN</v>
          </cell>
          <cell r="H2311" t="str">
            <v>DOP</v>
          </cell>
          <cell r="I2311">
            <v>5</v>
          </cell>
          <cell r="J2311">
            <v>123.1</v>
          </cell>
          <cell r="K2311">
            <v>0</v>
          </cell>
          <cell r="L2311">
            <v>0</v>
          </cell>
          <cell r="M2311">
            <v>0</v>
          </cell>
          <cell r="N2311">
            <v>0</v>
          </cell>
          <cell r="O2311">
            <v>0</v>
          </cell>
          <cell r="P2311">
            <v>0</v>
          </cell>
          <cell r="Q2311">
            <v>454</v>
          </cell>
          <cell r="R2311">
            <v>11177.48</v>
          </cell>
          <cell r="S2311">
            <v>459</v>
          </cell>
          <cell r="T2311">
            <v>11300.58</v>
          </cell>
          <cell r="U2311">
            <v>24.62</v>
          </cell>
        </row>
        <row r="2312">
          <cell r="A2312">
            <v>1002306</v>
          </cell>
          <cell r="B2312" t="str">
            <v>Tornillo Magnético Aluminio Rosca 1/4"</v>
          </cell>
          <cell r="D2312">
            <v>5108</v>
          </cell>
          <cell r="E2312">
            <v>1000</v>
          </cell>
          <cell r="F2312" t="str">
            <v>ZALM</v>
          </cell>
          <cell r="G2312" t="str">
            <v>UN</v>
          </cell>
          <cell r="H2312" t="str">
            <v>DOP</v>
          </cell>
          <cell r="I2312">
            <v>0</v>
          </cell>
          <cell r="J2312">
            <v>0</v>
          </cell>
          <cell r="K2312">
            <v>373</v>
          </cell>
          <cell r="L2312">
            <v>40823.360000000001</v>
          </cell>
          <cell r="M2312">
            <v>0</v>
          </cell>
          <cell r="N2312">
            <v>0</v>
          </cell>
          <cell r="O2312">
            <v>0</v>
          </cell>
          <cell r="P2312">
            <v>0</v>
          </cell>
          <cell r="Q2312">
            <v>69</v>
          </cell>
          <cell r="R2312">
            <v>7551.78</v>
          </cell>
          <cell r="S2312">
            <v>442</v>
          </cell>
          <cell r="T2312">
            <v>48375.14</v>
          </cell>
          <cell r="U2312">
            <v>109.446018099548</v>
          </cell>
        </row>
        <row r="2313">
          <cell r="A2313">
            <v>1002307</v>
          </cell>
          <cell r="B2313" t="str">
            <v>Tornillo Máq Cab Cuad 1/2"x10"</v>
          </cell>
          <cell r="D2313">
            <v>5108</v>
          </cell>
          <cell r="E2313">
            <v>1000</v>
          </cell>
          <cell r="F2313" t="str">
            <v>ZALM</v>
          </cell>
          <cell r="G2313" t="str">
            <v>UN</v>
          </cell>
          <cell r="H2313" t="str">
            <v>DOP</v>
          </cell>
          <cell r="I2313">
            <v>4101</v>
          </cell>
          <cell r="J2313">
            <v>112302.76</v>
          </cell>
          <cell r="K2313">
            <v>0</v>
          </cell>
          <cell r="L2313">
            <v>0</v>
          </cell>
          <cell r="M2313">
            <v>343</v>
          </cell>
          <cell r="N2313">
            <v>9392.7900000000009</v>
          </cell>
          <cell r="O2313">
            <v>0</v>
          </cell>
          <cell r="P2313">
            <v>0</v>
          </cell>
          <cell r="Q2313">
            <v>19</v>
          </cell>
          <cell r="R2313">
            <v>520.29999999999995</v>
          </cell>
          <cell r="S2313">
            <v>4463</v>
          </cell>
          <cell r="T2313">
            <v>122215.85</v>
          </cell>
          <cell r="U2313">
            <v>27.384237060273399</v>
          </cell>
        </row>
        <row r="2314">
          <cell r="A2314">
            <v>1002308</v>
          </cell>
          <cell r="B2314" t="str">
            <v>Tornillo Máq Cab Cuad 1/2"x12"</v>
          </cell>
          <cell r="D2314">
            <v>5108</v>
          </cell>
          <cell r="E2314">
            <v>1000</v>
          </cell>
          <cell r="F2314" t="str">
            <v>ZALM</v>
          </cell>
          <cell r="G2314" t="str">
            <v>UN</v>
          </cell>
          <cell r="H2314" t="str">
            <v>DOP</v>
          </cell>
          <cell r="I2314">
            <v>4603</v>
          </cell>
          <cell r="J2314">
            <v>207682.03</v>
          </cell>
          <cell r="K2314">
            <v>0</v>
          </cell>
          <cell r="L2314">
            <v>0</v>
          </cell>
          <cell r="M2314">
            <v>0</v>
          </cell>
          <cell r="N2314">
            <v>0</v>
          </cell>
          <cell r="O2314">
            <v>0</v>
          </cell>
          <cell r="P2314">
            <v>0</v>
          </cell>
          <cell r="Q2314">
            <v>43</v>
          </cell>
          <cell r="R2314">
            <v>1940.11</v>
          </cell>
          <cell r="S2314">
            <v>4646</v>
          </cell>
          <cell r="T2314">
            <v>209622.14</v>
          </cell>
          <cell r="U2314">
            <v>45.1188420146363</v>
          </cell>
        </row>
        <row r="2315">
          <cell r="A2315">
            <v>1002309</v>
          </cell>
          <cell r="B2315" t="str">
            <v>Tornillo Máq Cab Cuad 1/2"x14"</v>
          </cell>
          <cell r="D2315">
            <v>5108</v>
          </cell>
          <cell r="E2315">
            <v>1000</v>
          </cell>
          <cell r="F2315" t="str">
            <v>ZALM</v>
          </cell>
          <cell r="G2315" t="str">
            <v>UN</v>
          </cell>
          <cell r="H2315" t="str">
            <v>DOP</v>
          </cell>
          <cell r="I2315">
            <v>0</v>
          </cell>
          <cell r="J2315">
            <v>0</v>
          </cell>
          <cell r="K2315">
            <v>0</v>
          </cell>
          <cell r="L2315">
            <v>0</v>
          </cell>
          <cell r="M2315">
            <v>0</v>
          </cell>
          <cell r="N2315">
            <v>0</v>
          </cell>
          <cell r="O2315">
            <v>0</v>
          </cell>
          <cell r="P2315">
            <v>0</v>
          </cell>
          <cell r="Q2315">
            <v>0</v>
          </cell>
          <cell r="R2315">
            <v>0</v>
          </cell>
          <cell r="S2315">
            <v>0</v>
          </cell>
          <cell r="T2315">
            <v>0</v>
          </cell>
          <cell r="U2315" t="e">
            <v>#N/A</v>
          </cell>
        </row>
        <row r="2316">
          <cell r="A2316">
            <v>1002310</v>
          </cell>
          <cell r="B2316" t="str">
            <v>Tornillo Máq Cab Cuad 1/2"x2 1/2"</v>
          </cell>
          <cell r="D2316">
            <v>5108</v>
          </cell>
          <cell r="E2316">
            <v>1000</v>
          </cell>
          <cell r="F2316" t="str">
            <v>ZALM</v>
          </cell>
          <cell r="G2316" t="str">
            <v>UN</v>
          </cell>
          <cell r="H2316" t="str">
            <v>DOP</v>
          </cell>
          <cell r="I2316">
            <v>0</v>
          </cell>
          <cell r="J2316">
            <v>0</v>
          </cell>
          <cell r="K2316">
            <v>0</v>
          </cell>
          <cell r="L2316">
            <v>0</v>
          </cell>
          <cell r="M2316">
            <v>0</v>
          </cell>
          <cell r="N2316">
            <v>0</v>
          </cell>
          <cell r="O2316">
            <v>0</v>
          </cell>
          <cell r="P2316">
            <v>0</v>
          </cell>
          <cell r="Q2316">
            <v>0</v>
          </cell>
          <cell r="R2316">
            <v>0</v>
          </cell>
          <cell r="S2316">
            <v>0</v>
          </cell>
          <cell r="T2316">
            <v>0</v>
          </cell>
          <cell r="U2316" t="e">
            <v>#N/A</v>
          </cell>
        </row>
        <row r="2317">
          <cell r="A2317">
            <v>1002311</v>
          </cell>
          <cell r="B2317" t="str">
            <v>Tornillo Máq Cab Cuad 1/2"x2" Acer Galv</v>
          </cell>
          <cell r="D2317">
            <v>5108</v>
          </cell>
          <cell r="E2317">
            <v>1000</v>
          </cell>
          <cell r="F2317" t="str">
            <v>ZALM</v>
          </cell>
          <cell r="G2317" t="str">
            <v>UN</v>
          </cell>
          <cell r="H2317" t="str">
            <v>DOP</v>
          </cell>
          <cell r="I2317">
            <v>0</v>
          </cell>
          <cell r="J2317">
            <v>0</v>
          </cell>
          <cell r="K2317">
            <v>0</v>
          </cell>
          <cell r="L2317">
            <v>0</v>
          </cell>
          <cell r="M2317">
            <v>2</v>
          </cell>
          <cell r="N2317">
            <v>29.61</v>
          </cell>
          <cell r="O2317">
            <v>0</v>
          </cell>
          <cell r="P2317">
            <v>0</v>
          </cell>
          <cell r="Q2317">
            <v>2</v>
          </cell>
          <cell r="R2317">
            <v>29.61</v>
          </cell>
          <cell r="S2317">
            <v>4</v>
          </cell>
          <cell r="T2317">
            <v>59.22</v>
          </cell>
          <cell r="U2317">
            <v>14.805</v>
          </cell>
        </row>
        <row r="2318">
          <cell r="A2318">
            <v>1002312</v>
          </cell>
          <cell r="B2318" t="str">
            <v>Tornillo Máq Cab Cuad 1/2"x3"</v>
          </cell>
          <cell r="D2318">
            <v>5108</v>
          </cell>
          <cell r="E2318">
            <v>1000</v>
          </cell>
          <cell r="F2318" t="str">
            <v>ZALM</v>
          </cell>
          <cell r="G2318" t="str">
            <v>UN</v>
          </cell>
          <cell r="H2318" t="str">
            <v>DOP</v>
          </cell>
          <cell r="I2318">
            <v>0</v>
          </cell>
          <cell r="J2318">
            <v>0</v>
          </cell>
          <cell r="K2318">
            <v>0</v>
          </cell>
          <cell r="L2318">
            <v>0</v>
          </cell>
          <cell r="M2318">
            <v>0</v>
          </cell>
          <cell r="N2318">
            <v>0</v>
          </cell>
          <cell r="O2318">
            <v>0</v>
          </cell>
          <cell r="P2318">
            <v>0</v>
          </cell>
          <cell r="Q2318">
            <v>0</v>
          </cell>
          <cell r="R2318">
            <v>0</v>
          </cell>
          <cell r="S2318">
            <v>0</v>
          </cell>
          <cell r="T2318">
            <v>0</v>
          </cell>
          <cell r="U2318" t="e">
            <v>#N/A</v>
          </cell>
        </row>
        <row r="2319">
          <cell r="A2319">
            <v>1002313</v>
          </cell>
          <cell r="B2319" t="str">
            <v>Tornillo Máq Cab Cuad 1/2"x6"</v>
          </cell>
          <cell r="D2319">
            <v>5108</v>
          </cell>
          <cell r="E2319">
            <v>1000</v>
          </cell>
          <cell r="F2319" t="str">
            <v>ZALM</v>
          </cell>
          <cell r="G2319" t="str">
            <v>UN</v>
          </cell>
          <cell r="H2319" t="str">
            <v>DOP</v>
          </cell>
          <cell r="I2319">
            <v>5262</v>
          </cell>
          <cell r="J2319">
            <v>158422.13</v>
          </cell>
          <cell r="K2319">
            <v>0</v>
          </cell>
          <cell r="L2319">
            <v>0</v>
          </cell>
          <cell r="M2319">
            <v>1783</v>
          </cell>
          <cell r="N2319">
            <v>53680.480000000003</v>
          </cell>
          <cell r="O2319">
            <v>0</v>
          </cell>
          <cell r="P2319">
            <v>0</v>
          </cell>
          <cell r="Q2319">
            <v>122</v>
          </cell>
          <cell r="R2319">
            <v>3673.03</v>
          </cell>
          <cell r="S2319">
            <v>7167</v>
          </cell>
          <cell r="T2319">
            <v>215775.64</v>
          </cell>
          <cell r="U2319">
            <v>30.106828519603699</v>
          </cell>
        </row>
        <row r="2320">
          <cell r="A2320">
            <v>1002314</v>
          </cell>
          <cell r="B2320" t="str">
            <v>Tornillo Máq Cab Cuad 1/2"x8"</v>
          </cell>
          <cell r="D2320">
            <v>5108</v>
          </cell>
          <cell r="E2320">
            <v>1000</v>
          </cell>
          <cell r="F2320" t="str">
            <v>ZALM</v>
          </cell>
          <cell r="G2320" t="str">
            <v>UN</v>
          </cell>
          <cell r="H2320" t="str">
            <v>DOP</v>
          </cell>
          <cell r="I2320">
            <v>50</v>
          </cell>
          <cell r="J2320">
            <v>950.77</v>
          </cell>
          <cell r="K2320">
            <v>0</v>
          </cell>
          <cell r="L2320">
            <v>0</v>
          </cell>
          <cell r="M2320">
            <v>0</v>
          </cell>
          <cell r="N2320">
            <v>0</v>
          </cell>
          <cell r="O2320">
            <v>0</v>
          </cell>
          <cell r="P2320">
            <v>0</v>
          </cell>
          <cell r="Q2320">
            <v>0</v>
          </cell>
          <cell r="R2320">
            <v>0</v>
          </cell>
          <cell r="S2320">
            <v>50</v>
          </cell>
          <cell r="T2320">
            <v>950.77</v>
          </cell>
          <cell r="U2320">
            <v>19.0154</v>
          </cell>
        </row>
        <row r="2321">
          <cell r="A2321">
            <v>1002315</v>
          </cell>
          <cell r="B2321" t="str">
            <v>Tornillo Máq Cab Cuad 1/8"x2"</v>
          </cell>
          <cell r="D2321">
            <v>5108</v>
          </cell>
          <cell r="E2321">
            <v>1000</v>
          </cell>
          <cell r="F2321" t="str">
            <v>ZALM</v>
          </cell>
          <cell r="G2321" t="str">
            <v>UN</v>
          </cell>
          <cell r="H2321" t="str">
            <v>DOP</v>
          </cell>
          <cell r="I2321">
            <v>0</v>
          </cell>
          <cell r="J2321">
            <v>0</v>
          </cell>
          <cell r="K2321">
            <v>0</v>
          </cell>
          <cell r="L2321">
            <v>0</v>
          </cell>
          <cell r="M2321">
            <v>0</v>
          </cell>
          <cell r="N2321">
            <v>0</v>
          </cell>
          <cell r="O2321">
            <v>0</v>
          </cell>
          <cell r="P2321">
            <v>0</v>
          </cell>
          <cell r="Q2321">
            <v>0</v>
          </cell>
          <cell r="R2321">
            <v>0</v>
          </cell>
          <cell r="S2321">
            <v>0</v>
          </cell>
          <cell r="T2321">
            <v>0</v>
          </cell>
          <cell r="U2321" t="e">
            <v>#N/A</v>
          </cell>
        </row>
        <row r="2322">
          <cell r="A2322">
            <v>1002316</v>
          </cell>
          <cell r="B2322" t="str">
            <v>Tornillo Máq Cab Cuad 3/4"x 8"</v>
          </cell>
          <cell r="D2322">
            <v>5108</v>
          </cell>
          <cell r="E2322">
            <v>1000</v>
          </cell>
          <cell r="F2322" t="str">
            <v>ZALM</v>
          </cell>
          <cell r="G2322" t="str">
            <v>UN</v>
          </cell>
          <cell r="H2322" t="str">
            <v>DOP</v>
          </cell>
          <cell r="I2322">
            <v>0</v>
          </cell>
          <cell r="J2322">
            <v>0</v>
          </cell>
          <cell r="K2322">
            <v>0</v>
          </cell>
          <cell r="L2322">
            <v>0</v>
          </cell>
          <cell r="M2322">
            <v>0</v>
          </cell>
          <cell r="N2322">
            <v>0</v>
          </cell>
          <cell r="O2322">
            <v>0</v>
          </cell>
          <cell r="P2322">
            <v>0</v>
          </cell>
          <cell r="Q2322">
            <v>0</v>
          </cell>
          <cell r="R2322">
            <v>0</v>
          </cell>
          <cell r="S2322">
            <v>0</v>
          </cell>
          <cell r="T2322">
            <v>0</v>
          </cell>
          <cell r="U2322" t="e">
            <v>#N/A</v>
          </cell>
        </row>
        <row r="2323">
          <cell r="A2323">
            <v>1002317</v>
          </cell>
          <cell r="B2323" t="str">
            <v>Tornillo Máq Cab Cuad 3/4"x10"</v>
          </cell>
          <cell r="D2323">
            <v>5108</v>
          </cell>
          <cell r="E2323">
            <v>1000</v>
          </cell>
          <cell r="F2323" t="str">
            <v>ZALM</v>
          </cell>
          <cell r="G2323" t="str">
            <v>UN</v>
          </cell>
          <cell r="H2323" t="str">
            <v>DOP</v>
          </cell>
          <cell r="I2323">
            <v>25584</v>
          </cell>
          <cell r="J2323">
            <v>1768585.77</v>
          </cell>
          <cell r="K2323">
            <v>0</v>
          </cell>
          <cell r="L2323">
            <v>0</v>
          </cell>
          <cell r="M2323">
            <v>92</v>
          </cell>
          <cell r="N2323">
            <v>6359.83</v>
          </cell>
          <cell r="O2323">
            <v>0</v>
          </cell>
          <cell r="P2323">
            <v>0</v>
          </cell>
          <cell r="Q2323">
            <v>898</v>
          </cell>
          <cell r="R2323">
            <v>62077.47</v>
          </cell>
          <cell r="S2323">
            <v>26574</v>
          </cell>
          <cell r="T2323">
            <v>1837023.07</v>
          </cell>
          <cell r="U2323">
            <v>69.128586964702293</v>
          </cell>
        </row>
        <row r="2324">
          <cell r="A2324">
            <v>1002318</v>
          </cell>
          <cell r="B2324" t="str">
            <v>Tornillo Máq Cab Cuad 3/4"x12"</v>
          </cell>
          <cell r="D2324">
            <v>5108</v>
          </cell>
          <cell r="E2324">
            <v>1000</v>
          </cell>
          <cell r="F2324" t="str">
            <v>ZALM</v>
          </cell>
          <cell r="G2324" t="str">
            <v>UN</v>
          </cell>
          <cell r="H2324" t="str">
            <v>DOP</v>
          </cell>
          <cell r="I2324">
            <v>492</v>
          </cell>
          <cell r="J2324">
            <v>38037.14</v>
          </cell>
          <cell r="K2324">
            <v>0</v>
          </cell>
          <cell r="L2324">
            <v>0</v>
          </cell>
          <cell r="M2324">
            <v>21</v>
          </cell>
          <cell r="N2324">
            <v>1623.54</v>
          </cell>
          <cell r="O2324">
            <v>0</v>
          </cell>
          <cell r="P2324">
            <v>0</v>
          </cell>
          <cell r="Q2324">
            <v>282</v>
          </cell>
          <cell r="R2324">
            <v>21801.77</v>
          </cell>
          <cell r="S2324">
            <v>795</v>
          </cell>
          <cell r="T2324">
            <v>61462.45</v>
          </cell>
          <cell r="U2324">
            <v>77.311257861635198</v>
          </cell>
        </row>
        <row r="2325">
          <cell r="A2325">
            <v>1002319</v>
          </cell>
          <cell r="B2325" t="str">
            <v>Tornillo Máq Cab Cuad 3/4"x14"</v>
          </cell>
          <cell r="C2325" t="str">
            <v>Para viento</v>
          </cell>
          <cell r="D2325">
            <v>5108</v>
          </cell>
          <cell r="E2325">
            <v>1000</v>
          </cell>
          <cell r="F2325" t="str">
            <v>ZALM</v>
          </cell>
          <cell r="G2325" t="str">
            <v>UN</v>
          </cell>
          <cell r="H2325" t="str">
            <v>DOP</v>
          </cell>
          <cell r="I2325">
            <v>1010</v>
          </cell>
          <cell r="J2325">
            <v>119288.19</v>
          </cell>
          <cell r="K2325">
            <v>0</v>
          </cell>
          <cell r="L2325">
            <v>0</v>
          </cell>
          <cell r="M2325">
            <v>0</v>
          </cell>
          <cell r="N2325">
            <v>0</v>
          </cell>
          <cell r="O2325">
            <v>0</v>
          </cell>
          <cell r="P2325">
            <v>0</v>
          </cell>
          <cell r="Q2325">
            <v>29</v>
          </cell>
          <cell r="R2325">
            <v>3425.11</v>
          </cell>
          <cell r="S2325">
            <v>1039</v>
          </cell>
          <cell r="T2325">
            <v>122713.3</v>
          </cell>
          <cell r="U2325">
            <v>118.107122232916</v>
          </cell>
        </row>
        <row r="2326">
          <cell r="A2326">
            <v>1002320</v>
          </cell>
          <cell r="B2326" t="str">
            <v>Tornillo Máq Cab Cuad 3/4"x16"</v>
          </cell>
          <cell r="D2326">
            <v>5108</v>
          </cell>
          <cell r="E2326">
            <v>1000</v>
          </cell>
          <cell r="F2326" t="str">
            <v>ZALM</v>
          </cell>
          <cell r="G2326" t="str">
            <v>UN</v>
          </cell>
          <cell r="H2326" t="str">
            <v>DOP</v>
          </cell>
          <cell r="I2326">
            <v>0</v>
          </cell>
          <cell r="J2326">
            <v>0</v>
          </cell>
          <cell r="K2326">
            <v>0</v>
          </cell>
          <cell r="L2326">
            <v>0</v>
          </cell>
          <cell r="M2326">
            <v>0</v>
          </cell>
          <cell r="N2326">
            <v>0</v>
          </cell>
          <cell r="O2326">
            <v>0</v>
          </cell>
          <cell r="P2326">
            <v>0</v>
          </cell>
          <cell r="Q2326">
            <v>0</v>
          </cell>
          <cell r="R2326">
            <v>0</v>
          </cell>
          <cell r="S2326">
            <v>0</v>
          </cell>
          <cell r="T2326">
            <v>0</v>
          </cell>
          <cell r="U2326" t="e">
            <v>#N/A</v>
          </cell>
        </row>
        <row r="2327">
          <cell r="A2327">
            <v>1002321</v>
          </cell>
          <cell r="B2327" t="str">
            <v>Tornillo Máq Cab Cuad 3/4"x18"</v>
          </cell>
          <cell r="D2327">
            <v>5108</v>
          </cell>
          <cell r="E2327">
            <v>1000</v>
          </cell>
          <cell r="F2327" t="str">
            <v>ZALM</v>
          </cell>
          <cell r="G2327" t="str">
            <v>UN</v>
          </cell>
          <cell r="H2327" t="str">
            <v>DOP</v>
          </cell>
          <cell r="I2327">
            <v>66</v>
          </cell>
          <cell r="J2327">
            <v>1914</v>
          </cell>
          <cell r="K2327">
            <v>0</v>
          </cell>
          <cell r="L2327">
            <v>0</v>
          </cell>
          <cell r="M2327">
            <v>0</v>
          </cell>
          <cell r="N2327">
            <v>0</v>
          </cell>
          <cell r="O2327">
            <v>0</v>
          </cell>
          <cell r="P2327">
            <v>0</v>
          </cell>
          <cell r="Q2327">
            <v>0</v>
          </cell>
          <cell r="R2327">
            <v>0</v>
          </cell>
          <cell r="S2327">
            <v>66</v>
          </cell>
          <cell r="T2327">
            <v>1914</v>
          </cell>
          <cell r="U2327">
            <v>29</v>
          </cell>
        </row>
        <row r="2328">
          <cell r="A2328">
            <v>1002322</v>
          </cell>
          <cell r="B2328" t="str">
            <v>Tornillo Maq Cab Cuad 3/4"x20"</v>
          </cell>
          <cell r="D2328">
            <v>5108</v>
          </cell>
          <cell r="E2328">
            <v>1000</v>
          </cell>
          <cell r="F2328" t="str">
            <v>ZALM</v>
          </cell>
          <cell r="G2328" t="str">
            <v>UN</v>
          </cell>
          <cell r="H2328" t="str">
            <v>DOP</v>
          </cell>
          <cell r="I2328">
            <v>131</v>
          </cell>
          <cell r="J2328">
            <v>10611</v>
          </cell>
          <cell r="K2328">
            <v>0</v>
          </cell>
          <cell r="L2328">
            <v>0</v>
          </cell>
          <cell r="M2328">
            <v>0</v>
          </cell>
          <cell r="N2328">
            <v>0</v>
          </cell>
          <cell r="O2328">
            <v>0</v>
          </cell>
          <cell r="P2328">
            <v>0</v>
          </cell>
          <cell r="Q2328">
            <v>0</v>
          </cell>
          <cell r="R2328">
            <v>0</v>
          </cell>
          <cell r="S2328">
            <v>131</v>
          </cell>
          <cell r="T2328">
            <v>10611</v>
          </cell>
          <cell r="U2328">
            <v>81</v>
          </cell>
        </row>
        <row r="2329">
          <cell r="A2329">
            <v>1002323</v>
          </cell>
          <cell r="B2329" t="str">
            <v>Tornillo Máq Cab Cuad 3/4"x20"</v>
          </cell>
          <cell r="D2329">
            <v>5108</v>
          </cell>
          <cell r="E2329">
            <v>1000</v>
          </cell>
          <cell r="F2329" t="str">
            <v>ZALM</v>
          </cell>
          <cell r="G2329" t="str">
            <v>UN</v>
          </cell>
          <cell r="H2329" t="str">
            <v>DOP</v>
          </cell>
          <cell r="I2329">
            <v>0</v>
          </cell>
          <cell r="J2329">
            <v>0</v>
          </cell>
          <cell r="K2329">
            <v>0</v>
          </cell>
          <cell r="L2329">
            <v>0</v>
          </cell>
          <cell r="M2329">
            <v>0</v>
          </cell>
          <cell r="N2329">
            <v>0</v>
          </cell>
          <cell r="O2329">
            <v>0</v>
          </cell>
          <cell r="P2329">
            <v>0</v>
          </cell>
          <cell r="Q2329">
            <v>0</v>
          </cell>
          <cell r="R2329">
            <v>0</v>
          </cell>
          <cell r="S2329">
            <v>0</v>
          </cell>
          <cell r="T2329">
            <v>0</v>
          </cell>
          <cell r="U2329" t="e">
            <v>#N/A</v>
          </cell>
        </row>
        <row r="2330">
          <cell r="A2330">
            <v>1002324</v>
          </cell>
          <cell r="B2330" t="str">
            <v>Tornillo Maq Cab Cuad 3/8"x18"</v>
          </cell>
          <cell r="D2330">
            <v>5108</v>
          </cell>
          <cell r="E2330">
            <v>1000</v>
          </cell>
          <cell r="F2330" t="str">
            <v>ZALM</v>
          </cell>
          <cell r="G2330" t="str">
            <v>UN</v>
          </cell>
          <cell r="H2330" t="str">
            <v>DOP</v>
          </cell>
          <cell r="I2330">
            <v>0</v>
          </cell>
          <cell r="J2330">
            <v>0</v>
          </cell>
          <cell r="K2330">
            <v>0</v>
          </cell>
          <cell r="L2330">
            <v>0</v>
          </cell>
          <cell r="M2330">
            <v>0</v>
          </cell>
          <cell r="N2330">
            <v>0</v>
          </cell>
          <cell r="O2330">
            <v>0</v>
          </cell>
          <cell r="P2330">
            <v>0</v>
          </cell>
          <cell r="Q2330">
            <v>0</v>
          </cell>
          <cell r="R2330">
            <v>0</v>
          </cell>
          <cell r="S2330">
            <v>0</v>
          </cell>
          <cell r="T2330">
            <v>0</v>
          </cell>
          <cell r="U2330" t="e">
            <v>#N/A</v>
          </cell>
        </row>
        <row r="2331">
          <cell r="A2331">
            <v>1002325</v>
          </cell>
          <cell r="B2331" t="str">
            <v>Tornillo Máq Cab Cuad 3/8"x2"</v>
          </cell>
          <cell r="D2331">
            <v>5108</v>
          </cell>
          <cell r="E2331">
            <v>1000</v>
          </cell>
          <cell r="F2331" t="str">
            <v>ZALM</v>
          </cell>
          <cell r="G2331" t="str">
            <v>UN</v>
          </cell>
          <cell r="H2331" t="str">
            <v>DOP</v>
          </cell>
          <cell r="I2331">
            <v>2</v>
          </cell>
          <cell r="J2331">
            <v>29.61</v>
          </cell>
          <cell r="K2331">
            <v>0</v>
          </cell>
          <cell r="L2331">
            <v>0</v>
          </cell>
          <cell r="M2331">
            <v>5</v>
          </cell>
          <cell r="N2331">
            <v>74.03</v>
          </cell>
          <cell r="O2331">
            <v>0</v>
          </cell>
          <cell r="P2331">
            <v>0</v>
          </cell>
          <cell r="Q2331">
            <v>42</v>
          </cell>
          <cell r="R2331">
            <v>621.89</v>
          </cell>
          <cell r="S2331">
            <v>49</v>
          </cell>
          <cell r="T2331">
            <v>725.53</v>
          </cell>
          <cell r="U2331">
            <v>14.806734693877599</v>
          </cell>
        </row>
        <row r="2332">
          <cell r="A2332">
            <v>1002326</v>
          </cell>
          <cell r="B2332" t="str">
            <v>Tornillo Máq Cab Cuad 3/8"x3"</v>
          </cell>
          <cell r="D2332">
            <v>5108</v>
          </cell>
          <cell r="E2332">
            <v>1000</v>
          </cell>
          <cell r="F2332" t="str">
            <v>ZALM</v>
          </cell>
          <cell r="G2332" t="str">
            <v>UN</v>
          </cell>
          <cell r="H2332" t="str">
            <v>DOP</v>
          </cell>
          <cell r="I2332">
            <v>0</v>
          </cell>
          <cell r="J2332">
            <v>0</v>
          </cell>
          <cell r="K2332">
            <v>0</v>
          </cell>
          <cell r="L2332">
            <v>0</v>
          </cell>
          <cell r="M2332">
            <v>0</v>
          </cell>
          <cell r="N2332">
            <v>0</v>
          </cell>
          <cell r="O2332">
            <v>0</v>
          </cell>
          <cell r="P2332">
            <v>0</v>
          </cell>
          <cell r="Q2332">
            <v>0</v>
          </cell>
          <cell r="R2332">
            <v>0</v>
          </cell>
          <cell r="S2332">
            <v>0</v>
          </cell>
          <cell r="T2332">
            <v>0</v>
          </cell>
          <cell r="U2332" t="e">
            <v>#N/A</v>
          </cell>
        </row>
        <row r="2333">
          <cell r="A2333">
            <v>1002327</v>
          </cell>
          <cell r="B2333" t="str">
            <v>Tornillo Máq Cab Cuad 3/8"x4 1/2"</v>
          </cell>
          <cell r="D2333">
            <v>5108</v>
          </cell>
          <cell r="E2333">
            <v>1000</v>
          </cell>
          <cell r="F2333" t="str">
            <v>ZALM</v>
          </cell>
          <cell r="G2333" t="str">
            <v>UN</v>
          </cell>
          <cell r="H2333" t="str">
            <v>DOP</v>
          </cell>
          <cell r="I2333">
            <v>40007</v>
          </cell>
          <cell r="J2333">
            <v>144025.20000000001</v>
          </cell>
          <cell r="K2333">
            <v>0</v>
          </cell>
          <cell r="L2333">
            <v>0</v>
          </cell>
          <cell r="M2333">
            <v>0</v>
          </cell>
          <cell r="N2333">
            <v>0</v>
          </cell>
          <cell r="O2333">
            <v>0</v>
          </cell>
          <cell r="P2333">
            <v>0</v>
          </cell>
          <cell r="Q2333">
            <v>0</v>
          </cell>
          <cell r="R2333">
            <v>0</v>
          </cell>
          <cell r="S2333">
            <v>40007</v>
          </cell>
          <cell r="T2333">
            <v>144025.20000000001</v>
          </cell>
          <cell r="U2333">
            <v>3.6</v>
          </cell>
        </row>
        <row r="2334">
          <cell r="A2334">
            <v>1002328</v>
          </cell>
          <cell r="B2334" t="str">
            <v>Tornillo Máq Cab Cuad 3/8"x5"</v>
          </cell>
          <cell r="D2334">
            <v>5108</v>
          </cell>
          <cell r="E2334">
            <v>1000</v>
          </cell>
          <cell r="F2334" t="str">
            <v>ZALM</v>
          </cell>
          <cell r="G2334" t="str">
            <v>UN</v>
          </cell>
          <cell r="H2334" t="str">
            <v>DOP</v>
          </cell>
          <cell r="I2334">
            <v>6207</v>
          </cell>
          <cell r="J2334">
            <v>112850.53</v>
          </cell>
          <cell r="K2334">
            <v>0</v>
          </cell>
          <cell r="L2334">
            <v>0</v>
          </cell>
          <cell r="M2334">
            <v>2405</v>
          </cell>
          <cell r="N2334">
            <v>43725.72</v>
          </cell>
          <cell r="O2334">
            <v>0</v>
          </cell>
          <cell r="P2334">
            <v>0</v>
          </cell>
          <cell r="Q2334">
            <v>324</v>
          </cell>
          <cell r="R2334">
            <v>5890.7</v>
          </cell>
          <cell r="S2334">
            <v>8936</v>
          </cell>
          <cell r="T2334">
            <v>162466.95000000001</v>
          </cell>
          <cell r="U2334">
            <v>18.181171665174599</v>
          </cell>
        </row>
        <row r="2335">
          <cell r="A2335">
            <v>1002329</v>
          </cell>
          <cell r="B2335" t="str">
            <v>Tornillo Máq Cab Cuad 5/8"x10"</v>
          </cell>
          <cell r="D2335">
            <v>5108</v>
          </cell>
          <cell r="E2335">
            <v>1000</v>
          </cell>
          <cell r="F2335" t="str">
            <v>ZALM</v>
          </cell>
          <cell r="G2335" t="str">
            <v>UN</v>
          </cell>
          <cell r="H2335" t="str">
            <v>DOP</v>
          </cell>
          <cell r="I2335">
            <v>8388</v>
          </cell>
          <cell r="J2335">
            <v>146749.79</v>
          </cell>
          <cell r="K2335">
            <v>0</v>
          </cell>
          <cell r="L2335">
            <v>0</v>
          </cell>
          <cell r="M2335">
            <v>0</v>
          </cell>
          <cell r="N2335">
            <v>0</v>
          </cell>
          <cell r="O2335">
            <v>0</v>
          </cell>
          <cell r="P2335">
            <v>0</v>
          </cell>
          <cell r="Q2335">
            <v>463</v>
          </cell>
          <cell r="R2335">
            <v>8100.28</v>
          </cell>
          <cell r="S2335">
            <v>8851</v>
          </cell>
          <cell r="T2335">
            <v>154850.07</v>
          </cell>
          <cell r="U2335">
            <v>17.4952061913908</v>
          </cell>
        </row>
        <row r="2336">
          <cell r="A2336">
            <v>1002330</v>
          </cell>
          <cell r="B2336" t="str">
            <v>Tornillo Máq Cab Cuad 5/8"x12"</v>
          </cell>
          <cell r="D2336">
            <v>5108</v>
          </cell>
          <cell r="E2336">
            <v>1000</v>
          </cell>
          <cell r="F2336" t="str">
            <v>ZALM</v>
          </cell>
          <cell r="G2336" t="str">
            <v>UN</v>
          </cell>
          <cell r="H2336" t="str">
            <v>DOP</v>
          </cell>
          <cell r="I2336">
            <v>0</v>
          </cell>
          <cell r="J2336">
            <v>0</v>
          </cell>
          <cell r="K2336">
            <v>0</v>
          </cell>
          <cell r="L2336">
            <v>0</v>
          </cell>
          <cell r="M2336">
            <v>56</v>
          </cell>
          <cell r="N2336">
            <v>3822.24</v>
          </cell>
          <cell r="O2336">
            <v>0</v>
          </cell>
          <cell r="P2336">
            <v>0</v>
          </cell>
          <cell r="Q2336">
            <v>58</v>
          </cell>
          <cell r="R2336">
            <v>3958.75</v>
          </cell>
          <cell r="S2336">
            <v>114</v>
          </cell>
          <cell r="T2336">
            <v>7780.99</v>
          </cell>
          <cell r="U2336">
            <v>68.254298245613995</v>
          </cell>
        </row>
        <row r="2337">
          <cell r="A2337">
            <v>1002331</v>
          </cell>
          <cell r="B2337" t="str">
            <v>Tornillo Máq Cab Cuad 5/8"x14"</v>
          </cell>
          <cell r="D2337">
            <v>5108</v>
          </cell>
          <cell r="E2337">
            <v>1000</v>
          </cell>
          <cell r="F2337" t="str">
            <v>ZALM</v>
          </cell>
          <cell r="G2337" t="str">
            <v>UN</v>
          </cell>
          <cell r="H2337" t="str">
            <v>DOP</v>
          </cell>
          <cell r="I2337">
            <v>802</v>
          </cell>
          <cell r="J2337">
            <v>39469.379999999997</v>
          </cell>
          <cell r="K2337">
            <v>0</v>
          </cell>
          <cell r="L2337">
            <v>0</v>
          </cell>
          <cell r="M2337">
            <v>0</v>
          </cell>
          <cell r="N2337">
            <v>0</v>
          </cell>
          <cell r="O2337">
            <v>0</v>
          </cell>
          <cell r="P2337">
            <v>0</v>
          </cell>
          <cell r="Q2337">
            <v>13</v>
          </cell>
          <cell r="R2337">
            <v>639.78</v>
          </cell>
          <cell r="S2337">
            <v>815</v>
          </cell>
          <cell r="T2337">
            <v>40109.160000000003</v>
          </cell>
          <cell r="U2337">
            <v>49.213693251533698</v>
          </cell>
        </row>
        <row r="2338">
          <cell r="A2338">
            <v>1002332</v>
          </cell>
          <cell r="B2338" t="str">
            <v>Tornillo Máq Cab Cuad 5/8"x16"</v>
          </cell>
          <cell r="D2338">
            <v>5108</v>
          </cell>
          <cell r="E2338">
            <v>1000</v>
          </cell>
          <cell r="F2338" t="str">
            <v>ZALM</v>
          </cell>
          <cell r="G2338" t="str">
            <v>UN</v>
          </cell>
          <cell r="H2338" t="str">
            <v>DOP</v>
          </cell>
          <cell r="I2338">
            <v>93</v>
          </cell>
          <cell r="J2338">
            <v>8360.7000000000007</v>
          </cell>
          <cell r="K2338">
            <v>0</v>
          </cell>
          <cell r="L2338">
            <v>0</v>
          </cell>
          <cell r="M2338">
            <v>0</v>
          </cell>
          <cell r="N2338">
            <v>0</v>
          </cell>
          <cell r="O2338">
            <v>0</v>
          </cell>
          <cell r="P2338">
            <v>0</v>
          </cell>
          <cell r="Q2338">
            <v>38</v>
          </cell>
          <cell r="R2338">
            <v>3416.2</v>
          </cell>
          <cell r="S2338">
            <v>131</v>
          </cell>
          <cell r="T2338">
            <v>11776.9</v>
          </cell>
          <cell r="U2338">
            <v>89.9</v>
          </cell>
        </row>
        <row r="2339">
          <cell r="A2339">
            <v>1002333</v>
          </cell>
          <cell r="B2339" t="str">
            <v>Tornillo Máq Cab Cuad 5/8"x18"</v>
          </cell>
          <cell r="D2339">
            <v>5108</v>
          </cell>
          <cell r="E2339">
            <v>1000</v>
          </cell>
          <cell r="F2339" t="str">
            <v>ZALM</v>
          </cell>
          <cell r="G2339" t="str">
            <v>UN</v>
          </cell>
          <cell r="H2339" t="str">
            <v>DOP</v>
          </cell>
          <cell r="I2339">
            <v>732</v>
          </cell>
          <cell r="J2339">
            <v>20261.759999999998</v>
          </cell>
          <cell r="K2339">
            <v>0</v>
          </cell>
          <cell r="L2339">
            <v>0</v>
          </cell>
          <cell r="M2339">
            <v>0</v>
          </cell>
          <cell r="N2339">
            <v>0</v>
          </cell>
          <cell r="O2339">
            <v>0</v>
          </cell>
          <cell r="P2339">
            <v>0</v>
          </cell>
          <cell r="Q2339">
            <v>0</v>
          </cell>
          <cell r="R2339">
            <v>0</v>
          </cell>
          <cell r="S2339">
            <v>732</v>
          </cell>
          <cell r="T2339">
            <v>20261.759999999998</v>
          </cell>
          <cell r="U2339">
            <v>27.68</v>
          </cell>
        </row>
        <row r="2340">
          <cell r="A2340">
            <v>1002334</v>
          </cell>
          <cell r="B2340" t="str">
            <v>Tornillo Máq Cab Cuad 5/8"x20"</v>
          </cell>
          <cell r="D2340">
            <v>5108</v>
          </cell>
          <cell r="E2340">
            <v>1000</v>
          </cell>
          <cell r="F2340" t="str">
            <v>ZALM</v>
          </cell>
          <cell r="G2340" t="str">
            <v>UN</v>
          </cell>
          <cell r="H2340" t="str">
            <v>DOP</v>
          </cell>
          <cell r="I2340">
            <v>0</v>
          </cell>
          <cell r="J2340">
            <v>0</v>
          </cell>
          <cell r="K2340">
            <v>0</v>
          </cell>
          <cell r="L2340">
            <v>0</v>
          </cell>
          <cell r="M2340">
            <v>596</v>
          </cell>
          <cell r="N2340">
            <v>60321.16</v>
          </cell>
          <cell r="O2340">
            <v>0</v>
          </cell>
          <cell r="P2340">
            <v>0</v>
          </cell>
          <cell r="Q2340">
            <v>354</v>
          </cell>
          <cell r="R2340">
            <v>35828.339999999997</v>
          </cell>
          <cell r="S2340">
            <v>950</v>
          </cell>
          <cell r="T2340">
            <v>96149.5</v>
          </cell>
          <cell r="U2340">
            <v>101.21</v>
          </cell>
        </row>
        <row r="2341">
          <cell r="A2341">
            <v>1002335</v>
          </cell>
          <cell r="B2341" t="str">
            <v>Tornillo Máq Cab Cuad 5/8"x6"</v>
          </cell>
          <cell r="D2341">
            <v>5108</v>
          </cell>
          <cell r="E2341">
            <v>1000</v>
          </cell>
          <cell r="F2341" t="str">
            <v>ZALM</v>
          </cell>
          <cell r="G2341" t="str">
            <v>UN</v>
          </cell>
          <cell r="H2341" t="str">
            <v>DOP</v>
          </cell>
          <cell r="I2341">
            <v>0</v>
          </cell>
          <cell r="J2341">
            <v>0</v>
          </cell>
          <cell r="K2341">
            <v>0</v>
          </cell>
          <cell r="L2341">
            <v>0</v>
          </cell>
          <cell r="M2341">
            <v>0</v>
          </cell>
          <cell r="N2341">
            <v>0</v>
          </cell>
          <cell r="O2341">
            <v>0</v>
          </cell>
          <cell r="P2341">
            <v>0</v>
          </cell>
          <cell r="Q2341">
            <v>0</v>
          </cell>
          <cell r="R2341">
            <v>0</v>
          </cell>
          <cell r="S2341">
            <v>0</v>
          </cell>
          <cell r="T2341">
            <v>0</v>
          </cell>
          <cell r="U2341" t="e">
            <v>#N/A</v>
          </cell>
        </row>
        <row r="2342">
          <cell r="A2342">
            <v>1002336</v>
          </cell>
          <cell r="B2342" t="str">
            <v>Tornillo Máq Cab Cuad 5/8"x8"</v>
          </cell>
          <cell r="D2342">
            <v>5108</v>
          </cell>
          <cell r="E2342">
            <v>1000</v>
          </cell>
          <cell r="F2342" t="str">
            <v>ZALM</v>
          </cell>
          <cell r="G2342" t="str">
            <v>UN</v>
          </cell>
          <cell r="H2342" t="str">
            <v>DOP</v>
          </cell>
          <cell r="I2342">
            <v>10172</v>
          </cell>
          <cell r="J2342">
            <v>292961.67</v>
          </cell>
          <cell r="K2342">
            <v>0</v>
          </cell>
          <cell r="L2342">
            <v>0</v>
          </cell>
          <cell r="M2342">
            <v>731</v>
          </cell>
          <cell r="N2342">
            <v>21053.38</v>
          </cell>
          <cell r="O2342">
            <v>0</v>
          </cell>
          <cell r="P2342">
            <v>0</v>
          </cell>
          <cell r="Q2342">
            <v>957</v>
          </cell>
          <cell r="R2342">
            <v>27562.36</v>
          </cell>
          <cell r="S2342">
            <v>11860</v>
          </cell>
          <cell r="T2342">
            <v>341577.41</v>
          </cell>
          <cell r="U2342">
            <v>28.8007934232715</v>
          </cell>
        </row>
        <row r="2343">
          <cell r="A2343">
            <v>1002337</v>
          </cell>
          <cell r="B2343" t="str">
            <v>Tornillo Maq Cab Cuad Aran Fija 5/8x16"</v>
          </cell>
          <cell r="D2343">
            <v>5108</v>
          </cell>
          <cell r="E2343">
            <v>1000</v>
          </cell>
          <cell r="F2343" t="str">
            <v>ZALM</v>
          </cell>
          <cell r="G2343" t="str">
            <v>UN</v>
          </cell>
          <cell r="H2343" t="str">
            <v>DOP</v>
          </cell>
          <cell r="I2343">
            <v>0</v>
          </cell>
          <cell r="J2343">
            <v>0</v>
          </cell>
          <cell r="K2343">
            <v>0</v>
          </cell>
          <cell r="L2343">
            <v>0</v>
          </cell>
          <cell r="M2343">
            <v>0</v>
          </cell>
          <cell r="N2343">
            <v>0</v>
          </cell>
          <cell r="O2343">
            <v>0</v>
          </cell>
          <cell r="P2343">
            <v>0</v>
          </cell>
          <cell r="Q2343">
            <v>0</v>
          </cell>
          <cell r="R2343">
            <v>0</v>
          </cell>
          <cell r="S2343">
            <v>0</v>
          </cell>
          <cell r="T2343">
            <v>0</v>
          </cell>
          <cell r="U2343" t="e">
            <v>#N/A</v>
          </cell>
        </row>
        <row r="2344">
          <cell r="A2344">
            <v>1002338</v>
          </cell>
          <cell r="B2344" t="str">
            <v>Tornillo Máq Cab Hex 1/2"x2 1/2"</v>
          </cell>
          <cell r="D2344">
            <v>5108</v>
          </cell>
          <cell r="E2344">
            <v>1000</v>
          </cell>
          <cell r="F2344" t="str">
            <v>ZALM</v>
          </cell>
          <cell r="G2344" t="str">
            <v>UN</v>
          </cell>
          <cell r="H2344" t="str">
            <v>DOP</v>
          </cell>
          <cell r="I2344">
            <v>23</v>
          </cell>
          <cell r="J2344">
            <v>352.13</v>
          </cell>
          <cell r="K2344">
            <v>0</v>
          </cell>
          <cell r="L2344">
            <v>0</v>
          </cell>
          <cell r="M2344">
            <v>0</v>
          </cell>
          <cell r="N2344">
            <v>0</v>
          </cell>
          <cell r="O2344">
            <v>0</v>
          </cell>
          <cell r="P2344">
            <v>0</v>
          </cell>
          <cell r="Q2344">
            <v>0</v>
          </cell>
          <cell r="R2344">
            <v>0</v>
          </cell>
          <cell r="S2344">
            <v>23</v>
          </cell>
          <cell r="T2344">
            <v>352.13</v>
          </cell>
          <cell r="U2344">
            <v>15.31</v>
          </cell>
        </row>
        <row r="2345">
          <cell r="A2345">
            <v>1002339</v>
          </cell>
          <cell r="B2345" t="str">
            <v>Tornillo Máq Cab Hex 1/2"x2"</v>
          </cell>
          <cell r="D2345">
            <v>5108</v>
          </cell>
          <cell r="E2345">
            <v>1000</v>
          </cell>
          <cell r="F2345" t="str">
            <v>ZALM</v>
          </cell>
          <cell r="G2345" t="str">
            <v>UN</v>
          </cell>
          <cell r="H2345" t="str">
            <v>DOP</v>
          </cell>
          <cell r="I2345">
            <v>0</v>
          </cell>
          <cell r="J2345">
            <v>0</v>
          </cell>
          <cell r="K2345">
            <v>0</v>
          </cell>
          <cell r="L2345">
            <v>0</v>
          </cell>
          <cell r="M2345">
            <v>0</v>
          </cell>
          <cell r="N2345">
            <v>0</v>
          </cell>
          <cell r="O2345">
            <v>0</v>
          </cell>
          <cell r="P2345">
            <v>0</v>
          </cell>
          <cell r="Q2345">
            <v>0</v>
          </cell>
          <cell r="R2345">
            <v>0</v>
          </cell>
          <cell r="S2345">
            <v>0</v>
          </cell>
          <cell r="T2345">
            <v>0</v>
          </cell>
          <cell r="U2345" t="e">
            <v>#N/A</v>
          </cell>
        </row>
        <row r="2346">
          <cell r="A2346">
            <v>1002340</v>
          </cell>
          <cell r="B2346" t="str">
            <v>Tornillo Máq Cab Hex 3/4"x10" Acer Galv</v>
          </cell>
          <cell r="D2346">
            <v>5108</v>
          </cell>
          <cell r="E2346">
            <v>1000</v>
          </cell>
          <cell r="F2346" t="str">
            <v>ZALM</v>
          </cell>
          <cell r="G2346" t="str">
            <v>UN</v>
          </cell>
          <cell r="H2346" t="str">
            <v>DOP</v>
          </cell>
          <cell r="I2346">
            <v>0</v>
          </cell>
          <cell r="J2346">
            <v>0</v>
          </cell>
          <cell r="K2346">
            <v>0</v>
          </cell>
          <cell r="L2346">
            <v>0</v>
          </cell>
          <cell r="M2346">
            <v>0</v>
          </cell>
          <cell r="N2346">
            <v>0</v>
          </cell>
          <cell r="O2346">
            <v>0</v>
          </cell>
          <cell r="P2346">
            <v>0</v>
          </cell>
          <cell r="Q2346">
            <v>0</v>
          </cell>
          <cell r="R2346">
            <v>0</v>
          </cell>
          <cell r="S2346">
            <v>0</v>
          </cell>
          <cell r="T2346">
            <v>0</v>
          </cell>
          <cell r="U2346" t="e">
            <v>#N/A</v>
          </cell>
        </row>
        <row r="2347">
          <cell r="A2347">
            <v>1002341</v>
          </cell>
          <cell r="B2347" t="str">
            <v>Tornillo Máq Cab Hex 3/4"x2 1/2"</v>
          </cell>
          <cell r="D2347">
            <v>5108</v>
          </cell>
          <cell r="E2347">
            <v>1000</v>
          </cell>
          <cell r="F2347" t="str">
            <v>ZALM</v>
          </cell>
          <cell r="G2347" t="str">
            <v>UN</v>
          </cell>
          <cell r="H2347" t="str">
            <v>DOP</v>
          </cell>
          <cell r="I2347">
            <v>0</v>
          </cell>
          <cell r="J2347">
            <v>0</v>
          </cell>
          <cell r="K2347">
            <v>0</v>
          </cell>
          <cell r="L2347">
            <v>0</v>
          </cell>
          <cell r="M2347">
            <v>0</v>
          </cell>
          <cell r="N2347">
            <v>0</v>
          </cell>
          <cell r="O2347">
            <v>0</v>
          </cell>
          <cell r="P2347">
            <v>0</v>
          </cell>
          <cell r="Q2347">
            <v>0</v>
          </cell>
          <cell r="R2347">
            <v>0</v>
          </cell>
          <cell r="S2347">
            <v>0</v>
          </cell>
          <cell r="T2347">
            <v>0</v>
          </cell>
          <cell r="U2347" t="e">
            <v>#N/A</v>
          </cell>
        </row>
        <row r="2348">
          <cell r="A2348">
            <v>1002342</v>
          </cell>
          <cell r="B2348" t="str">
            <v>Tornillo Máq Cab Hex 5/8"x18"</v>
          </cell>
          <cell r="D2348">
            <v>5108</v>
          </cell>
          <cell r="E2348">
            <v>1000</v>
          </cell>
          <cell r="F2348" t="str">
            <v>ZALM</v>
          </cell>
          <cell r="G2348" t="str">
            <v>UN</v>
          </cell>
          <cell r="H2348" t="str">
            <v>DOP</v>
          </cell>
          <cell r="I2348">
            <v>0</v>
          </cell>
          <cell r="J2348">
            <v>0</v>
          </cell>
          <cell r="K2348">
            <v>0</v>
          </cell>
          <cell r="L2348">
            <v>0</v>
          </cell>
          <cell r="M2348">
            <v>0</v>
          </cell>
          <cell r="N2348">
            <v>0</v>
          </cell>
          <cell r="O2348">
            <v>0</v>
          </cell>
          <cell r="P2348">
            <v>0</v>
          </cell>
          <cell r="Q2348">
            <v>0</v>
          </cell>
          <cell r="R2348">
            <v>0</v>
          </cell>
          <cell r="S2348">
            <v>0</v>
          </cell>
          <cell r="T2348">
            <v>0</v>
          </cell>
          <cell r="U2348" t="e">
            <v>#N/A</v>
          </cell>
        </row>
        <row r="2349">
          <cell r="A2349">
            <v>1002343</v>
          </cell>
          <cell r="B2349" t="str">
            <v>Tornillo Máq Cab Hex 5/8"x2"</v>
          </cell>
          <cell r="D2349">
            <v>5108</v>
          </cell>
          <cell r="E2349">
            <v>1000</v>
          </cell>
          <cell r="F2349" t="str">
            <v>ZALM</v>
          </cell>
          <cell r="G2349" t="str">
            <v>UN</v>
          </cell>
          <cell r="H2349" t="str">
            <v>DOP</v>
          </cell>
          <cell r="I2349">
            <v>0</v>
          </cell>
          <cell r="J2349">
            <v>0</v>
          </cell>
          <cell r="K2349">
            <v>0</v>
          </cell>
          <cell r="L2349">
            <v>0</v>
          </cell>
          <cell r="M2349">
            <v>0</v>
          </cell>
          <cell r="N2349">
            <v>0</v>
          </cell>
          <cell r="O2349">
            <v>0</v>
          </cell>
          <cell r="P2349">
            <v>0</v>
          </cell>
          <cell r="Q2349">
            <v>0</v>
          </cell>
          <cell r="R2349">
            <v>0</v>
          </cell>
          <cell r="S2349">
            <v>0</v>
          </cell>
          <cell r="T2349">
            <v>0</v>
          </cell>
          <cell r="U2349" t="e">
            <v>#N/A</v>
          </cell>
        </row>
        <row r="2350">
          <cell r="A2350">
            <v>1002344</v>
          </cell>
          <cell r="B2350" t="str">
            <v>Tornillo Máq Cab Hongo 1/2"x2"</v>
          </cell>
          <cell r="D2350">
            <v>5108</v>
          </cell>
          <cell r="E2350">
            <v>1000</v>
          </cell>
          <cell r="F2350" t="str">
            <v>ZALM</v>
          </cell>
          <cell r="G2350" t="str">
            <v>UN</v>
          </cell>
          <cell r="H2350" t="str">
            <v>DOP</v>
          </cell>
          <cell r="I2350">
            <v>0</v>
          </cell>
          <cell r="J2350">
            <v>0</v>
          </cell>
          <cell r="K2350">
            <v>0</v>
          </cell>
          <cell r="L2350">
            <v>0</v>
          </cell>
          <cell r="M2350">
            <v>160</v>
          </cell>
          <cell r="N2350">
            <v>7980.8</v>
          </cell>
          <cell r="O2350">
            <v>0</v>
          </cell>
          <cell r="P2350">
            <v>0</v>
          </cell>
          <cell r="Q2350">
            <v>0</v>
          </cell>
          <cell r="R2350">
            <v>0</v>
          </cell>
          <cell r="S2350">
            <v>160</v>
          </cell>
          <cell r="T2350">
            <v>7980.8</v>
          </cell>
          <cell r="U2350">
            <v>49.88</v>
          </cell>
        </row>
        <row r="2351">
          <cell r="A2351">
            <v>1002345</v>
          </cell>
          <cell r="B2351" t="str">
            <v>Tornillo Niquelado 1/2"x3"</v>
          </cell>
          <cell r="D2351">
            <v>5108</v>
          </cell>
          <cell r="E2351">
            <v>1000</v>
          </cell>
          <cell r="F2351" t="str">
            <v>ZALM</v>
          </cell>
          <cell r="G2351" t="str">
            <v>UN</v>
          </cell>
          <cell r="H2351" t="str">
            <v>DOP</v>
          </cell>
          <cell r="I2351">
            <v>0</v>
          </cell>
          <cell r="J2351">
            <v>0</v>
          </cell>
          <cell r="K2351">
            <v>0</v>
          </cell>
          <cell r="L2351">
            <v>0</v>
          </cell>
          <cell r="M2351">
            <v>0</v>
          </cell>
          <cell r="N2351">
            <v>0</v>
          </cell>
          <cell r="O2351">
            <v>0</v>
          </cell>
          <cell r="P2351">
            <v>0</v>
          </cell>
          <cell r="Q2351">
            <v>0</v>
          </cell>
          <cell r="R2351">
            <v>0</v>
          </cell>
          <cell r="S2351">
            <v>0</v>
          </cell>
          <cell r="T2351">
            <v>0</v>
          </cell>
          <cell r="U2351" t="e">
            <v>#N/A</v>
          </cell>
        </row>
        <row r="2352">
          <cell r="A2352">
            <v>1002346</v>
          </cell>
          <cell r="B2352" t="str">
            <v>Tornillo P/ Aislador T/ Carrete 5/8"x10"</v>
          </cell>
          <cell r="D2352">
            <v>5108</v>
          </cell>
          <cell r="E2352">
            <v>1000</v>
          </cell>
          <cell r="F2352" t="str">
            <v>ZALM</v>
          </cell>
          <cell r="G2352" t="str">
            <v>UN</v>
          </cell>
          <cell r="H2352" t="str">
            <v>DOP</v>
          </cell>
          <cell r="I2352">
            <v>250</v>
          </cell>
          <cell r="J2352">
            <v>0</v>
          </cell>
          <cell r="K2352">
            <v>0</v>
          </cell>
          <cell r="L2352">
            <v>0</v>
          </cell>
          <cell r="M2352">
            <v>0</v>
          </cell>
          <cell r="N2352">
            <v>0</v>
          </cell>
          <cell r="O2352">
            <v>0</v>
          </cell>
          <cell r="P2352">
            <v>0</v>
          </cell>
          <cell r="Q2352">
            <v>0</v>
          </cell>
          <cell r="R2352">
            <v>0</v>
          </cell>
          <cell r="S2352">
            <v>250</v>
          </cell>
          <cell r="T2352">
            <v>0</v>
          </cell>
          <cell r="U2352">
            <v>0</v>
          </cell>
        </row>
        <row r="2353">
          <cell r="A2353">
            <v>1002347</v>
          </cell>
          <cell r="B2353" t="str">
            <v>Tornillo P/ Aislador T/ Carrete 5/8"x12"</v>
          </cell>
          <cell r="D2353">
            <v>5108</v>
          </cell>
          <cell r="E2353">
            <v>1000</v>
          </cell>
          <cell r="F2353" t="str">
            <v>ZALM</v>
          </cell>
          <cell r="G2353" t="str">
            <v>UN</v>
          </cell>
          <cell r="H2353" t="str">
            <v>DOP</v>
          </cell>
          <cell r="I2353">
            <v>0</v>
          </cell>
          <cell r="J2353">
            <v>0</v>
          </cell>
          <cell r="K2353">
            <v>0</v>
          </cell>
          <cell r="L2353">
            <v>0</v>
          </cell>
          <cell r="M2353">
            <v>18</v>
          </cell>
          <cell r="N2353">
            <v>3246.84</v>
          </cell>
          <cell r="O2353">
            <v>0</v>
          </cell>
          <cell r="P2353">
            <v>0</v>
          </cell>
          <cell r="Q2353">
            <v>0</v>
          </cell>
          <cell r="R2353">
            <v>0</v>
          </cell>
          <cell r="S2353">
            <v>18</v>
          </cell>
          <cell r="T2353">
            <v>3246.84</v>
          </cell>
          <cell r="U2353">
            <v>180.38</v>
          </cell>
        </row>
        <row r="2354">
          <cell r="A2354">
            <v>1002348</v>
          </cell>
          <cell r="B2354" t="str">
            <v>Tornillo P/ Aislador T/ Carrete 5/8"x14"</v>
          </cell>
          <cell r="D2354">
            <v>5108</v>
          </cell>
          <cell r="E2354">
            <v>1000</v>
          </cell>
          <cell r="F2354" t="str">
            <v>ZALM</v>
          </cell>
          <cell r="G2354" t="str">
            <v>UN</v>
          </cell>
          <cell r="H2354" t="str">
            <v>DOP</v>
          </cell>
          <cell r="I2354">
            <v>0</v>
          </cell>
          <cell r="J2354">
            <v>0</v>
          </cell>
          <cell r="K2354">
            <v>0</v>
          </cell>
          <cell r="L2354">
            <v>0</v>
          </cell>
          <cell r="M2354">
            <v>0</v>
          </cell>
          <cell r="N2354">
            <v>0</v>
          </cell>
          <cell r="O2354">
            <v>0</v>
          </cell>
          <cell r="P2354">
            <v>0</v>
          </cell>
          <cell r="Q2354">
            <v>0</v>
          </cell>
          <cell r="R2354">
            <v>0</v>
          </cell>
          <cell r="S2354">
            <v>0</v>
          </cell>
          <cell r="T2354">
            <v>0</v>
          </cell>
          <cell r="U2354" t="e">
            <v>#N/A</v>
          </cell>
        </row>
        <row r="2355">
          <cell r="A2355">
            <v>1002349</v>
          </cell>
          <cell r="B2355" t="str">
            <v>Tornillo P/ Aislador T/ Carrete 5/8"x16"</v>
          </cell>
          <cell r="D2355">
            <v>5108</v>
          </cell>
          <cell r="E2355">
            <v>1000</v>
          </cell>
          <cell r="F2355" t="str">
            <v>ZALM</v>
          </cell>
          <cell r="G2355" t="str">
            <v>UN</v>
          </cell>
          <cell r="H2355" t="str">
            <v>DOP</v>
          </cell>
          <cell r="I2355">
            <v>32</v>
          </cell>
          <cell r="J2355">
            <v>5772.3</v>
          </cell>
          <cell r="K2355">
            <v>500</v>
          </cell>
          <cell r="L2355">
            <v>90192.21</v>
          </cell>
          <cell r="M2355">
            <v>0</v>
          </cell>
          <cell r="N2355">
            <v>0</v>
          </cell>
          <cell r="O2355">
            <v>0</v>
          </cell>
          <cell r="P2355">
            <v>0</v>
          </cell>
          <cell r="Q2355">
            <v>193</v>
          </cell>
          <cell r="R2355">
            <v>34814.19</v>
          </cell>
          <cell r="S2355">
            <v>725</v>
          </cell>
          <cell r="T2355">
            <v>130778.7</v>
          </cell>
          <cell r="U2355">
            <v>180.38441379310299</v>
          </cell>
        </row>
        <row r="2356">
          <cell r="A2356">
            <v>1002350</v>
          </cell>
          <cell r="B2356" t="str">
            <v>Tornillo P/ Aislador T/ Carrete 5/8"x18"</v>
          </cell>
          <cell r="D2356">
            <v>5108</v>
          </cell>
          <cell r="E2356">
            <v>1000</v>
          </cell>
          <cell r="F2356" t="str">
            <v>ZALM</v>
          </cell>
          <cell r="G2356" t="str">
            <v>UN</v>
          </cell>
          <cell r="H2356" t="str">
            <v>DOP</v>
          </cell>
          <cell r="I2356">
            <v>1132</v>
          </cell>
          <cell r="J2356">
            <v>227841.38</v>
          </cell>
          <cell r="K2356">
            <v>0</v>
          </cell>
          <cell r="L2356">
            <v>0</v>
          </cell>
          <cell r="M2356">
            <v>175</v>
          </cell>
          <cell r="N2356">
            <v>35222.83</v>
          </cell>
          <cell r="O2356">
            <v>0</v>
          </cell>
          <cell r="P2356">
            <v>0</v>
          </cell>
          <cell r="Q2356">
            <v>33</v>
          </cell>
          <cell r="R2356">
            <v>6642.02</v>
          </cell>
          <cell r="S2356">
            <v>1340</v>
          </cell>
          <cell r="T2356">
            <v>269706.23</v>
          </cell>
          <cell r="U2356">
            <v>201.27330597014901</v>
          </cell>
        </row>
        <row r="2357">
          <cell r="A2357">
            <v>1002351</v>
          </cell>
          <cell r="B2357" t="str">
            <v>Tornillo P/ Soporte Aluminio</v>
          </cell>
          <cell r="D2357">
            <v>5108</v>
          </cell>
          <cell r="E2357">
            <v>1000</v>
          </cell>
          <cell r="F2357" t="str">
            <v>ZALM</v>
          </cell>
          <cell r="G2357" t="str">
            <v>UN</v>
          </cell>
          <cell r="H2357" t="str">
            <v>DOP</v>
          </cell>
          <cell r="I2357">
            <v>0</v>
          </cell>
          <cell r="J2357">
            <v>0</v>
          </cell>
          <cell r="K2357">
            <v>0</v>
          </cell>
          <cell r="L2357">
            <v>0</v>
          </cell>
          <cell r="M2357">
            <v>0</v>
          </cell>
          <cell r="N2357">
            <v>0</v>
          </cell>
          <cell r="O2357">
            <v>0</v>
          </cell>
          <cell r="P2357">
            <v>0</v>
          </cell>
          <cell r="Q2357">
            <v>0</v>
          </cell>
          <cell r="R2357">
            <v>0</v>
          </cell>
          <cell r="S2357">
            <v>0</v>
          </cell>
          <cell r="T2357">
            <v>0</v>
          </cell>
          <cell r="U2357" t="e">
            <v>#N/A</v>
          </cell>
        </row>
        <row r="2358">
          <cell r="A2358">
            <v>1002352</v>
          </cell>
          <cell r="B2358" t="str">
            <v>Tornillo P/ Soporte Patecas Aluminio</v>
          </cell>
          <cell r="D2358">
            <v>5108</v>
          </cell>
          <cell r="E2358">
            <v>1000</v>
          </cell>
          <cell r="F2358" t="str">
            <v>ZALM</v>
          </cell>
          <cell r="G2358" t="str">
            <v>UN</v>
          </cell>
          <cell r="H2358" t="str">
            <v>DOP</v>
          </cell>
          <cell r="I2358">
            <v>0</v>
          </cell>
          <cell r="J2358">
            <v>0</v>
          </cell>
          <cell r="K2358">
            <v>0</v>
          </cell>
          <cell r="L2358">
            <v>0</v>
          </cell>
          <cell r="M2358">
            <v>0</v>
          </cell>
          <cell r="N2358">
            <v>0</v>
          </cell>
          <cell r="O2358">
            <v>0</v>
          </cell>
          <cell r="P2358">
            <v>0</v>
          </cell>
          <cell r="Q2358">
            <v>0</v>
          </cell>
          <cell r="R2358">
            <v>0</v>
          </cell>
          <cell r="S2358">
            <v>0</v>
          </cell>
          <cell r="T2358">
            <v>0</v>
          </cell>
          <cell r="U2358" t="e">
            <v>#N/A</v>
          </cell>
        </row>
        <row r="2359">
          <cell r="A2359">
            <v>1002353</v>
          </cell>
          <cell r="B2359" t="str">
            <v>Tornillo Pasante C/ Tuerca 5/8"x6"</v>
          </cell>
          <cell r="D2359">
            <v>5108</v>
          </cell>
          <cell r="E2359">
            <v>1000</v>
          </cell>
          <cell r="F2359" t="str">
            <v>ZALM</v>
          </cell>
          <cell r="G2359" t="str">
            <v>UN</v>
          </cell>
          <cell r="H2359" t="str">
            <v>DOP</v>
          </cell>
          <cell r="I2359">
            <v>0</v>
          </cell>
          <cell r="J2359">
            <v>0</v>
          </cell>
          <cell r="K2359">
            <v>0</v>
          </cell>
          <cell r="L2359">
            <v>0</v>
          </cell>
          <cell r="M2359">
            <v>0</v>
          </cell>
          <cell r="N2359">
            <v>0</v>
          </cell>
          <cell r="O2359">
            <v>0</v>
          </cell>
          <cell r="P2359">
            <v>0</v>
          </cell>
          <cell r="Q2359">
            <v>0</v>
          </cell>
          <cell r="R2359">
            <v>0</v>
          </cell>
          <cell r="S2359">
            <v>0</v>
          </cell>
          <cell r="T2359">
            <v>0</v>
          </cell>
          <cell r="U2359" t="e">
            <v>#N/A</v>
          </cell>
        </row>
        <row r="2360">
          <cell r="A2360">
            <v>1002354</v>
          </cell>
          <cell r="B2360" t="str">
            <v>Tornillo Pasante Guardac Recto 5/8"x10"</v>
          </cell>
          <cell r="D2360">
            <v>5108</v>
          </cell>
          <cell r="E2360">
            <v>1000</v>
          </cell>
          <cell r="F2360" t="str">
            <v>ZALM</v>
          </cell>
          <cell r="G2360" t="str">
            <v>UN</v>
          </cell>
          <cell r="H2360" t="str">
            <v>DOP</v>
          </cell>
          <cell r="I2360">
            <v>0</v>
          </cell>
          <cell r="J2360">
            <v>0</v>
          </cell>
          <cell r="K2360">
            <v>0</v>
          </cell>
          <cell r="L2360">
            <v>0</v>
          </cell>
          <cell r="M2360">
            <v>0</v>
          </cell>
          <cell r="N2360">
            <v>0</v>
          </cell>
          <cell r="O2360">
            <v>0</v>
          </cell>
          <cell r="P2360">
            <v>0</v>
          </cell>
          <cell r="Q2360">
            <v>0</v>
          </cell>
          <cell r="R2360">
            <v>0</v>
          </cell>
          <cell r="S2360">
            <v>0</v>
          </cell>
          <cell r="T2360">
            <v>0</v>
          </cell>
          <cell r="U2360" t="e">
            <v>#N/A</v>
          </cell>
        </row>
        <row r="2361">
          <cell r="A2361">
            <v>1002355</v>
          </cell>
          <cell r="B2361" t="str">
            <v>Tornillo Pasante Guardac Recto 5/8"x12"</v>
          </cell>
          <cell r="D2361">
            <v>5108</v>
          </cell>
          <cell r="E2361">
            <v>1000</v>
          </cell>
          <cell r="F2361" t="str">
            <v>ZALM</v>
          </cell>
          <cell r="G2361" t="str">
            <v>UN</v>
          </cell>
          <cell r="H2361" t="str">
            <v>DOP</v>
          </cell>
          <cell r="I2361">
            <v>0</v>
          </cell>
          <cell r="J2361">
            <v>0</v>
          </cell>
          <cell r="K2361">
            <v>0</v>
          </cell>
          <cell r="L2361">
            <v>0</v>
          </cell>
          <cell r="M2361">
            <v>0</v>
          </cell>
          <cell r="N2361">
            <v>0</v>
          </cell>
          <cell r="O2361">
            <v>0</v>
          </cell>
          <cell r="P2361">
            <v>0</v>
          </cell>
          <cell r="Q2361">
            <v>0</v>
          </cell>
          <cell r="R2361">
            <v>0</v>
          </cell>
          <cell r="S2361">
            <v>0</v>
          </cell>
          <cell r="T2361">
            <v>0</v>
          </cell>
          <cell r="U2361" t="e">
            <v>#N/A</v>
          </cell>
        </row>
        <row r="2362">
          <cell r="A2362">
            <v>1002356</v>
          </cell>
          <cell r="B2362" t="str">
            <v>Tornillo Pasante Ojo-Arand Sold 5/8"x10"</v>
          </cell>
          <cell r="D2362">
            <v>5108</v>
          </cell>
          <cell r="E2362">
            <v>1000</v>
          </cell>
          <cell r="F2362" t="str">
            <v>ZALM</v>
          </cell>
          <cell r="G2362" t="str">
            <v>UN</v>
          </cell>
          <cell r="H2362" t="str">
            <v>DOP</v>
          </cell>
          <cell r="I2362">
            <v>0</v>
          </cell>
          <cell r="J2362">
            <v>0</v>
          </cell>
          <cell r="K2362">
            <v>0</v>
          </cell>
          <cell r="L2362">
            <v>0</v>
          </cell>
          <cell r="M2362">
            <v>0</v>
          </cell>
          <cell r="N2362">
            <v>0</v>
          </cell>
          <cell r="O2362">
            <v>0</v>
          </cell>
          <cell r="P2362">
            <v>0</v>
          </cell>
          <cell r="Q2362">
            <v>0</v>
          </cell>
          <cell r="R2362">
            <v>0</v>
          </cell>
          <cell r="S2362">
            <v>0</v>
          </cell>
          <cell r="T2362">
            <v>0</v>
          </cell>
          <cell r="U2362" t="e">
            <v>#N/A</v>
          </cell>
        </row>
        <row r="2363">
          <cell r="A2363">
            <v>1002357</v>
          </cell>
          <cell r="B2363" t="str">
            <v>Tornillo Pasante Ojo-Arand Sold 5/8"x12"</v>
          </cell>
          <cell r="D2363">
            <v>5108</v>
          </cell>
          <cell r="E2363">
            <v>1000</v>
          </cell>
          <cell r="F2363" t="str">
            <v>ZALM</v>
          </cell>
          <cell r="G2363" t="str">
            <v>UN</v>
          </cell>
          <cell r="H2363" t="str">
            <v>DOP</v>
          </cell>
          <cell r="I2363">
            <v>0</v>
          </cell>
          <cell r="J2363">
            <v>0</v>
          </cell>
          <cell r="K2363">
            <v>0</v>
          </cell>
          <cell r="L2363">
            <v>0</v>
          </cell>
          <cell r="M2363">
            <v>0</v>
          </cell>
          <cell r="N2363">
            <v>0</v>
          </cell>
          <cell r="O2363">
            <v>0</v>
          </cell>
          <cell r="P2363">
            <v>0</v>
          </cell>
          <cell r="Q2363">
            <v>0</v>
          </cell>
          <cell r="R2363">
            <v>0</v>
          </cell>
          <cell r="S2363">
            <v>0</v>
          </cell>
          <cell r="T2363">
            <v>0</v>
          </cell>
          <cell r="U2363" t="e">
            <v>#N/A</v>
          </cell>
        </row>
        <row r="2364">
          <cell r="A2364">
            <v>1002358</v>
          </cell>
          <cell r="B2364" t="str">
            <v>Tornillo Pasante Ojo-Arand Sold 5/8"x8"</v>
          </cell>
          <cell r="D2364">
            <v>5108</v>
          </cell>
          <cell r="E2364">
            <v>1000</v>
          </cell>
          <cell r="F2364" t="str">
            <v>ZALM</v>
          </cell>
          <cell r="G2364" t="str">
            <v>UN</v>
          </cell>
          <cell r="H2364" t="str">
            <v>DOP</v>
          </cell>
          <cell r="I2364">
            <v>0</v>
          </cell>
          <cell r="J2364">
            <v>0</v>
          </cell>
          <cell r="K2364">
            <v>0</v>
          </cell>
          <cell r="L2364">
            <v>0</v>
          </cell>
          <cell r="M2364">
            <v>0</v>
          </cell>
          <cell r="N2364">
            <v>0</v>
          </cell>
          <cell r="O2364">
            <v>0</v>
          </cell>
          <cell r="P2364">
            <v>0</v>
          </cell>
          <cell r="Q2364">
            <v>0</v>
          </cell>
          <cell r="R2364">
            <v>0</v>
          </cell>
          <cell r="S2364">
            <v>0</v>
          </cell>
          <cell r="T2364">
            <v>0</v>
          </cell>
          <cell r="U2364" t="e">
            <v>#N/A</v>
          </cell>
        </row>
        <row r="2365">
          <cell r="A2365">
            <v>1002359</v>
          </cell>
          <cell r="B2365" t="str">
            <v>Tornillo Pasante T/ Carrete</v>
          </cell>
          <cell r="D2365">
            <v>5108</v>
          </cell>
          <cell r="E2365">
            <v>1000</v>
          </cell>
          <cell r="F2365" t="str">
            <v>ZALM</v>
          </cell>
          <cell r="G2365" t="str">
            <v>UN</v>
          </cell>
          <cell r="H2365" t="str">
            <v>DOP</v>
          </cell>
          <cell r="I2365">
            <v>0</v>
          </cell>
          <cell r="J2365">
            <v>0</v>
          </cell>
          <cell r="K2365">
            <v>0</v>
          </cell>
          <cell r="L2365">
            <v>0</v>
          </cell>
          <cell r="M2365">
            <v>0</v>
          </cell>
          <cell r="N2365">
            <v>0</v>
          </cell>
          <cell r="O2365">
            <v>0</v>
          </cell>
          <cell r="P2365">
            <v>0</v>
          </cell>
          <cell r="Q2365">
            <v>0</v>
          </cell>
          <cell r="R2365">
            <v>0</v>
          </cell>
          <cell r="S2365">
            <v>0</v>
          </cell>
          <cell r="T2365">
            <v>0</v>
          </cell>
          <cell r="U2365" t="e">
            <v>#N/A</v>
          </cell>
        </row>
        <row r="2366">
          <cell r="A2366">
            <v>1002360</v>
          </cell>
          <cell r="B2366" t="str">
            <v>Tornillo Pasante1/2"x1 1/2"</v>
          </cell>
          <cell r="D2366">
            <v>5108</v>
          </cell>
          <cell r="E2366">
            <v>1000</v>
          </cell>
          <cell r="F2366" t="str">
            <v>ZALM</v>
          </cell>
          <cell r="G2366" t="str">
            <v>UN</v>
          </cell>
          <cell r="H2366" t="str">
            <v>DOP</v>
          </cell>
          <cell r="I2366">
            <v>0</v>
          </cell>
          <cell r="J2366">
            <v>0</v>
          </cell>
          <cell r="K2366">
            <v>0</v>
          </cell>
          <cell r="L2366">
            <v>0</v>
          </cell>
          <cell r="M2366">
            <v>0</v>
          </cell>
          <cell r="N2366">
            <v>0</v>
          </cell>
          <cell r="O2366">
            <v>0</v>
          </cell>
          <cell r="P2366">
            <v>0</v>
          </cell>
          <cell r="Q2366">
            <v>0</v>
          </cell>
          <cell r="R2366">
            <v>0</v>
          </cell>
          <cell r="S2366">
            <v>0</v>
          </cell>
          <cell r="T2366">
            <v>0</v>
          </cell>
          <cell r="U2366" t="e">
            <v>#N/A</v>
          </cell>
        </row>
        <row r="2367">
          <cell r="A2367">
            <v>1002361</v>
          </cell>
          <cell r="B2367" t="str">
            <v>Tornillo Rosca Madera 1 1/2"x12"</v>
          </cell>
          <cell r="D2367">
            <v>5108</v>
          </cell>
          <cell r="E2367">
            <v>1000</v>
          </cell>
          <cell r="F2367" t="str">
            <v>ZALM</v>
          </cell>
          <cell r="G2367" t="str">
            <v>UN</v>
          </cell>
          <cell r="H2367" t="str">
            <v>DOP</v>
          </cell>
          <cell r="I2367">
            <v>0</v>
          </cell>
          <cell r="J2367">
            <v>0</v>
          </cell>
          <cell r="K2367">
            <v>0</v>
          </cell>
          <cell r="L2367">
            <v>0</v>
          </cell>
          <cell r="M2367">
            <v>0</v>
          </cell>
          <cell r="N2367">
            <v>0</v>
          </cell>
          <cell r="O2367">
            <v>0</v>
          </cell>
          <cell r="P2367">
            <v>0</v>
          </cell>
          <cell r="Q2367">
            <v>0</v>
          </cell>
          <cell r="R2367">
            <v>0</v>
          </cell>
          <cell r="S2367">
            <v>0</v>
          </cell>
          <cell r="T2367">
            <v>0</v>
          </cell>
          <cell r="U2367" t="e">
            <v>#N/A</v>
          </cell>
        </row>
        <row r="2368">
          <cell r="A2368">
            <v>1002362</v>
          </cell>
          <cell r="B2368" t="str">
            <v>Tornillo Rosca Madera 1"x12"</v>
          </cell>
          <cell r="D2368">
            <v>5108</v>
          </cell>
          <cell r="E2368">
            <v>1000</v>
          </cell>
          <cell r="F2368" t="str">
            <v>ZALM</v>
          </cell>
          <cell r="G2368" t="str">
            <v>UN</v>
          </cell>
          <cell r="H2368" t="str">
            <v>DOP</v>
          </cell>
          <cell r="I2368">
            <v>0</v>
          </cell>
          <cell r="J2368">
            <v>0</v>
          </cell>
          <cell r="K2368">
            <v>0</v>
          </cell>
          <cell r="L2368">
            <v>0</v>
          </cell>
          <cell r="M2368">
            <v>0</v>
          </cell>
          <cell r="N2368">
            <v>0</v>
          </cell>
          <cell r="O2368">
            <v>0</v>
          </cell>
          <cell r="P2368">
            <v>0</v>
          </cell>
          <cell r="Q2368">
            <v>0</v>
          </cell>
          <cell r="R2368">
            <v>0</v>
          </cell>
          <cell r="S2368">
            <v>0</v>
          </cell>
          <cell r="T2368">
            <v>0</v>
          </cell>
          <cell r="U2368" t="e">
            <v>#N/A</v>
          </cell>
        </row>
        <row r="2369">
          <cell r="A2369">
            <v>1002363</v>
          </cell>
          <cell r="B2369" t="str">
            <v>Tornillo Rosca Madera 1/2"x4"</v>
          </cell>
          <cell r="D2369">
            <v>5108</v>
          </cell>
          <cell r="E2369">
            <v>1000</v>
          </cell>
          <cell r="F2369" t="str">
            <v>ZALM</v>
          </cell>
          <cell r="G2369" t="str">
            <v>UN</v>
          </cell>
          <cell r="H2369" t="str">
            <v>DOP</v>
          </cell>
          <cell r="I2369">
            <v>0</v>
          </cell>
          <cell r="J2369">
            <v>0</v>
          </cell>
          <cell r="K2369">
            <v>0</v>
          </cell>
          <cell r="L2369">
            <v>0</v>
          </cell>
          <cell r="M2369">
            <v>0</v>
          </cell>
          <cell r="N2369">
            <v>0</v>
          </cell>
          <cell r="O2369">
            <v>0</v>
          </cell>
          <cell r="P2369">
            <v>0</v>
          </cell>
          <cell r="Q2369">
            <v>0</v>
          </cell>
          <cell r="R2369">
            <v>0</v>
          </cell>
          <cell r="S2369">
            <v>0</v>
          </cell>
          <cell r="T2369">
            <v>0</v>
          </cell>
          <cell r="U2369" t="e">
            <v>#N/A</v>
          </cell>
        </row>
        <row r="2370">
          <cell r="A2370">
            <v>1002364</v>
          </cell>
          <cell r="B2370" t="str">
            <v>Tornillo Rosca Madera 3/8" x 3½"</v>
          </cell>
          <cell r="D2370">
            <v>5108</v>
          </cell>
          <cell r="E2370">
            <v>1000</v>
          </cell>
          <cell r="F2370" t="str">
            <v>ZALM</v>
          </cell>
          <cell r="G2370" t="str">
            <v>UN</v>
          </cell>
          <cell r="H2370" t="str">
            <v>DOP</v>
          </cell>
          <cell r="I2370">
            <v>0</v>
          </cell>
          <cell r="J2370">
            <v>0</v>
          </cell>
          <cell r="K2370">
            <v>0</v>
          </cell>
          <cell r="L2370">
            <v>0</v>
          </cell>
          <cell r="M2370">
            <v>0</v>
          </cell>
          <cell r="N2370">
            <v>0</v>
          </cell>
          <cell r="O2370">
            <v>0</v>
          </cell>
          <cell r="P2370">
            <v>0</v>
          </cell>
          <cell r="Q2370">
            <v>0</v>
          </cell>
          <cell r="R2370">
            <v>0</v>
          </cell>
          <cell r="S2370">
            <v>0</v>
          </cell>
          <cell r="T2370">
            <v>0</v>
          </cell>
          <cell r="U2370" t="e">
            <v>#N/A</v>
          </cell>
        </row>
        <row r="2371">
          <cell r="A2371">
            <v>1002365</v>
          </cell>
          <cell r="B2371" t="str">
            <v>Tornillo Rosca Madera 3/8"x1/2"</v>
          </cell>
          <cell r="D2371">
            <v>5108</v>
          </cell>
          <cell r="E2371">
            <v>1000</v>
          </cell>
          <cell r="F2371" t="str">
            <v>ZALM</v>
          </cell>
          <cell r="G2371" t="str">
            <v>UN</v>
          </cell>
          <cell r="H2371" t="str">
            <v>DOP</v>
          </cell>
          <cell r="I2371">
            <v>0</v>
          </cell>
          <cell r="J2371">
            <v>0</v>
          </cell>
          <cell r="K2371">
            <v>0</v>
          </cell>
          <cell r="L2371">
            <v>0</v>
          </cell>
          <cell r="M2371">
            <v>0</v>
          </cell>
          <cell r="N2371">
            <v>0</v>
          </cell>
          <cell r="O2371">
            <v>0</v>
          </cell>
          <cell r="P2371">
            <v>0</v>
          </cell>
          <cell r="Q2371">
            <v>0</v>
          </cell>
          <cell r="R2371">
            <v>0</v>
          </cell>
          <cell r="S2371">
            <v>0</v>
          </cell>
          <cell r="T2371">
            <v>0</v>
          </cell>
          <cell r="U2371" t="e">
            <v>#N/A</v>
          </cell>
        </row>
        <row r="2372">
          <cell r="A2372">
            <v>1002366</v>
          </cell>
          <cell r="B2372" t="str">
            <v>Tornillo Rosca Madera 3/8"x2"</v>
          </cell>
          <cell r="D2372">
            <v>5108</v>
          </cell>
          <cell r="E2372">
            <v>1000</v>
          </cell>
          <cell r="F2372" t="str">
            <v>ZALM</v>
          </cell>
          <cell r="G2372" t="str">
            <v>UN</v>
          </cell>
          <cell r="H2372" t="str">
            <v>DOP</v>
          </cell>
          <cell r="I2372">
            <v>0</v>
          </cell>
          <cell r="J2372">
            <v>0</v>
          </cell>
          <cell r="K2372">
            <v>0</v>
          </cell>
          <cell r="L2372">
            <v>0</v>
          </cell>
          <cell r="M2372">
            <v>0</v>
          </cell>
          <cell r="N2372">
            <v>0</v>
          </cell>
          <cell r="O2372">
            <v>0</v>
          </cell>
          <cell r="P2372">
            <v>0</v>
          </cell>
          <cell r="Q2372">
            <v>0</v>
          </cell>
          <cell r="R2372">
            <v>0</v>
          </cell>
          <cell r="S2372">
            <v>0</v>
          </cell>
          <cell r="T2372">
            <v>0</v>
          </cell>
          <cell r="U2372" t="e">
            <v>#N/A</v>
          </cell>
        </row>
        <row r="2373">
          <cell r="A2373">
            <v>1002367</v>
          </cell>
          <cell r="B2373" t="str">
            <v>Tornillo T Aluminio P/ Electricidad</v>
          </cell>
          <cell r="D2373">
            <v>5108</v>
          </cell>
          <cell r="E2373">
            <v>1000</v>
          </cell>
          <cell r="F2373" t="str">
            <v>ZALM</v>
          </cell>
          <cell r="G2373" t="str">
            <v>UN</v>
          </cell>
          <cell r="H2373" t="str">
            <v>DOP</v>
          </cell>
          <cell r="I2373">
            <v>0</v>
          </cell>
          <cell r="J2373">
            <v>0</v>
          </cell>
          <cell r="K2373">
            <v>0</v>
          </cell>
          <cell r="L2373">
            <v>0</v>
          </cell>
          <cell r="M2373">
            <v>0</v>
          </cell>
          <cell r="N2373">
            <v>0</v>
          </cell>
          <cell r="O2373">
            <v>0</v>
          </cell>
          <cell r="P2373">
            <v>0</v>
          </cell>
          <cell r="Q2373">
            <v>0</v>
          </cell>
          <cell r="R2373">
            <v>0</v>
          </cell>
          <cell r="S2373">
            <v>0</v>
          </cell>
          <cell r="T2373">
            <v>0</v>
          </cell>
          <cell r="U2373" t="e">
            <v>#N/A</v>
          </cell>
        </row>
        <row r="2374">
          <cell r="A2374">
            <v>1002368</v>
          </cell>
          <cell r="B2374" t="str">
            <v>Tornillo T/ Pint 5/8' x 6 1/2"</v>
          </cell>
          <cell r="D2374">
            <v>5108</v>
          </cell>
          <cell r="E2374">
            <v>1000</v>
          </cell>
          <cell r="F2374" t="str">
            <v>ZALM</v>
          </cell>
          <cell r="G2374" t="str">
            <v>UN</v>
          </cell>
          <cell r="H2374" t="str">
            <v>DOP</v>
          </cell>
          <cell r="I2374">
            <v>0</v>
          </cell>
          <cell r="J2374">
            <v>0</v>
          </cell>
          <cell r="K2374">
            <v>0</v>
          </cell>
          <cell r="L2374">
            <v>0</v>
          </cell>
          <cell r="M2374">
            <v>0</v>
          </cell>
          <cell r="N2374">
            <v>0</v>
          </cell>
          <cell r="O2374">
            <v>0</v>
          </cell>
          <cell r="P2374">
            <v>0</v>
          </cell>
          <cell r="Q2374">
            <v>0</v>
          </cell>
          <cell r="R2374">
            <v>0</v>
          </cell>
          <cell r="S2374">
            <v>0</v>
          </cell>
          <cell r="T2374">
            <v>0</v>
          </cell>
          <cell r="U2374" t="e">
            <v>#N/A</v>
          </cell>
        </row>
        <row r="2375">
          <cell r="A2375">
            <v>1002369</v>
          </cell>
          <cell r="B2375" t="str">
            <v>Tornillo T/ Pint P/ Cruceta J203</v>
          </cell>
          <cell r="D2375">
            <v>5108</v>
          </cell>
          <cell r="E2375">
            <v>1000</v>
          </cell>
          <cell r="F2375" t="str">
            <v>ZALM</v>
          </cell>
          <cell r="G2375" t="str">
            <v>UN</v>
          </cell>
          <cell r="H2375" t="str">
            <v>DOP</v>
          </cell>
          <cell r="I2375">
            <v>0</v>
          </cell>
          <cell r="J2375">
            <v>0</v>
          </cell>
          <cell r="K2375">
            <v>0</v>
          </cell>
          <cell r="L2375">
            <v>0</v>
          </cell>
          <cell r="M2375">
            <v>0</v>
          </cell>
          <cell r="N2375">
            <v>0</v>
          </cell>
          <cell r="O2375">
            <v>0</v>
          </cell>
          <cell r="P2375">
            <v>0</v>
          </cell>
          <cell r="Q2375">
            <v>0</v>
          </cell>
          <cell r="R2375">
            <v>0</v>
          </cell>
          <cell r="S2375">
            <v>0</v>
          </cell>
          <cell r="T2375">
            <v>0</v>
          </cell>
          <cell r="U2375" t="e">
            <v>#N/A</v>
          </cell>
        </row>
        <row r="2376">
          <cell r="A2376">
            <v>1002370</v>
          </cell>
          <cell r="B2376" t="str">
            <v>Tornillo Tiraf 14"x1 1/2"</v>
          </cell>
          <cell r="D2376">
            <v>5108</v>
          </cell>
          <cell r="E2376">
            <v>1000</v>
          </cell>
          <cell r="F2376" t="str">
            <v>ZALM</v>
          </cell>
          <cell r="G2376" t="str">
            <v>UN</v>
          </cell>
          <cell r="H2376" t="str">
            <v>DOP</v>
          </cell>
          <cell r="I2376">
            <v>0</v>
          </cell>
          <cell r="J2376">
            <v>0</v>
          </cell>
          <cell r="K2376">
            <v>0</v>
          </cell>
          <cell r="L2376">
            <v>0</v>
          </cell>
          <cell r="M2376">
            <v>0</v>
          </cell>
          <cell r="N2376">
            <v>0</v>
          </cell>
          <cell r="O2376">
            <v>0</v>
          </cell>
          <cell r="P2376">
            <v>0</v>
          </cell>
          <cell r="Q2376">
            <v>0</v>
          </cell>
          <cell r="R2376">
            <v>0</v>
          </cell>
          <cell r="S2376">
            <v>0</v>
          </cell>
          <cell r="T2376">
            <v>0</v>
          </cell>
          <cell r="U2376" t="e">
            <v>#N/A</v>
          </cell>
        </row>
        <row r="2377">
          <cell r="A2377">
            <v>1002371</v>
          </cell>
          <cell r="B2377" t="str">
            <v>Tornillo Tiraf 3/16"x2" Estrías</v>
          </cell>
          <cell r="D2377">
            <v>5108</v>
          </cell>
          <cell r="E2377">
            <v>1000</v>
          </cell>
          <cell r="F2377" t="str">
            <v>ZALM</v>
          </cell>
          <cell r="G2377" t="str">
            <v>UN</v>
          </cell>
          <cell r="H2377" t="str">
            <v>DOP</v>
          </cell>
          <cell r="I2377">
            <v>0</v>
          </cell>
          <cell r="J2377">
            <v>0</v>
          </cell>
          <cell r="K2377">
            <v>0</v>
          </cell>
          <cell r="L2377">
            <v>0</v>
          </cell>
          <cell r="M2377">
            <v>0</v>
          </cell>
          <cell r="N2377">
            <v>0</v>
          </cell>
          <cell r="O2377">
            <v>0</v>
          </cell>
          <cell r="P2377">
            <v>0</v>
          </cell>
          <cell r="Q2377">
            <v>0</v>
          </cell>
          <cell r="R2377">
            <v>0</v>
          </cell>
          <cell r="S2377">
            <v>0</v>
          </cell>
          <cell r="T2377">
            <v>0</v>
          </cell>
          <cell r="U2377" t="e">
            <v>#N/A</v>
          </cell>
        </row>
        <row r="2378">
          <cell r="A2378">
            <v>1002372</v>
          </cell>
          <cell r="B2378" t="str">
            <v>Tornillo Tiraf Ace Galv 1 1/2"x1/4"</v>
          </cell>
          <cell r="D2378">
            <v>5108</v>
          </cell>
          <cell r="E2378">
            <v>1000</v>
          </cell>
          <cell r="F2378" t="str">
            <v>ZALM</v>
          </cell>
          <cell r="G2378" t="str">
            <v>UN</v>
          </cell>
          <cell r="H2378" t="str">
            <v>DOP</v>
          </cell>
          <cell r="I2378">
            <v>18206</v>
          </cell>
          <cell r="J2378">
            <v>45175.46</v>
          </cell>
          <cell r="K2378">
            <v>0</v>
          </cell>
          <cell r="L2378">
            <v>0</v>
          </cell>
          <cell r="M2378">
            <v>0</v>
          </cell>
          <cell r="N2378">
            <v>0</v>
          </cell>
          <cell r="O2378">
            <v>0</v>
          </cell>
          <cell r="P2378">
            <v>0</v>
          </cell>
          <cell r="Q2378">
            <v>1829</v>
          </cell>
          <cell r="R2378">
            <v>4538.3900000000003</v>
          </cell>
          <cell r="S2378">
            <v>20035</v>
          </cell>
          <cell r="T2378">
            <v>49713.85</v>
          </cell>
          <cell r="U2378">
            <v>2.4813501372597999</v>
          </cell>
        </row>
        <row r="2379">
          <cell r="A2379">
            <v>1002373</v>
          </cell>
          <cell r="B2379" t="str">
            <v>Tornillo Tiraf Ace Galv 1/2"x2"</v>
          </cell>
          <cell r="D2379">
            <v>5108</v>
          </cell>
          <cell r="E2379">
            <v>1000</v>
          </cell>
          <cell r="F2379" t="str">
            <v>ZALM</v>
          </cell>
          <cell r="G2379" t="str">
            <v>UN</v>
          </cell>
          <cell r="H2379" t="str">
            <v>DOP</v>
          </cell>
          <cell r="I2379">
            <v>77</v>
          </cell>
          <cell r="J2379">
            <v>779.24</v>
          </cell>
          <cell r="K2379">
            <v>0</v>
          </cell>
          <cell r="L2379">
            <v>0</v>
          </cell>
          <cell r="M2379">
            <v>0</v>
          </cell>
          <cell r="N2379">
            <v>0</v>
          </cell>
          <cell r="O2379">
            <v>0</v>
          </cell>
          <cell r="P2379">
            <v>0</v>
          </cell>
          <cell r="Q2379">
            <v>163</v>
          </cell>
          <cell r="R2379">
            <v>1649.56</v>
          </cell>
          <cell r="S2379">
            <v>240</v>
          </cell>
          <cell r="T2379">
            <v>2428.8000000000002</v>
          </cell>
          <cell r="U2379">
            <v>10.119999999999999</v>
          </cell>
        </row>
        <row r="2380">
          <cell r="A2380">
            <v>1002374</v>
          </cell>
          <cell r="B2380" t="str">
            <v>Tornillo Tiraf Ace Galv 3/8"x2"</v>
          </cell>
          <cell r="D2380">
            <v>5108</v>
          </cell>
          <cell r="E2380">
            <v>1000</v>
          </cell>
          <cell r="F2380" t="str">
            <v>ZALM</v>
          </cell>
          <cell r="G2380" t="str">
            <v>UN</v>
          </cell>
          <cell r="H2380" t="str">
            <v>DOP</v>
          </cell>
          <cell r="I2380">
            <v>0</v>
          </cell>
          <cell r="J2380">
            <v>0</v>
          </cell>
          <cell r="K2380">
            <v>0</v>
          </cell>
          <cell r="L2380">
            <v>0</v>
          </cell>
          <cell r="M2380">
            <v>0</v>
          </cell>
          <cell r="N2380">
            <v>0</v>
          </cell>
          <cell r="O2380">
            <v>0</v>
          </cell>
          <cell r="P2380">
            <v>0</v>
          </cell>
          <cell r="Q2380">
            <v>0</v>
          </cell>
          <cell r="R2380">
            <v>0</v>
          </cell>
          <cell r="S2380">
            <v>0</v>
          </cell>
          <cell r="T2380">
            <v>0</v>
          </cell>
          <cell r="U2380" t="e">
            <v>#N/A</v>
          </cell>
        </row>
        <row r="2381">
          <cell r="A2381">
            <v>1002375</v>
          </cell>
          <cell r="B2381" t="str">
            <v>Tornillo Tiraf Ace Galv 3/8x3"</v>
          </cell>
          <cell r="D2381">
            <v>5108</v>
          </cell>
          <cell r="E2381">
            <v>1000</v>
          </cell>
          <cell r="F2381" t="str">
            <v>ZALM</v>
          </cell>
          <cell r="G2381" t="str">
            <v>UN</v>
          </cell>
          <cell r="H2381" t="str">
            <v>DOP</v>
          </cell>
          <cell r="I2381">
            <v>1687</v>
          </cell>
          <cell r="J2381">
            <v>13350.24</v>
          </cell>
          <cell r="K2381">
            <v>0</v>
          </cell>
          <cell r="L2381">
            <v>0</v>
          </cell>
          <cell r="M2381">
            <v>0</v>
          </cell>
          <cell r="N2381">
            <v>0</v>
          </cell>
          <cell r="O2381">
            <v>0</v>
          </cell>
          <cell r="P2381">
            <v>0</v>
          </cell>
          <cell r="Q2381">
            <v>0</v>
          </cell>
          <cell r="R2381">
            <v>0</v>
          </cell>
          <cell r="S2381">
            <v>1687</v>
          </cell>
          <cell r="T2381">
            <v>13350.24</v>
          </cell>
          <cell r="U2381">
            <v>7.9135981031416698</v>
          </cell>
        </row>
        <row r="2382">
          <cell r="A2382">
            <v>1002376</v>
          </cell>
          <cell r="B2382" t="str">
            <v>Tornillo Tiraf Ace Galv Cab C 1/2x4 1/2"</v>
          </cell>
          <cell r="D2382">
            <v>5108</v>
          </cell>
          <cell r="E2382">
            <v>1000</v>
          </cell>
          <cell r="F2382" t="str">
            <v>ZALM</v>
          </cell>
          <cell r="G2382" t="str">
            <v>UN</v>
          </cell>
          <cell r="H2382" t="str">
            <v>DOP</v>
          </cell>
          <cell r="I2382">
            <v>0</v>
          </cell>
          <cell r="J2382">
            <v>0</v>
          </cell>
          <cell r="K2382">
            <v>0</v>
          </cell>
          <cell r="L2382">
            <v>0</v>
          </cell>
          <cell r="M2382">
            <v>0</v>
          </cell>
          <cell r="N2382">
            <v>0</v>
          </cell>
          <cell r="O2382">
            <v>0</v>
          </cell>
          <cell r="P2382">
            <v>0</v>
          </cell>
          <cell r="Q2382">
            <v>0</v>
          </cell>
          <cell r="R2382">
            <v>0</v>
          </cell>
          <cell r="S2382">
            <v>0</v>
          </cell>
          <cell r="T2382">
            <v>0</v>
          </cell>
          <cell r="U2382" t="e">
            <v>#N/A</v>
          </cell>
        </row>
        <row r="2383">
          <cell r="A2383">
            <v>1002377</v>
          </cell>
          <cell r="B2383" t="str">
            <v>Tornillo Tiraf Ace Galv Cab C 1/4x2 1/2"</v>
          </cell>
          <cell r="D2383">
            <v>5108</v>
          </cell>
          <cell r="E2383">
            <v>1000</v>
          </cell>
          <cell r="F2383" t="str">
            <v>ZALM</v>
          </cell>
          <cell r="G2383" t="str">
            <v>UN</v>
          </cell>
          <cell r="H2383" t="str">
            <v>DOP</v>
          </cell>
          <cell r="I2383">
            <v>238</v>
          </cell>
          <cell r="J2383">
            <v>2208.64</v>
          </cell>
          <cell r="K2383">
            <v>0</v>
          </cell>
          <cell r="L2383">
            <v>0</v>
          </cell>
          <cell r="M2383">
            <v>0</v>
          </cell>
          <cell r="N2383">
            <v>0</v>
          </cell>
          <cell r="O2383">
            <v>0</v>
          </cell>
          <cell r="P2383">
            <v>0</v>
          </cell>
          <cell r="Q2383">
            <v>0</v>
          </cell>
          <cell r="R2383">
            <v>0</v>
          </cell>
          <cell r="S2383">
            <v>238</v>
          </cell>
          <cell r="T2383">
            <v>2208.64</v>
          </cell>
          <cell r="U2383">
            <v>9.2799999999999994</v>
          </cell>
        </row>
        <row r="2384">
          <cell r="A2384">
            <v>1002378</v>
          </cell>
          <cell r="B2384" t="str">
            <v>Tornillo Tiraf Ace Galv Cab C 10x1 1/2"</v>
          </cell>
          <cell r="D2384">
            <v>5108</v>
          </cell>
          <cell r="E2384">
            <v>1000</v>
          </cell>
          <cell r="F2384" t="str">
            <v>ZALM</v>
          </cell>
          <cell r="G2384" t="str">
            <v>UN</v>
          </cell>
          <cell r="H2384" t="str">
            <v>DOP</v>
          </cell>
          <cell r="I2384">
            <v>0</v>
          </cell>
          <cell r="J2384">
            <v>0</v>
          </cell>
          <cell r="K2384">
            <v>0</v>
          </cell>
          <cell r="L2384">
            <v>0</v>
          </cell>
          <cell r="M2384">
            <v>0</v>
          </cell>
          <cell r="N2384">
            <v>0</v>
          </cell>
          <cell r="O2384">
            <v>0</v>
          </cell>
          <cell r="P2384">
            <v>0</v>
          </cell>
          <cell r="Q2384">
            <v>0</v>
          </cell>
          <cell r="R2384">
            <v>0</v>
          </cell>
          <cell r="S2384">
            <v>0</v>
          </cell>
          <cell r="T2384">
            <v>0</v>
          </cell>
          <cell r="U2384" t="e">
            <v>#N/A</v>
          </cell>
        </row>
        <row r="2385">
          <cell r="A2385">
            <v>1002379</v>
          </cell>
          <cell r="B2385" t="str">
            <v>Tornillo Tiraf Ace Galv Cab C 5/16x2 1/2</v>
          </cell>
          <cell r="D2385">
            <v>5108</v>
          </cell>
          <cell r="E2385">
            <v>1000</v>
          </cell>
          <cell r="F2385" t="str">
            <v>ZALM</v>
          </cell>
          <cell r="G2385" t="str">
            <v>UN</v>
          </cell>
          <cell r="H2385" t="str">
            <v>DOP</v>
          </cell>
          <cell r="I2385">
            <v>0</v>
          </cell>
          <cell r="J2385">
            <v>0</v>
          </cell>
          <cell r="K2385">
            <v>0</v>
          </cell>
          <cell r="L2385">
            <v>0</v>
          </cell>
          <cell r="M2385">
            <v>0</v>
          </cell>
          <cell r="N2385">
            <v>0</v>
          </cell>
          <cell r="O2385">
            <v>0</v>
          </cell>
          <cell r="P2385">
            <v>0</v>
          </cell>
          <cell r="Q2385">
            <v>0</v>
          </cell>
          <cell r="R2385">
            <v>0</v>
          </cell>
          <cell r="S2385">
            <v>0</v>
          </cell>
          <cell r="T2385">
            <v>0</v>
          </cell>
          <cell r="U2385" t="e">
            <v>#N/A</v>
          </cell>
        </row>
        <row r="2386">
          <cell r="A2386">
            <v>1002380</v>
          </cell>
          <cell r="B2386" t="str">
            <v>Tornillo Tiraf Ace Galv Cab Cuad 3/8"x3"</v>
          </cell>
          <cell r="D2386">
            <v>5108</v>
          </cell>
          <cell r="E2386">
            <v>1000</v>
          </cell>
          <cell r="F2386" t="str">
            <v>ZALM</v>
          </cell>
          <cell r="G2386" t="str">
            <v>UN</v>
          </cell>
          <cell r="H2386" t="str">
            <v>DOP</v>
          </cell>
          <cell r="I2386">
            <v>0</v>
          </cell>
          <cell r="J2386">
            <v>0</v>
          </cell>
          <cell r="K2386">
            <v>0</v>
          </cell>
          <cell r="L2386">
            <v>0</v>
          </cell>
          <cell r="M2386">
            <v>0</v>
          </cell>
          <cell r="N2386">
            <v>0</v>
          </cell>
          <cell r="O2386">
            <v>0</v>
          </cell>
          <cell r="P2386">
            <v>0</v>
          </cell>
          <cell r="Q2386">
            <v>0</v>
          </cell>
          <cell r="R2386">
            <v>0</v>
          </cell>
          <cell r="S2386">
            <v>0</v>
          </cell>
          <cell r="T2386">
            <v>0</v>
          </cell>
          <cell r="U2386" t="e">
            <v>#N/A</v>
          </cell>
        </row>
        <row r="2387">
          <cell r="A2387">
            <v>1002381</v>
          </cell>
          <cell r="B2387" t="str">
            <v>Tornillo Tiraf Ace Galv Cab Cuad 3/8"x4"</v>
          </cell>
          <cell r="D2387">
            <v>5108</v>
          </cell>
          <cell r="E2387">
            <v>1000</v>
          </cell>
          <cell r="F2387" t="str">
            <v>ZALM</v>
          </cell>
          <cell r="G2387" t="str">
            <v>UN</v>
          </cell>
          <cell r="H2387" t="str">
            <v>DOP</v>
          </cell>
          <cell r="I2387">
            <v>0</v>
          </cell>
          <cell r="J2387">
            <v>0</v>
          </cell>
          <cell r="K2387">
            <v>0</v>
          </cell>
          <cell r="L2387">
            <v>0</v>
          </cell>
          <cell r="M2387">
            <v>0</v>
          </cell>
          <cell r="N2387">
            <v>0</v>
          </cell>
          <cell r="O2387">
            <v>0</v>
          </cell>
          <cell r="P2387">
            <v>0</v>
          </cell>
          <cell r="Q2387">
            <v>0</v>
          </cell>
          <cell r="R2387">
            <v>0</v>
          </cell>
          <cell r="S2387">
            <v>0</v>
          </cell>
          <cell r="T2387">
            <v>0</v>
          </cell>
          <cell r="U2387" t="e">
            <v>#N/A</v>
          </cell>
        </row>
        <row r="2388">
          <cell r="A2388">
            <v>1002382</v>
          </cell>
          <cell r="B2388" t="str">
            <v>Tornillo Tiraf Ace Galv Cab Cuad 5/8"x5"</v>
          </cell>
          <cell r="D2388">
            <v>5108</v>
          </cell>
          <cell r="E2388">
            <v>1000</v>
          </cell>
          <cell r="F2388" t="str">
            <v>ZALM</v>
          </cell>
          <cell r="G2388" t="str">
            <v>UN</v>
          </cell>
          <cell r="H2388" t="str">
            <v>DOP</v>
          </cell>
          <cell r="I2388">
            <v>0</v>
          </cell>
          <cell r="J2388">
            <v>0</v>
          </cell>
          <cell r="K2388">
            <v>0</v>
          </cell>
          <cell r="L2388">
            <v>0</v>
          </cell>
          <cell r="M2388">
            <v>0</v>
          </cell>
          <cell r="N2388">
            <v>0</v>
          </cell>
          <cell r="O2388">
            <v>0</v>
          </cell>
          <cell r="P2388">
            <v>0</v>
          </cell>
          <cell r="Q2388">
            <v>0</v>
          </cell>
          <cell r="R2388">
            <v>0</v>
          </cell>
          <cell r="S2388">
            <v>0</v>
          </cell>
          <cell r="T2388">
            <v>0</v>
          </cell>
          <cell r="U2388" t="e">
            <v>#N/A</v>
          </cell>
        </row>
        <row r="2389">
          <cell r="A2389">
            <v>1002383</v>
          </cell>
          <cell r="B2389" t="str">
            <v>Tornillo Tiraf Ace Galv Cab Hex 1/4"x1"</v>
          </cell>
          <cell r="D2389">
            <v>5108</v>
          </cell>
          <cell r="E2389">
            <v>1000</v>
          </cell>
          <cell r="F2389" t="str">
            <v>ZALM</v>
          </cell>
          <cell r="G2389" t="str">
            <v>UN</v>
          </cell>
          <cell r="H2389" t="str">
            <v>DOP</v>
          </cell>
          <cell r="I2389">
            <v>727</v>
          </cell>
          <cell r="J2389">
            <v>908.75</v>
          </cell>
          <cell r="K2389">
            <v>0</v>
          </cell>
          <cell r="L2389">
            <v>0</v>
          </cell>
          <cell r="M2389">
            <v>0</v>
          </cell>
          <cell r="N2389">
            <v>0</v>
          </cell>
          <cell r="O2389">
            <v>0</v>
          </cell>
          <cell r="P2389">
            <v>0</v>
          </cell>
          <cell r="Q2389">
            <v>0</v>
          </cell>
          <cell r="R2389">
            <v>0</v>
          </cell>
          <cell r="S2389">
            <v>727</v>
          </cell>
          <cell r="T2389">
            <v>908.75</v>
          </cell>
          <cell r="U2389">
            <v>1.25</v>
          </cell>
        </row>
        <row r="2390">
          <cell r="A2390">
            <v>1002384</v>
          </cell>
          <cell r="B2390" t="str">
            <v>Tornillo Tiraf Acer Galv10"x1"</v>
          </cell>
          <cell r="D2390">
            <v>5108</v>
          </cell>
          <cell r="E2390">
            <v>1000</v>
          </cell>
          <cell r="F2390" t="str">
            <v>ZALM</v>
          </cell>
          <cell r="G2390" t="str">
            <v>UN</v>
          </cell>
          <cell r="H2390" t="str">
            <v>DOP</v>
          </cell>
          <cell r="I2390">
            <v>0</v>
          </cell>
          <cell r="J2390">
            <v>0</v>
          </cell>
          <cell r="K2390">
            <v>0</v>
          </cell>
          <cell r="L2390">
            <v>0</v>
          </cell>
          <cell r="M2390">
            <v>0</v>
          </cell>
          <cell r="N2390">
            <v>0</v>
          </cell>
          <cell r="O2390">
            <v>0</v>
          </cell>
          <cell r="P2390">
            <v>0</v>
          </cell>
          <cell r="Q2390">
            <v>0</v>
          </cell>
          <cell r="R2390">
            <v>0</v>
          </cell>
          <cell r="S2390">
            <v>0</v>
          </cell>
          <cell r="T2390">
            <v>0</v>
          </cell>
          <cell r="U2390" t="e">
            <v>#N/A</v>
          </cell>
        </row>
        <row r="2391">
          <cell r="A2391">
            <v>1002385</v>
          </cell>
          <cell r="B2391" t="str">
            <v>Tornillo Tiraf Retenc Cab Curv 5 3/8"x3"</v>
          </cell>
          <cell r="D2391">
            <v>5108</v>
          </cell>
          <cell r="E2391">
            <v>1000</v>
          </cell>
          <cell r="F2391" t="str">
            <v>ZALM</v>
          </cell>
          <cell r="G2391" t="str">
            <v>UN</v>
          </cell>
          <cell r="H2391" t="str">
            <v>DOP</v>
          </cell>
          <cell r="I2391">
            <v>0</v>
          </cell>
          <cell r="J2391">
            <v>0</v>
          </cell>
          <cell r="K2391">
            <v>0</v>
          </cell>
          <cell r="L2391">
            <v>0</v>
          </cell>
          <cell r="M2391">
            <v>0</v>
          </cell>
          <cell r="N2391">
            <v>0</v>
          </cell>
          <cell r="O2391">
            <v>0</v>
          </cell>
          <cell r="P2391">
            <v>0</v>
          </cell>
          <cell r="Q2391">
            <v>0</v>
          </cell>
          <cell r="R2391">
            <v>0</v>
          </cell>
          <cell r="S2391">
            <v>0</v>
          </cell>
          <cell r="T2391">
            <v>0</v>
          </cell>
          <cell r="U2391" t="e">
            <v>#N/A</v>
          </cell>
        </row>
        <row r="2392">
          <cell r="A2392">
            <v>1002386</v>
          </cell>
          <cell r="B2392" t="str">
            <v>Tornillo Tiraf Retenc Cab Curv 5/16"x3½"</v>
          </cell>
          <cell r="D2392">
            <v>5108</v>
          </cell>
          <cell r="E2392">
            <v>1000</v>
          </cell>
          <cell r="F2392" t="str">
            <v>ZALM</v>
          </cell>
          <cell r="G2392" t="str">
            <v>UN</v>
          </cell>
          <cell r="H2392" t="str">
            <v>DOP</v>
          </cell>
          <cell r="I2392">
            <v>0</v>
          </cell>
          <cell r="J2392">
            <v>0</v>
          </cell>
          <cell r="K2392">
            <v>0</v>
          </cell>
          <cell r="L2392">
            <v>0</v>
          </cell>
          <cell r="M2392">
            <v>0</v>
          </cell>
          <cell r="N2392">
            <v>0</v>
          </cell>
          <cell r="O2392">
            <v>0</v>
          </cell>
          <cell r="P2392">
            <v>0</v>
          </cell>
          <cell r="Q2392">
            <v>0</v>
          </cell>
          <cell r="R2392">
            <v>0</v>
          </cell>
          <cell r="S2392">
            <v>0</v>
          </cell>
          <cell r="T2392">
            <v>0</v>
          </cell>
          <cell r="U2392" t="e">
            <v>#N/A</v>
          </cell>
        </row>
        <row r="2393">
          <cell r="A2393">
            <v>1002387</v>
          </cell>
          <cell r="B2393" t="str">
            <v>Tuerca 1/2"</v>
          </cell>
          <cell r="D2393">
            <v>5108</v>
          </cell>
          <cell r="E2393">
            <v>1000</v>
          </cell>
          <cell r="F2393" t="str">
            <v>ZALM</v>
          </cell>
          <cell r="G2393" t="str">
            <v>UN</v>
          </cell>
          <cell r="H2393" t="str">
            <v>DOP</v>
          </cell>
          <cell r="I2393">
            <v>0</v>
          </cell>
          <cell r="J2393">
            <v>0</v>
          </cell>
          <cell r="K2393">
            <v>0</v>
          </cell>
          <cell r="L2393">
            <v>0</v>
          </cell>
          <cell r="M2393">
            <v>0</v>
          </cell>
          <cell r="N2393">
            <v>0</v>
          </cell>
          <cell r="O2393">
            <v>0</v>
          </cell>
          <cell r="P2393">
            <v>0</v>
          </cell>
          <cell r="Q2393">
            <v>0</v>
          </cell>
          <cell r="R2393">
            <v>0</v>
          </cell>
          <cell r="S2393">
            <v>0</v>
          </cell>
          <cell r="T2393">
            <v>0</v>
          </cell>
          <cell r="U2393" t="e">
            <v>#N/A</v>
          </cell>
        </row>
        <row r="2394">
          <cell r="A2394">
            <v>1002388</v>
          </cell>
          <cell r="B2394" t="str">
            <v>Tuerca de Ojo (OVAL) P/ Tornillo 1/2"</v>
          </cell>
          <cell r="D2394">
            <v>5108</v>
          </cell>
          <cell r="E2394">
            <v>1000</v>
          </cell>
          <cell r="F2394" t="str">
            <v>ZALM</v>
          </cell>
          <cell r="G2394" t="str">
            <v>UN</v>
          </cell>
          <cell r="H2394" t="str">
            <v>DOP</v>
          </cell>
          <cell r="I2394">
            <v>72838</v>
          </cell>
          <cell r="J2394">
            <v>1836497.24</v>
          </cell>
          <cell r="K2394">
            <v>0</v>
          </cell>
          <cell r="L2394">
            <v>0</v>
          </cell>
          <cell r="M2394">
            <v>0</v>
          </cell>
          <cell r="N2394">
            <v>0</v>
          </cell>
          <cell r="O2394">
            <v>0</v>
          </cell>
          <cell r="P2394">
            <v>0</v>
          </cell>
          <cell r="Q2394">
            <v>11</v>
          </cell>
          <cell r="R2394">
            <v>277.35000000000002</v>
          </cell>
          <cell r="S2394">
            <v>72849</v>
          </cell>
          <cell r="T2394">
            <v>1836774.59</v>
          </cell>
          <cell r="U2394">
            <v>25.2134496012299</v>
          </cell>
        </row>
        <row r="2395">
          <cell r="A2395">
            <v>1002389</v>
          </cell>
          <cell r="B2395" t="str">
            <v>Tuerca de Ojo (OVAL) P/ Tornillo 3/4"</v>
          </cell>
          <cell r="D2395">
            <v>5108</v>
          </cell>
          <cell r="E2395">
            <v>1000</v>
          </cell>
          <cell r="F2395" t="str">
            <v>ZALM</v>
          </cell>
          <cell r="G2395" t="str">
            <v>UN</v>
          </cell>
          <cell r="H2395" t="str">
            <v>DOP</v>
          </cell>
          <cell r="I2395">
            <v>0</v>
          </cell>
          <cell r="J2395">
            <v>0</v>
          </cell>
          <cell r="K2395">
            <v>0</v>
          </cell>
          <cell r="L2395">
            <v>0</v>
          </cell>
          <cell r="M2395">
            <v>0</v>
          </cell>
          <cell r="N2395">
            <v>0</v>
          </cell>
          <cell r="O2395">
            <v>0</v>
          </cell>
          <cell r="P2395">
            <v>0</v>
          </cell>
          <cell r="Q2395">
            <v>0</v>
          </cell>
          <cell r="R2395">
            <v>0</v>
          </cell>
          <cell r="S2395">
            <v>0</v>
          </cell>
          <cell r="T2395">
            <v>0</v>
          </cell>
          <cell r="U2395" t="e">
            <v>#N/A</v>
          </cell>
        </row>
        <row r="2396">
          <cell r="A2396">
            <v>1002390</v>
          </cell>
          <cell r="B2396" t="str">
            <v>Tuerca de Ojo (OVAL) P/ Tornillo 5/8"</v>
          </cell>
          <cell r="D2396">
            <v>5108</v>
          </cell>
          <cell r="E2396">
            <v>1000</v>
          </cell>
          <cell r="F2396" t="str">
            <v>ZALM</v>
          </cell>
          <cell r="G2396" t="str">
            <v>UN</v>
          </cell>
          <cell r="H2396" t="str">
            <v>DOP</v>
          </cell>
          <cell r="I2396">
            <v>0</v>
          </cell>
          <cell r="J2396">
            <v>0</v>
          </cell>
          <cell r="K2396">
            <v>0</v>
          </cell>
          <cell r="L2396">
            <v>0</v>
          </cell>
          <cell r="M2396">
            <v>798</v>
          </cell>
          <cell r="N2396">
            <v>84677.87</v>
          </cell>
          <cell r="O2396">
            <v>0</v>
          </cell>
          <cell r="P2396">
            <v>0</v>
          </cell>
          <cell r="Q2396">
            <v>0</v>
          </cell>
          <cell r="R2396">
            <v>0</v>
          </cell>
          <cell r="S2396">
            <v>798</v>
          </cell>
          <cell r="T2396">
            <v>84677.87</v>
          </cell>
          <cell r="U2396">
            <v>106.11261904761901</v>
          </cell>
        </row>
        <row r="2397">
          <cell r="A2397">
            <v>1002391</v>
          </cell>
          <cell r="B2397" t="str">
            <v>Tuerca de Ojo Tornillo 5/8"</v>
          </cell>
          <cell r="D2397">
            <v>5108</v>
          </cell>
          <cell r="E2397">
            <v>1000</v>
          </cell>
          <cell r="F2397" t="str">
            <v>ZALM</v>
          </cell>
          <cell r="G2397" t="str">
            <v>UN</v>
          </cell>
          <cell r="H2397" t="str">
            <v>DOP</v>
          </cell>
          <cell r="I2397">
            <v>0</v>
          </cell>
          <cell r="J2397">
            <v>0</v>
          </cell>
          <cell r="K2397">
            <v>0</v>
          </cell>
          <cell r="L2397">
            <v>0</v>
          </cell>
          <cell r="M2397">
            <v>0</v>
          </cell>
          <cell r="N2397">
            <v>0</v>
          </cell>
          <cell r="O2397">
            <v>0</v>
          </cell>
          <cell r="P2397">
            <v>0</v>
          </cell>
          <cell r="Q2397">
            <v>0</v>
          </cell>
          <cell r="R2397">
            <v>0</v>
          </cell>
          <cell r="S2397">
            <v>0</v>
          </cell>
          <cell r="T2397">
            <v>0</v>
          </cell>
          <cell r="U2397" t="e">
            <v>#N/A</v>
          </cell>
        </row>
        <row r="2398">
          <cell r="A2398">
            <v>1002392</v>
          </cell>
          <cell r="B2398" t="str">
            <v>Tuerca Eléctrica 2"</v>
          </cell>
          <cell r="D2398">
            <v>5108</v>
          </cell>
          <cell r="E2398">
            <v>1000</v>
          </cell>
          <cell r="F2398" t="str">
            <v>ZALM</v>
          </cell>
          <cell r="G2398" t="str">
            <v>UN</v>
          </cell>
          <cell r="H2398" t="str">
            <v>DOP</v>
          </cell>
          <cell r="I2398">
            <v>0</v>
          </cell>
          <cell r="J2398">
            <v>0</v>
          </cell>
          <cell r="K2398">
            <v>0</v>
          </cell>
          <cell r="L2398">
            <v>0</v>
          </cell>
          <cell r="M2398">
            <v>0</v>
          </cell>
          <cell r="N2398">
            <v>0</v>
          </cell>
          <cell r="O2398">
            <v>0</v>
          </cell>
          <cell r="P2398">
            <v>0</v>
          </cell>
          <cell r="Q2398">
            <v>0</v>
          </cell>
          <cell r="R2398">
            <v>0</v>
          </cell>
          <cell r="S2398">
            <v>0</v>
          </cell>
          <cell r="T2398">
            <v>0</v>
          </cell>
          <cell r="U2398" t="e">
            <v>#N/A</v>
          </cell>
        </row>
        <row r="2399">
          <cell r="A2399">
            <v>1002393</v>
          </cell>
          <cell r="B2399" t="str">
            <v>Tuerca Niquelada P/ Tornillo 1/2"</v>
          </cell>
          <cell r="D2399">
            <v>5108</v>
          </cell>
          <cell r="E2399">
            <v>1000</v>
          </cell>
          <cell r="F2399" t="str">
            <v>ZALM</v>
          </cell>
          <cell r="G2399" t="str">
            <v>UN</v>
          </cell>
          <cell r="H2399" t="str">
            <v>DOP</v>
          </cell>
          <cell r="I2399">
            <v>111</v>
          </cell>
          <cell r="J2399">
            <v>1480.74</v>
          </cell>
          <cell r="K2399">
            <v>0</v>
          </cell>
          <cell r="L2399">
            <v>0</v>
          </cell>
          <cell r="M2399">
            <v>0</v>
          </cell>
          <cell r="N2399">
            <v>0</v>
          </cell>
          <cell r="O2399">
            <v>0</v>
          </cell>
          <cell r="P2399">
            <v>0</v>
          </cell>
          <cell r="Q2399">
            <v>58</v>
          </cell>
          <cell r="R2399">
            <v>773.72</v>
          </cell>
          <cell r="S2399">
            <v>169</v>
          </cell>
          <cell r="T2399">
            <v>2254.46</v>
          </cell>
          <cell r="U2399">
            <v>13.34</v>
          </cell>
        </row>
        <row r="2400">
          <cell r="A2400">
            <v>1002394</v>
          </cell>
          <cell r="B2400" t="str">
            <v>Tuerca Ojo Guardac Incl 45º P/ Torn 3/4"</v>
          </cell>
          <cell r="D2400">
            <v>5108</v>
          </cell>
          <cell r="E2400">
            <v>1000</v>
          </cell>
          <cell r="F2400" t="str">
            <v>ZALM</v>
          </cell>
          <cell r="G2400" t="str">
            <v>UN</v>
          </cell>
          <cell r="H2400" t="str">
            <v>DOP</v>
          </cell>
          <cell r="I2400">
            <v>29263</v>
          </cell>
          <cell r="J2400">
            <v>4544530.46</v>
          </cell>
          <cell r="K2400">
            <v>0</v>
          </cell>
          <cell r="L2400">
            <v>0</v>
          </cell>
          <cell r="M2400">
            <v>18</v>
          </cell>
          <cell r="N2400">
            <v>2795.39</v>
          </cell>
          <cell r="O2400">
            <v>0</v>
          </cell>
          <cell r="P2400">
            <v>0</v>
          </cell>
          <cell r="Q2400">
            <v>571</v>
          </cell>
          <cell r="R2400">
            <v>88676.04</v>
          </cell>
          <cell r="S2400">
            <v>29852</v>
          </cell>
          <cell r="T2400">
            <v>4636001.8899999997</v>
          </cell>
          <cell r="U2400">
            <v>155.299540734289</v>
          </cell>
        </row>
        <row r="2401">
          <cell r="A2401">
            <v>1002395</v>
          </cell>
          <cell r="B2401" t="str">
            <v>Tuerca Ojo Guardac Incl 45º P/ Torn 5/8"</v>
          </cell>
          <cell r="D2401">
            <v>5108</v>
          </cell>
          <cell r="E2401">
            <v>1000</v>
          </cell>
          <cell r="F2401" t="str">
            <v>ZALM</v>
          </cell>
          <cell r="G2401" t="str">
            <v>UN</v>
          </cell>
          <cell r="H2401" t="str">
            <v>DOP</v>
          </cell>
          <cell r="I2401">
            <v>817</v>
          </cell>
          <cell r="J2401">
            <v>56223.08</v>
          </cell>
          <cell r="K2401">
            <v>0</v>
          </cell>
          <cell r="L2401">
            <v>0</v>
          </cell>
          <cell r="M2401">
            <v>1</v>
          </cell>
          <cell r="N2401">
            <v>68.819999999999993</v>
          </cell>
          <cell r="O2401">
            <v>0</v>
          </cell>
          <cell r="P2401">
            <v>0</v>
          </cell>
          <cell r="Q2401">
            <v>412</v>
          </cell>
          <cell r="R2401">
            <v>28352.400000000001</v>
          </cell>
          <cell r="S2401">
            <v>1230</v>
          </cell>
          <cell r="T2401">
            <v>84644.3</v>
          </cell>
          <cell r="U2401">
            <v>68.816504065040704</v>
          </cell>
        </row>
        <row r="2402">
          <cell r="A2402">
            <v>1002396</v>
          </cell>
          <cell r="B2402" t="str">
            <v>Tuerca Ojo Guardac Recto 3/4" 55.6kN</v>
          </cell>
          <cell r="D2402">
            <v>5108</v>
          </cell>
          <cell r="E2402">
            <v>1000</v>
          </cell>
          <cell r="F2402" t="str">
            <v>ZALM</v>
          </cell>
          <cell r="G2402" t="str">
            <v>UN</v>
          </cell>
          <cell r="H2402" t="str">
            <v>DOP</v>
          </cell>
          <cell r="I2402">
            <v>7665</v>
          </cell>
          <cell r="J2402">
            <v>716829.71</v>
          </cell>
          <cell r="K2402">
            <v>0</v>
          </cell>
          <cell r="L2402">
            <v>0</v>
          </cell>
          <cell r="M2402">
            <v>0</v>
          </cell>
          <cell r="N2402">
            <v>0</v>
          </cell>
          <cell r="O2402">
            <v>0</v>
          </cell>
          <cell r="P2402">
            <v>0</v>
          </cell>
          <cell r="Q2402">
            <v>0</v>
          </cell>
          <cell r="R2402">
            <v>0</v>
          </cell>
          <cell r="S2402">
            <v>7665</v>
          </cell>
          <cell r="T2402">
            <v>716829.71</v>
          </cell>
          <cell r="U2402">
            <v>93.519857795172896</v>
          </cell>
        </row>
        <row r="2403">
          <cell r="A2403">
            <v>1002397</v>
          </cell>
          <cell r="B2403" t="str">
            <v>Tuerca Ojo Guardac Recto 5/8" 2 Guias</v>
          </cell>
          <cell r="D2403">
            <v>5108</v>
          </cell>
          <cell r="E2403">
            <v>1000</v>
          </cell>
          <cell r="F2403" t="str">
            <v>ZALM</v>
          </cell>
          <cell r="G2403" t="str">
            <v>UN</v>
          </cell>
          <cell r="H2403" t="str">
            <v>DOP</v>
          </cell>
          <cell r="I2403">
            <v>157</v>
          </cell>
          <cell r="J2403">
            <v>19164.990000000002</v>
          </cell>
          <cell r="K2403">
            <v>0</v>
          </cell>
          <cell r="L2403">
            <v>0</v>
          </cell>
          <cell r="M2403">
            <v>0</v>
          </cell>
          <cell r="N2403">
            <v>0</v>
          </cell>
          <cell r="O2403">
            <v>0</v>
          </cell>
          <cell r="P2403">
            <v>0</v>
          </cell>
          <cell r="Q2403">
            <v>0</v>
          </cell>
          <cell r="R2403">
            <v>0</v>
          </cell>
          <cell r="S2403">
            <v>157</v>
          </cell>
          <cell r="T2403">
            <v>19164.990000000002</v>
          </cell>
          <cell r="U2403">
            <v>122.07</v>
          </cell>
        </row>
        <row r="2404">
          <cell r="A2404">
            <v>1002398</v>
          </cell>
          <cell r="B2404" t="str">
            <v>Tuerca Ojo Guardac Recto 5/8" 55.6kN</v>
          </cell>
          <cell r="D2404">
            <v>5108</v>
          </cell>
          <cell r="E2404">
            <v>1000</v>
          </cell>
          <cell r="F2404" t="str">
            <v>ZALM</v>
          </cell>
          <cell r="G2404" t="str">
            <v>UN</v>
          </cell>
          <cell r="H2404" t="str">
            <v>DOP</v>
          </cell>
          <cell r="I2404">
            <v>0</v>
          </cell>
          <cell r="J2404">
            <v>0</v>
          </cell>
          <cell r="K2404">
            <v>0</v>
          </cell>
          <cell r="L2404">
            <v>0</v>
          </cell>
          <cell r="M2404">
            <v>0</v>
          </cell>
          <cell r="N2404">
            <v>0</v>
          </cell>
          <cell r="O2404">
            <v>0</v>
          </cell>
          <cell r="P2404">
            <v>0</v>
          </cell>
          <cell r="Q2404">
            <v>0</v>
          </cell>
          <cell r="R2404">
            <v>0</v>
          </cell>
          <cell r="S2404">
            <v>0</v>
          </cell>
          <cell r="T2404">
            <v>0</v>
          </cell>
          <cell r="U2404" t="e">
            <v>#N/A</v>
          </cell>
        </row>
        <row r="2405">
          <cell r="A2405">
            <v>1002399</v>
          </cell>
          <cell r="B2405" t="str">
            <v>Bobina P/ Totaliz T/ Donut 100/5A Cl0.5%</v>
          </cell>
          <cell r="D2405">
            <v>6302</v>
          </cell>
          <cell r="E2405">
            <v>1000</v>
          </cell>
          <cell r="F2405" t="str">
            <v>ZALM</v>
          </cell>
          <cell r="G2405" t="str">
            <v>UN</v>
          </cell>
          <cell r="H2405" t="str">
            <v>DOP</v>
          </cell>
          <cell r="I2405">
            <v>0</v>
          </cell>
          <cell r="J2405">
            <v>0</v>
          </cell>
          <cell r="K2405">
            <v>0</v>
          </cell>
          <cell r="L2405">
            <v>0</v>
          </cell>
          <cell r="M2405">
            <v>0</v>
          </cell>
          <cell r="N2405">
            <v>0</v>
          </cell>
          <cell r="O2405">
            <v>0</v>
          </cell>
          <cell r="P2405">
            <v>0</v>
          </cell>
          <cell r="Q2405">
            <v>0</v>
          </cell>
          <cell r="R2405">
            <v>0</v>
          </cell>
          <cell r="S2405">
            <v>0</v>
          </cell>
          <cell r="T2405">
            <v>0</v>
          </cell>
          <cell r="U2405" t="e">
            <v>#N/A</v>
          </cell>
        </row>
        <row r="2406">
          <cell r="A2406">
            <v>1002400</v>
          </cell>
          <cell r="B2406" t="str">
            <v>Bobina P/ Totaliz T/ Donut 200/5A Cl0.5%</v>
          </cell>
          <cell r="D2406">
            <v>6302</v>
          </cell>
          <cell r="E2406">
            <v>1000</v>
          </cell>
          <cell r="F2406" t="str">
            <v>ZALM</v>
          </cell>
          <cell r="G2406" t="str">
            <v>UN</v>
          </cell>
          <cell r="H2406" t="str">
            <v>DOP</v>
          </cell>
          <cell r="I2406">
            <v>0</v>
          </cell>
          <cell r="J2406">
            <v>0</v>
          </cell>
          <cell r="K2406">
            <v>0</v>
          </cell>
          <cell r="L2406">
            <v>0</v>
          </cell>
          <cell r="M2406">
            <v>0</v>
          </cell>
          <cell r="N2406">
            <v>0</v>
          </cell>
          <cell r="O2406">
            <v>0</v>
          </cell>
          <cell r="P2406">
            <v>0</v>
          </cell>
          <cell r="Q2406">
            <v>0</v>
          </cell>
          <cell r="R2406">
            <v>0</v>
          </cell>
          <cell r="S2406">
            <v>0</v>
          </cell>
          <cell r="T2406">
            <v>0</v>
          </cell>
          <cell r="U2406" t="e">
            <v>#N/A</v>
          </cell>
        </row>
        <row r="2407">
          <cell r="A2407">
            <v>1002401</v>
          </cell>
          <cell r="B2407" t="str">
            <v>Bobina P/ Totaliz T/ Donut 300/5A Cl0.5%</v>
          </cell>
          <cell r="D2407">
            <v>6302</v>
          </cell>
          <cell r="E2407">
            <v>1000</v>
          </cell>
          <cell r="F2407" t="str">
            <v>ZALM</v>
          </cell>
          <cell r="G2407" t="str">
            <v>UN</v>
          </cell>
          <cell r="H2407" t="str">
            <v>DOP</v>
          </cell>
          <cell r="I2407">
            <v>0</v>
          </cell>
          <cell r="J2407">
            <v>0</v>
          </cell>
          <cell r="K2407">
            <v>0</v>
          </cell>
          <cell r="L2407">
            <v>0</v>
          </cell>
          <cell r="M2407">
            <v>0</v>
          </cell>
          <cell r="N2407">
            <v>0</v>
          </cell>
          <cell r="O2407">
            <v>0</v>
          </cell>
          <cell r="P2407">
            <v>0</v>
          </cell>
          <cell r="Q2407">
            <v>1124</v>
          </cell>
          <cell r="R2407">
            <v>560419.12</v>
          </cell>
          <cell r="S2407">
            <v>1124</v>
          </cell>
          <cell r="T2407">
            <v>560419.12</v>
          </cell>
          <cell r="U2407">
            <v>498.59352313167301</v>
          </cell>
        </row>
        <row r="2408">
          <cell r="A2408">
            <v>1002402</v>
          </cell>
          <cell r="B2408" t="str">
            <v>Bobina P/ Totaliz T/ Donut 400/5A Cl0.5%</v>
          </cell>
          <cell r="D2408">
            <v>6302</v>
          </cell>
          <cell r="E2408">
            <v>1000</v>
          </cell>
          <cell r="F2408" t="str">
            <v>ZALM</v>
          </cell>
          <cell r="G2408" t="str">
            <v>UN</v>
          </cell>
          <cell r="H2408" t="str">
            <v>DOP</v>
          </cell>
          <cell r="I2408">
            <v>0</v>
          </cell>
          <cell r="J2408">
            <v>0</v>
          </cell>
          <cell r="K2408">
            <v>0</v>
          </cell>
          <cell r="L2408">
            <v>0</v>
          </cell>
          <cell r="M2408">
            <v>0</v>
          </cell>
          <cell r="N2408">
            <v>0</v>
          </cell>
          <cell r="O2408">
            <v>0</v>
          </cell>
          <cell r="P2408">
            <v>0</v>
          </cell>
          <cell r="Q2408">
            <v>0</v>
          </cell>
          <cell r="R2408">
            <v>0</v>
          </cell>
          <cell r="S2408">
            <v>0</v>
          </cell>
          <cell r="T2408">
            <v>0</v>
          </cell>
          <cell r="U2408" t="e">
            <v>#N/A</v>
          </cell>
        </row>
        <row r="2409">
          <cell r="A2409">
            <v>1002403</v>
          </cell>
          <cell r="B2409" t="str">
            <v>Bobina P/ Totaliz T/ Donut 60/5A Cl0.5%</v>
          </cell>
          <cell r="D2409">
            <v>6302</v>
          </cell>
          <cell r="E2409">
            <v>1000</v>
          </cell>
          <cell r="F2409" t="str">
            <v>ZALM</v>
          </cell>
          <cell r="G2409" t="str">
            <v>UN</v>
          </cell>
          <cell r="H2409" t="str">
            <v>DOP</v>
          </cell>
          <cell r="I2409">
            <v>0</v>
          </cell>
          <cell r="J2409">
            <v>0</v>
          </cell>
          <cell r="K2409">
            <v>0</v>
          </cell>
          <cell r="L2409">
            <v>0</v>
          </cell>
          <cell r="M2409">
            <v>0</v>
          </cell>
          <cell r="N2409">
            <v>0</v>
          </cell>
          <cell r="O2409">
            <v>0</v>
          </cell>
          <cell r="P2409">
            <v>0</v>
          </cell>
          <cell r="Q2409">
            <v>0</v>
          </cell>
          <cell r="R2409">
            <v>0</v>
          </cell>
          <cell r="S2409">
            <v>0</v>
          </cell>
          <cell r="T2409">
            <v>0</v>
          </cell>
          <cell r="U2409" t="e">
            <v>#N/A</v>
          </cell>
        </row>
        <row r="2410">
          <cell r="A2410">
            <v>1002404</v>
          </cell>
          <cell r="B2410" t="str">
            <v>Bobina P/ Totaliz T/ Donut 600/5A Cl0.5%</v>
          </cell>
          <cell r="D2410">
            <v>6302</v>
          </cell>
          <cell r="E2410">
            <v>1000</v>
          </cell>
          <cell r="F2410" t="str">
            <v>ZALM</v>
          </cell>
          <cell r="G2410" t="str">
            <v>UN</v>
          </cell>
          <cell r="H2410" t="str">
            <v>DOP</v>
          </cell>
          <cell r="I2410">
            <v>1487</v>
          </cell>
          <cell r="J2410">
            <v>5684334.9900000002</v>
          </cell>
          <cell r="K2410">
            <v>0</v>
          </cell>
          <cell r="L2410">
            <v>0</v>
          </cell>
          <cell r="M2410">
            <v>0</v>
          </cell>
          <cell r="N2410">
            <v>0</v>
          </cell>
          <cell r="O2410">
            <v>0</v>
          </cell>
          <cell r="P2410">
            <v>0</v>
          </cell>
          <cell r="Q2410">
            <v>3</v>
          </cell>
          <cell r="R2410">
            <v>11468.06</v>
          </cell>
          <cell r="S2410">
            <v>1490</v>
          </cell>
          <cell r="T2410">
            <v>5695803.0499999998</v>
          </cell>
          <cell r="U2410">
            <v>3822.6866107382498</v>
          </cell>
        </row>
        <row r="2411">
          <cell r="A2411">
            <v>1002405</v>
          </cell>
          <cell r="B2411" t="str">
            <v>Bushing 1200A 15 kV</v>
          </cell>
          <cell r="D2411">
            <v>6302</v>
          </cell>
          <cell r="E2411">
            <v>1000</v>
          </cell>
          <cell r="F2411" t="str">
            <v>ZALM</v>
          </cell>
          <cell r="G2411" t="str">
            <v>UN</v>
          </cell>
          <cell r="H2411" t="str">
            <v>DOP</v>
          </cell>
          <cell r="I2411">
            <v>4</v>
          </cell>
          <cell r="J2411">
            <v>93569.24</v>
          </cell>
          <cell r="K2411">
            <v>0</v>
          </cell>
          <cell r="L2411">
            <v>0</v>
          </cell>
          <cell r="M2411">
            <v>0</v>
          </cell>
          <cell r="N2411">
            <v>0</v>
          </cell>
          <cell r="O2411">
            <v>0</v>
          </cell>
          <cell r="P2411">
            <v>0</v>
          </cell>
          <cell r="Q2411">
            <v>0</v>
          </cell>
          <cell r="R2411">
            <v>0</v>
          </cell>
          <cell r="S2411">
            <v>4</v>
          </cell>
          <cell r="T2411">
            <v>93569.24</v>
          </cell>
          <cell r="U2411">
            <v>23392.31</v>
          </cell>
        </row>
        <row r="2412">
          <cell r="A2412">
            <v>1002406</v>
          </cell>
          <cell r="B2412" t="str">
            <v>Bushing 1200A 72.5kV</v>
          </cell>
          <cell r="D2412">
            <v>6302</v>
          </cell>
          <cell r="E2412">
            <v>1000</v>
          </cell>
          <cell r="F2412" t="str">
            <v>ZALM</v>
          </cell>
          <cell r="G2412" t="str">
            <v>UN</v>
          </cell>
          <cell r="H2412" t="str">
            <v>DOP</v>
          </cell>
          <cell r="I2412">
            <v>0</v>
          </cell>
          <cell r="J2412">
            <v>0</v>
          </cell>
          <cell r="K2412">
            <v>0</v>
          </cell>
          <cell r="L2412">
            <v>0</v>
          </cell>
          <cell r="M2412">
            <v>0</v>
          </cell>
          <cell r="N2412">
            <v>0</v>
          </cell>
          <cell r="O2412">
            <v>0</v>
          </cell>
          <cell r="P2412">
            <v>0</v>
          </cell>
          <cell r="Q2412">
            <v>0</v>
          </cell>
          <cell r="R2412">
            <v>0</v>
          </cell>
          <cell r="S2412">
            <v>0</v>
          </cell>
          <cell r="T2412">
            <v>0</v>
          </cell>
          <cell r="U2412" t="e">
            <v>#N/A</v>
          </cell>
        </row>
        <row r="2413">
          <cell r="A2413">
            <v>1002407</v>
          </cell>
          <cell r="B2413" t="str">
            <v>Bushing Compl P/ Interruptor T/ SPS 72.5</v>
          </cell>
          <cell r="D2413">
            <v>6302</v>
          </cell>
          <cell r="E2413">
            <v>1000</v>
          </cell>
          <cell r="F2413" t="str">
            <v>ZALM</v>
          </cell>
          <cell r="G2413" t="str">
            <v>UN</v>
          </cell>
          <cell r="H2413" t="str">
            <v>DOP</v>
          </cell>
          <cell r="I2413">
            <v>0</v>
          </cell>
          <cell r="J2413">
            <v>0</v>
          </cell>
          <cell r="K2413">
            <v>0</v>
          </cell>
          <cell r="L2413">
            <v>0</v>
          </cell>
          <cell r="M2413">
            <v>0</v>
          </cell>
          <cell r="N2413">
            <v>0</v>
          </cell>
          <cell r="O2413">
            <v>0</v>
          </cell>
          <cell r="P2413">
            <v>0</v>
          </cell>
          <cell r="Q2413">
            <v>0</v>
          </cell>
          <cell r="R2413">
            <v>0</v>
          </cell>
          <cell r="S2413">
            <v>0</v>
          </cell>
          <cell r="T2413">
            <v>0</v>
          </cell>
          <cell r="U2413" t="e">
            <v>#N/A</v>
          </cell>
        </row>
        <row r="2414">
          <cell r="A2414">
            <v>1002408</v>
          </cell>
          <cell r="B2414" t="str">
            <v>Bushing de Alta 138kV</v>
          </cell>
          <cell r="D2414">
            <v>6302</v>
          </cell>
          <cell r="E2414">
            <v>1000</v>
          </cell>
          <cell r="F2414" t="str">
            <v>ZALM</v>
          </cell>
          <cell r="G2414" t="str">
            <v>UN</v>
          </cell>
          <cell r="H2414" t="str">
            <v>DOP</v>
          </cell>
          <cell r="I2414">
            <v>0</v>
          </cell>
          <cell r="J2414">
            <v>0</v>
          </cell>
          <cell r="K2414">
            <v>0</v>
          </cell>
          <cell r="L2414">
            <v>0</v>
          </cell>
          <cell r="M2414">
            <v>0</v>
          </cell>
          <cell r="N2414">
            <v>0</v>
          </cell>
          <cell r="O2414">
            <v>0</v>
          </cell>
          <cell r="P2414">
            <v>0</v>
          </cell>
          <cell r="Q2414">
            <v>0</v>
          </cell>
          <cell r="R2414">
            <v>0</v>
          </cell>
          <cell r="S2414">
            <v>0</v>
          </cell>
          <cell r="T2414">
            <v>0</v>
          </cell>
          <cell r="U2414" t="e">
            <v>#N/A</v>
          </cell>
        </row>
        <row r="2415">
          <cell r="A2415">
            <v>1002409</v>
          </cell>
          <cell r="B2415" t="str">
            <v>Bushing de Baja 12.5kV</v>
          </cell>
          <cell r="D2415">
            <v>6302</v>
          </cell>
          <cell r="E2415">
            <v>1000</v>
          </cell>
          <cell r="F2415" t="str">
            <v>ZALM</v>
          </cell>
          <cell r="G2415" t="str">
            <v>UN</v>
          </cell>
          <cell r="H2415" t="str">
            <v>DOP</v>
          </cell>
          <cell r="I2415">
            <v>0</v>
          </cell>
          <cell r="J2415">
            <v>0</v>
          </cell>
          <cell r="K2415">
            <v>0</v>
          </cell>
          <cell r="L2415">
            <v>0</v>
          </cell>
          <cell r="M2415">
            <v>0</v>
          </cell>
          <cell r="N2415">
            <v>0</v>
          </cell>
          <cell r="O2415">
            <v>0</v>
          </cell>
          <cell r="P2415">
            <v>0</v>
          </cell>
          <cell r="Q2415">
            <v>0</v>
          </cell>
          <cell r="R2415">
            <v>0</v>
          </cell>
          <cell r="S2415">
            <v>0</v>
          </cell>
          <cell r="T2415">
            <v>0</v>
          </cell>
          <cell r="U2415" t="e">
            <v>#N/A</v>
          </cell>
        </row>
        <row r="2416">
          <cell r="A2416">
            <v>1002410</v>
          </cell>
          <cell r="B2416" t="str">
            <v>Bushing Tensión Nominal 145kV C/ Borna</v>
          </cell>
          <cell r="D2416">
            <v>6302</v>
          </cell>
          <cell r="E2416">
            <v>1000</v>
          </cell>
          <cell r="F2416" t="str">
            <v>ZALM</v>
          </cell>
          <cell r="G2416" t="str">
            <v>UN</v>
          </cell>
          <cell r="H2416" t="str">
            <v>DOP</v>
          </cell>
          <cell r="I2416">
            <v>0</v>
          </cell>
          <cell r="J2416">
            <v>0</v>
          </cell>
          <cell r="K2416">
            <v>0</v>
          </cell>
          <cell r="L2416">
            <v>0</v>
          </cell>
          <cell r="M2416">
            <v>0</v>
          </cell>
          <cell r="N2416">
            <v>0</v>
          </cell>
          <cell r="O2416">
            <v>0</v>
          </cell>
          <cell r="P2416">
            <v>0</v>
          </cell>
          <cell r="Q2416">
            <v>0</v>
          </cell>
          <cell r="R2416">
            <v>0</v>
          </cell>
          <cell r="S2416">
            <v>0</v>
          </cell>
          <cell r="T2416">
            <v>0</v>
          </cell>
          <cell r="U2416" t="e">
            <v>#N/A</v>
          </cell>
        </row>
        <row r="2417">
          <cell r="A2417">
            <v>1002411</v>
          </cell>
          <cell r="B2417" t="str">
            <v>Cabria P/ Transformadores</v>
          </cell>
          <cell r="D2417">
            <v>6302</v>
          </cell>
          <cell r="E2417">
            <v>1000</v>
          </cell>
          <cell r="F2417" t="str">
            <v>ZALM</v>
          </cell>
          <cell r="G2417" t="str">
            <v>UN</v>
          </cell>
          <cell r="H2417" t="str">
            <v>DOP</v>
          </cell>
          <cell r="I2417">
            <v>0</v>
          </cell>
          <cell r="J2417">
            <v>0</v>
          </cell>
          <cell r="K2417">
            <v>0</v>
          </cell>
          <cell r="L2417">
            <v>0</v>
          </cell>
          <cell r="M2417">
            <v>0</v>
          </cell>
          <cell r="N2417">
            <v>0</v>
          </cell>
          <cell r="O2417">
            <v>0</v>
          </cell>
          <cell r="P2417">
            <v>0</v>
          </cell>
          <cell r="Q2417">
            <v>0</v>
          </cell>
          <cell r="R2417">
            <v>0</v>
          </cell>
          <cell r="S2417">
            <v>0</v>
          </cell>
          <cell r="T2417">
            <v>0</v>
          </cell>
          <cell r="U2417" t="e">
            <v>#N/A</v>
          </cell>
        </row>
        <row r="2418">
          <cell r="A2418">
            <v>1002412</v>
          </cell>
          <cell r="B2418" t="str">
            <v>Condensador o Capacitor de 7.5</v>
          </cell>
          <cell r="D2418">
            <v>6302</v>
          </cell>
          <cell r="E2418">
            <v>1000</v>
          </cell>
          <cell r="F2418" t="str">
            <v>ZALM</v>
          </cell>
          <cell r="G2418" t="str">
            <v>UN</v>
          </cell>
          <cell r="H2418" t="str">
            <v>DOP</v>
          </cell>
          <cell r="I2418">
            <v>0</v>
          </cell>
          <cell r="J2418">
            <v>0</v>
          </cell>
          <cell r="K2418">
            <v>0</v>
          </cell>
          <cell r="L2418">
            <v>0</v>
          </cell>
          <cell r="M2418">
            <v>0</v>
          </cell>
          <cell r="N2418">
            <v>0</v>
          </cell>
          <cell r="O2418">
            <v>0</v>
          </cell>
          <cell r="P2418">
            <v>0</v>
          </cell>
          <cell r="Q2418">
            <v>0</v>
          </cell>
          <cell r="R2418">
            <v>0</v>
          </cell>
          <cell r="S2418">
            <v>0</v>
          </cell>
          <cell r="T2418">
            <v>0</v>
          </cell>
          <cell r="U2418" t="e">
            <v>#N/A</v>
          </cell>
        </row>
        <row r="2419">
          <cell r="A2419">
            <v>1002413</v>
          </cell>
          <cell r="B2419" t="str">
            <v>Kit de Plato</v>
          </cell>
          <cell r="D2419">
            <v>6302</v>
          </cell>
          <cell r="E2419">
            <v>1000</v>
          </cell>
          <cell r="F2419" t="str">
            <v>ZALM</v>
          </cell>
          <cell r="G2419" t="str">
            <v>UN</v>
          </cell>
          <cell r="H2419" t="str">
            <v>DOP</v>
          </cell>
          <cell r="I2419">
            <v>7</v>
          </cell>
          <cell r="J2419">
            <v>7082.95</v>
          </cell>
          <cell r="K2419">
            <v>0</v>
          </cell>
          <cell r="L2419">
            <v>0</v>
          </cell>
          <cell r="M2419">
            <v>0</v>
          </cell>
          <cell r="N2419">
            <v>0</v>
          </cell>
          <cell r="O2419">
            <v>0</v>
          </cell>
          <cell r="P2419">
            <v>0</v>
          </cell>
          <cell r="Q2419">
            <v>0</v>
          </cell>
          <cell r="R2419">
            <v>0</v>
          </cell>
          <cell r="S2419">
            <v>7</v>
          </cell>
          <cell r="T2419">
            <v>7082.95</v>
          </cell>
          <cell r="U2419">
            <v>1011.85</v>
          </cell>
        </row>
        <row r="2420">
          <cell r="A2420">
            <v>1002414</v>
          </cell>
          <cell r="B2420" t="str">
            <v>Resistor Compensación 0.5 Ohm 50W 5A</v>
          </cell>
          <cell r="D2420">
            <v>6302</v>
          </cell>
          <cell r="E2420">
            <v>1000</v>
          </cell>
          <cell r="F2420" t="str">
            <v>ZALM</v>
          </cell>
          <cell r="G2420" t="str">
            <v>UN</v>
          </cell>
          <cell r="H2420" t="str">
            <v>DOP</v>
          </cell>
          <cell r="I2420">
            <v>0</v>
          </cell>
          <cell r="J2420">
            <v>0</v>
          </cell>
          <cell r="K2420">
            <v>0</v>
          </cell>
          <cell r="L2420">
            <v>0</v>
          </cell>
          <cell r="M2420">
            <v>0</v>
          </cell>
          <cell r="N2420">
            <v>0</v>
          </cell>
          <cell r="O2420">
            <v>0</v>
          </cell>
          <cell r="P2420">
            <v>0</v>
          </cell>
          <cell r="Q2420">
            <v>0</v>
          </cell>
          <cell r="R2420">
            <v>0</v>
          </cell>
          <cell r="S2420">
            <v>0</v>
          </cell>
          <cell r="T2420">
            <v>0</v>
          </cell>
          <cell r="U2420" t="e">
            <v>#N/A</v>
          </cell>
        </row>
        <row r="2421">
          <cell r="A2421">
            <v>1002415</v>
          </cell>
          <cell r="B2421" t="str">
            <v>Resistor Compensación 0.5 Ohm 7.5W 5A</v>
          </cell>
          <cell r="D2421">
            <v>6302</v>
          </cell>
          <cell r="E2421">
            <v>1000</v>
          </cell>
          <cell r="F2421" t="str">
            <v>ZALM</v>
          </cell>
          <cell r="G2421" t="str">
            <v>UN</v>
          </cell>
          <cell r="H2421" t="str">
            <v>DOP</v>
          </cell>
          <cell r="I2421">
            <v>0</v>
          </cell>
          <cell r="J2421">
            <v>0</v>
          </cell>
          <cell r="K2421">
            <v>0</v>
          </cell>
          <cell r="L2421">
            <v>0</v>
          </cell>
          <cell r="M2421">
            <v>0</v>
          </cell>
          <cell r="N2421">
            <v>0</v>
          </cell>
          <cell r="O2421">
            <v>0</v>
          </cell>
          <cell r="P2421">
            <v>0</v>
          </cell>
          <cell r="Q2421">
            <v>0</v>
          </cell>
          <cell r="R2421">
            <v>0</v>
          </cell>
          <cell r="S2421">
            <v>0</v>
          </cell>
          <cell r="T2421">
            <v>0</v>
          </cell>
          <cell r="U2421" t="e">
            <v>#N/A</v>
          </cell>
        </row>
        <row r="2422">
          <cell r="A2422">
            <v>1002416</v>
          </cell>
          <cell r="B2422" t="str">
            <v>Resistor Compensación 1320 Ohm 50W 5A</v>
          </cell>
          <cell r="D2422">
            <v>6302</v>
          </cell>
          <cell r="E2422">
            <v>1000</v>
          </cell>
          <cell r="F2422" t="str">
            <v>ZALM</v>
          </cell>
          <cell r="G2422" t="str">
            <v>UN</v>
          </cell>
          <cell r="H2422" t="str">
            <v>DOP</v>
          </cell>
          <cell r="I2422">
            <v>0</v>
          </cell>
          <cell r="J2422">
            <v>0</v>
          </cell>
          <cell r="K2422">
            <v>0</v>
          </cell>
          <cell r="L2422">
            <v>0</v>
          </cell>
          <cell r="M2422">
            <v>0</v>
          </cell>
          <cell r="N2422">
            <v>0</v>
          </cell>
          <cell r="O2422">
            <v>0</v>
          </cell>
          <cell r="P2422">
            <v>0</v>
          </cell>
          <cell r="Q2422">
            <v>0</v>
          </cell>
          <cell r="R2422">
            <v>0</v>
          </cell>
          <cell r="S2422">
            <v>0</v>
          </cell>
          <cell r="T2422">
            <v>0</v>
          </cell>
          <cell r="U2422" t="e">
            <v>#N/A</v>
          </cell>
        </row>
        <row r="2423">
          <cell r="A2423">
            <v>1002417</v>
          </cell>
          <cell r="B2423" t="str">
            <v>Resistor Compensación 2650 Ohm 50W 5A</v>
          </cell>
          <cell r="D2423">
            <v>6302</v>
          </cell>
          <cell r="E2423">
            <v>1000</v>
          </cell>
          <cell r="F2423" t="str">
            <v>ZALM</v>
          </cell>
          <cell r="G2423" t="str">
            <v>UN</v>
          </cell>
          <cell r="H2423" t="str">
            <v>DOP</v>
          </cell>
          <cell r="I2423">
            <v>0</v>
          </cell>
          <cell r="J2423">
            <v>0</v>
          </cell>
          <cell r="K2423">
            <v>0</v>
          </cell>
          <cell r="L2423">
            <v>0</v>
          </cell>
          <cell r="M2423">
            <v>0</v>
          </cell>
          <cell r="N2423">
            <v>0</v>
          </cell>
          <cell r="O2423">
            <v>0</v>
          </cell>
          <cell r="P2423">
            <v>0</v>
          </cell>
          <cell r="Q2423">
            <v>0</v>
          </cell>
          <cell r="R2423">
            <v>0</v>
          </cell>
          <cell r="S2423">
            <v>0</v>
          </cell>
          <cell r="T2423">
            <v>0</v>
          </cell>
          <cell r="U2423" t="e">
            <v>#N/A</v>
          </cell>
        </row>
        <row r="2424">
          <cell r="A2424">
            <v>1002418</v>
          </cell>
          <cell r="B2424" t="str">
            <v>Resistor Compensación 440 Ohm 160W 5A</v>
          </cell>
          <cell r="D2424">
            <v>6302</v>
          </cell>
          <cell r="E2424">
            <v>1000</v>
          </cell>
          <cell r="F2424" t="str">
            <v>ZALM</v>
          </cell>
          <cell r="G2424" t="str">
            <v>UN</v>
          </cell>
          <cell r="H2424" t="str">
            <v>DOP</v>
          </cell>
          <cell r="I2424">
            <v>0</v>
          </cell>
          <cell r="J2424">
            <v>0</v>
          </cell>
          <cell r="K2424">
            <v>0</v>
          </cell>
          <cell r="L2424">
            <v>0</v>
          </cell>
          <cell r="M2424">
            <v>0</v>
          </cell>
          <cell r="N2424">
            <v>0</v>
          </cell>
          <cell r="O2424">
            <v>0</v>
          </cell>
          <cell r="P2424">
            <v>0</v>
          </cell>
          <cell r="Q2424">
            <v>0</v>
          </cell>
          <cell r="R2424">
            <v>0</v>
          </cell>
          <cell r="S2424">
            <v>0</v>
          </cell>
          <cell r="T2424">
            <v>0</v>
          </cell>
          <cell r="U2424" t="e">
            <v>#N/A</v>
          </cell>
        </row>
        <row r="2425">
          <cell r="A2425">
            <v>1002419</v>
          </cell>
          <cell r="B2425" t="str">
            <v>Resistor Compensación 5 Ohm 12.5W 5A</v>
          </cell>
          <cell r="D2425">
            <v>6302</v>
          </cell>
          <cell r="E2425">
            <v>1000</v>
          </cell>
          <cell r="F2425" t="str">
            <v>ZALM</v>
          </cell>
          <cell r="G2425" t="str">
            <v>UN</v>
          </cell>
          <cell r="H2425" t="str">
            <v>DOP</v>
          </cell>
          <cell r="I2425">
            <v>25</v>
          </cell>
          <cell r="J2425">
            <v>44162</v>
          </cell>
          <cell r="K2425">
            <v>0</v>
          </cell>
          <cell r="L2425">
            <v>0</v>
          </cell>
          <cell r="M2425">
            <v>0</v>
          </cell>
          <cell r="N2425">
            <v>0</v>
          </cell>
          <cell r="O2425">
            <v>0</v>
          </cell>
          <cell r="P2425">
            <v>0</v>
          </cell>
          <cell r="Q2425">
            <v>0</v>
          </cell>
          <cell r="R2425">
            <v>0</v>
          </cell>
          <cell r="S2425">
            <v>25</v>
          </cell>
          <cell r="T2425">
            <v>44162</v>
          </cell>
          <cell r="U2425">
            <v>1766.48</v>
          </cell>
        </row>
        <row r="2426">
          <cell r="A2426">
            <v>1002420</v>
          </cell>
          <cell r="B2426" t="str">
            <v>Resistor Compensación 880 Ohm 50W 5A</v>
          </cell>
          <cell r="D2426">
            <v>6302</v>
          </cell>
          <cell r="E2426">
            <v>1000</v>
          </cell>
          <cell r="F2426" t="str">
            <v>ZALM</v>
          </cell>
          <cell r="G2426" t="str">
            <v>UN</v>
          </cell>
          <cell r="H2426" t="str">
            <v>DOP</v>
          </cell>
          <cell r="I2426">
            <v>0</v>
          </cell>
          <cell r="J2426">
            <v>0</v>
          </cell>
          <cell r="K2426">
            <v>0</v>
          </cell>
          <cell r="L2426">
            <v>0</v>
          </cell>
          <cell r="M2426">
            <v>0</v>
          </cell>
          <cell r="N2426">
            <v>0</v>
          </cell>
          <cell r="O2426">
            <v>0</v>
          </cell>
          <cell r="P2426">
            <v>0</v>
          </cell>
          <cell r="Q2426">
            <v>0</v>
          </cell>
          <cell r="R2426">
            <v>0</v>
          </cell>
          <cell r="S2426">
            <v>0</v>
          </cell>
          <cell r="T2426">
            <v>0</v>
          </cell>
          <cell r="U2426" t="e">
            <v>#N/A</v>
          </cell>
        </row>
        <row r="2427">
          <cell r="A2427">
            <v>1002421</v>
          </cell>
          <cell r="B2427" t="str">
            <v>Silicagel P/ Conserv Transf de Potencia</v>
          </cell>
          <cell r="D2427">
            <v>6302</v>
          </cell>
          <cell r="E2427">
            <v>1000</v>
          </cell>
          <cell r="F2427" t="str">
            <v>ZALM</v>
          </cell>
          <cell r="G2427" t="str">
            <v>UN</v>
          </cell>
          <cell r="H2427" t="str">
            <v>DOP</v>
          </cell>
          <cell r="I2427">
            <v>0</v>
          </cell>
          <cell r="J2427">
            <v>0</v>
          </cell>
          <cell r="K2427">
            <v>0</v>
          </cell>
          <cell r="L2427">
            <v>0</v>
          </cell>
          <cell r="M2427">
            <v>0</v>
          </cell>
          <cell r="N2427">
            <v>0</v>
          </cell>
          <cell r="O2427">
            <v>0</v>
          </cell>
          <cell r="P2427">
            <v>0</v>
          </cell>
          <cell r="Q2427">
            <v>0</v>
          </cell>
          <cell r="R2427">
            <v>0</v>
          </cell>
          <cell r="S2427">
            <v>0</v>
          </cell>
          <cell r="T2427">
            <v>0</v>
          </cell>
          <cell r="U2427" t="e">
            <v>#N/A</v>
          </cell>
        </row>
        <row r="2428">
          <cell r="A2428">
            <v>1002422</v>
          </cell>
          <cell r="B2428" t="str">
            <v>Tanque Aceite Dielect 55 Gl C/ Inhibidor</v>
          </cell>
          <cell r="D2428">
            <v>6302</v>
          </cell>
          <cell r="E2428">
            <v>1000</v>
          </cell>
          <cell r="F2428" t="str">
            <v>ZALM</v>
          </cell>
          <cell r="G2428" t="str">
            <v>UN</v>
          </cell>
          <cell r="H2428" t="str">
            <v>DOP</v>
          </cell>
          <cell r="I2428">
            <v>0</v>
          </cell>
          <cell r="J2428">
            <v>0</v>
          </cell>
          <cell r="K2428">
            <v>0</v>
          </cell>
          <cell r="L2428">
            <v>0</v>
          </cell>
          <cell r="M2428">
            <v>3</v>
          </cell>
          <cell r="N2428">
            <v>65424</v>
          </cell>
          <cell r="O2428">
            <v>0</v>
          </cell>
          <cell r="P2428">
            <v>0</v>
          </cell>
          <cell r="Q2428">
            <v>0</v>
          </cell>
          <cell r="R2428">
            <v>0</v>
          </cell>
          <cell r="S2428">
            <v>3</v>
          </cell>
          <cell r="T2428">
            <v>65424</v>
          </cell>
          <cell r="U2428">
            <v>21808</v>
          </cell>
        </row>
        <row r="2429">
          <cell r="A2429">
            <v>1002423</v>
          </cell>
          <cell r="B2429" t="str">
            <v>Transf Corriente (CT) 15kV 5-5A</v>
          </cell>
          <cell r="D2429">
            <v>6302</v>
          </cell>
          <cell r="E2429">
            <v>1000</v>
          </cell>
          <cell r="F2429" t="str">
            <v>ZALM</v>
          </cell>
          <cell r="G2429" t="str">
            <v>UN</v>
          </cell>
          <cell r="H2429" t="str">
            <v>DOP</v>
          </cell>
          <cell r="I2429">
            <v>29</v>
          </cell>
          <cell r="J2429">
            <v>496639.01</v>
          </cell>
          <cell r="K2429">
            <v>0</v>
          </cell>
          <cell r="L2429">
            <v>0</v>
          </cell>
          <cell r="M2429">
            <v>0</v>
          </cell>
          <cell r="N2429">
            <v>0</v>
          </cell>
          <cell r="O2429">
            <v>0</v>
          </cell>
          <cell r="P2429">
            <v>0</v>
          </cell>
          <cell r="Q2429">
            <v>0</v>
          </cell>
          <cell r="R2429">
            <v>0</v>
          </cell>
          <cell r="S2429">
            <v>29</v>
          </cell>
          <cell r="T2429">
            <v>496639.01</v>
          </cell>
          <cell r="U2429">
            <v>17125.4831034483</v>
          </cell>
        </row>
        <row r="2430">
          <cell r="A2430">
            <v>1002424</v>
          </cell>
          <cell r="B2430" t="str">
            <v>Transf Corriente (CT) 15kV-10.5A</v>
          </cell>
          <cell r="D2430">
            <v>6302</v>
          </cell>
          <cell r="E2430">
            <v>1000</v>
          </cell>
          <cell r="F2430" t="str">
            <v>ZALM</v>
          </cell>
          <cell r="G2430" t="str">
            <v>UN</v>
          </cell>
          <cell r="H2430" t="str">
            <v>DOP</v>
          </cell>
          <cell r="I2430">
            <v>0</v>
          </cell>
          <cell r="J2430">
            <v>0</v>
          </cell>
          <cell r="K2430">
            <v>0</v>
          </cell>
          <cell r="L2430">
            <v>0</v>
          </cell>
          <cell r="M2430">
            <v>0</v>
          </cell>
          <cell r="N2430">
            <v>0</v>
          </cell>
          <cell r="O2430">
            <v>0</v>
          </cell>
          <cell r="P2430">
            <v>0</v>
          </cell>
          <cell r="Q2430">
            <v>0</v>
          </cell>
          <cell r="R2430">
            <v>0</v>
          </cell>
          <cell r="S2430">
            <v>0</v>
          </cell>
          <cell r="T2430">
            <v>0</v>
          </cell>
          <cell r="U2430" t="e">
            <v>#N/A</v>
          </cell>
        </row>
        <row r="2431">
          <cell r="A2431">
            <v>1002425</v>
          </cell>
          <cell r="B2431" t="str">
            <v>Transf Corriente (CT) 15kV-15.5A</v>
          </cell>
          <cell r="D2431">
            <v>6302</v>
          </cell>
          <cell r="E2431">
            <v>1000</v>
          </cell>
          <cell r="F2431" t="str">
            <v>ZALM</v>
          </cell>
          <cell r="G2431" t="str">
            <v>UN</v>
          </cell>
          <cell r="H2431" t="str">
            <v>DOP</v>
          </cell>
          <cell r="I2431">
            <v>0</v>
          </cell>
          <cell r="J2431">
            <v>0</v>
          </cell>
          <cell r="K2431">
            <v>0</v>
          </cell>
          <cell r="L2431">
            <v>0</v>
          </cell>
          <cell r="M2431">
            <v>0</v>
          </cell>
          <cell r="N2431">
            <v>0</v>
          </cell>
          <cell r="O2431">
            <v>0</v>
          </cell>
          <cell r="P2431">
            <v>0</v>
          </cell>
          <cell r="Q2431">
            <v>0</v>
          </cell>
          <cell r="R2431">
            <v>0</v>
          </cell>
          <cell r="S2431">
            <v>0</v>
          </cell>
          <cell r="T2431">
            <v>0</v>
          </cell>
          <cell r="U2431" t="e">
            <v>#N/A</v>
          </cell>
        </row>
        <row r="2432">
          <cell r="A2432">
            <v>1002426</v>
          </cell>
          <cell r="B2432" t="str">
            <v>Transf Corriente (CT) 15kV-20.5A</v>
          </cell>
          <cell r="D2432">
            <v>6302</v>
          </cell>
          <cell r="E2432">
            <v>1000</v>
          </cell>
          <cell r="F2432" t="str">
            <v>ZALM</v>
          </cell>
          <cell r="G2432" t="str">
            <v>UN</v>
          </cell>
          <cell r="H2432" t="str">
            <v>DOP</v>
          </cell>
          <cell r="I2432">
            <v>0</v>
          </cell>
          <cell r="J2432">
            <v>0</v>
          </cell>
          <cell r="K2432">
            <v>0</v>
          </cell>
          <cell r="L2432">
            <v>0</v>
          </cell>
          <cell r="M2432">
            <v>0</v>
          </cell>
          <cell r="N2432">
            <v>0</v>
          </cell>
          <cell r="O2432">
            <v>0</v>
          </cell>
          <cell r="P2432">
            <v>0</v>
          </cell>
          <cell r="Q2432">
            <v>0</v>
          </cell>
          <cell r="R2432">
            <v>0</v>
          </cell>
          <cell r="S2432">
            <v>0</v>
          </cell>
          <cell r="T2432">
            <v>0</v>
          </cell>
          <cell r="U2432" t="e">
            <v>#N/A</v>
          </cell>
        </row>
        <row r="2433">
          <cell r="A2433">
            <v>1002427</v>
          </cell>
          <cell r="B2433" t="str">
            <v>Transf Corriente (CT) 15kV-25.5A</v>
          </cell>
          <cell r="D2433">
            <v>6302</v>
          </cell>
          <cell r="E2433">
            <v>1000</v>
          </cell>
          <cell r="F2433" t="str">
            <v>ZALM</v>
          </cell>
          <cell r="G2433" t="str">
            <v>UN</v>
          </cell>
          <cell r="H2433" t="str">
            <v>DOP</v>
          </cell>
          <cell r="I2433">
            <v>0</v>
          </cell>
          <cell r="J2433">
            <v>0</v>
          </cell>
          <cell r="K2433">
            <v>0</v>
          </cell>
          <cell r="L2433">
            <v>0</v>
          </cell>
          <cell r="M2433">
            <v>0</v>
          </cell>
          <cell r="N2433">
            <v>0</v>
          </cell>
          <cell r="O2433">
            <v>0</v>
          </cell>
          <cell r="P2433">
            <v>0</v>
          </cell>
          <cell r="Q2433">
            <v>0</v>
          </cell>
          <cell r="R2433">
            <v>0</v>
          </cell>
          <cell r="S2433">
            <v>0</v>
          </cell>
          <cell r="T2433">
            <v>0</v>
          </cell>
          <cell r="U2433" t="e">
            <v>#N/A</v>
          </cell>
        </row>
        <row r="2434">
          <cell r="A2434">
            <v>1002428</v>
          </cell>
          <cell r="B2434" t="str">
            <v>Transf Corriente (CT) 15kV-30/5A</v>
          </cell>
          <cell r="D2434">
            <v>6302</v>
          </cell>
          <cell r="E2434">
            <v>1000</v>
          </cell>
          <cell r="F2434" t="str">
            <v>ZALM</v>
          </cell>
          <cell r="G2434" t="str">
            <v>UN</v>
          </cell>
          <cell r="H2434" t="str">
            <v>DOP</v>
          </cell>
          <cell r="I2434">
            <v>10</v>
          </cell>
          <cell r="J2434">
            <v>119500</v>
          </cell>
          <cell r="K2434">
            <v>0</v>
          </cell>
          <cell r="L2434">
            <v>0</v>
          </cell>
          <cell r="M2434">
            <v>0</v>
          </cell>
          <cell r="N2434">
            <v>0</v>
          </cell>
          <cell r="O2434">
            <v>0</v>
          </cell>
          <cell r="P2434">
            <v>0</v>
          </cell>
          <cell r="Q2434">
            <v>0</v>
          </cell>
          <cell r="R2434">
            <v>0</v>
          </cell>
          <cell r="S2434">
            <v>10</v>
          </cell>
          <cell r="T2434">
            <v>119500</v>
          </cell>
          <cell r="U2434">
            <v>11950</v>
          </cell>
        </row>
        <row r="2435">
          <cell r="A2435">
            <v>1002429</v>
          </cell>
          <cell r="B2435" t="str">
            <v>Transf Corriente (CT) 15kV-35.5A</v>
          </cell>
          <cell r="D2435">
            <v>6302</v>
          </cell>
          <cell r="E2435">
            <v>1000</v>
          </cell>
          <cell r="F2435" t="str">
            <v>ZALM</v>
          </cell>
          <cell r="G2435" t="str">
            <v>UN</v>
          </cell>
          <cell r="H2435" t="str">
            <v>DOP</v>
          </cell>
          <cell r="I2435">
            <v>0</v>
          </cell>
          <cell r="J2435">
            <v>0</v>
          </cell>
          <cell r="K2435">
            <v>0</v>
          </cell>
          <cell r="L2435">
            <v>0</v>
          </cell>
          <cell r="M2435">
            <v>0</v>
          </cell>
          <cell r="N2435">
            <v>0</v>
          </cell>
          <cell r="O2435">
            <v>0</v>
          </cell>
          <cell r="P2435">
            <v>0</v>
          </cell>
          <cell r="Q2435">
            <v>0</v>
          </cell>
          <cell r="R2435">
            <v>0</v>
          </cell>
          <cell r="S2435">
            <v>0</v>
          </cell>
          <cell r="T2435">
            <v>0</v>
          </cell>
          <cell r="U2435" t="e">
            <v>#N/A</v>
          </cell>
        </row>
        <row r="2436">
          <cell r="A2436">
            <v>1002430</v>
          </cell>
          <cell r="B2436" t="str">
            <v>Transf Corriente (CT) 15kV-40.5A</v>
          </cell>
          <cell r="D2436">
            <v>6302</v>
          </cell>
          <cell r="E2436">
            <v>1000</v>
          </cell>
          <cell r="F2436" t="str">
            <v>ZALM</v>
          </cell>
          <cell r="G2436" t="str">
            <v>UN</v>
          </cell>
          <cell r="H2436" t="str">
            <v>DOP</v>
          </cell>
          <cell r="I2436">
            <v>0</v>
          </cell>
          <cell r="J2436">
            <v>0</v>
          </cell>
          <cell r="K2436">
            <v>0</v>
          </cell>
          <cell r="L2436">
            <v>0</v>
          </cell>
          <cell r="M2436">
            <v>0</v>
          </cell>
          <cell r="N2436">
            <v>0</v>
          </cell>
          <cell r="O2436">
            <v>0</v>
          </cell>
          <cell r="P2436">
            <v>0</v>
          </cell>
          <cell r="Q2436">
            <v>0</v>
          </cell>
          <cell r="R2436">
            <v>0</v>
          </cell>
          <cell r="S2436">
            <v>0</v>
          </cell>
          <cell r="T2436">
            <v>0</v>
          </cell>
          <cell r="U2436" t="e">
            <v>#N/A</v>
          </cell>
        </row>
        <row r="2437">
          <cell r="A2437">
            <v>1002431</v>
          </cell>
          <cell r="B2437" t="str">
            <v>Transf Corriente (CT) 15kV-45.5A</v>
          </cell>
          <cell r="D2437">
            <v>6302</v>
          </cell>
          <cell r="E2437">
            <v>1000</v>
          </cell>
          <cell r="F2437" t="str">
            <v>ZALM</v>
          </cell>
          <cell r="G2437" t="str">
            <v>UN</v>
          </cell>
          <cell r="H2437" t="str">
            <v>DOP</v>
          </cell>
          <cell r="I2437">
            <v>13</v>
          </cell>
          <cell r="J2437">
            <v>297862.37</v>
          </cell>
          <cell r="K2437">
            <v>0</v>
          </cell>
          <cell r="L2437">
            <v>0</v>
          </cell>
          <cell r="M2437">
            <v>0</v>
          </cell>
          <cell r="N2437">
            <v>0</v>
          </cell>
          <cell r="O2437">
            <v>0</v>
          </cell>
          <cell r="P2437">
            <v>0</v>
          </cell>
          <cell r="Q2437">
            <v>0</v>
          </cell>
          <cell r="R2437">
            <v>0</v>
          </cell>
          <cell r="S2437">
            <v>13</v>
          </cell>
          <cell r="T2437">
            <v>297862.37</v>
          </cell>
          <cell r="U2437">
            <v>22912.49</v>
          </cell>
        </row>
        <row r="2438">
          <cell r="A2438">
            <v>1002432</v>
          </cell>
          <cell r="B2438" t="str">
            <v>Transf Corriente 1000/5A 600V</v>
          </cell>
          <cell r="D2438">
            <v>6302</v>
          </cell>
          <cell r="E2438">
            <v>1000</v>
          </cell>
          <cell r="F2438" t="str">
            <v>ZALM</v>
          </cell>
          <cell r="G2438" t="str">
            <v>UN</v>
          </cell>
          <cell r="H2438" t="str">
            <v>DOP</v>
          </cell>
          <cell r="I2438">
            <v>73</v>
          </cell>
          <cell r="J2438">
            <v>203485.69</v>
          </cell>
          <cell r="K2438">
            <v>0</v>
          </cell>
          <cell r="L2438">
            <v>0</v>
          </cell>
          <cell r="M2438">
            <v>0</v>
          </cell>
          <cell r="N2438">
            <v>0</v>
          </cell>
          <cell r="O2438">
            <v>0</v>
          </cell>
          <cell r="P2438">
            <v>0</v>
          </cell>
          <cell r="Q2438">
            <v>0</v>
          </cell>
          <cell r="R2438">
            <v>0</v>
          </cell>
          <cell r="S2438">
            <v>73</v>
          </cell>
          <cell r="T2438">
            <v>203485.69</v>
          </cell>
          <cell r="U2438">
            <v>2787.4752054794499</v>
          </cell>
        </row>
        <row r="2439">
          <cell r="A2439">
            <v>1002433</v>
          </cell>
          <cell r="B2439" t="str">
            <v>Transf Corriente 100-200/5A 12.5kV</v>
          </cell>
          <cell r="D2439">
            <v>6302</v>
          </cell>
          <cell r="E2439">
            <v>1000</v>
          </cell>
          <cell r="F2439" t="str">
            <v>ZALM</v>
          </cell>
          <cell r="G2439" t="str">
            <v>UN</v>
          </cell>
          <cell r="H2439" t="str">
            <v>DOP</v>
          </cell>
          <cell r="I2439">
            <v>0</v>
          </cell>
          <cell r="J2439">
            <v>0</v>
          </cell>
          <cell r="K2439">
            <v>0</v>
          </cell>
          <cell r="L2439">
            <v>0</v>
          </cell>
          <cell r="M2439">
            <v>0</v>
          </cell>
          <cell r="N2439">
            <v>0</v>
          </cell>
          <cell r="O2439">
            <v>0</v>
          </cell>
          <cell r="P2439">
            <v>0</v>
          </cell>
          <cell r="Q2439">
            <v>0</v>
          </cell>
          <cell r="R2439">
            <v>0</v>
          </cell>
          <cell r="S2439">
            <v>0</v>
          </cell>
          <cell r="T2439">
            <v>0</v>
          </cell>
          <cell r="U2439" t="e">
            <v>#N/A</v>
          </cell>
        </row>
        <row r="2440">
          <cell r="A2440">
            <v>1002434</v>
          </cell>
          <cell r="B2440" t="str">
            <v>Transf Corriente 100-200/5A 17.5/38/110V</v>
          </cell>
          <cell r="D2440">
            <v>6302</v>
          </cell>
          <cell r="E2440">
            <v>1000</v>
          </cell>
          <cell r="F2440" t="str">
            <v>ZALM</v>
          </cell>
          <cell r="G2440" t="str">
            <v>UN</v>
          </cell>
          <cell r="H2440" t="str">
            <v>DOP</v>
          </cell>
          <cell r="I2440">
            <v>30</v>
          </cell>
          <cell r="J2440">
            <v>550278.57999999996</v>
          </cell>
          <cell r="K2440">
            <v>0</v>
          </cell>
          <cell r="L2440">
            <v>0</v>
          </cell>
          <cell r="M2440">
            <v>0</v>
          </cell>
          <cell r="N2440">
            <v>0</v>
          </cell>
          <cell r="O2440">
            <v>0</v>
          </cell>
          <cell r="P2440">
            <v>0</v>
          </cell>
          <cell r="Q2440">
            <v>75</v>
          </cell>
          <cell r="R2440">
            <v>1375696.45</v>
          </cell>
          <cell r="S2440">
            <v>105</v>
          </cell>
          <cell r="T2440">
            <v>1925975.03</v>
          </cell>
          <cell r="U2440">
            <v>18342.619333333299</v>
          </cell>
        </row>
        <row r="2441">
          <cell r="A2441">
            <v>1002435</v>
          </cell>
          <cell r="B2441" t="str">
            <v>Transf Corriente 100-200A 145-275-650kV</v>
          </cell>
          <cell r="D2441">
            <v>6302</v>
          </cell>
          <cell r="E2441">
            <v>1000</v>
          </cell>
          <cell r="F2441" t="str">
            <v>ZALM</v>
          </cell>
          <cell r="G2441" t="str">
            <v>UN</v>
          </cell>
          <cell r="H2441" t="str">
            <v>DOP</v>
          </cell>
          <cell r="I2441">
            <v>3</v>
          </cell>
          <cell r="J2441">
            <v>2874</v>
          </cell>
          <cell r="K2441">
            <v>0</v>
          </cell>
          <cell r="L2441">
            <v>0</v>
          </cell>
          <cell r="M2441">
            <v>0</v>
          </cell>
          <cell r="N2441">
            <v>0</v>
          </cell>
          <cell r="O2441">
            <v>0</v>
          </cell>
          <cell r="P2441">
            <v>0</v>
          </cell>
          <cell r="Q2441">
            <v>0</v>
          </cell>
          <cell r="R2441">
            <v>0</v>
          </cell>
          <cell r="S2441">
            <v>3</v>
          </cell>
          <cell r="T2441">
            <v>2874</v>
          </cell>
          <cell r="U2441">
            <v>958</v>
          </cell>
        </row>
        <row r="2442">
          <cell r="A2442">
            <v>1002436</v>
          </cell>
          <cell r="B2442" t="str">
            <v>Transf Corriente 10-20/5A 12.5kV</v>
          </cell>
          <cell r="D2442">
            <v>6302</v>
          </cell>
          <cell r="E2442">
            <v>1000</v>
          </cell>
          <cell r="F2442" t="str">
            <v>ZALM</v>
          </cell>
          <cell r="G2442" t="str">
            <v>UN</v>
          </cell>
          <cell r="H2442" t="str">
            <v>DOP</v>
          </cell>
          <cell r="I2442">
            <v>0</v>
          </cell>
          <cell r="J2442">
            <v>0</v>
          </cell>
          <cell r="K2442">
            <v>0</v>
          </cell>
          <cell r="L2442">
            <v>0</v>
          </cell>
          <cell r="M2442">
            <v>0</v>
          </cell>
          <cell r="N2442">
            <v>0</v>
          </cell>
          <cell r="O2442">
            <v>0</v>
          </cell>
          <cell r="P2442">
            <v>0</v>
          </cell>
          <cell r="Q2442">
            <v>0</v>
          </cell>
          <cell r="R2442">
            <v>0</v>
          </cell>
          <cell r="S2442">
            <v>0</v>
          </cell>
          <cell r="T2442">
            <v>0</v>
          </cell>
          <cell r="U2442" t="e">
            <v>#N/A</v>
          </cell>
        </row>
        <row r="2443">
          <cell r="A2443">
            <v>1002437</v>
          </cell>
          <cell r="B2443" t="str">
            <v>Transf Corriente 1200/5-5A 12.5kV</v>
          </cell>
          <cell r="D2443">
            <v>6302</v>
          </cell>
          <cell r="E2443">
            <v>1000</v>
          </cell>
          <cell r="F2443" t="str">
            <v>ZALM</v>
          </cell>
          <cell r="G2443" t="str">
            <v>UN</v>
          </cell>
          <cell r="H2443" t="str">
            <v>DOP</v>
          </cell>
          <cell r="I2443">
            <v>3</v>
          </cell>
          <cell r="J2443">
            <v>166442.37</v>
          </cell>
          <cell r="K2443">
            <v>0</v>
          </cell>
          <cell r="L2443">
            <v>0</v>
          </cell>
          <cell r="M2443">
            <v>0</v>
          </cell>
          <cell r="N2443">
            <v>0</v>
          </cell>
          <cell r="O2443">
            <v>0</v>
          </cell>
          <cell r="P2443">
            <v>0</v>
          </cell>
          <cell r="Q2443">
            <v>0</v>
          </cell>
          <cell r="R2443">
            <v>0</v>
          </cell>
          <cell r="S2443">
            <v>3</v>
          </cell>
          <cell r="T2443">
            <v>166442.37</v>
          </cell>
          <cell r="U2443">
            <v>55480.79</v>
          </cell>
        </row>
        <row r="2444">
          <cell r="A2444">
            <v>1002438</v>
          </cell>
          <cell r="B2444" t="str">
            <v>Transf Corriente 1200/5-5A 34.5kV</v>
          </cell>
          <cell r="D2444">
            <v>6302</v>
          </cell>
          <cell r="E2444">
            <v>1000</v>
          </cell>
          <cell r="F2444" t="str">
            <v>ZALM</v>
          </cell>
          <cell r="G2444" t="str">
            <v>UN</v>
          </cell>
          <cell r="H2444" t="str">
            <v>DOP</v>
          </cell>
          <cell r="I2444">
            <v>0</v>
          </cell>
          <cell r="J2444">
            <v>0</v>
          </cell>
          <cell r="K2444">
            <v>0</v>
          </cell>
          <cell r="L2444">
            <v>0</v>
          </cell>
          <cell r="M2444">
            <v>4</v>
          </cell>
          <cell r="N2444">
            <v>261571.16</v>
          </cell>
          <cell r="O2444">
            <v>0</v>
          </cell>
          <cell r="P2444">
            <v>0</v>
          </cell>
          <cell r="Q2444">
            <v>0</v>
          </cell>
          <cell r="R2444">
            <v>0</v>
          </cell>
          <cell r="S2444">
            <v>4</v>
          </cell>
          <cell r="T2444">
            <v>261571.16</v>
          </cell>
          <cell r="U2444">
            <v>65392.79</v>
          </cell>
        </row>
        <row r="2445">
          <cell r="A2445">
            <v>1002439</v>
          </cell>
          <cell r="B2445" t="str">
            <v>Transf Corriente 1200/5A 600V</v>
          </cell>
          <cell r="D2445">
            <v>6302</v>
          </cell>
          <cell r="E2445">
            <v>1000</v>
          </cell>
          <cell r="F2445" t="str">
            <v>ZALM</v>
          </cell>
          <cell r="G2445" t="str">
            <v>UN</v>
          </cell>
          <cell r="H2445" t="str">
            <v>DOP</v>
          </cell>
          <cell r="I2445">
            <v>86</v>
          </cell>
          <cell r="J2445">
            <v>246812.66</v>
          </cell>
          <cell r="K2445">
            <v>0</v>
          </cell>
          <cell r="L2445">
            <v>0</v>
          </cell>
          <cell r="M2445">
            <v>0</v>
          </cell>
          <cell r="N2445">
            <v>0</v>
          </cell>
          <cell r="O2445">
            <v>0</v>
          </cell>
          <cell r="P2445">
            <v>0</v>
          </cell>
          <cell r="Q2445">
            <v>0</v>
          </cell>
          <cell r="R2445">
            <v>0</v>
          </cell>
          <cell r="S2445">
            <v>86</v>
          </cell>
          <cell r="T2445">
            <v>246812.66</v>
          </cell>
          <cell r="U2445">
            <v>2869.9146511627901</v>
          </cell>
        </row>
        <row r="2446">
          <cell r="A2446">
            <v>1002440</v>
          </cell>
          <cell r="B2446" t="str">
            <v>Transf Corriente 150-300/5A 12.5kV</v>
          </cell>
          <cell r="D2446">
            <v>6302</v>
          </cell>
          <cell r="E2446">
            <v>1000</v>
          </cell>
          <cell r="F2446" t="str">
            <v>ZALM</v>
          </cell>
          <cell r="G2446" t="str">
            <v>UN</v>
          </cell>
          <cell r="H2446" t="str">
            <v>DOP</v>
          </cell>
          <cell r="I2446">
            <v>0</v>
          </cell>
          <cell r="J2446">
            <v>0</v>
          </cell>
          <cell r="K2446">
            <v>0</v>
          </cell>
          <cell r="L2446">
            <v>0</v>
          </cell>
          <cell r="M2446">
            <v>0</v>
          </cell>
          <cell r="N2446">
            <v>0</v>
          </cell>
          <cell r="O2446">
            <v>0</v>
          </cell>
          <cell r="P2446">
            <v>0</v>
          </cell>
          <cell r="Q2446">
            <v>0</v>
          </cell>
          <cell r="R2446">
            <v>0</v>
          </cell>
          <cell r="S2446">
            <v>0</v>
          </cell>
          <cell r="T2446">
            <v>0</v>
          </cell>
          <cell r="U2446" t="e">
            <v>#N/A</v>
          </cell>
        </row>
        <row r="2447">
          <cell r="A2447">
            <v>1002441</v>
          </cell>
          <cell r="B2447" t="str">
            <v>Transf Corriente 15-30/5A 15kV</v>
          </cell>
          <cell r="D2447">
            <v>6302</v>
          </cell>
          <cell r="E2447">
            <v>1000</v>
          </cell>
          <cell r="F2447" t="str">
            <v>ZALM</v>
          </cell>
          <cell r="G2447" t="str">
            <v>UN</v>
          </cell>
          <cell r="H2447" t="str">
            <v>DOP</v>
          </cell>
          <cell r="I2447">
            <v>0</v>
          </cell>
          <cell r="J2447">
            <v>0</v>
          </cell>
          <cell r="K2447">
            <v>0</v>
          </cell>
          <cell r="L2447">
            <v>0</v>
          </cell>
          <cell r="M2447">
            <v>0</v>
          </cell>
          <cell r="N2447">
            <v>0</v>
          </cell>
          <cell r="O2447">
            <v>0</v>
          </cell>
          <cell r="P2447">
            <v>0</v>
          </cell>
          <cell r="Q2447">
            <v>0</v>
          </cell>
          <cell r="R2447">
            <v>0</v>
          </cell>
          <cell r="S2447">
            <v>0</v>
          </cell>
          <cell r="T2447">
            <v>0</v>
          </cell>
          <cell r="U2447" t="e">
            <v>#N/A</v>
          </cell>
        </row>
        <row r="2448">
          <cell r="A2448">
            <v>1002442</v>
          </cell>
          <cell r="B2448" t="str">
            <v>Transf Corriente 2000/5A 600V</v>
          </cell>
          <cell r="D2448">
            <v>6302</v>
          </cell>
          <cell r="E2448">
            <v>1000</v>
          </cell>
          <cell r="F2448" t="str">
            <v>ZALM</v>
          </cell>
          <cell r="G2448" t="str">
            <v>UN</v>
          </cell>
          <cell r="H2448" t="str">
            <v>DOP</v>
          </cell>
          <cell r="I2448">
            <v>21</v>
          </cell>
          <cell r="J2448">
            <v>55594.18</v>
          </cell>
          <cell r="K2448">
            <v>0</v>
          </cell>
          <cell r="L2448">
            <v>0</v>
          </cell>
          <cell r="M2448">
            <v>0</v>
          </cell>
          <cell r="N2448">
            <v>0</v>
          </cell>
          <cell r="O2448">
            <v>0</v>
          </cell>
          <cell r="P2448">
            <v>0</v>
          </cell>
          <cell r="Q2448">
            <v>0</v>
          </cell>
          <cell r="R2448">
            <v>0</v>
          </cell>
          <cell r="S2448">
            <v>21</v>
          </cell>
          <cell r="T2448">
            <v>55594.18</v>
          </cell>
          <cell r="U2448">
            <v>2647.3419047619</v>
          </cell>
        </row>
        <row r="2449">
          <cell r="A2449">
            <v>1002443</v>
          </cell>
          <cell r="B2449" t="str">
            <v>Transf Corriente 200-400/5A 12.5kV</v>
          </cell>
          <cell r="D2449">
            <v>6302</v>
          </cell>
          <cell r="E2449">
            <v>1000</v>
          </cell>
          <cell r="F2449" t="str">
            <v>ZALM</v>
          </cell>
          <cell r="G2449" t="str">
            <v>UN</v>
          </cell>
          <cell r="H2449" t="str">
            <v>DOP</v>
          </cell>
          <cell r="I2449">
            <v>1</v>
          </cell>
          <cell r="J2449">
            <v>21544.07</v>
          </cell>
          <cell r="K2449">
            <v>0</v>
          </cell>
          <cell r="L2449">
            <v>0</v>
          </cell>
          <cell r="M2449">
            <v>0</v>
          </cell>
          <cell r="N2449">
            <v>0</v>
          </cell>
          <cell r="O2449">
            <v>0</v>
          </cell>
          <cell r="P2449">
            <v>0</v>
          </cell>
          <cell r="Q2449">
            <v>79</v>
          </cell>
          <cell r="R2449">
            <v>1701981.2</v>
          </cell>
          <cell r="S2449">
            <v>80</v>
          </cell>
          <cell r="T2449">
            <v>1723525.27</v>
          </cell>
          <cell r="U2449">
            <v>21544.065875</v>
          </cell>
        </row>
        <row r="2450">
          <cell r="A2450">
            <v>1002444</v>
          </cell>
          <cell r="B2450" t="str">
            <v>Transf Corriente 20-40/5A 12.5kV</v>
          </cell>
          <cell r="D2450">
            <v>6302</v>
          </cell>
          <cell r="E2450">
            <v>1000</v>
          </cell>
          <cell r="F2450" t="str">
            <v>ZALM</v>
          </cell>
          <cell r="G2450" t="str">
            <v>UN</v>
          </cell>
          <cell r="H2450" t="str">
            <v>DOP</v>
          </cell>
          <cell r="I2450">
            <v>39</v>
          </cell>
          <cell r="J2450">
            <v>686521.02</v>
          </cell>
          <cell r="K2450">
            <v>0</v>
          </cell>
          <cell r="L2450">
            <v>0</v>
          </cell>
          <cell r="M2450">
            <v>0</v>
          </cell>
          <cell r="N2450">
            <v>0</v>
          </cell>
          <cell r="O2450">
            <v>0</v>
          </cell>
          <cell r="P2450">
            <v>0</v>
          </cell>
          <cell r="Q2450">
            <v>1</v>
          </cell>
          <cell r="R2450">
            <v>17603.099999999999</v>
          </cell>
          <cell r="S2450">
            <v>40</v>
          </cell>
          <cell r="T2450">
            <v>704124.12</v>
          </cell>
          <cell r="U2450">
            <v>17603.102999999999</v>
          </cell>
        </row>
        <row r="2451">
          <cell r="A2451">
            <v>1002445</v>
          </cell>
          <cell r="B2451" t="str">
            <v>Transf Corriente 20-40/5A 34.5kV</v>
          </cell>
          <cell r="D2451">
            <v>6302</v>
          </cell>
          <cell r="E2451">
            <v>1000</v>
          </cell>
          <cell r="F2451" t="str">
            <v>ZALM</v>
          </cell>
          <cell r="G2451" t="str">
            <v>UN</v>
          </cell>
          <cell r="H2451" t="str">
            <v>DOP</v>
          </cell>
          <cell r="I2451">
            <v>38</v>
          </cell>
          <cell r="J2451">
            <v>1385417.02</v>
          </cell>
          <cell r="K2451">
            <v>0</v>
          </cell>
          <cell r="L2451">
            <v>0</v>
          </cell>
          <cell r="M2451">
            <v>0</v>
          </cell>
          <cell r="N2451">
            <v>0</v>
          </cell>
          <cell r="O2451">
            <v>0</v>
          </cell>
          <cell r="P2451">
            <v>0</v>
          </cell>
          <cell r="Q2451">
            <v>0</v>
          </cell>
          <cell r="R2451">
            <v>0</v>
          </cell>
          <cell r="S2451">
            <v>38</v>
          </cell>
          <cell r="T2451">
            <v>1385417.02</v>
          </cell>
          <cell r="U2451">
            <v>36458.342631578897</v>
          </cell>
        </row>
        <row r="2452">
          <cell r="A2452">
            <v>1002446</v>
          </cell>
          <cell r="B2452" t="str">
            <v>Transf Corriente 300/5A 10V 12.47kV</v>
          </cell>
          <cell r="D2452">
            <v>6302</v>
          </cell>
          <cell r="E2452">
            <v>1000</v>
          </cell>
          <cell r="F2452" t="str">
            <v>ZALM</v>
          </cell>
          <cell r="G2452" t="str">
            <v>UN</v>
          </cell>
          <cell r="H2452" t="str">
            <v>DOP</v>
          </cell>
          <cell r="I2452">
            <v>0</v>
          </cell>
          <cell r="J2452">
            <v>0</v>
          </cell>
          <cell r="K2452">
            <v>0</v>
          </cell>
          <cell r="L2452">
            <v>0</v>
          </cell>
          <cell r="M2452">
            <v>0</v>
          </cell>
          <cell r="N2452">
            <v>0</v>
          </cell>
          <cell r="O2452">
            <v>0</v>
          </cell>
          <cell r="P2452">
            <v>0</v>
          </cell>
          <cell r="Q2452">
            <v>0</v>
          </cell>
          <cell r="R2452">
            <v>0</v>
          </cell>
          <cell r="S2452">
            <v>0</v>
          </cell>
          <cell r="T2452">
            <v>0</v>
          </cell>
          <cell r="U2452" t="e">
            <v>#N/A</v>
          </cell>
        </row>
        <row r="2453">
          <cell r="A2453">
            <v>1002447</v>
          </cell>
          <cell r="B2453" t="str">
            <v>Transf Corriente 300/5A 600V</v>
          </cell>
          <cell r="D2453">
            <v>6302</v>
          </cell>
          <cell r="E2453">
            <v>1000</v>
          </cell>
          <cell r="F2453" t="str">
            <v>ZALM</v>
          </cell>
          <cell r="G2453" t="str">
            <v>UN</v>
          </cell>
          <cell r="H2453" t="str">
            <v>DOP</v>
          </cell>
          <cell r="I2453">
            <v>2723</v>
          </cell>
          <cell r="J2453">
            <v>4114601.85</v>
          </cell>
          <cell r="K2453">
            <v>0</v>
          </cell>
          <cell r="L2453">
            <v>0</v>
          </cell>
          <cell r="M2453">
            <v>0</v>
          </cell>
          <cell r="N2453">
            <v>0</v>
          </cell>
          <cell r="O2453">
            <v>0</v>
          </cell>
          <cell r="P2453">
            <v>0</v>
          </cell>
          <cell r="Q2453">
            <v>1171</v>
          </cell>
          <cell r="R2453">
            <v>1769445.01</v>
          </cell>
          <cell r="S2453">
            <v>3894</v>
          </cell>
          <cell r="T2453">
            <v>5884046.8600000003</v>
          </cell>
          <cell r="U2453">
            <v>1511.0546635850001</v>
          </cell>
        </row>
        <row r="2454">
          <cell r="A2454">
            <v>1002448</v>
          </cell>
          <cell r="B2454" t="str">
            <v>Transf Corriente 300-600/5A 12.5kV</v>
          </cell>
          <cell r="D2454">
            <v>6302</v>
          </cell>
          <cell r="E2454">
            <v>1000</v>
          </cell>
          <cell r="F2454" t="str">
            <v>ZALM</v>
          </cell>
          <cell r="G2454" t="str">
            <v>UN</v>
          </cell>
          <cell r="H2454" t="str">
            <v>DOP</v>
          </cell>
          <cell r="I2454">
            <v>0</v>
          </cell>
          <cell r="J2454">
            <v>0</v>
          </cell>
          <cell r="K2454">
            <v>0</v>
          </cell>
          <cell r="L2454">
            <v>0</v>
          </cell>
          <cell r="M2454">
            <v>0</v>
          </cell>
          <cell r="N2454">
            <v>0</v>
          </cell>
          <cell r="O2454">
            <v>0</v>
          </cell>
          <cell r="P2454">
            <v>0</v>
          </cell>
          <cell r="Q2454">
            <v>0</v>
          </cell>
          <cell r="R2454">
            <v>0</v>
          </cell>
          <cell r="S2454">
            <v>0</v>
          </cell>
          <cell r="T2454">
            <v>0</v>
          </cell>
          <cell r="U2454" t="e">
            <v>#N/A</v>
          </cell>
        </row>
        <row r="2455">
          <cell r="A2455">
            <v>1002449</v>
          </cell>
          <cell r="B2455" t="str">
            <v>Transf Corriente 30-60/5A 12.5kV</v>
          </cell>
          <cell r="D2455">
            <v>6302</v>
          </cell>
          <cell r="E2455">
            <v>1000</v>
          </cell>
          <cell r="F2455" t="str">
            <v>ZALM</v>
          </cell>
          <cell r="G2455" t="str">
            <v>UN</v>
          </cell>
          <cell r="H2455" t="str">
            <v>DOP</v>
          </cell>
          <cell r="I2455">
            <v>103</v>
          </cell>
          <cell r="J2455">
            <v>1755345.57</v>
          </cell>
          <cell r="K2455">
            <v>0</v>
          </cell>
          <cell r="L2455">
            <v>0</v>
          </cell>
          <cell r="M2455">
            <v>0</v>
          </cell>
          <cell r="N2455">
            <v>0</v>
          </cell>
          <cell r="O2455">
            <v>0</v>
          </cell>
          <cell r="P2455">
            <v>0</v>
          </cell>
          <cell r="Q2455">
            <v>0</v>
          </cell>
          <cell r="R2455">
            <v>0</v>
          </cell>
          <cell r="S2455">
            <v>103</v>
          </cell>
          <cell r="T2455">
            <v>1755345.57</v>
          </cell>
          <cell r="U2455">
            <v>17042.189999999999</v>
          </cell>
        </row>
        <row r="2456">
          <cell r="A2456">
            <v>1002450</v>
          </cell>
          <cell r="B2456" t="str">
            <v>Transf Corriente 400/5A 600V</v>
          </cell>
          <cell r="D2456">
            <v>6302</v>
          </cell>
          <cell r="E2456">
            <v>1000</v>
          </cell>
          <cell r="F2456" t="str">
            <v>ZALM</v>
          </cell>
          <cell r="G2456" t="str">
            <v>UN</v>
          </cell>
          <cell r="H2456" t="str">
            <v>DOP</v>
          </cell>
          <cell r="I2456">
            <v>185</v>
          </cell>
          <cell r="J2456">
            <v>298542.05</v>
          </cell>
          <cell r="K2456">
            <v>0</v>
          </cell>
          <cell r="L2456">
            <v>0</v>
          </cell>
          <cell r="M2456">
            <v>0</v>
          </cell>
          <cell r="N2456">
            <v>0</v>
          </cell>
          <cell r="O2456">
            <v>0</v>
          </cell>
          <cell r="P2456">
            <v>0</v>
          </cell>
          <cell r="Q2456">
            <v>2897</v>
          </cell>
          <cell r="R2456">
            <v>4675007.05</v>
          </cell>
          <cell r="S2456">
            <v>3082</v>
          </cell>
          <cell r="T2456">
            <v>4973549.0999999996</v>
          </cell>
          <cell r="U2456">
            <v>1613.74078520441</v>
          </cell>
        </row>
        <row r="2457">
          <cell r="A2457">
            <v>1002451</v>
          </cell>
          <cell r="B2457" t="str">
            <v>Transf Corriente 400-800/5A 12.5kV</v>
          </cell>
          <cell r="D2457">
            <v>6302</v>
          </cell>
          <cell r="E2457">
            <v>1000</v>
          </cell>
          <cell r="F2457" t="str">
            <v>ZALM</v>
          </cell>
          <cell r="G2457" t="str">
            <v>UN</v>
          </cell>
          <cell r="H2457" t="str">
            <v>DOP</v>
          </cell>
          <cell r="I2457">
            <v>7</v>
          </cell>
          <cell r="J2457">
            <v>119295.43</v>
          </cell>
          <cell r="K2457">
            <v>0</v>
          </cell>
          <cell r="L2457">
            <v>0</v>
          </cell>
          <cell r="M2457">
            <v>0</v>
          </cell>
          <cell r="N2457">
            <v>0</v>
          </cell>
          <cell r="O2457">
            <v>0</v>
          </cell>
          <cell r="P2457">
            <v>0</v>
          </cell>
          <cell r="Q2457">
            <v>0</v>
          </cell>
          <cell r="R2457">
            <v>0</v>
          </cell>
          <cell r="S2457">
            <v>7</v>
          </cell>
          <cell r="T2457">
            <v>119295.43</v>
          </cell>
          <cell r="U2457">
            <v>17042.204285714299</v>
          </cell>
        </row>
        <row r="2458">
          <cell r="A2458">
            <v>1002452</v>
          </cell>
          <cell r="B2458" t="str">
            <v>Transf Corriente 500-1000/5A 12.5kV</v>
          </cell>
          <cell r="D2458">
            <v>6302</v>
          </cell>
          <cell r="E2458">
            <v>1000</v>
          </cell>
          <cell r="F2458" t="str">
            <v>ZALM</v>
          </cell>
          <cell r="G2458" t="str">
            <v>UN</v>
          </cell>
          <cell r="H2458" t="str">
            <v>DOP</v>
          </cell>
          <cell r="I2458">
            <v>9</v>
          </cell>
          <cell r="J2458">
            <v>166782.97</v>
          </cell>
          <cell r="K2458">
            <v>0</v>
          </cell>
          <cell r="L2458">
            <v>0</v>
          </cell>
          <cell r="M2458">
            <v>0</v>
          </cell>
          <cell r="N2458">
            <v>0</v>
          </cell>
          <cell r="O2458">
            <v>0</v>
          </cell>
          <cell r="P2458">
            <v>0</v>
          </cell>
          <cell r="Q2458">
            <v>0</v>
          </cell>
          <cell r="R2458">
            <v>0</v>
          </cell>
          <cell r="S2458">
            <v>9</v>
          </cell>
          <cell r="T2458">
            <v>166782.97</v>
          </cell>
          <cell r="U2458">
            <v>18531.4411111111</v>
          </cell>
        </row>
        <row r="2459">
          <cell r="A2459">
            <v>1002453</v>
          </cell>
          <cell r="B2459" t="str">
            <v>Transf Corriente 50-100/5A 12.5kV</v>
          </cell>
          <cell r="D2459">
            <v>6302</v>
          </cell>
          <cell r="E2459">
            <v>1000</v>
          </cell>
          <cell r="F2459" t="str">
            <v>ZALM</v>
          </cell>
          <cell r="G2459" t="str">
            <v>UN</v>
          </cell>
          <cell r="H2459" t="str">
            <v>DOP</v>
          </cell>
          <cell r="I2459">
            <v>138</v>
          </cell>
          <cell r="J2459">
            <v>2167976.89</v>
          </cell>
          <cell r="K2459">
            <v>0</v>
          </cell>
          <cell r="L2459">
            <v>0</v>
          </cell>
          <cell r="M2459">
            <v>0</v>
          </cell>
          <cell r="N2459">
            <v>0</v>
          </cell>
          <cell r="O2459">
            <v>0</v>
          </cell>
          <cell r="P2459">
            <v>0</v>
          </cell>
          <cell r="Q2459">
            <v>0</v>
          </cell>
          <cell r="R2459">
            <v>0</v>
          </cell>
          <cell r="S2459">
            <v>138</v>
          </cell>
          <cell r="T2459">
            <v>2167976.89</v>
          </cell>
          <cell r="U2459">
            <v>15709.9774637681</v>
          </cell>
        </row>
        <row r="2460">
          <cell r="A2460">
            <v>1002454</v>
          </cell>
          <cell r="B2460" t="str">
            <v>Transf Corriente 50-100/5A 34.5kV</v>
          </cell>
          <cell r="D2460">
            <v>6302</v>
          </cell>
          <cell r="E2460">
            <v>1000</v>
          </cell>
          <cell r="F2460" t="str">
            <v>ZALM</v>
          </cell>
          <cell r="G2460" t="str">
            <v>UN</v>
          </cell>
          <cell r="H2460" t="str">
            <v>DOP</v>
          </cell>
          <cell r="I2460">
            <v>6</v>
          </cell>
          <cell r="J2460">
            <v>115870.13</v>
          </cell>
          <cell r="K2460">
            <v>0</v>
          </cell>
          <cell r="L2460">
            <v>0</v>
          </cell>
          <cell r="M2460">
            <v>0</v>
          </cell>
          <cell r="N2460">
            <v>0</v>
          </cell>
          <cell r="O2460">
            <v>0</v>
          </cell>
          <cell r="P2460">
            <v>0</v>
          </cell>
          <cell r="Q2460">
            <v>0</v>
          </cell>
          <cell r="R2460">
            <v>0</v>
          </cell>
          <cell r="S2460">
            <v>6</v>
          </cell>
          <cell r="T2460">
            <v>115870.13</v>
          </cell>
          <cell r="U2460">
            <v>19311.688333333299</v>
          </cell>
        </row>
        <row r="2461">
          <cell r="A2461">
            <v>1002455</v>
          </cell>
          <cell r="B2461" t="str">
            <v>Transf Corriente 50-100/5A 600V</v>
          </cell>
          <cell r="D2461">
            <v>6302</v>
          </cell>
          <cell r="E2461">
            <v>1000</v>
          </cell>
          <cell r="F2461" t="str">
            <v>ZALM</v>
          </cell>
          <cell r="G2461" t="str">
            <v>UN</v>
          </cell>
          <cell r="H2461" t="str">
            <v>DOP</v>
          </cell>
          <cell r="I2461">
            <v>0</v>
          </cell>
          <cell r="J2461">
            <v>0</v>
          </cell>
          <cell r="K2461">
            <v>0</v>
          </cell>
          <cell r="L2461">
            <v>0</v>
          </cell>
          <cell r="M2461">
            <v>0</v>
          </cell>
          <cell r="N2461">
            <v>0</v>
          </cell>
          <cell r="O2461">
            <v>0</v>
          </cell>
          <cell r="P2461">
            <v>0</v>
          </cell>
          <cell r="Q2461">
            <v>0</v>
          </cell>
          <cell r="R2461">
            <v>0</v>
          </cell>
          <cell r="S2461">
            <v>0</v>
          </cell>
          <cell r="T2461">
            <v>0</v>
          </cell>
          <cell r="U2461" t="e">
            <v>#N/A</v>
          </cell>
        </row>
        <row r="2462">
          <cell r="A2462">
            <v>1002456</v>
          </cell>
          <cell r="B2462" t="str">
            <v>Transf Corriente 5-10/5A 12.5kV</v>
          </cell>
          <cell r="D2462">
            <v>6302</v>
          </cell>
          <cell r="E2462">
            <v>1000</v>
          </cell>
          <cell r="F2462" t="str">
            <v>ZALM</v>
          </cell>
          <cell r="G2462" t="str">
            <v>UN</v>
          </cell>
          <cell r="H2462" t="str">
            <v>DOP</v>
          </cell>
          <cell r="I2462">
            <v>3</v>
          </cell>
          <cell r="J2462">
            <v>55246.7</v>
          </cell>
          <cell r="K2462">
            <v>0</v>
          </cell>
          <cell r="L2462">
            <v>0</v>
          </cell>
          <cell r="M2462">
            <v>0</v>
          </cell>
          <cell r="N2462">
            <v>0</v>
          </cell>
          <cell r="O2462">
            <v>0</v>
          </cell>
          <cell r="P2462">
            <v>0</v>
          </cell>
          <cell r="Q2462">
            <v>0</v>
          </cell>
          <cell r="R2462">
            <v>0</v>
          </cell>
          <cell r="S2462">
            <v>3</v>
          </cell>
          <cell r="T2462">
            <v>55246.7</v>
          </cell>
          <cell r="U2462">
            <v>18415.566666666698</v>
          </cell>
        </row>
        <row r="2463">
          <cell r="A2463">
            <v>1002457</v>
          </cell>
          <cell r="B2463" t="str">
            <v>Transf Corriente 5-10/5A 34.5kV</v>
          </cell>
          <cell r="D2463">
            <v>6302</v>
          </cell>
          <cell r="E2463">
            <v>1000</v>
          </cell>
          <cell r="F2463" t="str">
            <v>ZALM</v>
          </cell>
          <cell r="G2463" t="str">
            <v>UN</v>
          </cell>
          <cell r="H2463" t="str">
            <v>DOP</v>
          </cell>
          <cell r="I2463">
            <v>0</v>
          </cell>
          <cell r="J2463">
            <v>0</v>
          </cell>
          <cell r="K2463">
            <v>0</v>
          </cell>
          <cell r="L2463">
            <v>0</v>
          </cell>
          <cell r="M2463">
            <v>0</v>
          </cell>
          <cell r="N2463">
            <v>0</v>
          </cell>
          <cell r="O2463">
            <v>0</v>
          </cell>
          <cell r="P2463">
            <v>0</v>
          </cell>
          <cell r="Q2463">
            <v>0</v>
          </cell>
          <cell r="R2463">
            <v>0</v>
          </cell>
          <cell r="S2463">
            <v>0</v>
          </cell>
          <cell r="T2463">
            <v>0</v>
          </cell>
          <cell r="U2463" t="e">
            <v>#N/A</v>
          </cell>
        </row>
        <row r="2464">
          <cell r="A2464">
            <v>1002458</v>
          </cell>
          <cell r="B2464" t="str">
            <v>Transf Corriente 600/5A 12.5kV</v>
          </cell>
          <cell r="D2464">
            <v>6302</v>
          </cell>
          <cell r="E2464">
            <v>1000</v>
          </cell>
          <cell r="F2464" t="str">
            <v>ZALM</v>
          </cell>
          <cell r="G2464" t="str">
            <v>UN</v>
          </cell>
          <cell r="H2464" t="str">
            <v>DOP</v>
          </cell>
          <cell r="I2464">
            <v>0</v>
          </cell>
          <cell r="J2464">
            <v>0</v>
          </cell>
          <cell r="K2464">
            <v>0</v>
          </cell>
          <cell r="L2464">
            <v>0</v>
          </cell>
          <cell r="M2464">
            <v>0</v>
          </cell>
          <cell r="N2464">
            <v>0</v>
          </cell>
          <cell r="O2464">
            <v>0</v>
          </cell>
          <cell r="P2464">
            <v>0</v>
          </cell>
          <cell r="Q2464">
            <v>0</v>
          </cell>
          <cell r="R2464">
            <v>0</v>
          </cell>
          <cell r="S2464">
            <v>0</v>
          </cell>
          <cell r="T2464">
            <v>0</v>
          </cell>
          <cell r="U2464" t="e">
            <v>#N/A</v>
          </cell>
        </row>
        <row r="2465">
          <cell r="A2465">
            <v>1002459</v>
          </cell>
          <cell r="B2465" t="str">
            <v>Transf Corriente 600/5A 600V</v>
          </cell>
          <cell r="D2465">
            <v>6302</v>
          </cell>
          <cell r="E2465">
            <v>1000</v>
          </cell>
          <cell r="F2465" t="str">
            <v>ZALM</v>
          </cell>
          <cell r="G2465" t="str">
            <v>UN</v>
          </cell>
          <cell r="H2465" t="str">
            <v>DOP</v>
          </cell>
          <cell r="I2465">
            <v>1240</v>
          </cell>
          <cell r="J2465">
            <v>2116739.48</v>
          </cell>
          <cell r="K2465">
            <v>0</v>
          </cell>
          <cell r="L2465">
            <v>0</v>
          </cell>
          <cell r="M2465">
            <v>0</v>
          </cell>
          <cell r="N2465">
            <v>0</v>
          </cell>
          <cell r="O2465">
            <v>0</v>
          </cell>
          <cell r="P2465">
            <v>0</v>
          </cell>
          <cell r="Q2465">
            <v>1552</v>
          </cell>
          <cell r="R2465">
            <v>2649338.44</v>
          </cell>
          <cell r="S2465">
            <v>2792</v>
          </cell>
          <cell r="T2465">
            <v>4766077.92</v>
          </cell>
          <cell r="U2465">
            <v>1707.0479656160501</v>
          </cell>
        </row>
        <row r="2466">
          <cell r="A2466">
            <v>1002460</v>
          </cell>
          <cell r="B2466" t="str">
            <v>Transf Corriente 75-150/5A</v>
          </cell>
          <cell r="D2466">
            <v>6302</v>
          </cell>
          <cell r="E2466">
            <v>1000</v>
          </cell>
          <cell r="F2466" t="str">
            <v>ZALM</v>
          </cell>
          <cell r="G2466" t="str">
            <v>UN</v>
          </cell>
          <cell r="H2466" t="str">
            <v>DOP</v>
          </cell>
          <cell r="I2466">
            <v>0</v>
          </cell>
          <cell r="J2466">
            <v>0</v>
          </cell>
          <cell r="K2466">
            <v>0</v>
          </cell>
          <cell r="L2466">
            <v>0</v>
          </cell>
          <cell r="M2466">
            <v>0</v>
          </cell>
          <cell r="N2466">
            <v>0</v>
          </cell>
          <cell r="O2466">
            <v>0</v>
          </cell>
          <cell r="P2466">
            <v>0</v>
          </cell>
          <cell r="Q2466">
            <v>0</v>
          </cell>
          <cell r="R2466">
            <v>0</v>
          </cell>
          <cell r="S2466">
            <v>0</v>
          </cell>
          <cell r="T2466">
            <v>0</v>
          </cell>
          <cell r="U2466" t="e">
            <v>#N/A</v>
          </cell>
        </row>
        <row r="2467">
          <cell r="A2467">
            <v>1002461</v>
          </cell>
          <cell r="B2467" t="str">
            <v>Transf Corriente 75-150/5A 12.5kV</v>
          </cell>
          <cell r="D2467">
            <v>6302</v>
          </cell>
          <cell r="E2467">
            <v>1000</v>
          </cell>
          <cell r="F2467" t="str">
            <v>ZALM</v>
          </cell>
          <cell r="G2467" t="str">
            <v>UN</v>
          </cell>
          <cell r="H2467" t="str">
            <v>DOP</v>
          </cell>
          <cell r="I2467">
            <v>27</v>
          </cell>
          <cell r="J2467">
            <v>486184.16</v>
          </cell>
          <cell r="K2467">
            <v>0</v>
          </cell>
          <cell r="L2467">
            <v>0</v>
          </cell>
          <cell r="M2467">
            <v>0</v>
          </cell>
          <cell r="N2467">
            <v>0</v>
          </cell>
          <cell r="O2467">
            <v>0</v>
          </cell>
          <cell r="P2467">
            <v>0</v>
          </cell>
          <cell r="Q2467">
            <v>160</v>
          </cell>
          <cell r="R2467">
            <v>2881091.31</v>
          </cell>
          <cell r="S2467">
            <v>187</v>
          </cell>
          <cell r="T2467">
            <v>3367275.47</v>
          </cell>
          <cell r="U2467">
            <v>18006.820695187202</v>
          </cell>
        </row>
        <row r="2468">
          <cell r="A2468">
            <v>1002462</v>
          </cell>
          <cell r="B2468" t="str">
            <v>Transf Corriente 800/5A 12.5kV</v>
          </cell>
          <cell r="D2468">
            <v>6302</v>
          </cell>
          <cell r="E2468">
            <v>1000</v>
          </cell>
          <cell r="F2468" t="str">
            <v>ZALM</v>
          </cell>
          <cell r="G2468" t="str">
            <v>UN</v>
          </cell>
          <cell r="H2468" t="str">
            <v>DOP</v>
          </cell>
          <cell r="I2468">
            <v>0</v>
          </cell>
          <cell r="J2468">
            <v>0</v>
          </cell>
          <cell r="K2468">
            <v>0</v>
          </cell>
          <cell r="L2468">
            <v>0</v>
          </cell>
          <cell r="M2468">
            <v>0</v>
          </cell>
          <cell r="N2468">
            <v>0</v>
          </cell>
          <cell r="O2468">
            <v>0</v>
          </cell>
          <cell r="P2468">
            <v>0</v>
          </cell>
          <cell r="Q2468">
            <v>0</v>
          </cell>
          <cell r="R2468">
            <v>0</v>
          </cell>
          <cell r="S2468">
            <v>0</v>
          </cell>
          <cell r="T2468">
            <v>0</v>
          </cell>
          <cell r="U2468" t="e">
            <v>#N/A</v>
          </cell>
        </row>
        <row r="2469">
          <cell r="A2469">
            <v>1002463</v>
          </cell>
          <cell r="B2469" t="str">
            <v>Transf Corriente 800/5A 600V</v>
          </cell>
          <cell r="D2469">
            <v>6302</v>
          </cell>
          <cell r="E2469">
            <v>1000</v>
          </cell>
          <cell r="F2469" t="str">
            <v>ZALM</v>
          </cell>
          <cell r="G2469" t="str">
            <v>UN</v>
          </cell>
          <cell r="H2469" t="str">
            <v>DOP</v>
          </cell>
          <cell r="I2469">
            <v>200</v>
          </cell>
          <cell r="J2469">
            <v>521789.65</v>
          </cell>
          <cell r="K2469">
            <v>0</v>
          </cell>
          <cell r="L2469">
            <v>0</v>
          </cell>
          <cell r="M2469">
            <v>0</v>
          </cell>
          <cell r="N2469">
            <v>0</v>
          </cell>
          <cell r="O2469">
            <v>0</v>
          </cell>
          <cell r="P2469">
            <v>0</v>
          </cell>
          <cell r="Q2469">
            <v>60</v>
          </cell>
          <cell r="R2469">
            <v>156536.89000000001</v>
          </cell>
          <cell r="S2469">
            <v>260</v>
          </cell>
          <cell r="T2469">
            <v>678326.54</v>
          </cell>
          <cell r="U2469">
            <v>2608.9482307692301</v>
          </cell>
        </row>
        <row r="2470">
          <cell r="A2470">
            <v>1002464</v>
          </cell>
          <cell r="B2470" t="str">
            <v>Transf Corriente CT'S 100/5A</v>
          </cell>
          <cell r="D2470">
            <v>6302</v>
          </cell>
          <cell r="E2470">
            <v>1000</v>
          </cell>
          <cell r="F2470" t="str">
            <v>ZALM</v>
          </cell>
          <cell r="G2470" t="str">
            <v>UN</v>
          </cell>
          <cell r="H2470" t="str">
            <v>DOP</v>
          </cell>
          <cell r="I2470">
            <v>0</v>
          </cell>
          <cell r="J2470">
            <v>0</v>
          </cell>
          <cell r="K2470">
            <v>0</v>
          </cell>
          <cell r="L2470">
            <v>0</v>
          </cell>
          <cell r="M2470">
            <v>0</v>
          </cell>
          <cell r="N2470">
            <v>0</v>
          </cell>
          <cell r="O2470">
            <v>0</v>
          </cell>
          <cell r="P2470">
            <v>0</v>
          </cell>
          <cell r="Q2470">
            <v>0</v>
          </cell>
          <cell r="R2470">
            <v>0</v>
          </cell>
          <cell r="S2470">
            <v>0</v>
          </cell>
          <cell r="T2470">
            <v>0</v>
          </cell>
          <cell r="U2470" t="e">
            <v>#N/A</v>
          </cell>
        </row>
        <row r="2471">
          <cell r="A2471">
            <v>1002465</v>
          </cell>
          <cell r="B2471" t="str">
            <v>Transf Corriente CT'S 1000/5A</v>
          </cell>
          <cell r="D2471">
            <v>6302</v>
          </cell>
          <cell r="E2471">
            <v>1000</v>
          </cell>
          <cell r="F2471" t="str">
            <v>ZALM</v>
          </cell>
          <cell r="G2471" t="str">
            <v>UN</v>
          </cell>
          <cell r="H2471" t="str">
            <v>DOP</v>
          </cell>
          <cell r="I2471">
            <v>0</v>
          </cell>
          <cell r="J2471">
            <v>0</v>
          </cell>
          <cell r="K2471">
            <v>0</v>
          </cell>
          <cell r="L2471">
            <v>0</v>
          </cell>
          <cell r="M2471">
            <v>0</v>
          </cell>
          <cell r="N2471">
            <v>0</v>
          </cell>
          <cell r="O2471">
            <v>0</v>
          </cell>
          <cell r="P2471">
            <v>0</v>
          </cell>
          <cell r="Q2471">
            <v>0</v>
          </cell>
          <cell r="R2471">
            <v>0</v>
          </cell>
          <cell r="S2471">
            <v>0</v>
          </cell>
          <cell r="T2471">
            <v>0</v>
          </cell>
          <cell r="U2471" t="e">
            <v>#N/A</v>
          </cell>
        </row>
        <row r="2472">
          <cell r="A2472">
            <v>1002466</v>
          </cell>
          <cell r="B2472" t="str">
            <v>Transf Corriente CT'S 1500/5A</v>
          </cell>
          <cell r="D2472">
            <v>6302</v>
          </cell>
          <cell r="E2472">
            <v>1000</v>
          </cell>
          <cell r="F2472" t="str">
            <v>ZALM</v>
          </cell>
          <cell r="G2472" t="str">
            <v>UN</v>
          </cell>
          <cell r="H2472" t="str">
            <v>DOP</v>
          </cell>
          <cell r="I2472">
            <v>29</v>
          </cell>
          <cell r="J2472">
            <v>69749.740000000005</v>
          </cell>
          <cell r="K2472">
            <v>0</v>
          </cell>
          <cell r="L2472">
            <v>0</v>
          </cell>
          <cell r="M2472">
            <v>0</v>
          </cell>
          <cell r="N2472">
            <v>0</v>
          </cell>
          <cell r="O2472">
            <v>0</v>
          </cell>
          <cell r="P2472">
            <v>0</v>
          </cell>
          <cell r="Q2472">
            <v>0</v>
          </cell>
          <cell r="R2472">
            <v>0</v>
          </cell>
          <cell r="S2472">
            <v>29</v>
          </cell>
          <cell r="T2472">
            <v>69749.740000000005</v>
          </cell>
          <cell r="U2472">
            <v>2405.16344827586</v>
          </cell>
        </row>
        <row r="2473">
          <cell r="A2473">
            <v>1002467</v>
          </cell>
          <cell r="B2473" t="str">
            <v>Transf Corriente CT'S 1600/5A</v>
          </cell>
          <cell r="D2473">
            <v>6302</v>
          </cell>
          <cell r="E2473">
            <v>1000</v>
          </cell>
          <cell r="F2473" t="str">
            <v>ZALM</v>
          </cell>
          <cell r="G2473" t="str">
            <v>UN</v>
          </cell>
          <cell r="H2473" t="str">
            <v>DOP</v>
          </cell>
          <cell r="I2473">
            <v>15</v>
          </cell>
          <cell r="J2473">
            <v>39710.14</v>
          </cell>
          <cell r="K2473">
            <v>0</v>
          </cell>
          <cell r="L2473">
            <v>0</v>
          </cell>
          <cell r="M2473">
            <v>0</v>
          </cell>
          <cell r="N2473">
            <v>0</v>
          </cell>
          <cell r="O2473">
            <v>0</v>
          </cell>
          <cell r="P2473">
            <v>0</v>
          </cell>
          <cell r="Q2473">
            <v>0</v>
          </cell>
          <cell r="R2473">
            <v>0</v>
          </cell>
          <cell r="S2473">
            <v>15</v>
          </cell>
          <cell r="T2473">
            <v>39710.14</v>
          </cell>
          <cell r="U2473">
            <v>2647.3426666666701</v>
          </cell>
        </row>
        <row r="2474">
          <cell r="A2474">
            <v>1002468</v>
          </cell>
          <cell r="B2474" t="str">
            <v>Transf Corriente CT'S 2000/5A</v>
          </cell>
          <cell r="D2474">
            <v>6302</v>
          </cell>
          <cell r="E2474">
            <v>1000</v>
          </cell>
          <cell r="F2474" t="str">
            <v>ZALM</v>
          </cell>
          <cell r="G2474" t="str">
            <v>UN</v>
          </cell>
          <cell r="H2474" t="str">
            <v>DOP</v>
          </cell>
          <cell r="I2474">
            <v>0</v>
          </cell>
          <cell r="J2474">
            <v>0</v>
          </cell>
          <cell r="K2474">
            <v>0</v>
          </cell>
          <cell r="L2474">
            <v>0</v>
          </cell>
          <cell r="M2474">
            <v>0</v>
          </cell>
          <cell r="N2474">
            <v>0</v>
          </cell>
          <cell r="O2474">
            <v>0</v>
          </cell>
          <cell r="P2474">
            <v>0</v>
          </cell>
          <cell r="Q2474">
            <v>0</v>
          </cell>
          <cell r="R2474">
            <v>0</v>
          </cell>
          <cell r="S2474">
            <v>0</v>
          </cell>
          <cell r="T2474">
            <v>0</v>
          </cell>
          <cell r="U2474" t="e">
            <v>#N/A</v>
          </cell>
        </row>
        <row r="2475">
          <cell r="A2475">
            <v>1002469</v>
          </cell>
          <cell r="B2475" t="str">
            <v>Transf Corriente CT'S 300/5A</v>
          </cell>
          <cell r="D2475">
            <v>6302</v>
          </cell>
          <cell r="E2475">
            <v>1000</v>
          </cell>
          <cell r="F2475" t="str">
            <v>ZALM</v>
          </cell>
          <cell r="G2475" t="str">
            <v>UN</v>
          </cell>
          <cell r="H2475" t="str">
            <v>DOP</v>
          </cell>
          <cell r="I2475">
            <v>0</v>
          </cell>
          <cell r="J2475">
            <v>0</v>
          </cell>
          <cell r="K2475">
            <v>0</v>
          </cell>
          <cell r="L2475">
            <v>0</v>
          </cell>
          <cell r="M2475">
            <v>0</v>
          </cell>
          <cell r="N2475">
            <v>0</v>
          </cell>
          <cell r="O2475">
            <v>0</v>
          </cell>
          <cell r="P2475">
            <v>0</v>
          </cell>
          <cell r="Q2475">
            <v>0</v>
          </cell>
          <cell r="R2475">
            <v>0</v>
          </cell>
          <cell r="S2475">
            <v>0</v>
          </cell>
          <cell r="T2475">
            <v>0</v>
          </cell>
          <cell r="U2475" t="e">
            <v>#N/A</v>
          </cell>
        </row>
        <row r="2476">
          <cell r="A2476">
            <v>1002470</v>
          </cell>
          <cell r="B2476" t="str">
            <v>Transf Corriente CT'S 400/5A</v>
          </cell>
          <cell r="D2476">
            <v>6302</v>
          </cell>
          <cell r="E2476">
            <v>1000</v>
          </cell>
          <cell r="F2476" t="str">
            <v>ZALM</v>
          </cell>
          <cell r="G2476" t="str">
            <v>UN</v>
          </cell>
          <cell r="H2476" t="str">
            <v>DOP</v>
          </cell>
          <cell r="I2476">
            <v>0</v>
          </cell>
          <cell r="J2476">
            <v>0</v>
          </cell>
          <cell r="K2476">
            <v>0</v>
          </cell>
          <cell r="L2476">
            <v>0</v>
          </cell>
          <cell r="M2476">
            <v>0</v>
          </cell>
          <cell r="N2476">
            <v>0</v>
          </cell>
          <cell r="O2476">
            <v>0</v>
          </cell>
          <cell r="P2476">
            <v>0</v>
          </cell>
          <cell r="Q2476">
            <v>0</v>
          </cell>
          <cell r="R2476">
            <v>0</v>
          </cell>
          <cell r="S2476">
            <v>0</v>
          </cell>
          <cell r="T2476">
            <v>0</v>
          </cell>
          <cell r="U2476" t="e">
            <v>#N/A</v>
          </cell>
        </row>
        <row r="2477">
          <cell r="A2477">
            <v>1002471</v>
          </cell>
          <cell r="B2477" t="str">
            <v>Transf Corriente CT'S 7200/5A</v>
          </cell>
          <cell r="D2477">
            <v>6302</v>
          </cell>
          <cell r="E2477">
            <v>1000</v>
          </cell>
          <cell r="F2477" t="str">
            <v>ZALM</v>
          </cell>
          <cell r="G2477" t="str">
            <v>UN</v>
          </cell>
          <cell r="H2477" t="str">
            <v>DOP</v>
          </cell>
          <cell r="I2477">
            <v>0</v>
          </cell>
          <cell r="J2477">
            <v>0</v>
          </cell>
          <cell r="K2477">
            <v>0</v>
          </cell>
          <cell r="L2477">
            <v>0</v>
          </cell>
          <cell r="M2477">
            <v>0</v>
          </cell>
          <cell r="N2477">
            <v>0</v>
          </cell>
          <cell r="O2477">
            <v>0</v>
          </cell>
          <cell r="P2477">
            <v>0</v>
          </cell>
          <cell r="Q2477">
            <v>0</v>
          </cell>
          <cell r="R2477">
            <v>0</v>
          </cell>
          <cell r="S2477">
            <v>0</v>
          </cell>
          <cell r="T2477">
            <v>0</v>
          </cell>
          <cell r="U2477" t="e">
            <v>#N/A</v>
          </cell>
        </row>
        <row r="2478">
          <cell r="A2478">
            <v>1002472</v>
          </cell>
          <cell r="B2478" t="str">
            <v>Transf Corriente CT'S 800/5A BT</v>
          </cell>
          <cell r="D2478">
            <v>6302</v>
          </cell>
          <cell r="E2478">
            <v>1000</v>
          </cell>
          <cell r="F2478" t="str">
            <v>ZALM</v>
          </cell>
          <cell r="G2478" t="str">
            <v>UN</v>
          </cell>
          <cell r="H2478" t="str">
            <v>DOP</v>
          </cell>
          <cell r="I2478">
            <v>21</v>
          </cell>
          <cell r="J2478">
            <v>12705</v>
          </cell>
          <cell r="K2478">
            <v>0</v>
          </cell>
          <cell r="L2478">
            <v>0</v>
          </cell>
          <cell r="M2478">
            <v>0</v>
          </cell>
          <cell r="N2478">
            <v>0</v>
          </cell>
          <cell r="O2478">
            <v>0</v>
          </cell>
          <cell r="P2478">
            <v>0</v>
          </cell>
          <cell r="Q2478">
            <v>0</v>
          </cell>
          <cell r="R2478">
            <v>0</v>
          </cell>
          <cell r="S2478">
            <v>21</v>
          </cell>
          <cell r="T2478">
            <v>12705</v>
          </cell>
          <cell r="U2478">
            <v>605</v>
          </cell>
        </row>
        <row r="2479">
          <cell r="A2479">
            <v>1002473</v>
          </cell>
          <cell r="B2479" t="str">
            <v>Transf Corriente CT'S Ko-11 1200/5A 10kV</v>
          </cell>
          <cell r="D2479">
            <v>6302</v>
          </cell>
          <cell r="E2479">
            <v>1000</v>
          </cell>
          <cell r="F2479" t="str">
            <v>ZALM</v>
          </cell>
          <cell r="G2479" t="str">
            <v>UN</v>
          </cell>
          <cell r="H2479" t="str">
            <v>DOP</v>
          </cell>
          <cell r="I2479">
            <v>6</v>
          </cell>
          <cell r="J2479">
            <v>4068.48</v>
          </cell>
          <cell r="K2479">
            <v>0</v>
          </cell>
          <cell r="L2479">
            <v>0</v>
          </cell>
          <cell r="M2479">
            <v>0</v>
          </cell>
          <cell r="N2479">
            <v>0</v>
          </cell>
          <cell r="O2479">
            <v>0</v>
          </cell>
          <cell r="P2479">
            <v>0</v>
          </cell>
          <cell r="Q2479">
            <v>0</v>
          </cell>
          <cell r="R2479">
            <v>0</v>
          </cell>
          <cell r="S2479">
            <v>6</v>
          </cell>
          <cell r="T2479">
            <v>4068.48</v>
          </cell>
          <cell r="U2479">
            <v>678.08</v>
          </cell>
        </row>
        <row r="2480">
          <cell r="A2480">
            <v>1002474</v>
          </cell>
          <cell r="B2480" t="str">
            <v>Transf Volt PT'S 60 20:1 60kV 2400-4160V</v>
          </cell>
          <cell r="D2480">
            <v>6302</v>
          </cell>
          <cell r="E2480">
            <v>1000</v>
          </cell>
          <cell r="F2480" t="str">
            <v>ZALM</v>
          </cell>
          <cell r="G2480" t="str">
            <v>UN</v>
          </cell>
          <cell r="H2480" t="str">
            <v>DOP</v>
          </cell>
          <cell r="I2480">
            <v>0</v>
          </cell>
          <cell r="J2480">
            <v>0</v>
          </cell>
          <cell r="K2480">
            <v>0</v>
          </cell>
          <cell r="L2480">
            <v>0</v>
          </cell>
          <cell r="M2480">
            <v>0</v>
          </cell>
          <cell r="N2480">
            <v>0</v>
          </cell>
          <cell r="O2480">
            <v>0</v>
          </cell>
          <cell r="P2480">
            <v>0</v>
          </cell>
          <cell r="Q2480">
            <v>0</v>
          </cell>
          <cell r="R2480">
            <v>0</v>
          </cell>
          <cell r="S2480">
            <v>0</v>
          </cell>
          <cell r="T2480">
            <v>0</v>
          </cell>
          <cell r="U2480" t="e">
            <v>#N/A</v>
          </cell>
        </row>
        <row r="2481">
          <cell r="A2481">
            <v>1002475</v>
          </cell>
          <cell r="B2481" t="str">
            <v>Transf Volt VT'S VOZ-15H 34.5/4A 150kV</v>
          </cell>
          <cell r="D2481">
            <v>6302</v>
          </cell>
          <cell r="E2481">
            <v>1000</v>
          </cell>
          <cell r="F2481" t="str">
            <v>ZALM</v>
          </cell>
          <cell r="G2481" t="str">
            <v>UN</v>
          </cell>
          <cell r="H2481" t="str">
            <v>DOP</v>
          </cell>
          <cell r="I2481">
            <v>62</v>
          </cell>
          <cell r="J2481">
            <v>2388315.35</v>
          </cell>
          <cell r="K2481">
            <v>0</v>
          </cell>
          <cell r="L2481">
            <v>0</v>
          </cell>
          <cell r="M2481">
            <v>0</v>
          </cell>
          <cell r="N2481">
            <v>0</v>
          </cell>
          <cell r="O2481">
            <v>0</v>
          </cell>
          <cell r="P2481">
            <v>0</v>
          </cell>
          <cell r="Q2481">
            <v>0</v>
          </cell>
          <cell r="R2481">
            <v>0</v>
          </cell>
          <cell r="S2481">
            <v>62</v>
          </cell>
          <cell r="T2481">
            <v>2388315.35</v>
          </cell>
          <cell r="U2481">
            <v>38521.215322580603</v>
          </cell>
        </row>
        <row r="2482">
          <cell r="A2482">
            <v>1002476</v>
          </cell>
          <cell r="B2482" t="str">
            <v>Transf Voltaje 1000V 63.5:1.15kV</v>
          </cell>
          <cell r="D2482">
            <v>6302</v>
          </cell>
          <cell r="E2482">
            <v>1000</v>
          </cell>
          <cell r="F2482" t="str">
            <v>ZALM</v>
          </cell>
          <cell r="G2482" t="str">
            <v>UN</v>
          </cell>
          <cell r="H2482" t="str">
            <v>DOP</v>
          </cell>
          <cell r="I2482">
            <v>0</v>
          </cell>
          <cell r="J2482">
            <v>0</v>
          </cell>
          <cell r="K2482">
            <v>0</v>
          </cell>
          <cell r="L2482">
            <v>0</v>
          </cell>
          <cell r="M2482">
            <v>0</v>
          </cell>
          <cell r="N2482">
            <v>0</v>
          </cell>
          <cell r="O2482">
            <v>0</v>
          </cell>
          <cell r="P2482">
            <v>0</v>
          </cell>
          <cell r="Q2482">
            <v>0</v>
          </cell>
          <cell r="R2482">
            <v>0</v>
          </cell>
          <cell r="S2482">
            <v>0</v>
          </cell>
          <cell r="T2482">
            <v>0</v>
          </cell>
          <cell r="U2482" t="e">
            <v>#N/A</v>
          </cell>
        </row>
        <row r="2483">
          <cell r="A2483">
            <v>1002477</v>
          </cell>
          <cell r="B2483" t="str">
            <v>Transf Voltaje Ext T/ Post C/Break y Acc</v>
          </cell>
          <cell r="D2483">
            <v>6302</v>
          </cell>
          <cell r="E2483">
            <v>1000</v>
          </cell>
          <cell r="F2483" t="str">
            <v>ZALM</v>
          </cell>
          <cell r="G2483" t="str">
            <v>UN</v>
          </cell>
          <cell r="H2483" t="str">
            <v>DOP</v>
          </cell>
          <cell r="I2483">
            <v>11</v>
          </cell>
          <cell r="J2483">
            <v>385607</v>
          </cell>
          <cell r="K2483">
            <v>0</v>
          </cell>
          <cell r="L2483">
            <v>0</v>
          </cell>
          <cell r="M2483">
            <v>0</v>
          </cell>
          <cell r="N2483">
            <v>0</v>
          </cell>
          <cell r="O2483">
            <v>0</v>
          </cell>
          <cell r="P2483">
            <v>0</v>
          </cell>
          <cell r="Q2483">
            <v>0</v>
          </cell>
          <cell r="R2483">
            <v>0</v>
          </cell>
          <cell r="S2483">
            <v>11</v>
          </cell>
          <cell r="T2483">
            <v>385607</v>
          </cell>
          <cell r="U2483">
            <v>35055.181818181802</v>
          </cell>
        </row>
        <row r="2484">
          <cell r="A2484">
            <v>1002478</v>
          </cell>
          <cell r="B2484" t="str">
            <v>Ventil P/Transf Pot 1/2hp Trif 206-230V</v>
          </cell>
          <cell r="D2484">
            <v>6302</v>
          </cell>
          <cell r="E2484">
            <v>1000</v>
          </cell>
          <cell r="F2484" t="str">
            <v>ZALM</v>
          </cell>
          <cell r="G2484" t="str">
            <v>UN</v>
          </cell>
          <cell r="H2484" t="str">
            <v>DOP</v>
          </cell>
          <cell r="I2484">
            <v>0</v>
          </cell>
          <cell r="J2484">
            <v>0</v>
          </cell>
          <cell r="K2484">
            <v>0</v>
          </cell>
          <cell r="L2484">
            <v>0</v>
          </cell>
          <cell r="M2484">
            <v>0</v>
          </cell>
          <cell r="N2484">
            <v>0</v>
          </cell>
          <cell r="O2484">
            <v>0</v>
          </cell>
          <cell r="P2484">
            <v>0</v>
          </cell>
          <cell r="Q2484">
            <v>0</v>
          </cell>
          <cell r="R2484">
            <v>0</v>
          </cell>
          <cell r="S2484">
            <v>0</v>
          </cell>
          <cell r="T2484">
            <v>0</v>
          </cell>
          <cell r="U2484" t="e">
            <v>#N/A</v>
          </cell>
        </row>
        <row r="2485">
          <cell r="A2485">
            <v>1002479</v>
          </cell>
          <cell r="B2485" t="str">
            <v>Ventil P/Transf Pot 1/3hp Monof 206-230V</v>
          </cell>
          <cell r="D2485">
            <v>6302</v>
          </cell>
          <cell r="E2485">
            <v>1000</v>
          </cell>
          <cell r="F2485" t="str">
            <v>ZALM</v>
          </cell>
          <cell r="G2485" t="str">
            <v>UN</v>
          </cell>
          <cell r="H2485" t="str">
            <v>DOP</v>
          </cell>
          <cell r="I2485">
            <v>0</v>
          </cell>
          <cell r="J2485">
            <v>0</v>
          </cell>
          <cell r="K2485">
            <v>0</v>
          </cell>
          <cell r="L2485">
            <v>0</v>
          </cell>
          <cell r="M2485">
            <v>0</v>
          </cell>
          <cell r="N2485">
            <v>0</v>
          </cell>
          <cell r="O2485">
            <v>0</v>
          </cell>
          <cell r="P2485">
            <v>0</v>
          </cell>
          <cell r="Q2485">
            <v>0</v>
          </cell>
          <cell r="R2485">
            <v>0</v>
          </cell>
          <cell r="S2485">
            <v>0</v>
          </cell>
          <cell r="T2485">
            <v>0</v>
          </cell>
          <cell r="U2485" t="e">
            <v>#N/A</v>
          </cell>
        </row>
        <row r="2486">
          <cell r="A2486">
            <v>1002480</v>
          </cell>
          <cell r="B2486" t="str">
            <v>Ventil P/Transf Pot 1/3hp Trif 206-230V</v>
          </cell>
          <cell r="D2486">
            <v>6302</v>
          </cell>
          <cell r="E2486">
            <v>1000</v>
          </cell>
          <cell r="F2486" t="str">
            <v>ZALM</v>
          </cell>
          <cell r="G2486" t="str">
            <v>UN</v>
          </cell>
          <cell r="H2486" t="str">
            <v>DOP</v>
          </cell>
          <cell r="I2486">
            <v>0</v>
          </cell>
          <cell r="J2486">
            <v>0</v>
          </cell>
          <cell r="K2486">
            <v>0</v>
          </cell>
          <cell r="L2486">
            <v>0</v>
          </cell>
          <cell r="M2486">
            <v>0</v>
          </cell>
          <cell r="N2486">
            <v>0</v>
          </cell>
          <cell r="O2486">
            <v>0</v>
          </cell>
          <cell r="P2486">
            <v>0</v>
          </cell>
          <cell r="Q2486">
            <v>0</v>
          </cell>
          <cell r="R2486">
            <v>0</v>
          </cell>
          <cell r="S2486">
            <v>0</v>
          </cell>
          <cell r="T2486">
            <v>0</v>
          </cell>
          <cell r="U2486" t="e">
            <v>#N/A</v>
          </cell>
        </row>
        <row r="2487">
          <cell r="A2487">
            <v>1002481</v>
          </cell>
          <cell r="B2487" t="str">
            <v>Ventil P/Transf Pot 1/4hp Monof 206-230V</v>
          </cell>
          <cell r="D2487">
            <v>6302</v>
          </cell>
          <cell r="E2487">
            <v>1000</v>
          </cell>
          <cell r="F2487" t="str">
            <v>ZALM</v>
          </cell>
          <cell r="G2487" t="str">
            <v>UN</v>
          </cell>
          <cell r="H2487" t="str">
            <v>DOP</v>
          </cell>
          <cell r="I2487">
            <v>0</v>
          </cell>
          <cell r="J2487">
            <v>0</v>
          </cell>
          <cell r="K2487">
            <v>0</v>
          </cell>
          <cell r="L2487">
            <v>0</v>
          </cell>
          <cell r="M2487">
            <v>0</v>
          </cell>
          <cell r="N2487">
            <v>0</v>
          </cell>
          <cell r="O2487">
            <v>0</v>
          </cell>
          <cell r="P2487">
            <v>0</v>
          </cell>
          <cell r="Q2487">
            <v>0</v>
          </cell>
          <cell r="R2487">
            <v>0</v>
          </cell>
          <cell r="S2487">
            <v>0</v>
          </cell>
          <cell r="T2487">
            <v>0</v>
          </cell>
          <cell r="U2487" t="e">
            <v>#N/A</v>
          </cell>
        </row>
        <row r="2488">
          <cell r="A2488">
            <v>1002482</v>
          </cell>
          <cell r="B2488" t="str">
            <v>Abrazadera Nylon 0301CV-200 K</v>
          </cell>
          <cell r="D2488">
            <v>5104</v>
          </cell>
          <cell r="E2488">
            <v>1000</v>
          </cell>
          <cell r="F2488" t="str">
            <v>ZALM</v>
          </cell>
          <cell r="G2488" t="str">
            <v>UN</v>
          </cell>
          <cell r="H2488" t="str">
            <v>DOP</v>
          </cell>
          <cell r="I2488">
            <v>0</v>
          </cell>
          <cell r="J2488">
            <v>0</v>
          </cell>
          <cell r="K2488">
            <v>0</v>
          </cell>
          <cell r="L2488">
            <v>0</v>
          </cell>
          <cell r="M2488">
            <v>0</v>
          </cell>
          <cell r="N2488">
            <v>0</v>
          </cell>
          <cell r="O2488">
            <v>0</v>
          </cell>
          <cell r="P2488">
            <v>0</v>
          </cell>
          <cell r="Q2488">
            <v>0</v>
          </cell>
          <cell r="R2488">
            <v>0</v>
          </cell>
          <cell r="S2488">
            <v>0</v>
          </cell>
          <cell r="T2488">
            <v>0</v>
          </cell>
          <cell r="U2488" t="e">
            <v>#N/A</v>
          </cell>
        </row>
        <row r="2489">
          <cell r="A2489">
            <v>1002483</v>
          </cell>
          <cell r="B2489" t="str">
            <v>Abrazadera Plástica</v>
          </cell>
          <cell r="D2489">
            <v>5104</v>
          </cell>
          <cell r="E2489">
            <v>1000</v>
          </cell>
          <cell r="F2489" t="str">
            <v>ZALM</v>
          </cell>
          <cell r="G2489" t="str">
            <v>UN</v>
          </cell>
          <cell r="H2489" t="str">
            <v>DOP</v>
          </cell>
          <cell r="I2489">
            <v>44455</v>
          </cell>
          <cell r="J2489">
            <v>526749.30000000005</v>
          </cell>
          <cell r="K2489">
            <v>0</v>
          </cell>
          <cell r="L2489">
            <v>0</v>
          </cell>
          <cell r="M2489">
            <v>0</v>
          </cell>
          <cell r="N2489">
            <v>0</v>
          </cell>
          <cell r="O2489">
            <v>0</v>
          </cell>
          <cell r="P2489">
            <v>0</v>
          </cell>
          <cell r="Q2489">
            <v>0</v>
          </cell>
          <cell r="R2489">
            <v>0</v>
          </cell>
          <cell r="S2489">
            <v>44455</v>
          </cell>
          <cell r="T2489">
            <v>526749.30000000005</v>
          </cell>
          <cell r="U2489">
            <v>11.849045101788301</v>
          </cell>
        </row>
        <row r="2490">
          <cell r="A2490">
            <v>1002484</v>
          </cell>
          <cell r="B2490" t="str">
            <v>Adaptador PVC Hembra 1''</v>
          </cell>
          <cell r="D2490">
            <v>5104</v>
          </cell>
          <cell r="E2490">
            <v>1000</v>
          </cell>
          <cell r="F2490" t="str">
            <v>ZALM</v>
          </cell>
          <cell r="G2490" t="str">
            <v>UN</v>
          </cell>
          <cell r="H2490" t="str">
            <v>DOP</v>
          </cell>
          <cell r="I2490">
            <v>0</v>
          </cell>
          <cell r="J2490">
            <v>0</v>
          </cell>
          <cell r="K2490">
            <v>0</v>
          </cell>
          <cell r="L2490">
            <v>0</v>
          </cell>
          <cell r="M2490">
            <v>0</v>
          </cell>
          <cell r="N2490">
            <v>0</v>
          </cell>
          <cell r="O2490">
            <v>0</v>
          </cell>
          <cell r="P2490">
            <v>0</v>
          </cell>
          <cell r="Q2490">
            <v>12100</v>
          </cell>
          <cell r="R2490">
            <v>96006.24</v>
          </cell>
          <cell r="S2490">
            <v>12100</v>
          </cell>
          <cell r="T2490">
            <v>96006.24</v>
          </cell>
          <cell r="U2490">
            <v>7.9344000000000001</v>
          </cell>
        </row>
        <row r="2491">
          <cell r="A2491">
            <v>1002485</v>
          </cell>
          <cell r="B2491" t="str">
            <v>Adaptador PVC Hembra 1/2"</v>
          </cell>
          <cell r="D2491">
            <v>5104</v>
          </cell>
          <cell r="E2491">
            <v>1000</v>
          </cell>
          <cell r="F2491" t="str">
            <v>ZALM</v>
          </cell>
          <cell r="G2491" t="str">
            <v>UN</v>
          </cell>
          <cell r="H2491" t="str">
            <v>DOP</v>
          </cell>
          <cell r="I2491">
            <v>9</v>
          </cell>
          <cell r="J2491">
            <v>24.57</v>
          </cell>
          <cell r="K2491">
            <v>0</v>
          </cell>
          <cell r="L2491">
            <v>0</v>
          </cell>
          <cell r="M2491">
            <v>0</v>
          </cell>
          <cell r="N2491">
            <v>0</v>
          </cell>
          <cell r="O2491">
            <v>0</v>
          </cell>
          <cell r="P2491">
            <v>0</v>
          </cell>
          <cell r="Q2491">
            <v>0</v>
          </cell>
          <cell r="R2491">
            <v>0</v>
          </cell>
          <cell r="S2491">
            <v>9</v>
          </cell>
          <cell r="T2491">
            <v>24.57</v>
          </cell>
          <cell r="U2491">
            <v>2.73</v>
          </cell>
        </row>
        <row r="2492">
          <cell r="A2492">
            <v>1002486</v>
          </cell>
          <cell r="B2492" t="str">
            <v>Adaptador PVC Hembra 2" Rosca Presion</v>
          </cell>
          <cell r="D2492">
            <v>5104</v>
          </cell>
          <cell r="E2492">
            <v>1000</v>
          </cell>
          <cell r="F2492" t="str">
            <v>ZALM</v>
          </cell>
          <cell r="G2492" t="str">
            <v>UN</v>
          </cell>
          <cell r="H2492" t="str">
            <v>DOP</v>
          </cell>
          <cell r="I2492">
            <v>1883</v>
          </cell>
          <cell r="J2492">
            <v>38778.800000000003</v>
          </cell>
          <cell r="K2492">
            <v>0</v>
          </cell>
          <cell r="L2492">
            <v>0</v>
          </cell>
          <cell r="M2492">
            <v>0</v>
          </cell>
          <cell r="N2492">
            <v>0</v>
          </cell>
          <cell r="O2492">
            <v>0</v>
          </cell>
          <cell r="P2492">
            <v>0</v>
          </cell>
          <cell r="Q2492">
            <v>0</v>
          </cell>
          <cell r="R2492">
            <v>0</v>
          </cell>
          <cell r="S2492">
            <v>1883</v>
          </cell>
          <cell r="T2492">
            <v>38778.800000000003</v>
          </cell>
          <cell r="U2492">
            <v>20.594158258098801</v>
          </cell>
        </row>
        <row r="2493">
          <cell r="A2493">
            <v>1002487</v>
          </cell>
          <cell r="B2493" t="str">
            <v>Adaptador PVC Macho 1''</v>
          </cell>
          <cell r="D2493">
            <v>5104</v>
          </cell>
          <cell r="E2493">
            <v>1000</v>
          </cell>
          <cell r="F2493" t="str">
            <v>ZALM</v>
          </cell>
          <cell r="G2493" t="str">
            <v>UN</v>
          </cell>
          <cell r="H2493" t="str">
            <v>DOP</v>
          </cell>
          <cell r="I2493">
            <v>0</v>
          </cell>
          <cell r="J2493">
            <v>0</v>
          </cell>
          <cell r="K2493">
            <v>0</v>
          </cell>
          <cell r="L2493">
            <v>0</v>
          </cell>
          <cell r="M2493">
            <v>0</v>
          </cell>
          <cell r="N2493">
            <v>0</v>
          </cell>
          <cell r="O2493">
            <v>0</v>
          </cell>
          <cell r="P2493">
            <v>0</v>
          </cell>
          <cell r="Q2493">
            <v>10720</v>
          </cell>
          <cell r="R2493">
            <v>70010.179999999993</v>
          </cell>
          <cell r="S2493">
            <v>10720</v>
          </cell>
          <cell r="T2493">
            <v>70010.179999999993</v>
          </cell>
          <cell r="U2493">
            <v>6.5308003731343298</v>
          </cell>
        </row>
        <row r="2494">
          <cell r="A2494">
            <v>1002488</v>
          </cell>
          <cell r="B2494" t="str">
            <v>Adaptador PVC Macho 1/2"</v>
          </cell>
          <cell r="D2494">
            <v>5104</v>
          </cell>
          <cell r="E2494">
            <v>1000</v>
          </cell>
          <cell r="F2494" t="str">
            <v>ZALM</v>
          </cell>
          <cell r="G2494" t="str">
            <v>UN</v>
          </cell>
          <cell r="H2494" t="str">
            <v>DOP</v>
          </cell>
          <cell r="I2494">
            <v>1192</v>
          </cell>
          <cell r="J2494">
            <v>2862</v>
          </cell>
          <cell r="K2494">
            <v>0</v>
          </cell>
          <cell r="L2494">
            <v>0</v>
          </cell>
          <cell r="M2494">
            <v>0</v>
          </cell>
          <cell r="N2494">
            <v>0</v>
          </cell>
          <cell r="O2494">
            <v>0</v>
          </cell>
          <cell r="P2494">
            <v>0</v>
          </cell>
          <cell r="Q2494">
            <v>0</v>
          </cell>
          <cell r="R2494">
            <v>0</v>
          </cell>
          <cell r="S2494">
            <v>1192</v>
          </cell>
          <cell r="T2494">
            <v>2862</v>
          </cell>
          <cell r="U2494">
            <v>2.4010067114094</v>
          </cell>
        </row>
        <row r="2495">
          <cell r="A2495">
            <v>1002489</v>
          </cell>
          <cell r="B2495" t="str">
            <v>Adaptador PVC Macho 2''</v>
          </cell>
          <cell r="D2495">
            <v>5104</v>
          </cell>
          <cell r="E2495">
            <v>1000</v>
          </cell>
          <cell r="F2495" t="str">
            <v>ZALM</v>
          </cell>
          <cell r="G2495" t="str">
            <v>UN</v>
          </cell>
          <cell r="H2495" t="str">
            <v>DOP</v>
          </cell>
          <cell r="I2495">
            <v>2453</v>
          </cell>
          <cell r="J2495">
            <v>48225.98</v>
          </cell>
          <cell r="K2495">
            <v>0</v>
          </cell>
          <cell r="L2495">
            <v>0</v>
          </cell>
          <cell r="M2495">
            <v>0</v>
          </cell>
          <cell r="N2495">
            <v>0</v>
          </cell>
          <cell r="O2495">
            <v>0</v>
          </cell>
          <cell r="P2495">
            <v>0</v>
          </cell>
          <cell r="Q2495">
            <v>0</v>
          </cell>
          <cell r="R2495">
            <v>0</v>
          </cell>
          <cell r="S2495">
            <v>2453</v>
          </cell>
          <cell r="T2495">
            <v>48225.98</v>
          </cell>
          <cell r="U2495">
            <v>19.66</v>
          </cell>
        </row>
        <row r="2496">
          <cell r="A2496">
            <v>1002490</v>
          </cell>
          <cell r="B2496" t="str">
            <v>Canaleta  60 x 60 2 Mtr</v>
          </cell>
          <cell r="D2496">
            <v>5104</v>
          </cell>
          <cell r="E2496">
            <v>1000</v>
          </cell>
          <cell r="F2496" t="str">
            <v>ZALM</v>
          </cell>
          <cell r="G2496" t="str">
            <v>UN</v>
          </cell>
          <cell r="H2496" t="str">
            <v>DOP</v>
          </cell>
          <cell r="I2496">
            <v>233</v>
          </cell>
          <cell r="J2496">
            <v>102189.35</v>
          </cell>
          <cell r="K2496">
            <v>0</v>
          </cell>
          <cell r="L2496">
            <v>0</v>
          </cell>
          <cell r="M2496">
            <v>0</v>
          </cell>
          <cell r="N2496">
            <v>0</v>
          </cell>
          <cell r="O2496">
            <v>0</v>
          </cell>
          <cell r="P2496">
            <v>0</v>
          </cell>
          <cell r="Q2496">
            <v>0</v>
          </cell>
          <cell r="R2496">
            <v>0</v>
          </cell>
          <cell r="S2496">
            <v>233</v>
          </cell>
          <cell r="T2496">
            <v>102189.35</v>
          </cell>
          <cell r="U2496">
            <v>438.58090128755401</v>
          </cell>
        </row>
        <row r="2497">
          <cell r="A2497">
            <v>1002491</v>
          </cell>
          <cell r="B2497" t="str">
            <v>Canaleta  80 x 80 2 Mtr</v>
          </cell>
          <cell r="D2497">
            <v>5104</v>
          </cell>
          <cell r="E2497">
            <v>1000</v>
          </cell>
          <cell r="F2497" t="str">
            <v>ZALM</v>
          </cell>
          <cell r="G2497" t="str">
            <v>UN</v>
          </cell>
          <cell r="H2497" t="str">
            <v>DOP</v>
          </cell>
          <cell r="I2497">
            <v>236</v>
          </cell>
          <cell r="J2497">
            <v>165855.15</v>
          </cell>
          <cell r="K2497">
            <v>0</v>
          </cell>
          <cell r="L2497">
            <v>0</v>
          </cell>
          <cell r="M2497">
            <v>0</v>
          </cell>
          <cell r="N2497">
            <v>0</v>
          </cell>
          <cell r="O2497">
            <v>0</v>
          </cell>
          <cell r="P2497">
            <v>0</v>
          </cell>
          <cell r="Q2497">
            <v>0</v>
          </cell>
          <cell r="R2497">
            <v>0</v>
          </cell>
          <cell r="S2497">
            <v>236</v>
          </cell>
          <cell r="T2497">
            <v>165855.15</v>
          </cell>
          <cell r="U2497">
            <v>702.77605932203403</v>
          </cell>
        </row>
        <row r="2498">
          <cell r="A2498">
            <v>1002492</v>
          </cell>
          <cell r="B2498" t="str">
            <v>Canaleta 2"X3" Perforada</v>
          </cell>
          <cell r="D2498">
            <v>5104</v>
          </cell>
          <cell r="E2498">
            <v>1000</v>
          </cell>
          <cell r="F2498" t="str">
            <v>ZALM</v>
          </cell>
          <cell r="G2498" t="str">
            <v>UN</v>
          </cell>
          <cell r="H2498" t="str">
            <v>DOP</v>
          </cell>
          <cell r="I2498">
            <v>0</v>
          </cell>
          <cell r="J2498">
            <v>0</v>
          </cell>
          <cell r="K2498">
            <v>0</v>
          </cell>
          <cell r="L2498">
            <v>0</v>
          </cell>
          <cell r="M2498">
            <v>0</v>
          </cell>
          <cell r="N2498">
            <v>0</v>
          </cell>
          <cell r="O2498">
            <v>0</v>
          </cell>
          <cell r="P2498">
            <v>0</v>
          </cell>
          <cell r="Q2498">
            <v>0</v>
          </cell>
          <cell r="R2498">
            <v>0</v>
          </cell>
          <cell r="S2498">
            <v>0</v>
          </cell>
          <cell r="T2498">
            <v>0</v>
          </cell>
          <cell r="U2498" t="e">
            <v>#N/A</v>
          </cell>
        </row>
        <row r="2499">
          <cell r="A2499">
            <v>1002493</v>
          </cell>
          <cell r="B2499" t="str">
            <v>Canaleta 3"X4" Perforada</v>
          </cell>
          <cell r="D2499">
            <v>5104</v>
          </cell>
          <cell r="E2499">
            <v>1000</v>
          </cell>
          <cell r="F2499" t="str">
            <v>ZALM</v>
          </cell>
          <cell r="G2499" t="str">
            <v>UN</v>
          </cell>
          <cell r="H2499" t="str">
            <v>DOP</v>
          </cell>
          <cell r="I2499">
            <v>0</v>
          </cell>
          <cell r="J2499">
            <v>0</v>
          </cell>
          <cell r="K2499">
            <v>0</v>
          </cell>
          <cell r="L2499">
            <v>0</v>
          </cell>
          <cell r="M2499">
            <v>0</v>
          </cell>
          <cell r="N2499">
            <v>0</v>
          </cell>
          <cell r="O2499">
            <v>0</v>
          </cell>
          <cell r="P2499">
            <v>0</v>
          </cell>
          <cell r="Q2499">
            <v>0</v>
          </cell>
          <cell r="R2499">
            <v>0</v>
          </cell>
          <cell r="S2499">
            <v>0</v>
          </cell>
          <cell r="T2499">
            <v>0</v>
          </cell>
          <cell r="U2499" t="e">
            <v>#N/A</v>
          </cell>
        </row>
        <row r="2500">
          <cell r="A2500">
            <v>1002494</v>
          </cell>
          <cell r="B2500" t="str">
            <v>Canaleta 60 x 120mm</v>
          </cell>
          <cell r="D2500">
            <v>5104</v>
          </cell>
          <cell r="E2500">
            <v>1000</v>
          </cell>
          <cell r="F2500" t="str">
            <v>ZALM</v>
          </cell>
          <cell r="G2500" t="str">
            <v>UN</v>
          </cell>
          <cell r="H2500" t="str">
            <v>DOP</v>
          </cell>
          <cell r="I2500">
            <v>12</v>
          </cell>
          <cell r="J2500">
            <v>18143.34</v>
          </cell>
          <cell r="K2500">
            <v>0</v>
          </cell>
          <cell r="L2500">
            <v>0</v>
          </cell>
          <cell r="M2500">
            <v>0</v>
          </cell>
          <cell r="N2500">
            <v>0</v>
          </cell>
          <cell r="O2500">
            <v>0</v>
          </cell>
          <cell r="P2500">
            <v>0</v>
          </cell>
          <cell r="Q2500">
            <v>0</v>
          </cell>
          <cell r="R2500">
            <v>0</v>
          </cell>
          <cell r="S2500">
            <v>12</v>
          </cell>
          <cell r="T2500">
            <v>18143.34</v>
          </cell>
          <cell r="U2500">
            <v>1511.9449999999999</v>
          </cell>
        </row>
        <row r="2501">
          <cell r="A2501">
            <v>1002495</v>
          </cell>
          <cell r="B2501" t="str">
            <v>Canaleta LEGRAN 60 x 180</v>
          </cell>
          <cell r="D2501">
            <v>5104</v>
          </cell>
          <cell r="E2501">
            <v>1000</v>
          </cell>
          <cell r="F2501" t="str">
            <v>ZALM</v>
          </cell>
          <cell r="G2501" t="str">
            <v>UN</v>
          </cell>
          <cell r="H2501" t="str">
            <v>DOP</v>
          </cell>
          <cell r="I2501">
            <v>0</v>
          </cell>
          <cell r="J2501">
            <v>0</v>
          </cell>
          <cell r="K2501">
            <v>0</v>
          </cell>
          <cell r="L2501">
            <v>0</v>
          </cell>
          <cell r="M2501">
            <v>0</v>
          </cell>
          <cell r="N2501">
            <v>0</v>
          </cell>
          <cell r="O2501">
            <v>0</v>
          </cell>
          <cell r="P2501">
            <v>0</v>
          </cell>
          <cell r="Q2501">
            <v>0</v>
          </cell>
          <cell r="R2501">
            <v>0</v>
          </cell>
          <cell r="S2501">
            <v>0</v>
          </cell>
          <cell r="T2501">
            <v>0</v>
          </cell>
          <cell r="U2501" t="e">
            <v>#N/A</v>
          </cell>
        </row>
        <row r="2502">
          <cell r="A2502">
            <v>1002496</v>
          </cell>
          <cell r="B2502" t="str">
            <v>Canaleta Plást 50 x 50</v>
          </cell>
          <cell r="D2502">
            <v>5104</v>
          </cell>
          <cell r="E2502">
            <v>1000</v>
          </cell>
          <cell r="F2502" t="str">
            <v>ZALM</v>
          </cell>
          <cell r="G2502" t="str">
            <v>UN</v>
          </cell>
          <cell r="H2502" t="str">
            <v>DOP</v>
          </cell>
          <cell r="I2502">
            <v>0</v>
          </cell>
          <cell r="J2502">
            <v>0</v>
          </cell>
          <cell r="K2502">
            <v>0</v>
          </cell>
          <cell r="L2502">
            <v>0</v>
          </cell>
          <cell r="M2502">
            <v>0</v>
          </cell>
          <cell r="N2502">
            <v>0</v>
          </cell>
          <cell r="O2502">
            <v>0</v>
          </cell>
          <cell r="P2502">
            <v>0</v>
          </cell>
          <cell r="Q2502">
            <v>0</v>
          </cell>
          <cell r="R2502">
            <v>0</v>
          </cell>
          <cell r="S2502">
            <v>0</v>
          </cell>
          <cell r="T2502">
            <v>0</v>
          </cell>
          <cell r="U2502" t="e">
            <v>#N/A</v>
          </cell>
        </row>
        <row r="2503">
          <cell r="A2503">
            <v>1002497</v>
          </cell>
          <cell r="B2503" t="str">
            <v>Canaleta Plást 80 x 60</v>
          </cell>
          <cell r="D2503">
            <v>5104</v>
          </cell>
          <cell r="E2503">
            <v>1000</v>
          </cell>
          <cell r="F2503" t="str">
            <v>ZALM</v>
          </cell>
          <cell r="G2503" t="str">
            <v>UN</v>
          </cell>
          <cell r="H2503" t="str">
            <v>DOP</v>
          </cell>
          <cell r="I2503">
            <v>0</v>
          </cell>
          <cell r="J2503">
            <v>0</v>
          </cell>
          <cell r="K2503">
            <v>0</v>
          </cell>
          <cell r="L2503">
            <v>0</v>
          </cell>
          <cell r="M2503">
            <v>0</v>
          </cell>
          <cell r="N2503">
            <v>0</v>
          </cell>
          <cell r="O2503">
            <v>0</v>
          </cell>
          <cell r="P2503">
            <v>0</v>
          </cell>
          <cell r="Q2503">
            <v>0</v>
          </cell>
          <cell r="R2503">
            <v>0</v>
          </cell>
          <cell r="S2503">
            <v>0</v>
          </cell>
          <cell r="T2503">
            <v>0</v>
          </cell>
          <cell r="U2503" t="e">
            <v>#N/A</v>
          </cell>
        </row>
        <row r="2504">
          <cell r="A2504">
            <v>1002498</v>
          </cell>
          <cell r="B2504" t="str">
            <v>Cemento PVC</v>
          </cell>
          <cell r="D2504">
            <v>5104</v>
          </cell>
          <cell r="E2504">
            <v>1000</v>
          </cell>
          <cell r="F2504" t="str">
            <v>ZALM</v>
          </cell>
          <cell r="G2504" t="str">
            <v>UN</v>
          </cell>
          <cell r="H2504" t="str">
            <v>DOP</v>
          </cell>
          <cell r="I2504">
            <v>0</v>
          </cell>
          <cell r="J2504">
            <v>0</v>
          </cell>
          <cell r="K2504">
            <v>0</v>
          </cell>
          <cell r="L2504">
            <v>0</v>
          </cell>
          <cell r="M2504">
            <v>0</v>
          </cell>
          <cell r="N2504">
            <v>0</v>
          </cell>
          <cell r="O2504">
            <v>0</v>
          </cell>
          <cell r="P2504">
            <v>0</v>
          </cell>
          <cell r="Q2504">
            <v>0</v>
          </cell>
          <cell r="R2504">
            <v>0</v>
          </cell>
          <cell r="S2504">
            <v>0</v>
          </cell>
          <cell r="T2504">
            <v>0</v>
          </cell>
          <cell r="U2504" t="e">
            <v>#N/A</v>
          </cell>
        </row>
        <row r="2505">
          <cell r="A2505">
            <v>1002499</v>
          </cell>
          <cell r="B2505" t="str">
            <v>Conector Recto de PVC 1"</v>
          </cell>
          <cell r="D2505">
            <v>5104</v>
          </cell>
          <cell r="E2505">
            <v>1000</v>
          </cell>
          <cell r="F2505" t="str">
            <v>ZALM</v>
          </cell>
          <cell r="G2505" t="str">
            <v>M</v>
          </cell>
          <cell r="H2505" t="str">
            <v>DOP</v>
          </cell>
          <cell r="I2505">
            <v>0</v>
          </cell>
          <cell r="J2505">
            <v>0</v>
          </cell>
          <cell r="K2505">
            <v>0</v>
          </cell>
          <cell r="L2505">
            <v>0</v>
          </cell>
          <cell r="M2505">
            <v>0</v>
          </cell>
          <cell r="N2505">
            <v>0</v>
          </cell>
          <cell r="O2505">
            <v>0</v>
          </cell>
          <cell r="P2505">
            <v>0</v>
          </cell>
          <cell r="Q2505">
            <v>0</v>
          </cell>
          <cell r="R2505">
            <v>0</v>
          </cell>
          <cell r="S2505">
            <v>0</v>
          </cell>
          <cell r="T2505">
            <v>0</v>
          </cell>
          <cell r="U2505" t="e">
            <v>#N/A</v>
          </cell>
        </row>
        <row r="2506">
          <cell r="A2506">
            <v>1002500</v>
          </cell>
          <cell r="B2506" t="str">
            <v>Conector Recto de PVC 2"</v>
          </cell>
          <cell r="D2506">
            <v>5104</v>
          </cell>
          <cell r="E2506">
            <v>1000</v>
          </cell>
          <cell r="F2506" t="str">
            <v>ZALM</v>
          </cell>
          <cell r="G2506" t="str">
            <v>UN</v>
          </cell>
          <cell r="H2506" t="str">
            <v>DOP</v>
          </cell>
          <cell r="I2506">
            <v>0</v>
          </cell>
          <cell r="J2506">
            <v>0</v>
          </cell>
          <cell r="K2506">
            <v>0</v>
          </cell>
          <cell r="L2506">
            <v>0</v>
          </cell>
          <cell r="M2506">
            <v>0</v>
          </cell>
          <cell r="N2506">
            <v>0</v>
          </cell>
          <cell r="O2506">
            <v>0</v>
          </cell>
          <cell r="P2506">
            <v>0</v>
          </cell>
          <cell r="Q2506">
            <v>0</v>
          </cell>
          <cell r="R2506">
            <v>0</v>
          </cell>
          <cell r="S2506">
            <v>0</v>
          </cell>
          <cell r="T2506">
            <v>0</v>
          </cell>
          <cell r="U2506" t="e">
            <v>#N/A</v>
          </cell>
        </row>
        <row r="2507">
          <cell r="A2507">
            <v>1002501</v>
          </cell>
          <cell r="B2507" t="str">
            <v>Conectores Machos 2" PVC</v>
          </cell>
          <cell r="D2507">
            <v>5104</v>
          </cell>
          <cell r="E2507">
            <v>1000</v>
          </cell>
          <cell r="F2507" t="str">
            <v>ZALM</v>
          </cell>
          <cell r="G2507" t="str">
            <v>UN</v>
          </cell>
          <cell r="H2507" t="str">
            <v>DOP</v>
          </cell>
          <cell r="I2507">
            <v>0</v>
          </cell>
          <cell r="J2507">
            <v>0</v>
          </cell>
          <cell r="K2507">
            <v>0</v>
          </cell>
          <cell r="L2507">
            <v>0</v>
          </cell>
          <cell r="M2507">
            <v>0</v>
          </cell>
          <cell r="N2507">
            <v>0</v>
          </cell>
          <cell r="O2507">
            <v>0</v>
          </cell>
          <cell r="P2507">
            <v>0</v>
          </cell>
          <cell r="Q2507">
            <v>0</v>
          </cell>
          <cell r="R2507">
            <v>0</v>
          </cell>
          <cell r="S2507">
            <v>0</v>
          </cell>
          <cell r="T2507">
            <v>0</v>
          </cell>
          <cell r="U2507" t="e">
            <v>#N/A</v>
          </cell>
        </row>
        <row r="2508">
          <cell r="A2508">
            <v>1002502</v>
          </cell>
          <cell r="B2508" t="str">
            <v>Coupling de Unión PVC P/ Tubos de 1''</v>
          </cell>
          <cell r="D2508">
            <v>5104</v>
          </cell>
          <cell r="E2508">
            <v>1000</v>
          </cell>
          <cell r="F2508" t="str">
            <v>ZALM</v>
          </cell>
          <cell r="G2508" t="str">
            <v>UN</v>
          </cell>
          <cell r="H2508" t="str">
            <v>DOP</v>
          </cell>
          <cell r="I2508">
            <v>0</v>
          </cell>
          <cell r="J2508">
            <v>0</v>
          </cell>
          <cell r="K2508">
            <v>0</v>
          </cell>
          <cell r="L2508">
            <v>0</v>
          </cell>
          <cell r="M2508">
            <v>0</v>
          </cell>
          <cell r="N2508">
            <v>0</v>
          </cell>
          <cell r="O2508">
            <v>0</v>
          </cell>
          <cell r="P2508">
            <v>0</v>
          </cell>
          <cell r="Q2508">
            <v>0</v>
          </cell>
          <cell r="R2508">
            <v>0</v>
          </cell>
          <cell r="S2508">
            <v>0</v>
          </cell>
          <cell r="T2508">
            <v>0</v>
          </cell>
          <cell r="U2508" t="e">
            <v>#N/A</v>
          </cell>
        </row>
        <row r="2509">
          <cell r="A2509">
            <v>1002503</v>
          </cell>
          <cell r="B2509" t="str">
            <v>Curva PVC 1''</v>
          </cell>
          <cell r="D2509">
            <v>5104</v>
          </cell>
          <cell r="E2509">
            <v>1000</v>
          </cell>
          <cell r="F2509" t="str">
            <v>ZALM</v>
          </cell>
          <cell r="G2509" t="str">
            <v>UN</v>
          </cell>
          <cell r="H2509" t="str">
            <v>DOP</v>
          </cell>
          <cell r="I2509">
            <v>245</v>
          </cell>
          <cell r="J2509">
            <v>2060.4499999999998</v>
          </cell>
          <cell r="K2509">
            <v>0</v>
          </cell>
          <cell r="L2509">
            <v>0</v>
          </cell>
          <cell r="M2509">
            <v>0</v>
          </cell>
          <cell r="N2509">
            <v>0</v>
          </cell>
          <cell r="O2509">
            <v>0</v>
          </cell>
          <cell r="P2509">
            <v>0</v>
          </cell>
          <cell r="Q2509">
            <v>0</v>
          </cell>
          <cell r="R2509">
            <v>0</v>
          </cell>
          <cell r="S2509">
            <v>245</v>
          </cell>
          <cell r="T2509">
            <v>2060.4499999999998</v>
          </cell>
          <cell r="U2509">
            <v>8.41</v>
          </cell>
        </row>
        <row r="2510">
          <cell r="A2510">
            <v>1002504</v>
          </cell>
          <cell r="B2510" t="str">
            <v>Curva PVC 1/2''</v>
          </cell>
          <cell r="D2510">
            <v>5104</v>
          </cell>
          <cell r="E2510">
            <v>1000</v>
          </cell>
          <cell r="F2510" t="str">
            <v>ZALM</v>
          </cell>
          <cell r="G2510" t="str">
            <v>UN</v>
          </cell>
          <cell r="H2510" t="str">
            <v>DOP</v>
          </cell>
          <cell r="I2510">
            <v>0</v>
          </cell>
          <cell r="J2510">
            <v>0</v>
          </cell>
          <cell r="K2510">
            <v>0</v>
          </cell>
          <cell r="L2510">
            <v>0</v>
          </cell>
          <cell r="M2510">
            <v>0</v>
          </cell>
          <cell r="N2510">
            <v>0</v>
          </cell>
          <cell r="O2510">
            <v>0</v>
          </cell>
          <cell r="P2510">
            <v>0</v>
          </cell>
          <cell r="Q2510">
            <v>0</v>
          </cell>
          <cell r="R2510">
            <v>0</v>
          </cell>
          <cell r="S2510">
            <v>0</v>
          </cell>
          <cell r="T2510">
            <v>0</v>
          </cell>
          <cell r="U2510" t="e">
            <v>#N/A</v>
          </cell>
        </row>
        <row r="2511">
          <cell r="A2511">
            <v>1002505</v>
          </cell>
          <cell r="B2511" t="str">
            <v>Curva PVC 2"</v>
          </cell>
          <cell r="D2511">
            <v>5104</v>
          </cell>
          <cell r="E2511">
            <v>1000</v>
          </cell>
          <cell r="F2511" t="str">
            <v>ZALM</v>
          </cell>
          <cell r="G2511" t="str">
            <v>UN</v>
          </cell>
          <cell r="H2511" t="str">
            <v>DOP</v>
          </cell>
          <cell r="I2511">
            <v>133</v>
          </cell>
          <cell r="J2511">
            <v>3857</v>
          </cell>
          <cell r="K2511">
            <v>0</v>
          </cell>
          <cell r="L2511">
            <v>0</v>
          </cell>
          <cell r="M2511">
            <v>0</v>
          </cell>
          <cell r="N2511">
            <v>0</v>
          </cell>
          <cell r="O2511">
            <v>0</v>
          </cell>
          <cell r="P2511">
            <v>0</v>
          </cell>
          <cell r="Q2511">
            <v>0</v>
          </cell>
          <cell r="R2511">
            <v>0</v>
          </cell>
          <cell r="S2511">
            <v>133</v>
          </cell>
          <cell r="T2511">
            <v>3857</v>
          </cell>
          <cell r="U2511">
            <v>29</v>
          </cell>
        </row>
        <row r="2512">
          <cell r="A2512">
            <v>1002506</v>
          </cell>
          <cell r="B2512" t="str">
            <v>Curva PVC 3"</v>
          </cell>
          <cell r="D2512">
            <v>5104</v>
          </cell>
          <cell r="E2512">
            <v>1000</v>
          </cell>
          <cell r="F2512" t="str">
            <v>ZALM</v>
          </cell>
          <cell r="G2512" t="str">
            <v>UN</v>
          </cell>
          <cell r="H2512" t="str">
            <v>DOP</v>
          </cell>
          <cell r="I2512">
            <v>0</v>
          </cell>
          <cell r="J2512">
            <v>0</v>
          </cell>
          <cell r="K2512">
            <v>0</v>
          </cell>
          <cell r="L2512">
            <v>0</v>
          </cell>
          <cell r="M2512">
            <v>0</v>
          </cell>
          <cell r="N2512">
            <v>0</v>
          </cell>
          <cell r="O2512">
            <v>0</v>
          </cell>
          <cell r="P2512">
            <v>0</v>
          </cell>
          <cell r="Q2512">
            <v>0</v>
          </cell>
          <cell r="R2512">
            <v>0</v>
          </cell>
          <cell r="S2512">
            <v>0</v>
          </cell>
          <cell r="T2512">
            <v>0</v>
          </cell>
          <cell r="U2512" t="e">
            <v>#N/A</v>
          </cell>
        </row>
        <row r="2513">
          <cell r="A2513">
            <v>1002507</v>
          </cell>
          <cell r="B2513" t="str">
            <v>Curva Semi-Presión 4"</v>
          </cell>
          <cell r="D2513">
            <v>5104</v>
          </cell>
          <cell r="E2513">
            <v>1000</v>
          </cell>
          <cell r="F2513" t="str">
            <v>ZALM</v>
          </cell>
          <cell r="G2513" t="str">
            <v>UN</v>
          </cell>
          <cell r="H2513" t="str">
            <v>DOP</v>
          </cell>
          <cell r="I2513">
            <v>0</v>
          </cell>
          <cell r="J2513">
            <v>0</v>
          </cell>
          <cell r="K2513">
            <v>0</v>
          </cell>
          <cell r="L2513">
            <v>0</v>
          </cell>
          <cell r="M2513">
            <v>0</v>
          </cell>
          <cell r="N2513">
            <v>0</v>
          </cell>
          <cell r="O2513">
            <v>0</v>
          </cell>
          <cell r="P2513">
            <v>0</v>
          </cell>
          <cell r="Q2513">
            <v>0</v>
          </cell>
          <cell r="R2513">
            <v>0</v>
          </cell>
          <cell r="S2513">
            <v>0</v>
          </cell>
          <cell r="T2513">
            <v>0</v>
          </cell>
          <cell r="U2513" t="e">
            <v>#N/A</v>
          </cell>
        </row>
        <row r="2514">
          <cell r="A2514">
            <v>1002508</v>
          </cell>
          <cell r="B2514" t="str">
            <v>Tapa P/ Canaleta</v>
          </cell>
          <cell r="D2514">
            <v>5104</v>
          </cell>
          <cell r="E2514">
            <v>1000</v>
          </cell>
          <cell r="F2514" t="str">
            <v>ZALM</v>
          </cell>
          <cell r="G2514" t="str">
            <v>UN</v>
          </cell>
          <cell r="H2514" t="str">
            <v>DOP</v>
          </cell>
          <cell r="I2514">
            <v>0</v>
          </cell>
          <cell r="J2514">
            <v>0</v>
          </cell>
          <cell r="K2514">
            <v>0</v>
          </cell>
          <cell r="L2514">
            <v>0</v>
          </cell>
          <cell r="M2514">
            <v>0</v>
          </cell>
          <cell r="N2514">
            <v>0</v>
          </cell>
          <cell r="O2514">
            <v>0</v>
          </cell>
          <cell r="P2514">
            <v>0</v>
          </cell>
          <cell r="Q2514">
            <v>0</v>
          </cell>
          <cell r="R2514">
            <v>0</v>
          </cell>
          <cell r="S2514">
            <v>0</v>
          </cell>
          <cell r="T2514">
            <v>0</v>
          </cell>
          <cell r="U2514" t="e">
            <v>#N/A</v>
          </cell>
        </row>
        <row r="2515">
          <cell r="A2515">
            <v>1002509</v>
          </cell>
          <cell r="B2515" t="str">
            <v>Tuberia Semi-Presión 4"</v>
          </cell>
          <cell r="D2515">
            <v>5104</v>
          </cell>
          <cell r="E2515">
            <v>1000</v>
          </cell>
          <cell r="F2515" t="str">
            <v>ZALM</v>
          </cell>
          <cell r="G2515" t="str">
            <v>UN</v>
          </cell>
          <cell r="H2515" t="str">
            <v>DOP</v>
          </cell>
          <cell r="I2515">
            <v>0</v>
          </cell>
          <cell r="J2515">
            <v>0</v>
          </cell>
          <cell r="K2515">
            <v>0</v>
          </cell>
          <cell r="L2515">
            <v>0</v>
          </cell>
          <cell r="M2515">
            <v>0</v>
          </cell>
          <cell r="N2515">
            <v>0</v>
          </cell>
          <cell r="O2515">
            <v>0</v>
          </cell>
          <cell r="P2515">
            <v>0</v>
          </cell>
          <cell r="Q2515">
            <v>0</v>
          </cell>
          <cell r="R2515">
            <v>0</v>
          </cell>
          <cell r="S2515">
            <v>0</v>
          </cell>
          <cell r="T2515">
            <v>0</v>
          </cell>
          <cell r="U2515" t="e">
            <v>#N/A</v>
          </cell>
        </row>
        <row r="2516">
          <cell r="A2516">
            <v>1002510</v>
          </cell>
          <cell r="B2516" t="str">
            <v>Tubo 1"x20' SDR-26 PVC</v>
          </cell>
          <cell r="D2516">
            <v>5104</v>
          </cell>
          <cell r="E2516">
            <v>1000</v>
          </cell>
          <cell r="F2516" t="str">
            <v>ZALM</v>
          </cell>
          <cell r="G2516" t="str">
            <v>UN</v>
          </cell>
          <cell r="H2516" t="str">
            <v>DOP</v>
          </cell>
          <cell r="I2516">
            <v>0</v>
          </cell>
          <cell r="J2516">
            <v>0</v>
          </cell>
          <cell r="K2516">
            <v>0</v>
          </cell>
          <cell r="L2516">
            <v>0</v>
          </cell>
          <cell r="M2516">
            <v>0</v>
          </cell>
          <cell r="N2516">
            <v>0</v>
          </cell>
          <cell r="O2516">
            <v>0</v>
          </cell>
          <cell r="P2516">
            <v>0</v>
          </cell>
          <cell r="Q2516">
            <v>6139</v>
          </cell>
          <cell r="R2516">
            <v>1019191.9</v>
          </cell>
          <cell r="S2516">
            <v>6139</v>
          </cell>
          <cell r="T2516">
            <v>1019191.9</v>
          </cell>
          <cell r="U2516">
            <v>166.01920508226101</v>
          </cell>
        </row>
        <row r="2517">
          <cell r="A2517">
            <v>1002511</v>
          </cell>
          <cell r="B2517" t="str">
            <v>Tubo 1/2"x20' SDR-26 PVC</v>
          </cell>
          <cell r="D2517">
            <v>5104</v>
          </cell>
          <cell r="E2517">
            <v>1000</v>
          </cell>
          <cell r="F2517" t="str">
            <v>ZALM</v>
          </cell>
          <cell r="G2517" t="str">
            <v>UN</v>
          </cell>
          <cell r="H2517" t="str">
            <v>DOP</v>
          </cell>
          <cell r="I2517">
            <v>0</v>
          </cell>
          <cell r="J2517">
            <v>0</v>
          </cell>
          <cell r="K2517">
            <v>0</v>
          </cell>
          <cell r="L2517">
            <v>0</v>
          </cell>
          <cell r="M2517">
            <v>99</v>
          </cell>
          <cell r="N2517">
            <v>6586.07</v>
          </cell>
          <cell r="O2517">
            <v>0</v>
          </cell>
          <cell r="P2517">
            <v>0</v>
          </cell>
          <cell r="Q2517">
            <v>8814</v>
          </cell>
          <cell r="R2517">
            <v>586360.16</v>
          </cell>
          <cell r="S2517">
            <v>8913</v>
          </cell>
          <cell r="T2517">
            <v>592946.23</v>
          </cell>
          <cell r="U2517">
            <v>66.525999102434596</v>
          </cell>
        </row>
        <row r="2518">
          <cell r="A2518">
            <v>1002512</v>
          </cell>
          <cell r="B2518" t="str">
            <v>Tubo 2"x20' SDR-26 PVC</v>
          </cell>
          <cell r="D2518">
            <v>5104</v>
          </cell>
          <cell r="E2518">
            <v>1000</v>
          </cell>
          <cell r="F2518" t="str">
            <v>ZALM</v>
          </cell>
          <cell r="G2518" t="str">
            <v>UN</v>
          </cell>
          <cell r="H2518" t="str">
            <v>DOP</v>
          </cell>
          <cell r="I2518">
            <v>2574</v>
          </cell>
          <cell r="J2518">
            <v>728544.96</v>
          </cell>
          <cell r="K2518">
            <v>0</v>
          </cell>
          <cell r="L2518">
            <v>0</v>
          </cell>
          <cell r="M2518">
            <v>0</v>
          </cell>
          <cell r="N2518">
            <v>0</v>
          </cell>
          <cell r="O2518">
            <v>0</v>
          </cell>
          <cell r="P2518">
            <v>0</v>
          </cell>
          <cell r="Q2518">
            <v>0</v>
          </cell>
          <cell r="R2518">
            <v>0</v>
          </cell>
          <cell r="S2518">
            <v>2574</v>
          </cell>
          <cell r="T2518">
            <v>728544.96</v>
          </cell>
          <cell r="U2518">
            <v>283.04000000000002</v>
          </cell>
        </row>
        <row r="2519">
          <cell r="A2519">
            <v>1002513</v>
          </cell>
          <cell r="B2519" t="str">
            <v>Tubo 3" SDR-20 PVC</v>
          </cell>
          <cell r="D2519">
            <v>5104</v>
          </cell>
          <cell r="E2519">
            <v>1000</v>
          </cell>
          <cell r="F2519" t="str">
            <v>ZALM</v>
          </cell>
          <cell r="G2519" t="str">
            <v>UN</v>
          </cell>
          <cell r="H2519" t="str">
            <v>DOP</v>
          </cell>
          <cell r="I2519">
            <v>0</v>
          </cell>
          <cell r="J2519">
            <v>0</v>
          </cell>
          <cell r="K2519">
            <v>0</v>
          </cell>
          <cell r="L2519">
            <v>0</v>
          </cell>
          <cell r="M2519">
            <v>0</v>
          </cell>
          <cell r="N2519">
            <v>0</v>
          </cell>
          <cell r="O2519">
            <v>0</v>
          </cell>
          <cell r="P2519">
            <v>0</v>
          </cell>
          <cell r="Q2519">
            <v>0</v>
          </cell>
          <cell r="R2519">
            <v>0</v>
          </cell>
          <cell r="S2519">
            <v>0</v>
          </cell>
          <cell r="T2519">
            <v>0</v>
          </cell>
          <cell r="U2519" t="e">
            <v>#N/A</v>
          </cell>
        </row>
        <row r="2520">
          <cell r="A2520">
            <v>1002514</v>
          </cell>
          <cell r="B2520" t="str">
            <v>Tubo 3" SDR-26 PVC</v>
          </cell>
          <cell r="D2520">
            <v>5104</v>
          </cell>
          <cell r="E2520">
            <v>1000</v>
          </cell>
          <cell r="F2520" t="str">
            <v>ZALM</v>
          </cell>
          <cell r="G2520" t="str">
            <v>UN</v>
          </cell>
          <cell r="H2520" t="str">
            <v>DOP</v>
          </cell>
          <cell r="I2520">
            <v>0</v>
          </cell>
          <cell r="J2520">
            <v>0</v>
          </cell>
          <cell r="K2520">
            <v>0</v>
          </cell>
          <cell r="L2520">
            <v>0</v>
          </cell>
          <cell r="M2520">
            <v>0</v>
          </cell>
          <cell r="N2520">
            <v>0</v>
          </cell>
          <cell r="O2520">
            <v>0</v>
          </cell>
          <cell r="P2520">
            <v>0</v>
          </cell>
          <cell r="Q2520">
            <v>0</v>
          </cell>
          <cell r="R2520">
            <v>0</v>
          </cell>
          <cell r="S2520">
            <v>0</v>
          </cell>
          <cell r="T2520">
            <v>0</v>
          </cell>
          <cell r="U2520" t="e">
            <v>#N/A</v>
          </cell>
        </row>
        <row r="2521">
          <cell r="A2521">
            <v>1002515</v>
          </cell>
          <cell r="B2521" t="str">
            <v>Tubo 3/4"x20' SDR-26 PVC</v>
          </cell>
          <cell r="D2521">
            <v>5104</v>
          </cell>
          <cell r="E2521">
            <v>1000</v>
          </cell>
          <cell r="F2521" t="str">
            <v>ZALM</v>
          </cell>
          <cell r="G2521" t="str">
            <v>UN</v>
          </cell>
          <cell r="H2521" t="str">
            <v>DOP</v>
          </cell>
          <cell r="I2521">
            <v>0</v>
          </cell>
          <cell r="J2521">
            <v>0</v>
          </cell>
          <cell r="K2521">
            <v>0</v>
          </cell>
          <cell r="L2521">
            <v>0</v>
          </cell>
          <cell r="M2521">
            <v>0</v>
          </cell>
          <cell r="N2521">
            <v>0</v>
          </cell>
          <cell r="O2521">
            <v>0</v>
          </cell>
          <cell r="P2521">
            <v>0</v>
          </cell>
          <cell r="Q2521">
            <v>0</v>
          </cell>
          <cell r="R2521">
            <v>0</v>
          </cell>
          <cell r="S2521">
            <v>0</v>
          </cell>
          <cell r="T2521">
            <v>0</v>
          </cell>
          <cell r="U2521" t="e">
            <v>#N/A</v>
          </cell>
        </row>
        <row r="2522">
          <cell r="A2522">
            <v>1002516</v>
          </cell>
          <cell r="B2522" t="str">
            <v>Tubo 4"x20' SDR-26 PVC</v>
          </cell>
          <cell r="D2522">
            <v>5104</v>
          </cell>
          <cell r="E2522">
            <v>1000</v>
          </cell>
          <cell r="F2522" t="str">
            <v>ZALM</v>
          </cell>
          <cell r="G2522" t="str">
            <v>UN</v>
          </cell>
          <cell r="H2522" t="str">
            <v>DOP</v>
          </cell>
          <cell r="I2522">
            <v>0</v>
          </cell>
          <cell r="J2522">
            <v>0</v>
          </cell>
          <cell r="K2522">
            <v>0</v>
          </cell>
          <cell r="L2522">
            <v>0</v>
          </cell>
          <cell r="M2522">
            <v>0</v>
          </cell>
          <cell r="N2522">
            <v>0</v>
          </cell>
          <cell r="O2522">
            <v>0</v>
          </cell>
          <cell r="P2522">
            <v>0</v>
          </cell>
          <cell r="Q2522">
            <v>0</v>
          </cell>
          <cell r="R2522">
            <v>0</v>
          </cell>
          <cell r="S2522">
            <v>0</v>
          </cell>
          <cell r="T2522">
            <v>0</v>
          </cell>
          <cell r="U2522" t="e">
            <v>#N/A</v>
          </cell>
        </row>
        <row r="2523">
          <cell r="A2523">
            <v>1002517</v>
          </cell>
          <cell r="B2523" t="str">
            <v>Tubo 6"x19' SDR-26 PVC</v>
          </cell>
          <cell r="D2523">
            <v>5104</v>
          </cell>
          <cell r="E2523">
            <v>1000</v>
          </cell>
          <cell r="F2523" t="str">
            <v>ZALM</v>
          </cell>
          <cell r="G2523" t="str">
            <v>UN</v>
          </cell>
          <cell r="H2523" t="str">
            <v>DOP</v>
          </cell>
          <cell r="I2523">
            <v>0</v>
          </cell>
          <cell r="J2523">
            <v>0</v>
          </cell>
          <cell r="K2523">
            <v>0</v>
          </cell>
          <cell r="L2523">
            <v>0</v>
          </cell>
          <cell r="M2523">
            <v>0</v>
          </cell>
          <cell r="N2523">
            <v>0</v>
          </cell>
          <cell r="O2523">
            <v>0</v>
          </cell>
          <cell r="P2523">
            <v>0</v>
          </cell>
          <cell r="Q2523">
            <v>0</v>
          </cell>
          <cell r="R2523">
            <v>0</v>
          </cell>
          <cell r="S2523">
            <v>0</v>
          </cell>
          <cell r="T2523">
            <v>0</v>
          </cell>
          <cell r="U2523" t="e">
            <v>#N/A</v>
          </cell>
        </row>
        <row r="2524">
          <cell r="A2524">
            <v>1002518</v>
          </cell>
          <cell r="B2524" t="str">
            <v>Tubo 6"x19' SDR-41 PVC</v>
          </cell>
          <cell r="D2524">
            <v>5104</v>
          </cell>
          <cell r="E2524">
            <v>1000</v>
          </cell>
          <cell r="F2524" t="str">
            <v>ZALM</v>
          </cell>
          <cell r="G2524" t="str">
            <v>UN</v>
          </cell>
          <cell r="H2524" t="str">
            <v>DOP</v>
          </cell>
          <cell r="I2524">
            <v>0</v>
          </cell>
          <cell r="J2524">
            <v>0</v>
          </cell>
          <cell r="K2524">
            <v>0</v>
          </cell>
          <cell r="L2524">
            <v>0</v>
          </cell>
          <cell r="M2524">
            <v>0</v>
          </cell>
          <cell r="N2524">
            <v>0</v>
          </cell>
          <cell r="O2524">
            <v>0</v>
          </cell>
          <cell r="P2524">
            <v>0</v>
          </cell>
          <cell r="Q2524">
            <v>0</v>
          </cell>
          <cell r="R2524">
            <v>0</v>
          </cell>
          <cell r="S2524">
            <v>0</v>
          </cell>
          <cell r="T2524">
            <v>0</v>
          </cell>
          <cell r="U2524" t="e">
            <v>#N/A</v>
          </cell>
        </row>
        <row r="2525">
          <cell r="A2525">
            <v>1002519</v>
          </cell>
          <cell r="B2525" t="str">
            <v>Tubo 8"x19' SDR-41 PVC</v>
          </cell>
          <cell r="D2525">
            <v>5104</v>
          </cell>
          <cell r="E2525">
            <v>1000</v>
          </cell>
          <cell r="F2525" t="str">
            <v>ZALM</v>
          </cell>
          <cell r="G2525" t="str">
            <v>UN</v>
          </cell>
          <cell r="H2525" t="str">
            <v>DOP</v>
          </cell>
          <cell r="I2525">
            <v>0</v>
          </cell>
          <cell r="J2525">
            <v>0</v>
          </cell>
          <cell r="K2525">
            <v>0</v>
          </cell>
          <cell r="L2525">
            <v>0</v>
          </cell>
          <cell r="M2525">
            <v>0</v>
          </cell>
          <cell r="N2525">
            <v>0</v>
          </cell>
          <cell r="O2525">
            <v>0</v>
          </cell>
          <cell r="P2525">
            <v>0</v>
          </cell>
          <cell r="Q2525">
            <v>0</v>
          </cell>
          <cell r="R2525">
            <v>0</v>
          </cell>
          <cell r="S2525">
            <v>0</v>
          </cell>
          <cell r="T2525">
            <v>0</v>
          </cell>
          <cell r="U2525" t="e">
            <v>#N/A</v>
          </cell>
        </row>
        <row r="2526">
          <cell r="A2526">
            <v>1002522</v>
          </cell>
          <cell r="B2526" t="str">
            <v>Med Centron C1S Cl100 120V 2h FM 1S</v>
          </cell>
          <cell r="C2526" t="str">
            <v>NUEVO</v>
          </cell>
          <cell r="D2526">
            <v>5409</v>
          </cell>
          <cell r="E2526">
            <v>1000</v>
          </cell>
          <cell r="F2526" t="str">
            <v>ZALM</v>
          </cell>
          <cell r="G2526" t="str">
            <v>UN</v>
          </cell>
          <cell r="H2526" t="str">
            <v>DOP</v>
          </cell>
          <cell r="I2526">
            <v>0</v>
          </cell>
          <cell r="J2526">
            <v>0</v>
          </cell>
          <cell r="K2526">
            <v>0</v>
          </cell>
          <cell r="L2526">
            <v>0</v>
          </cell>
          <cell r="M2526">
            <v>0</v>
          </cell>
          <cell r="N2526">
            <v>0</v>
          </cell>
          <cell r="O2526">
            <v>0</v>
          </cell>
          <cell r="P2526">
            <v>0</v>
          </cell>
          <cell r="Q2526">
            <v>2586</v>
          </cell>
          <cell r="R2526">
            <v>2768387.83</v>
          </cell>
          <cell r="S2526">
            <v>2586</v>
          </cell>
          <cell r="T2526">
            <v>2768387.83</v>
          </cell>
          <cell r="U2526">
            <v>1070.52893658159</v>
          </cell>
        </row>
        <row r="2527">
          <cell r="A2527">
            <v>1002523</v>
          </cell>
          <cell r="B2527" t="str">
            <v>Med Centron C1S Cl20 240V 3h FM 4S</v>
          </cell>
          <cell r="C2527" t="str">
            <v>NUEVO</v>
          </cell>
          <cell r="D2527">
            <v>5409</v>
          </cell>
          <cell r="E2527">
            <v>1000</v>
          </cell>
          <cell r="F2527" t="str">
            <v>ZALM</v>
          </cell>
          <cell r="G2527" t="str">
            <v>UN</v>
          </cell>
          <cell r="H2527" t="str">
            <v>DOP</v>
          </cell>
          <cell r="I2527">
            <v>0</v>
          </cell>
          <cell r="J2527">
            <v>0</v>
          </cell>
          <cell r="K2527">
            <v>0</v>
          </cell>
          <cell r="L2527">
            <v>0</v>
          </cell>
          <cell r="M2527">
            <v>0</v>
          </cell>
          <cell r="N2527">
            <v>0</v>
          </cell>
          <cell r="O2527">
            <v>0</v>
          </cell>
          <cell r="P2527">
            <v>0</v>
          </cell>
          <cell r="Q2527">
            <v>891</v>
          </cell>
          <cell r="R2527">
            <v>2704138.19</v>
          </cell>
          <cell r="S2527">
            <v>891</v>
          </cell>
          <cell r="T2527">
            <v>2704138.19</v>
          </cell>
          <cell r="U2527">
            <v>3034.9474635241299</v>
          </cell>
        </row>
        <row r="2528">
          <cell r="A2528">
            <v>1002524</v>
          </cell>
          <cell r="B2528" t="str">
            <v>Med Centron C1S Cl200 120V 3h FM 12S</v>
          </cell>
          <cell r="C2528" t="str">
            <v>NUEVO</v>
          </cell>
          <cell r="D2528">
            <v>5409</v>
          </cell>
          <cell r="E2528">
            <v>1000</v>
          </cell>
          <cell r="F2528" t="str">
            <v>ZALM</v>
          </cell>
          <cell r="G2528" t="str">
            <v>UN</v>
          </cell>
          <cell r="H2528" t="str">
            <v>DOP</v>
          </cell>
          <cell r="I2528">
            <v>0</v>
          </cell>
          <cell r="J2528">
            <v>0</v>
          </cell>
          <cell r="K2528">
            <v>0</v>
          </cell>
          <cell r="L2528">
            <v>0</v>
          </cell>
          <cell r="M2528">
            <v>0</v>
          </cell>
          <cell r="N2528">
            <v>0</v>
          </cell>
          <cell r="O2528">
            <v>0</v>
          </cell>
          <cell r="P2528">
            <v>0</v>
          </cell>
          <cell r="Q2528">
            <v>32</v>
          </cell>
          <cell r="R2528">
            <v>97031.03</v>
          </cell>
          <cell r="S2528">
            <v>32</v>
          </cell>
          <cell r="T2528">
            <v>97031.03</v>
          </cell>
          <cell r="U2528">
            <v>3032.2196875</v>
          </cell>
        </row>
        <row r="2529">
          <cell r="A2529">
            <v>1002525</v>
          </cell>
          <cell r="B2529" t="str">
            <v>Med Centron C1S Cl200 240V 3h FM 2S</v>
          </cell>
          <cell r="C2529" t="str">
            <v>NUEVO</v>
          </cell>
          <cell r="D2529">
            <v>5409</v>
          </cell>
          <cell r="E2529">
            <v>1000</v>
          </cell>
          <cell r="F2529" t="str">
            <v>ZALM</v>
          </cell>
          <cell r="G2529" t="str">
            <v>UN</v>
          </cell>
          <cell r="H2529" t="str">
            <v>DOP</v>
          </cell>
          <cell r="I2529">
            <v>0</v>
          </cell>
          <cell r="J2529">
            <v>0</v>
          </cell>
          <cell r="K2529">
            <v>0</v>
          </cell>
          <cell r="L2529">
            <v>0</v>
          </cell>
          <cell r="M2529">
            <v>0</v>
          </cell>
          <cell r="N2529">
            <v>0</v>
          </cell>
          <cell r="O2529">
            <v>0</v>
          </cell>
          <cell r="P2529">
            <v>0</v>
          </cell>
          <cell r="Q2529">
            <v>6880</v>
          </cell>
          <cell r="R2529">
            <v>7350786.3799999999</v>
          </cell>
          <cell r="S2529">
            <v>6880</v>
          </cell>
          <cell r="T2529">
            <v>7350786.3799999999</v>
          </cell>
          <cell r="U2529">
            <v>1068.4282529069801</v>
          </cell>
        </row>
        <row r="2530">
          <cell r="A2530">
            <v>1002533</v>
          </cell>
          <cell r="B2530" t="str">
            <v>Med Cl20 120/480V 4h FM 9/8S</v>
          </cell>
          <cell r="C2530" t="str">
            <v>NUEVO</v>
          </cell>
          <cell r="D2530">
            <v>5409</v>
          </cell>
          <cell r="E2530">
            <v>1000</v>
          </cell>
          <cell r="F2530" t="str">
            <v>ZALM</v>
          </cell>
          <cell r="G2530" t="str">
            <v>UN</v>
          </cell>
          <cell r="H2530" t="str">
            <v>DOP</v>
          </cell>
          <cell r="I2530">
            <v>0</v>
          </cell>
          <cell r="J2530">
            <v>0</v>
          </cell>
          <cell r="K2530">
            <v>0</v>
          </cell>
          <cell r="L2530">
            <v>0</v>
          </cell>
          <cell r="M2530">
            <v>0</v>
          </cell>
          <cell r="N2530">
            <v>0</v>
          </cell>
          <cell r="O2530">
            <v>0</v>
          </cell>
          <cell r="P2530">
            <v>0</v>
          </cell>
          <cell r="Q2530">
            <v>434</v>
          </cell>
          <cell r="R2530">
            <v>6899529.2400000002</v>
          </cell>
          <cell r="S2530">
            <v>434</v>
          </cell>
          <cell r="T2530">
            <v>6899529.2400000002</v>
          </cell>
          <cell r="U2530">
            <v>15897.5328110599</v>
          </cell>
        </row>
        <row r="2531">
          <cell r="A2531">
            <v>1002534</v>
          </cell>
          <cell r="B2531" t="str">
            <v>Med Cl20 120/480V 4h FM 9/8S C/Modem</v>
          </cell>
          <cell r="C2531" t="str">
            <v>NUEVO</v>
          </cell>
          <cell r="D2531">
            <v>5409</v>
          </cell>
          <cell r="E2531">
            <v>1000</v>
          </cell>
          <cell r="F2531" t="str">
            <v>ZALM</v>
          </cell>
          <cell r="G2531" t="str">
            <v>UN</v>
          </cell>
          <cell r="H2531" t="str">
            <v>DOP</v>
          </cell>
          <cell r="I2531">
            <v>87</v>
          </cell>
          <cell r="J2531">
            <v>1310409.3700000001</v>
          </cell>
          <cell r="K2531">
            <v>0</v>
          </cell>
          <cell r="L2531">
            <v>0</v>
          </cell>
          <cell r="M2531">
            <v>0</v>
          </cell>
          <cell r="N2531">
            <v>0</v>
          </cell>
          <cell r="O2531">
            <v>0</v>
          </cell>
          <cell r="P2531">
            <v>0</v>
          </cell>
          <cell r="Q2531">
            <v>200</v>
          </cell>
          <cell r="R2531">
            <v>3012435.34</v>
          </cell>
          <cell r="S2531">
            <v>287</v>
          </cell>
          <cell r="T2531">
            <v>4322844.71</v>
          </cell>
          <cell r="U2531">
            <v>15062.176689895499</v>
          </cell>
        </row>
        <row r="2532">
          <cell r="A2532">
            <v>1002545</v>
          </cell>
          <cell r="B2532" t="str">
            <v>Med Cl200 A3 RLN-X 120/480 VKH 21.6</v>
          </cell>
          <cell r="C2532" t="str">
            <v>NUEVO</v>
          </cell>
          <cell r="D2532">
            <v>5409</v>
          </cell>
          <cell r="E2532">
            <v>1000</v>
          </cell>
          <cell r="F2532" t="str">
            <v>ZALM</v>
          </cell>
          <cell r="G2532" t="str">
            <v>UN</v>
          </cell>
          <cell r="H2532" t="str">
            <v>DOP</v>
          </cell>
          <cell r="I2532">
            <v>0</v>
          </cell>
          <cell r="J2532">
            <v>0</v>
          </cell>
          <cell r="K2532">
            <v>0</v>
          </cell>
          <cell r="L2532">
            <v>0</v>
          </cell>
          <cell r="M2532">
            <v>0</v>
          </cell>
          <cell r="N2532">
            <v>0</v>
          </cell>
          <cell r="O2532">
            <v>0</v>
          </cell>
          <cell r="P2532">
            <v>0</v>
          </cell>
          <cell r="Q2532">
            <v>500</v>
          </cell>
          <cell r="R2532">
            <v>12847000</v>
          </cell>
          <cell r="S2532">
            <v>500</v>
          </cell>
          <cell r="T2532">
            <v>12847000</v>
          </cell>
          <cell r="U2532">
            <v>25694</v>
          </cell>
        </row>
        <row r="2533">
          <cell r="A2533">
            <v>1002561</v>
          </cell>
          <cell r="B2533" t="str">
            <v>Med Electróni Cl100 120V LCD Sal Repet</v>
          </cell>
          <cell r="C2533" t="str">
            <v>NUEVO</v>
          </cell>
          <cell r="D2533">
            <v>5409</v>
          </cell>
          <cell r="E2533">
            <v>1000</v>
          </cell>
          <cell r="F2533" t="str">
            <v>ZALM</v>
          </cell>
          <cell r="G2533" t="str">
            <v>UN</v>
          </cell>
          <cell r="H2533" t="str">
            <v>DOP</v>
          </cell>
          <cell r="I2533">
            <v>1086</v>
          </cell>
          <cell r="J2533">
            <v>1166404.77</v>
          </cell>
          <cell r="K2533">
            <v>0</v>
          </cell>
          <cell r="L2533">
            <v>0</v>
          </cell>
          <cell r="M2533">
            <v>0</v>
          </cell>
          <cell r="N2533">
            <v>0</v>
          </cell>
          <cell r="O2533">
            <v>0</v>
          </cell>
          <cell r="P2533">
            <v>0</v>
          </cell>
          <cell r="Q2533">
            <v>0</v>
          </cell>
          <cell r="R2533">
            <v>0</v>
          </cell>
          <cell r="S2533">
            <v>1086</v>
          </cell>
          <cell r="T2533">
            <v>1166404.77</v>
          </cell>
          <cell r="U2533">
            <v>1074.0375414364601</v>
          </cell>
        </row>
        <row r="2534">
          <cell r="A2534">
            <v>1002562</v>
          </cell>
          <cell r="B2534" t="str">
            <v>Med Electróni Cl20 120/480V 3h</v>
          </cell>
          <cell r="C2534" t="str">
            <v>NUEVO</v>
          </cell>
          <cell r="D2534">
            <v>5409</v>
          </cell>
          <cell r="E2534">
            <v>1000</v>
          </cell>
          <cell r="F2534" t="str">
            <v>ZALM</v>
          </cell>
          <cell r="G2534" t="str">
            <v>UN</v>
          </cell>
          <cell r="H2534" t="str">
            <v>DOP</v>
          </cell>
          <cell r="I2534">
            <v>0</v>
          </cell>
          <cell r="J2534">
            <v>0</v>
          </cell>
          <cell r="K2534">
            <v>0</v>
          </cell>
          <cell r="L2534">
            <v>0</v>
          </cell>
          <cell r="M2534">
            <v>0</v>
          </cell>
          <cell r="N2534">
            <v>0</v>
          </cell>
          <cell r="O2534">
            <v>0</v>
          </cell>
          <cell r="P2534">
            <v>0</v>
          </cell>
          <cell r="Q2534">
            <v>0</v>
          </cell>
          <cell r="R2534">
            <v>0</v>
          </cell>
          <cell r="S2534">
            <v>0</v>
          </cell>
          <cell r="T2534">
            <v>0</v>
          </cell>
          <cell r="U2534" t="e">
            <v>#N/A</v>
          </cell>
        </row>
        <row r="2535">
          <cell r="A2535">
            <v>1002563</v>
          </cell>
          <cell r="B2535" t="str">
            <v>Med Electróni Cl20 57/277V 4h FM 9S</v>
          </cell>
          <cell r="C2535" t="str">
            <v>NUEVO</v>
          </cell>
          <cell r="D2535">
            <v>5409</v>
          </cell>
          <cell r="E2535">
            <v>1000</v>
          </cell>
          <cell r="F2535" t="str">
            <v>ZALM</v>
          </cell>
          <cell r="G2535" t="str">
            <v>UN</v>
          </cell>
          <cell r="H2535" t="str">
            <v>DOP</v>
          </cell>
          <cell r="I2535">
            <v>0</v>
          </cell>
          <cell r="J2535">
            <v>0</v>
          </cell>
          <cell r="K2535">
            <v>0</v>
          </cell>
          <cell r="L2535">
            <v>0</v>
          </cell>
          <cell r="M2535">
            <v>0</v>
          </cell>
          <cell r="N2535">
            <v>0</v>
          </cell>
          <cell r="O2535">
            <v>0</v>
          </cell>
          <cell r="P2535">
            <v>0</v>
          </cell>
          <cell r="Q2535">
            <v>0</v>
          </cell>
          <cell r="R2535">
            <v>0</v>
          </cell>
          <cell r="S2535">
            <v>0</v>
          </cell>
          <cell r="T2535">
            <v>0</v>
          </cell>
          <cell r="U2535" t="e">
            <v>#N/A</v>
          </cell>
        </row>
        <row r="2536">
          <cell r="A2536">
            <v>1002565</v>
          </cell>
          <cell r="B2536" t="str">
            <v>Med Electroni Cl200 120/480V 4h FM 16S</v>
          </cell>
          <cell r="C2536" t="str">
            <v>NUEVO</v>
          </cell>
          <cell r="D2536">
            <v>5409</v>
          </cell>
          <cell r="E2536">
            <v>1000</v>
          </cell>
          <cell r="F2536" t="str">
            <v>ZALM</v>
          </cell>
          <cell r="G2536" t="str">
            <v>UN</v>
          </cell>
          <cell r="H2536" t="str">
            <v>DOP</v>
          </cell>
          <cell r="I2536">
            <v>0</v>
          </cell>
          <cell r="J2536">
            <v>0</v>
          </cell>
          <cell r="K2536">
            <v>0</v>
          </cell>
          <cell r="L2536">
            <v>0</v>
          </cell>
          <cell r="M2536">
            <v>0</v>
          </cell>
          <cell r="N2536">
            <v>0</v>
          </cell>
          <cell r="O2536">
            <v>0</v>
          </cell>
          <cell r="P2536">
            <v>0</v>
          </cell>
          <cell r="Q2536">
            <v>329</v>
          </cell>
          <cell r="R2536">
            <v>8220720.1799999997</v>
          </cell>
          <cell r="S2536">
            <v>329</v>
          </cell>
          <cell r="T2536">
            <v>8220720.1799999997</v>
          </cell>
          <cell r="U2536">
            <v>24986.9914285714</v>
          </cell>
        </row>
        <row r="2537">
          <cell r="A2537">
            <v>1002568</v>
          </cell>
          <cell r="B2537" t="str">
            <v>Med Elster A3 Alpha Cl20 4h FM 4/5S Tarj</v>
          </cell>
          <cell r="C2537" t="str">
            <v>NUEVO</v>
          </cell>
          <cell r="D2537">
            <v>5409</v>
          </cell>
          <cell r="E2537">
            <v>1000</v>
          </cell>
          <cell r="F2537" t="str">
            <v>ZALM</v>
          </cell>
          <cell r="G2537" t="str">
            <v>UN</v>
          </cell>
          <cell r="H2537" t="str">
            <v>DOP</v>
          </cell>
          <cell r="I2537">
            <v>7</v>
          </cell>
          <cell r="J2537">
            <v>73296.86</v>
          </cell>
          <cell r="K2537">
            <v>0</v>
          </cell>
          <cell r="L2537">
            <v>0</v>
          </cell>
          <cell r="M2537">
            <v>0</v>
          </cell>
          <cell r="N2537">
            <v>0</v>
          </cell>
          <cell r="O2537">
            <v>0</v>
          </cell>
          <cell r="P2537">
            <v>0</v>
          </cell>
          <cell r="Q2537">
            <v>0</v>
          </cell>
          <cell r="R2537">
            <v>0</v>
          </cell>
          <cell r="S2537">
            <v>7</v>
          </cell>
          <cell r="T2537">
            <v>73296.86</v>
          </cell>
          <cell r="U2537">
            <v>10470.98</v>
          </cell>
        </row>
        <row r="2538">
          <cell r="A2538">
            <v>1002571</v>
          </cell>
          <cell r="B2538" t="str">
            <v>Med Elster A3 Alpha Cl200 3h FM 12S TWAC</v>
          </cell>
          <cell r="C2538" t="str">
            <v>NUEVO</v>
          </cell>
          <cell r="D2538">
            <v>5409</v>
          </cell>
          <cell r="E2538">
            <v>1000</v>
          </cell>
          <cell r="F2538" t="str">
            <v>ZALM</v>
          </cell>
          <cell r="G2538" t="str">
            <v>UN</v>
          </cell>
          <cell r="H2538" t="str">
            <v>DOP</v>
          </cell>
          <cell r="I2538">
            <v>0</v>
          </cell>
          <cell r="J2538">
            <v>0</v>
          </cell>
          <cell r="K2538">
            <v>0</v>
          </cell>
          <cell r="L2538">
            <v>0</v>
          </cell>
          <cell r="M2538">
            <v>0</v>
          </cell>
          <cell r="N2538">
            <v>0</v>
          </cell>
          <cell r="O2538">
            <v>0</v>
          </cell>
          <cell r="P2538">
            <v>0</v>
          </cell>
          <cell r="Q2538">
            <v>753</v>
          </cell>
          <cell r="R2538">
            <v>8633654.4299999997</v>
          </cell>
          <cell r="S2538">
            <v>753</v>
          </cell>
          <cell r="T2538">
            <v>8633654.4299999997</v>
          </cell>
          <cell r="U2538">
            <v>11465.6765338645</v>
          </cell>
        </row>
        <row r="2539">
          <cell r="A2539">
            <v>1002572</v>
          </cell>
          <cell r="B2539" t="str">
            <v>Med Elster A3 Alpha Cl200 4h FM 16S TWAC</v>
          </cell>
          <cell r="C2539" t="str">
            <v>NUEVO</v>
          </cell>
          <cell r="D2539">
            <v>5409</v>
          </cell>
          <cell r="E2539">
            <v>1000</v>
          </cell>
          <cell r="F2539" t="str">
            <v>ZALM</v>
          </cell>
          <cell r="G2539" t="str">
            <v>UN</v>
          </cell>
          <cell r="H2539" t="str">
            <v>DOP</v>
          </cell>
          <cell r="I2539">
            <v>0</v>
          </cell>
          <cell r="J2539">
            <v>0</v>
          </cell>
          <cell r="K2539">
            <v>0</v>
          </cell>
          <cell r="L2539">
            <v>0</v>
          </cell>
          <cell r="M2539">
            <v>0</v>
          </cell>
          <cell r="N2539">
            <v>0</v>
          </cell>
          <cell r="O2539">
            <v>0</v>
          </cell>
          <cell r="P2539">
            <v>0</v>
          </cell>
          <cell r="Q2539">
            <v>275</v>
          </cell>
          <cell r="R2539">
            <v>3275404.87</v>
          </cell>
          <cell r="S2539">
            <v>275</v>
          </cell>
          <cell r="T2539">
            <v>3275404.87</v>
          </cell>
          <cell r="U2539">
            <v>11910.5631636364</v>
          </cell>
        </row>
        <row r="2540">
          <cell r="A2540">
            <v>1002576</v>
          </cell>
          <cell r="B2540" t="str">
            <v>Med Itron Sentinel Cl200 3h FM 12S Modem</v>
          </cell>
          <cell r="C2540" t="str">
            <v>NUEVO</v>
          </cell>
          <cell r="D2540">
            <v>5409</v>
          </cell>
          <cell r="E2540">
            <v>1000</v>
          </cell>
          <cell r="F2540" t="str">
            <v>ZALM</v>
          </cell>
          <cell r="G2540" t="str">
            <v>UN</v>
          </cell>
          <cell r="H2540" t="str">
            <v>DOP</v>
          </cell>
          <cell r="I2540">
            <v>0</v>
          </cell>
          <cell r="J2540">
            <v>0</v>
          </cell>
          <cell r="K2540">
            <v>0</v>
          </cell>
          <cell r="L2540">
            <v>0</v>
          </cell>
          <cell r="M2540">
            <v>0</v>
          </cell>
          <cell r="N2540">
            <v>0</v>
          </cell>
          <cell r="O2540">
            <v>0</v>
          </cell>
          <cell r="P2540">
            <v>0</v>
          </cell>
          <cell r="Q2540">
            <v>0</v>
          </cell>
          <cell r="R2540">
            <v>0</v>
          </cell>
          <cell r="S2540">
            <v>0</v>
          </cell>
          <cell r="T2540">
            <v>0</v>
          </cell>
          <cell r="U2540" t="e">
            <v>#N/A</v>
          </cell>
        </row>
        <row r="2541">
          <cell r="A2541">
            <v>1002577</v>
          </cell>
          <cell r="B2541" t="str">
            <v>Med Itron Sentinel Cl200 4h FM 16S Modem</v>
          </cell>
          <cell r="C2541" t="str">
            <v>NUEVO</v>
          </cell>
          <cell r="D2541">
            <v>5409</v>
          </cell>
          <cell r="E2541">
            <v>1000</v>
          </cell>
          <cell r="F2541" t="str">
            <v>ZALM</v>
          </cell>
          <cell r="G2541" t="str">
            <v>UN</v>
          </cell>
          <cell r="H2541" t="str">
            <v>DOP</v>
          </cell>
          <cell r="I2541">
            <v>0</v>
          </cell>
          <cell r="J2541">
            <v>0</v>
          </cell>
          <cell r="K2541">
            <v>0</v>
          </cell>
          <cell r="L2541">
            <v>0</v>
          </cell>
          <cell r="M2541">
            <v>0</v>
          </cell>
          <cell r="N2541">
            <v>0</v>
          </cell>
          <cell r="O2541">
            <v>0</v>
          </cell>
          <cell r="P2541">
            <v>0</v>
          </cell>
          <cell r="Q2541">
            <v>0</v>
          </cell>
          <cell r="R2541">
            <v>0</v>
          </cell>
          <cell r="S2541">
            <v>0</v>
          </cell>
          <cell r="T2541">
            <v>0</v>
          </cell>
          <cell r="U2541" t="e">
            <v>#N/A</v>
          </cell>
        </row>
        <row r="2542">
          <cell r="A2542">
            <v>1002585</v>
          </cell>
          <cell r="B2542" t="str">
            <v>Med Prepago 120/240V 3h 60Hz</v>
          </cell>
          <cell r="C2542" t="str">
            <v>NUEVO</v>
          </cell>
          <cell r="D2542">
            <v>5409</v>
          </cell>
          <cell r="E2542">
            <v>1000</v>
          </cell>
          <cell r="F2542" t="str">
            <v>ZALM</v>
          </cell>
          <cell r="G2542" t="str">
            <v>UN</v>
          </cell>
          <cell r="H2542" t="str">
            <v>DOP</v>
          </cell>
          <cell r="I2542">
            <v>70</v>
          </cell>
          <cell r="J2542">
            <v>367008.25</v>
          </cell>
          <cell r="K2542">
            <v>0</v>
          </cell>
          <cell r="L2542">
            <v>0</v>
          </cell>
          <cell r="M2542">
            <v>0</v>
          </cell>
          <cell r="N2542">
            <v>0</v>
          </cell>
          <cell r="O2542">
            <v>0</v>
          </cell>
          <cell r="P2542">
            <v>0</v>
          </cell>
          <cell r="Q2542">
            <v>0</v>
          </cell>
          <cell r="R2542">
            <v>0</v>
          </cell>
          <cell r="S2542">
            <v>70</v>
          </cell>
          <cell r="T2542">
            <v>367008.25</v>
          </cell>
          <cell r="U2542">
            <v>5242.9750000000004</v>
          </cell>
        </row>
        <row r="2543">
          <cell r="A2543">
            <v>1002586</v>
          </cell>
          <cell r="B2543" t="str">
            <v>Med Prepago 120V 2h 60Hz</v>
          </cell>
          <cell r="C2543" t="str">
            <v>NUEVO</v>
          </cell>
          <cell r="D2543">
            <v>5409</v>
          </cell>
          <cell r="E2543">
            <v>1000</v>
          </cell>
          <cell r="F2543" t="str">
            <v>ZALM</v>
          </cell>
          <cell r="G2543" t="str">
            <v>UN</v>
          </cell>
          <cell r="H2543" t="str">
            <v>DOP</v>
          </cell>
          <cell r="I2543">
            <v>970</v>
          </cell>
          <cell r="J2543">
            <v>3692153.93</v>
          </cell>
          <cell r="K2543">
            <v>0</v>
          </cell>
          <cell r="L2543">
            <v>0</v>
          </cell>
          <cell r="M2543">
            <v>0</v>
          </cell>
          <cell r="N2543">
            <v>0</v>
          </cell>
          <cell r="O2543">
            <v>0</v>
          </cell>
          <cell r="P2543">
            <v>0</v>
          </cell>
          <cell r="Q2543">
            <v>0</v>
          </cell>
          <cell r="R2543">
            <v>0</v>
          </cell>
          <cell r="S2543">
            <v>970</v>
          </cell>
          <cell r="T2543">
            <v>3692153.93</v>
          </cell>
          <cell r="U2543">
            <v>3806.3442577319602</v>
          </cell>
        </row>
        <row r="2544">
          <cell r="A2544">
            <v>1002589</v>
          </cell>
          <cell r="B2544" t="str">
            <v>Med Q1000 Cl20 120V 4h FM 9S Modem</v>
          </cell>
          <cell r="C2544" t="str">
            <v>NUEVO</v>
          </cell>
          <cell r="D2544">
            <v>5409</v>
          </cell>
          <cell r="E2544">
            <v>1000</v>
          </cell>
          <cell r="F2544" t="str">
            <v>ZALM</v>
          </cell>
          <cell r="G2544" t="str">
            <v>UN</v>
          </cell>
          <cell r="H2544" t="str">
            <v>DOP</v>
          </cell>
          <cell r="I2544">
            <v>0</v>
          </cell>
          <cell r="J2544">
            <v>0</v>
          </cell>
          <cell r="K2544">
            <v>0</v>
          </cell>
          <cell r="L2544">
            <v>0</v>
          </cell>
          <cell r="M2544">
            <v>0</v>
          </cell>
          <cell r="N2544">
            <v>0</v>
          </cell>
          <cell r="O2544">
            <v>0</v>
          </cell>
          <cell r="P2544">
            <v>0</v>
          </cell>
          <cell r="Q2544">
            <v>0</v>
          </cell>
          <cell r="R2544">
            <v>0</v>
          </cell>
          <cell r="S2544">
            <v>0</v>
          </cell>
          <cell r="T2544">
            <v>0</v>
          </cell>
          <cell r="U2544" t="e">
            <v>#N/A</v>
          </cell>
        </row>
        <row r="2545">
          <cell r="A2545">
            <v>1002591</v>
          </cell>
          <cell r="B2545" t="str">
            <v>Med Q1000 Cl20 69V 4h FM 9S Modem</v>
          </cell>
          <cell r="C2545" t="str">
            <v>NUEVO</v>
          </cell>
          <cell r="D2545">
            <v>5409</v>
          </cell>
          <cell r="E2545">
            <v>1000</v>
          </cell>
          <cell r="F2545" t="str">
            <v>ZALM</v>
          </cell>
          <cell r="G2545" t="str">
            <v>UN</v>
          </cell>
          <cell r="H2545" t="str">
            <v>DOP</v>
          </cell>
          <cell r="I2545">
            <v>0</v>
          </cell>
          <cell r="J2545">
            <v>0</v>
          </cell>
          <cell r="K2545">
            <v>0</v>
          </cell>
          <cell r="L2545">
            <v>0</v>
          </cell>
          <cell r="M2545">
            <v>0</v>
          </cell>
          <cell r="N2545">
            <v>0</v>
          </cell>
          <cell r="O2545">
            <v>0</v>
          </cell>
          <cell r="P2545">
            <v>0</v>
          </cell>
          <cell r="Q2545">
            <v>0</v>
          </cell>
          <cell r="R2545">
            <v>0</v>
          </cell>
          <cell r="S2545">
            <v>0</v>
          </cell>
          <cell r="T2545">
            <v>0</v>
          </cell>
          <cell r="U2545" t="e">
            <v>#N/A</v>
          </cell>
        </row>
        <row r="2546">
          <cell r="A2546">
            <v>1002592</v>
          </cell>
          <cell r="B2546" t="str">
            <v>Med Q1000 Cl20 69V 4h FM 9S RS-485</v>
          </cell>
          <cell r="C2546" t="str">
            <v>NUEVO</v>
          </cell>
          <cell r="D2546">
            <v>5409</v>
          </cell>
          <cell r="E2546">
            <v>1000</v>
          </cell>
          <cell r="F2546" t="str">
            <v>ZALM</v>
          </cell>
          <cell r="G2546" t="str">
            <v>UN</v>
          </cell>
          <cell r="H2546" t="str">
            <v>DOP</v>
          </cell>
          <cell r="I2546">
            <v>0</v>
          </cell>
          <cell r="J2546">
            <v>0</v>
          </cell>
          <cell r="K2546">
            <v>0</v>
          </cell>
          <cell r="L2546">
            <v>0</v>
          </cell>
          <cell r="M2546">
            <v>0</v>
          </cell>
          <cell r="N2546">
            <v>0</v>
          </cell>
          <cell r="O2546">
            <v>0</v>
          </cell>
          <cell r="P2546">
            <v>0</v>
          </cell>
          <cell r="Q2546">
            <v>0</v>
          </cell>
          <cell r="R2546">
            <v>0</v>
          </cell>
          <cell r="S2546">
            <v>0</v>
          </cell>
          <cell r="T2546">
            <v>0</v>
          </cell>
          <cell r="U2546" t="e">
            <v>#N/A</v>
          </cell>
        </row>
        <row r="2547">
          <cell r="A2547">
            <v>1002594</v>
          </cell>
          <cell r="B2547" t="str">
            <v>Med Resid Electróni 120V 2h Bottom</v>
          </cell>
          <cell r="C2547" t="str">
            <v>NUEVO</v>
          </cell>
          <cell r="D2547">
            <v>5409</v>
          </cell>
          <cell r="E2547">
            <v>1000</v>
          </cell>
          <cell r="F2547" t="str">
            <v>ZALM</v>
          </cell>
          <cell r="G2547" t="str">
            <v>UN</v>
          </cell>
          <cell r="H2547" t="str">
            <v>DOP</v>
          </cell>
          <cell r="I2547">
            <v>0</v>
          </cell>
          <cell r="J2547">
            <v>0</v>
          </cell>
          <cell r="K2547">
            <v>0</v>
          </cell>
          <cell r="L2547">
            <v>0</v>
          </cell>
          <cell r="M2547">
            <v>0</v>
          </cell>
          <cell r="N2547">
            <v>0</v>
          </cell>
          <cell r="O2547">
            <v>0</v>
          </cell>
          <cell r="P2547">
            <v>0</v>
          </cell>
          <cell r="Q2547">
            <v>0</v>
          </cell>
          <cell r="R2547">
            <v>0</v>
          </cell>
          <cell r="S2547">
            <v>0</v>
          </cell>
          <cell r="T2547">
            <v>0</v>
          </cell>
          <cell r="U2547" t="e">
            <v>#N/A</v>
          </cell>
        </row>
        <row r="2548">
          <cell r="A2548">
            <v>1002595</v>
          </cell>
          <cell r="B2548" t="str">
            <v>Med Resid Electróni 120V 2h Socket</v>
          </cell>
          <cell r="C2548" t="str">
            <v>NUEVO</v>
          </cell>
          <cell r="D2548">
            <v>5409</v>
          </cell>
          <cell r="E2548">
            <v>1000</v>
          </cell>
          <cell r="F2548" t="str">
            <v>ZALM</v>
          </cell>
          <cell r="G2548" t="str">
            <v>UN</v>
          </cell>
          <cell r="H2548" t="str">
            <v>DOP</v>
          </cell>
          <cell r="I2548">
            <v>0</v>
          </cell>
          <cell r="J2548">
            <v>0</v>
          </cell>
          <cell r="K2548">
            <v>0</v>
          </cell>
          <cell r="L2548">
            <v>0</v>
          </cell>
          <cell r="M2548">
            <v>0</v>
          </cell>
          <cell r="N2548">
            <v>0</v>
          </cell>
          <cell r="O2548">
            <v>0</v>
          </cell>
          <cell r="P2548">
            <v>0</v>
          </cell>
          <cell r="Q2548">
            <v>1</v>
          </cell>
          <cell r="R2548">
            <v>867.37</v>
          </cell>
          <cell r="S2548">
            <v>1</v>
          </cell>
          <cell r="T2548">
            <v>867.37</v>
          </cell>
          <cell r="U2548">
            <v>867.37</v>
          </cell>
        </row>
        <row r="2549">
          <cell r="A2549">
            <v>1002595</v>
          </cell>
          <cell r="B2549" t="str">
            <v>Med Resid Electróni 120V 2h Socket</v>
          </cell>
          <cell r="C2549" t="str">
            <v>REPARADO</v>
          </cell>
          <cell r="D2549">
            <v>5409</v>
          </cell>
          <cell r="E2549">
            <v>1000</v>
          </cell>
          <cell r="F2549" t="str">
            <v>ZALM</v>
          </cell>
          <cell r="G2549" t="str">
            <v>UN</v>
          </cell>
          <cell r="H2549" t="str">
            <v>DOP</v>
          </cell>
          <cell r="I2549">
            <v>0</v>
          </cell>
          <cell r="J2549">
            <v>0</v>
          </cell>
          <cell r="K2549">
            <v>0</v>
          </cell>
          <cell r="L2549">
            <v>0</v>
          </cell>
          <cell r="M2549">
            <v>0</v>
          </cell>
          <cell r="N2549">
            <v>0</v>
          </cell>
          <cell r="O2549">
            <v>0</v>
          </cell>
          <cell r="P2549">
            <v>0</v>
          </cell>
          <cell r="Q2549">
            <v>0</v>
          </cell>
          <cell r="R2549">
            <v>0</v>
          </cell>
          <cell r="S2549">
            <v>0</v>
          </cell>
          <cell r="T2549">
            <v>0</v>
          </cell>
          <cell r="U2549" t="e">
            <v>#N/A</v>
          </cell>
        </row>
        <row r="2550">
          <cell r="A2550">
            <v>1002596</v>
          </cell>
          <cell r="B2550" t="str">
            <v>Med Resid Electróni 240V 3h Socket</v>
          </cell>
          <cell r="C2550" t="str">
            <v>NUEVO</v>
          </cell>
          <cell r="D2550">
            <v>5409</v>
          </cell>
          <cell r="E2550">
            <v>1000</v>
          </cell>
          <cell r="F2550" t="str">
            <v>ZALM</v>
          </cell>
          <cell r="G2550" t="str">
            <v>UN</v>
          </cell>
          <cell r="H2550" t="str">
            <v>DOP</v>
          </cell>
          <cell r="I2550">
            <v>0</v>
          </cell>
          <cell r="J2550">
            <v>0</v>
          </cell>
          <cell r="K2550">
            <v>15083</v>
          </cell>
          <cell r="L2550">
            <v>15478836.4</v>
          </cell>
          <cell r="M2550">
            <v>0</v>
          </cell>
          <cell r="N2550">
            <v>0</v>
          </cell>
          <cell r="O2550">
            <v>0</v>
          </cell>
          <cell r="P2550">
            <v>0</v>
          </cell>
          <cell r="Q2550">
            <v>19884</v>
          </cell>
          <cell r="R2550">
            <v>20405833.260000002</v>
          </cell>
          <cell r="S2550">
            <v>34967</v>
          </cell>
          <cell r="T2550">
            <v>35884669.659999996</v>
          </cell>
          <cell r="U2550">
            <v>1026.2438773700901</v>
          </cell>
        </row>
        <row r="2551">
          <cell r="A2551">
            <v>1002596</v>
          </cell>
          <cell r="B2551" t="str">
            <v>Med Resid Electróni 240V 3h Socket</v>
          </cell>
          <cell r="C2551" t="str">
            <v>REPARADO</v>
          </cell>
          <cell r="D2551">
            <v>5409</v>
          </cell>
          <cell r="E2551">
            <v>1000</v>
          </cell>
          <cell r="F2551" t="str">
            <v>ZALM</v>
          </cell>
          <cell r="G2551" t="str">
            <v>UN</v>
          </cell>
          <cell r="H2551" t="str">
            <v>DOP</v>
          </cell>
          <cell r="I2551">
            <v>0</v>
          </cell>
          <cell r="J2551">
            <v>0</v>
          </cell>
          <cell r="K2551">
            <v>0</v>
          </cell>
          <cell r="L2551">
            <v>0</v>
          </cell>
          <cell r="M2551">
            <v>0</v>
          </cell>
          <cell r="N2551">
            <v>0</v>
          </cell>
          <cell r="O2551">
            <v>0</v>
          </cell>
          <cell r="P2551">
            <v>0</v>
          </cell>
          <cell r="Q2551">
            <v>0</v>
          </cell>
          <cell r="R2551">
            <v>0</v>
          </cell>
          <cell r="S2551">
            <v>0</v>
          </cell>
          <cell r="T2551">
            <v>0</v>
          </cell>
          <cell r="U2551" t="e">
            <v>#N/A</v>
          </cell>
        </row>
        <row r="2552">
          <cell r="A2552">
            <v>1002597</v>
          </cell>
          <cell r="B2552" t="str">
            <v>Med Resid Electróni 240V Bottom</v>
          </cell>
          <cell r="C2552" t="str">
            <v>NUEVO</v>
          </cell>
          <cell r="D2552">
            <v>5409</v>
          </cell>
          <cell r="E2552">
            <v>1000</v>
          </cell>
          <cell r="F2552" t="str">
            <v>ZALM</v>
          </cell>
          <cell r="G2552" t="str">
            <v>UN</v>
          </cell>
          <cell r="H2552" t="str">
            <v>DOP</v>
          </cell>
          <cell r="I2552">
            <v>0</v>
          </cell>
          <cell r="J2552">
            <v>0</v>
          </cell>
          <cell r="K2552">
            <v>1</v>
          </cell>
          <cell r="L2552">
            <v>597.55999999999995</v>
          </cell>
          <cell r="M2552">
            <v>0</v>
          </cell>
          <cell r="N2552">
            <v>0</v>
          </cell>
          <cell r="O2552">
            <v>0</v>
          </cell>
          <cell r="P2552">
            <v>0</v>
          </cell>
          <cell r="Q2552">
            <v>1169</v>
          </cell>
          <cell r="R2552">
            <v>698549.47</v>
          </cell>
          <cell r="S2552">
            <v>1170</v>
          </cell>
          <cell r="T2552">
            <v>699147.03</v>
          </cell>
          <cell r="U2552">
            <v>597.56156410256403</v>
          </cell>
        </row>
        <row r="2553">
          <cell r="A2553">
            <v>1002598</v>
          </cell>
          <cell r="B2553" t="str">
            <v>Repetidor Elect P/ Med C/ Contador Cicl</v>
          </cell>
          <cell r="C2553" t="str">
            <v>NUEVO</v>
          </cell>
          <cell r="D2553">
            <v>5409</v>
          </cell>
          <cell r="E2553">
            <v>1000</v>
          </cell>
          <cell r="F2553" t="str">
            <v>ZALM</v>
          </cell>
          <cell r="G2553" t="str">
            <v>UN</v>
          </cell>
          <cell r="H2553" t="str">
            <v>DOP</v>
          </cell>
          <cell r="I2553">
            <v>1825</v>
          </cell>
          <cell r="J2553">
            <v>1472867.4</v>
          </cell>
          <cell r="K2553">
            <v>0</v>
          </cell>
          <cell r="L2553">
            <v>0</v>
          </cell>
          <cell r="M2553">
            <v>0</v>
          </cell>
          <cell r="N2553">
            <v>0</v>
          </cell>
          <cell r="O2553">
            <v>0</v>
          </cell>
          <cell r="P2553">
            <v>0</v>
          </cell>
          <cell r="Q2553">
            <v>0</v>
          </cell>
          <cell r="R2553">
            <v>0</v>
          </cell>
          <cell r="S2553">
            <v>1825</v>
          </cell>
          <cell r="T2553">
            <v>1472867.4</v>
          </cell>
          <cell r="U2553">
            <v>807.050630136986</v>
          </cell>
        </row>
        <row r="2554">
          <cell r="A2554">
            <v>1002605</v>
          </cell>
          <cell r="B2554" t="str">
            <v>Celda de Seccionamiento C/ Fusible</v>
          </cell>
          <cell r="C2554" t="str">
            <v>NUEVO</v>
          </cell>
          <cell r="D2554">
            <v>5721</v>
          </cell>
          <cell r="E2554">
            <v>1000</v>
          </cell>
          <cell r="F2554" t="str">
            <v>ZALM</v>
          </cell>
          <cell r="G2554" t="str">
            <v>UN</v>
          </cell>
          <cell r="H2554" t="str">
            <v>DOP</v>
          </cell>
          <cell r="I2554">
            <v>1</v>
          </cell>
          <cell r="J2554">
            <v>55932.41</v>
          </cell>
          <cell r="K2554">
            <v>0</v>
          </cell>
          <cell r="L2554">
            <v>0</v>
          </cell>
          <cell r="M2554">
            <v>0</v>
          </cell>
          <cell r="N2554">
            <v>0</v>
          </cell>
          <cell r="O2554">
            <v>0</v>
          </cell>
          <cell r="P2554">
            <v>0</v>
          </cell>
          <cell r="Q2554">
            <v>0</v>
          </cell>
          <cell r="R2554">
            <v>0</v>
          </cell>
          <cell r="S2554">
            <v>1</v>
          </cell>
          <cell r="T2554">
            <v>55932.41</v>
          </cell>
          <cell r="U2554">
            <v>55932.41</v>
          </cell>
        </row>
        <row r="2555">
          <cell r="A2555">
            <v>1002606</v>
          </cell>
          <cell r="B2555" t="str">
            <v>Celda Modul Compact T/ E C/ Interrup Aut</v>
          </cell>
          <cell r="C2555" t="str">
            <v>NUEVO</v>
          </cell>
          <cell r="D2555">
            <v>5721</v>
          </cell>
          <cell r="E2555">
            <v>1000</v>
          </cell>
          <cell r="F2555" t="str">
            <v>ZALM</v>
          </cell>
          <cell r="G2555" t="str">
            <v>UN</v>
          </cell>
          <cell r="H2555" t="str">
            <v>DOP</v>
          </cell>
          <cell r="I2555">
            <v>2</v>
          </cell>
          <cell r="J2555">
            <v>358323.4</v>
          </cell>
          <cell r="K2555">
            <v>0</v>
          </cell>
          <cell r="L2555">
            <v>0</v>
          </cell>
          <cell r="M2555">
            <v>0</v>
          </cell>
          <cell r="N2555">
            <v>0</v>
          </cell>
          <cell r="O2555">
            <v>0</v>
          </cell>
          <cell r="P2555">
            <v>0</v>
          </cell>
          <cell r="Q2555">
            <v>0</v>
          </cell>
          <cell r="R2555">
            <v>0</v>
          </cell>
          <cell r="S2555">
            <v>2</v>
          </cell>
          <cell r="T2555">
            <v>358323.4</v>
          </cell>
          <cell r="U2555">
            <v>179161.7</v>
          </cell>
        </row>
        <row r="2556">
          <cell r="A2556">
            <v>1002609</v>
          </cell>
          <cell r="B2556" t="str">
            <v>Celda Modul Compacta Secc Bajo Carg Aisl</v>
          </cell>
          <cell r="C2556" t="str">
            <v>NUEVO</v>
          </cell>
          <cell r="D2556">
            <v>5721</v>
          </cell>
          <cell r="E2556">
            <v>1000</v>
          </cell>
          <cell r="F2556" t="str">
            <v>ZALM</v>
          </cell>
          <cell r="G2556" t="str">
            <v>UN</v>
          </cell>
          <cell r="H2556" t="str">
            <v>DOP</v>
          </cell>
          <cell r="I2556">
            <v>1</v>
          </cell>
          <cell r="J2556">
            <v>40088.879999999997</v>
          </cell>
          <cell r="K2556">
            <v>0</v>
          </cell>
          <cell r="L2556">
            <v>0</v>
          </cell>
          <cell r="M2556">
            <v>0</v>
          </cell>
          <cell r="N2556">
            <v>0</v>
          </cell>
          <cell r="O2556">
            <v>0</v>
          </cell>
          <cell r="P2556">
            <v>0</v>
          </cell>
          <cell r="Q2556">
            <v>0</v>
          </cell>
          <cell r="R2556">
            <v>0</v>
          </cell>
          <cell r="S2556">
            <v>1</v>
          </cell>
          <cell r="T2556">
            <v>40088.879999999997</v>
          </cell>
          <cell r="U2556">
            <v>40088.879999999997</v>
          </cell>
        </row>
        <row r="2557">
          <cell r="A2557">
            <v>1002610</v>
          </cell>
          <cell r="B2557" t="str">
            <v>Herramienta Secc de Carga Loadbuster</v>
          </cell>
          <cell r="C2557" t="str">
            <v>NUEVO</v>
          </cell>
          <cell r="D2557">
            <v>5721</v>
          </cell>
          <cell r="E2557">
            <v>1000</v>
          </cell>
          <cell r="F2557" t="str">
            <v>ZALM</v>
          </cell>
          <cell r="G2557" t="str">
            <v>UN</v>
          </cell>
          <cell r="H2557" t="str">
            <v>DOP</v>
          </cell>
          <cell r="I2557">
            <v>8</v>
          </cell>
          <cell r="J2557">
            <v>403395.4</v>
          </cell>
          <cell r="K2557">
            <v>0</v>
          </cell>
          <cell r="L2557">
            <v>0</v>
          </cell>
          <cell r="M2557">
            <v>0</v>
          </cell>
          <cell r="N2557">
            <v>0</v>
          </cell>
          <cell r="O2557">
            <v>0</v>
          </cell>
          <cell r="P2557">
            <v>0</v>
          </cell>
          <cell r="Q2557">
            <v>0</v>
          </cell>
          <cell r="R2557">
            <v>0</v>
          </cell>
          <cell r="S2557">
            <v>8</v>
          </cell>
          <cell r="T2557">
            <v>403395.4</v>
          </cell>
          <cell r="U2557">
            <v>50424.425000000003</v>
          </cell>
        </row>
        <row r="2558">
          <cell r="A2558">
            <v>1002612</v>
          </cell>
          <cell r="B2558" t="str">
            <v>Interruptor de Reserva P/ Celdas de Lleg</v>
          </cell>
          <cell r="C2558" t="str">
            <v>NUEVO</v>
          </cell>
          <cell r="D2558">
            <v>5721</v>
          </cell>
          <cell r="E2558">
            <v>1000</v>
          </cell>
          <cell r="F2558" t="str">
            <v>ZALM</v>
          </cell>
          <cell r="G2558" t="str">
            <v>UN</v>
          </cell>
          <cell r="H2558" t="str">
            <v>DOP</v>
          </cell>
          <cell r="I2558">
            <v>1</v>
          </cell>
          <cell r="J2558">
            <v>448318.08</v>
          </cell>
          <cell r="K2558">
            <v>0</v>
          </cell>
          <cell r="L2558">
            <v>0</v>
          </cell>
          <cell r="M2558">
            <v>0</v>
          </cell>
          <cell r="N2558">
            <v>0</v>
          </cell>
          <cell r="O2558">
            <v>0</v>
          </cell>
          <cell r="P2558">
            <v>0</v>
          </cell>
          <cell r="Q2558">
            <v>0</v>
          </cell>
          <cell r="R2558">
            <v>0</v>
          </cell>
          <cell r="S2558">
            <v>1</v>
          </cell>
          <cell r="T2558">
            <v>448318.08</v>
          </cell>
          <cell r="U2558">
            <v>448318.08</v>
          </cell>
        </row>
        <row r="2559">
          <cell r="A2559">
            <v>1002616</v>
          </cell>
          <cell r="B2559" t="str">
            <v>Interruptor Pot SF6 In-1200A 3P 72.5kV</v>
          </cell>
          <cell r="C2559" t="str">
            <v>NUEVO</v>
          </cell>
          <cell r="D2559">
            <v>5721</v>
          </cell>
          <cell r="E2559">
            <v>1000</v>
          </cell>
          <cell r="F2559" t="str">
            <v>ZALM</v>
          </cell>
          <cell r="G2559" t="str">
            <v>UN</v>
          </cell>
          <cell r="H2559" t="str">
            <v>DOP</v>
          </cell>
          <cell r="I2559">
            <v>1</v>
          </cell>
          <cell r="J2559">
            <v>1073330.3799999999</v>
          </cell>
          <cell r="K2559">
            <v>0</v>
          </cell>
          <cell r="L2559">
            <v>0</v>
          </cell>
          <cell r="M2559">
            <v>0</v>
          </cell>
          <cell r="N2559">
            <v>0</v>
          </cell>
          <cell r="O2559">
            <v>0</v>
          </cell>
          <cell r="P2559">
            <v>0</v>
          </cell>
          <cell r="Q2559">
            <v>0</v>
          </cell>
          <cell r="R2559">
            <v>0</v>
          </cell>
          <cell r="S2559">
            <v>1</v>
          </cell>
          <cell r="T2559">
            <v>1073330.3799999999</v>
          </cell>
          <cell r="U2559">
            <v>1073330.3799999999</v>
          </cell>
        </row>
        <row r="2560">
          <cell r="A2560">
            <v>1002619</v>
          </cell>
          <cell r="B2560" t="str">
            <v>Interruptor Pot Vacío T/ 3AH3166-4AZ90</v>
          </cell>
          <cell r="C2560" t="str">
            <v>NUEVO</v>
          </cell>
          <cell r="D2560">
            <v>5721</v>
          </cell>
          <cell r="E2560">
            <v>1000</v>
          </cell>
          <cell r="F2560" t="str">
            <v>ZALM</v>
          </cell>
          <cell r="G2560" t="str">
            <v>UN</v>
          </cell>
          <cell r="H2560" t="str">
            <v>DOP</v>
          </cell>
          <cell r="I2560">
            <v>1</v>
          </cell>
          <cell r="J2560">
            <v>402217.13</v>
          </cell>
          <cell r="K2560">
            <v>0</v>
          </cell>
          <cell r="L2560">
            <v>0</v>
          </cell>
          <cell r="M2560">
            <v>0</v>
          </cell>
          <cell r="N2560">
            <v>0</v>
          </cell>
          <cell r="O2560">
            <v>0</v>
          </cell>
          <cell r="P2560">
            <v>0</v>
          </cell>
          <cell r="Q2560">
            <v>0</v>
          </cell>
          <cell r="R2560">
            <v>0</v>
          </cell>
          <cell r="S2560">
            <v>1</v>
          </cell>
          <cell r="T2560">
            <v>402217.13</v>
          </cell>
          <cell r="U2560">
            <v>402217.13</v>
          </cell>
        </row>
        <row r="2561">
          <cell r="A2561">
            <v>1002623</v>
          </cell>
          <cell r="B2561" t="str">
            <v>Network Terminal Unit NTU-7560A</v>
          </cell>
          <cell r="C2561" t="str">
            <v>NUEVO</v>
          </cell>
          <cell r="D2561">
            <v>5721</v>
          </cell>
          <cell r="E2561">
            <v>1000</v>
          </cell>
          <cell r="F2561" t="str">
            <v>ZALM</v>
          </cell>
          <cell r="G2561" t="str">
            <v>UN</v>
          </cell>
          <cell r="H2561" t="str">
            <v>DOP</v>
          </cell>
          <cell r="I2561">
            <v>0</v>
          </cell>
          <cell r="J2561">
            <v>0</v>
          </cell>
          <cell r="K2561">
            <v>0</v>
          </cell>
          <cell r="L2561">
            <v>0</v>
          </cell>
          <cell r="M2561">
            <v>0</v>
          </cell>
          <cell r="N2561">
            <v>0</v>
          </cell>
          <cell r="O2561">
            <v>0</v>
          </cell>
          <cell r="P2561">
            <v>0</v>
          </cell>
          <cell r="Q2561">
            <v>0</v>
          </cell>
          <cell r="R2561">
            <v>0</v>
          </cell>
          <cell r="S2561">
            <v>0</v>
          </cell>
          <cell r="T2561">
            <v>0</v>
          </cell>
          <cell r="U2561" t="e">
            <v>#N/A</v>
          </cell>
        </row>
        <row r="2562">
          <cell r="A2562">
            <v>1002624</v>
          </cell>
          <cell r="B2562" t="str">
            <v>NTU-7515 130VDC/12Vdc Power Mod 50W</v>
          </cell>
          <cell r="C2562" t="str">
            <v>NUEVO</v>
          </cell>
          <cell r="D2562">
            <v>5721</v>
          </cell>
          <cell r="E2562">
            <v>1000</v>
          </cell>
          <cell r="F2562" t="str">
            <v>ZALM</v>
          </cell>
          <cell r="G2562" t="str">
            <v>UN</v>
          </cell>
          <cell r="H2562" t="str">
            <v>DOP</v>
          </cell>
          <cell r="I2562">
            <v>0</v>
          </cell>
          <cell r="J2562">
            <v>0</v>
          </cell>
          <cell r="K2562">
            <v>0</v>
          </cell>
          <cell r="L2562">
            <v>0</v>
          </cell>
          <cell r="M2562">
            <v>0</v>
          </cell>
          <cell r="N2562">
            <v>0</v>
          </cell>
          <cell r="O2562">
            <v>0</v>
          </cell>
          <cell r="P2562">
            <v>0</v>
          </cell>
          <cell r="Q2562">
            <v>0</v>
          </cell>
          <cell r="R2562">
            <v>0</v>
          </cell>
          <cell r="S2562">
            <v>0</v>
          </cell>
          <cell r="T2562">
            <v>0</v>
          </cell>
          <cell r="U2562" t="e">
            <v>#N/A</v>
          </cell>
        </row>
        <row r="2563">
          <cell r="A2563">
            <v>1002625</v>
          </cell>
          <cell r="B2563" t="str">
            <v>Radio Equip Instal Kit NTU RemTerm Unit</v>
          </cell>
          <cell r="C2563" t="str">
            <v>NUEVO</v>
          </cell>
          <cell r="D2563">
            <v>5721</v>
          </cell>
          <cell r="E2563">
            <v>1000</v>
          </cell>
          <cell r="F2563" t="str">
            <v>ZALM</v>
          </cell>
          <cell r="G2563" t="str">
            <v>UN</v>
          </cell>
          <cell r="H2563" t="str">
            <v>DOP</v>
          </cell>
          <cell r="I2563">
            <v>0</v>
          </cell>
          <cell r="J2563">
            <v>0</v>
          </cell>
          <cell r="K2563">
            <v>0</v>
          </cell>
          <cell r="L2563">
            <v>0</v>
          </cell>
          <cell r="M2563">
            <v>0</v>
          </cell>
          <cell r="N2563">
            <v>0</v>
          </cell>
          <cell r="O2563">
            <v>0</v>
          </cell>
          <cell r="P2563">
            <v>0</v>
          </cell>
          <cell r="Q2563">
            <v>0</v>
          </cell>
          <cell r="R2563">
            <v>0</v>
          </cell>
          <cell r="S2563">
            <v>0</v>
          </cell>
          <cell r="T2563">
            <v>0</v>
          </cell>
          <cell r="U2563" t="e">
            <v>#N/A</v>
          </cell>
        </row>
        <row r="2564">
          <cell r="A2564">
            <v>1002628</v>
          </cell>
          <cell r="B2564" t="str">
            <v>Reconect Monof T/ Poste 7.2kV 400A</v>
          </cell>
          <cell r="C2564" t="str">
            <v>NUEVO</v>
          </cell>
          <cell r="D2564">
            <v>5721</v>
          </cell>
          <cell r="E2564">
            <v>1000</v>
          </cell>
          <cell r="F2564" t="str">
            <v>ZALM</v>
          </cell>
          <cell r="G2564" t="str">
            <v>UN</v>
          </cell>
          <cell r="H2564" t="str">
            <v>DOP</v>
          </cell>
          <cell r="I2564">
            <v>0</v>
          </cell>
          <cell r="J2564">
            <v>0</v>
          </cell>
          <cell r="K2564">
            <v>0</v>
          </cell>
          <cell r="L2564">
            <v>0</v>
          </cell>
          <cell r="M2564">
            <v>11</v>
          </cell>
          <cell r="N2564">
            <v>4503921.2300000004</v>
          </cell>
          <cell r="O2564">
            <v>0</v>
          </cell>
          <cell r="P2564">
            <v>0</v>
          </cell>
          <cell r="Q2564">
            <v>0</v>
          </cell>
          <cell r="R2564">
            <v>0</v>
          </cell>
          <cell r="S2564">
            <v>11</v>
          </cell>
          <cell r="T2564">
            <v>4503921.2300000004</v>
          </cell>
          <cell r="U2564">
            <v>409447.38454545499</v>
          </cell>
        </row>
        <row r="2565">
          <cell r="A2565">
            <v>1002634</v>
          </cell>
          <cell r="B2565" t="str">
            <v>Reconect Trip T/ Poste 15.5kV 630A</v>
          </cell>
          <cell r="C2565" t="str">
            <v>NUEVO</v>
          </cell>
          <cell r="D2565">
            <v>5721</v>
          </cell>
          <cell r="E2565">
            <v>1000</v>
          </cell>
          <cell r="F2565" t="str">
            <v>ZALM</v>
          </cell>
          <cell r="G2565" t="str">
            <v>UN</v>
          </cell>
          <cell r="H2565" t="str">
            <v>DOP</v>
          </cell>
          <cell r="I2565">
            <v>0</v>
          </cell>
          <cell r="J2565">
            <v>0</v>
          </cell>
          <cell r="K2565">
            <v>0</v>
          </cell>
          <cell r="L2565">
            <v>0</v>
          </cell>
          <cell r="M2565">
            <v>25</v>
          </cell>
          <cell r="N2565">
            <v>12629438.640000001</v>
          </cell>
          <cell r="O2565">
            <v>0</v>
          </cell>
          <cell r="P2565">
            <v>0</v>
          </cell>
          <cell r="Q2565">
            <v>0</v>
          </cell>
          <cell r="R2565">
            <v>0</v>
          </cell>
          <cell r="S2565">
            <v>25</v>
          </cell>
          <cell r="T2565">
            <v>12629438.640000001</v>
          </cell>
          <cell r="U2565">
            <v>505177.54560000001</v>
          </cell>
        </row>
        <row r="2566">
          <cell r="A2566">
            <v>1002635</v>
          </cell>
          <cell r="B2566" t="str">
            <v>Reconect Trip T/ Poste 15.5kV 800A</v>
          </cell>
          <cell r="C2566" t="str">
            <v>NUEVO</v>
          </cell>
          <cell r="D2566">
            <v>5721</v>
          </cell>
          <cell r="E2566">
            <v>1000</v>
          </cell>
          <cell r="F2566" t="str">
            <v>ZALM</v>
          </cell>
          <cell r="G2566" t="str">
            <v>UN</v>
          </cell>
          <cell r="H2566" t="str">
            <v>DOP</v>
          </cell>
          <cell r="I2566">
            <v>0</v>
          </cell>
          <cell r="J2566">
            <v>0</v>
          </cell>
          <cell r="K2566">
            <v>0</v>
          </cell>
          <cell r="L2566">
            <v>0</v>
          </cell>
          <cell r="M2566">
            <v>1</v>
          </cell>
          <cell r="N2566">
            <v>572017.56000000006</v>
          </cell>
          <cell r="O2566">
            <v>0</v>
          </cell>
          <cell r="P2566">
            <v>0</v>
          </cell>
          <cell r="Q2566">
            <v>0</v>
          </cell>
          <cell r="R2566">
            <v>0</v>
          </cell>
          <cell r="S2566">
            <v>1</v>
          </cell>
          <cell r="T2566">
            <v>572017.56000000006</v>
          </cell>
          <cell r="U2566">
            <v>572017.56000000006</v>
          </cell>
        </row>
        <row r="2567">
          <cell r="A2567">
            <v>1002636</v>
          </cell>
          <cell r="B2567" t="str">
            <v>CT's de A.T. 138kV 100-200/1-1-1-5-5-5A</v>
          </cell>
          <cell r="C2567" t="str">
            <v>NUEVO</v>
          </cell>
          <cell r="D2567">
            <v>6302</v>
          </cell>
          <cell r="E2567">
            <v>1000</v>
          </cell>
          <cell r="F2567" t="str">
            <v>ZALM</v>
          </cell>
          <cell r="G2567" t="str">
            <v>UN</v>
          </cell>
          <cell r="H2567" t="str">
            <v>DOP</v>
          </cell>
          <cell r="I2567">
            <v>0</v>
          </cell>
          <cell r="J2567">
            <v>0</v>
          </cell>
          <cell r="K2567">
            <v>0</v>
          </cell>
          <cell r="L2567">
            <v>0</v>
          </cell>
          <cell r="M2567">
            <v>0</v>
          </cell>
          <cell r="N2567">
            <v>0</v>
          </cell>
          <cell r="O2567">
            <v>0</v>
          </cell>
          <cell r="P2567">
            <v>0</v>
          </cell>
          <cell r="Q2567">
            <v>0</v>
          </cell>
          <cell r="R2567">
            <v>0</v>
          </cell>
          <cell r="S2567">
            <v>0</v>
          </cell>
          <cell r="T2567">
            <v>0</v>
          </cell>
          <cell r="U2567" t="e">
            <v>#N/A</v>
          </cell>
        </row>
        <row r="2568">
          <cell r="A2568">
            <v>1002637</v>
          </cell>
          <cell r="B2568" t="str">
            <v>CT's de A.T. 138kV 150-300/1-1-1-5-5-5A</v>
          </cell>
          <cell r="C2568" t="str">
            <v>NUEVO</v>
          </cell>
          <cell r="D2568">
            <v>6302</v>
          </cell>
          <cell r="E2568">
            <v>1000</v>
          </cell>
          <cell r="F2568" t="str">
            <v>ZALM</v>
          </cell>
          <cell r="G2568" t="str">
            <v>UN</v>
          </cell>
          <cell r="H2568" t="str">
            <v>DOP</v>
          </cell>
          <cell r="I2568">
            <v>0</v>
          </cell>
          <cell r="J2568">
            <v>0</v>
          </cell>
          <cell r="K2568">
            <v>0</v>
          </cell>
          <cell r="L2568">
            <v>0</v>
          </cell>
          <cell r="M2568">
            <v>0</v>
          </cell>
          <cell r="N2568">
            <v>0</v>
          </cell>
          <cell r="O2568">
            <v>0</v>
          </cell>
          <cell r="P2568">
            <v>0</v>
          </cell>
          <cell r="Q2568">
            <v>0</v>
          </cell>
          <cell r="R2568">
            <v>0</v>
          </cell>
          <cell r="S2568">
            <v>0</v>
          </cell>
          <cell r="T2568">
            <v>0</v>
          </cell>
          <cell r="U2568" t="e">
            <v>#N/A</v>
          </cell>
        </row>
        <row r="2569">
          <cell r="A2569">
            <v>1002639</v>
          </cell>
          <cell r="B2569" t="str">
            <v>CT's de A.T. 138kV 50-100-200/1-1-1-5-5A</v>
          </cell>
          <cell r="C2569" t="str">
            <v>NUEVO</v>
          </cell>
          <cell r="D2569">
            <v>6302</v>
          </cell>
          <cell r="E2569">
            <v>1000</v>
          </cell>
          <cell r="F2569" t="str">
            <v>ZALM</v>
          </cell>
          <cell r="G2569" t="str">
            <v>UN</v>
          </cell>
          <cell r="H2569" t="str">
            <v>DOP</v>
          </cell>
          <cell r="I2569">
            <v>3</v>
          </cell>
          <cell r="J2569">
            <v>716788.16</v>
          </cell>
          <cell r="K2569">
            <v>0</v>
          </cell>
          <cell r="L2569">
            <v>0</v>
          </cell>
          <cell r="M2569">
            <v>0</v>
          </cell>
          <cell r="N2569">
            <v>0</v>
          </cell>
          <cell r="O2569">
            <v>0</v>
          </cell>
          <cell r="P2569">
            <v>0</v>
          </cell>
          <cell r="Q2569">
            <v>0</v>
          </cell>
          <cell r="R2569">
            <v>0</v>
          </cell>
          <cell r="S2569">
            <v>3</v>
          </cell>
          <cell r="T2569">
            <v>716788.16</v>
          </cell>
          <cell r="U2569">
            <v>238929.38666666701</v>
          </cell>
        </row>
        <row r="2570">
          <cell r="A2570">
            <v>1002641</v>
          </cell>
          <cell r="B2570" t="str">
            <v>CT's de A.T. 69kV 100-200-400/5-5-5-5A</v>
          </cell>
          <cell r="C2570" t="str">
            <v>NUEVO</v>
          </cell>
          <cell r="D2570">
            <v>6302</v>
          </cell>
          <cell r="E2570">
            <v>1000</v>
          </cell>
          <cell r="F2570" t="str">
            <v>ZALM</v>
          </cell>
          <cell r="G2570" t="str">
            <v>UN</v>
          </cell>
          <cell r="H2570" t="str">
            <v>DOP</v>
          </cell>
          <cell r="I2570">
            <v>9</v>
          </cell>
          <cell r="J2570">
            <v>1625885.04</v>
          </cell>
          <cell r="K2570">
            <v>0</v>
          </cell>
          <cell r="L2570">
            <v>0</v>
          </cell>
          <cell r="M2570">
            <v>0</v>
          </cell>
          <cell r="N2570">
            <v>0</v>
          </cell>
          <cell r="O2570">
            <v>0</v>
          </cell>
          <cell r="P2570">
            <v>0</v>
          </cell>
          <cell r="Q2570">
            <v>0</v>
          </cell>
          <cell r="R2570">
            <v>0</v>
          </cell>
          <cell r="S2570">
            <v>9</v>
          </cell>
          <cell r="T2570">
            <v>1625885.04</v>
          </cell>
          <cell r="U2570">
            <v>180653.89333333299</v>
          </cell>
        </row>
        <row r="2571">
          <cell r="A2571">
            <v>1002642</v>
          </cell>
          <cell r="B2571" t="str">
            <v>CT's de A.T. 69kV 150-300/5-5-5-5-5A</v>
          </cell>
          <cell r="C2571" t="str">
            <v>NUEVO</v>
          </cell>
          <cell r="D2571">
            <v>6302</v>
          </cell>
          <cell r="E2571">
            <v>1000</v>
          </cell>
          <cell r="F2571" t="str">
            <v>ZALM</v>
          </cell>
          <cell r="G2571" t="str">
            <v>UN</v>
          </cell>
          <cell r="H2571" t="str">
            <v>DOP</v>
          </cell>
          <cell r="I2571">
            <v>0</v>
          </cell>
          <cell r="J2571">
            <v>0</v>
          </cell>
          <cell r="K2571">
            <v>0</v>
          </cell>
          <cell r="L2571">
            <v>0</v>
          </cell>
          <cell r="M2571">
            <v>0</v>
          </cell>
          <cell r="N2571">
            <v>0</v>
          </cell>
          <cell r="O2571">
            <v>0</v>
          </cell>
          <cell r="P2571">
            <v>0</v>
          </cell>
          <cell r="Q2571">
            <v>0</v>
          </cell>
          <cell r="R2571">
            <v>0</v>
          </cell>
          <cell r="S2571">
            <v>0</v>
          </cell>
          <cell r="T2571">
            <v>0</v>
          </cell>
          <cell r="U2571" t="e">
            <v>#N/A</v>
          </cell>
        </row>
        <row r="2572">
          <cell r="A2572">
            <v>1002643</v>
          </cell>
          <cell r="B2572" t="str">
            <v>CT's de A.T. 69kV 15-30/5-5-5-5A</v>
          </cell>
          <cell r="C2572" t="str">
            <v>NUEVO</v>
          </cell>
          <cell r="D2572">
            <v>6302</v>
          </cell>
          <cell r="E2572">
            <v>1000</v>
          </cell>
          <cell r="F2572" t="str">
            <v>ZALM</v>
          </cell>
          <cell r="G2572" t="str">
            <v>UN</v>
          </cell>
          <cell r="H2572" t="str">
            <v>DOP</v>
          </cell>
          <cell r="I2572">
            <v>1</v>
          </cell>
          <cell r="J2572">
            <v>167260.26999999999</v>
          </cell>
          <cell r="K2572">
            <v>0</v>
          </cell>
          <cell r="L2572">
            <v>0</v>
          </cell>
          <cell r="M2572">
            <v>0</v>
          </cell>
          <cell r="N2572">
            <v>0</v>
          </cell>
          <cell r="O2572">
            <v>0</v>
          </cell>
          <cell r="P2572">
            <v>0</v>
          </cell>
          <cell r="Q2572">
            <v>0</v>
          </cell>
          <cell r="R2572">
            <v>0</v>
          </cell>
          <cell r="S2572">
            <v>1</v>
          </cell>
          <cell r="T2572">
            <v>167260.26999999999</v>
          </cell>
          <cell r="U2572">
            <v>167260.26999999999</v>
          </cell>
        </row>
        <row r="2573">
          <cell r="A2573">
            <v>1002649</v>
          </cell>
          <cell r="B2573" t="str">
            <v>CT's de A.T. 69kV 75-150/5-5-5-5-5A</v>
          </cell>
          <cell r="C2573" t="str">
            <v>NUEVO</v>
          </cell>
          <cell r="D2573">
            <v>6302</v>
          </cell>
          <cell r="E2573">
            <v>1000</v>
          </cell>
          <cell r="F2573" t="str">
            <v>ZALM</v>
          </cell>
          <cell r="G2573" t="str">
            <v>UN</v>
          </cell>
          <cell r="H2573" t="str">
            <v>DOP</v>
          </cell>
          <cell r="I2573">
            <v>3</v>
          </cell>
          <cell r="J2573">
            <v>603637.38</v>
          </cell>
          <cell r="K2573">
            <v>0</v>
          </cell>
          <cell r="L2573">
            <v>0</v>
          </cell>
          <cell r="M2573">
            <v>0</v>
          </cell>
          <cell r="N2573">
            <v>0</v>
          </cell>
          <cell r="O2573">
            <v>0</v>
          </cell>
          <cell r="P2573">
            <v>0</v>
          </cell>
          <cell r="Q2573">
            <v>0</v>
          </cell>
          <cell r="R2573">
            <v>0</v>
          </cell>
          <cell r="S2573">
            <v>3</v>
          </cell>
          <cell r="T2573">
            <v>603637.38</v>
          </cell>
          <cell r="U2573">
            <v>201212.46</v>
          </cell>
        </row>
        <row r="2574">
          <cell r="A2574">
            <v>1002650</v>
          </cell>
          <cell r="B2574" t="str">
            <v>CT's de A.T.138kV 100-200-400/1-1-1-5-5A</v>
          </cell>
          <cell r="C2574" t="str">
            <v>NUEVO</v>
          </cell>
          <cell r="D2574">
            <v>6302</v>
          </cell>
          <cell r="E2574">
            <v>1000</v>
          </cell>
          <cell r="F2574" t="str">
            <v>ZALM</v>
          </cell>
          <cell r="G2574" t="str">
            <v>UN</v>
          </cell>
          <cell r="H2574" t="str">
            <v>DOP</v>
          </cell>
          <cell r="I2574">
            <v>2</v>
          </cell>
          <cell r="J2574">
            <v>261456.92</v>
          </cell>
          <cell r="K2574">
            <v>0</v>
          </cell>
          <cell r="L2574">
            <v>0</v>
          </cell>
          <cell r="M2574">
            <v>0</v>
          </cell>
          <cell r="N2574">
            <v>0</v>
          </cell>
          <cell r="O2574">
            <v>0</v>
          </cell>
          <cell r="P2574">
            <v>0</v>
          </cell>
          <cell r="Q2574">
            <v>0</v>
          </cell>
          <cell r="R2574">
            <v>0</v>
          </cell>
          <cell r="S2574">
            <v>2</v>
          </cell>
          <cell r="T2574">
            <v>261456.92</v>
          </cell>
          <cell r="U2574">
            <v>130728.46</v>
          </cell>
        </row>
        <row r="2575">
          <cell r="A2575">
            <v>1002652</v>
          </cell>
          <cell r="B2575" t="str">
            <v>PT'S de A.T. 138kV/1.732/0.115kV</v>
          </cell>
          <cell r="C2575" t="str">
            <v>NUEVO</v>
          </cell>
          <cell r="D2575">
            <v>6302</v>
          </cell>
          <cell r="E2575">
            <v>1000</v>
          </cell>
          <cell r="F2575" t="str">
            <v>ZALM</v>
          </cell>
          <cell r="G2575" t="str">
            <v>UN</v>
          </cell>
          <cell r="H2575" t="str">
            <v>DOP</v>
          </cell>
          <cell r="I2575">
            <v>6</v>
          </cell>
          <cell r="J2575">
            <v>1431021.09</v>
          </cell>
          <cell r="K2575">
            <v>0</v>
          </cell>
          <cell r="L2575">
            <v>0</v>
          </cell>
          <cell r="M2575">
            <v>0</v>
          </cell>
          <cell r="N2575">
            <v>0</v>
          </cell>
          <cell r="O2575">
            <v>0</v>
          </cell>
          <cell r="P2575">
            <v>0</v>
          </cell>
          <cell r="Q2575">
            <v>0</v>
          </cell>
          <cell r="R2575">
            <v>0</v>
          </cell>
          <cell r="S2575">
            <v>6</v>
          </cell>
          <cell r="T2575">
            <v>1431021.09</v>
          </cell>
          <cell r="U2575">
            <v>238503.51500000001</v>
          </cell>
        </row>
        <row r="2576">
          <cell r="A2576">
            <v>1002653</v>
          </cell>
          <cell r="B2576" t="str">
            <v>PT'S de A.T. 69kV/1.732/0.12kV</v>
          </cell>
          <cell r="C2576" t="str">
            <v>NUEVO</v>
          </cell>
          <cell r="D2576">
            <v>6302</v>
          </cell>
          <cell r="E2576">
            <v>1000</v>
          </cell>
          <cell r="F2576" t="str">
            <v>ZALM</v>
          </cell>
          <cell r="G2576" t="str">
            <v>UN</v>
          </cell>
          <cell r="H2576" t="str">
            <v>DOP</v>
          </cell>
          <cell r="I2576">
            <v>9</v>
          </cell>
          <cell r="J2576">
            <v>1505342.15</v>
          </cell>
          <cell r="K2576">
            <v>0</v>
          </cell>
          <cell r="L2576">
            <v>0</v>
          </cell>
          <cell r="M2576">
            <v>0</v>
          </cell>
          <cell r="N2576">
            <v>0</v>
          </cell>
          <cell r="O2576">
            <v>0</v>
          </cell>
          <cell r="P2576">
            <v>0</v>
          </cell>
          <cell r="Q2576">
            <v>0</v>
          </cell>
          <cell r="R2576">
            <v>0</v>
          </cell>
          <cell r="S2576">
            <v>9</v>
          </cell>
          <cell r="T2576">
            <v>1505342.15</v>
          </cell>
          <cell r="U2576">
            <v>167260.238888889</v>
          </cell>
        </row>
        <row r="2577">
          <cell r="A2577">
            <v>1002654</v>
          </cell>
          <cell r="B2577" t="str">
            <v>REGULADOR BAJO C MONOF 7620-7200V 167kV</v>
          </cell>
          <cell r="C2577" t="str">
            <v>NUEVO</v>
          </cell>
          <cell r="D2577">
            <v>6302</v>
          </cell>
          <cell r="E2577">
            <v>1000</v>
          </cell>
          <cell r="F2577" t="str">
            <v>ZALM</v>
          </cell>
          <cell r="G2577" t="str">
            <v>UN</v>
          </cell>
          <cell r="H2577" t="str">
            <v>DOP</v>
          </cell>
          <cell r="I2577">
            <v>0</v>
          </cell>
          <cell r="J2577">
            <v>0</v>
          </cell>
          <cell r="K2577">
            <v>0</v>
          </cell>
          <cell r="L2577">
            <v>0</v>
          </cell>
          <cell r="M2577">
            <v>11</v>
          </cell>
          <cell r="N2577">
            <v>5406171.1799999997</v>
          </cell>
          <cell r="O2577">
            <v>0</v>
          </cell>
          <cell r="P2577">
            <v>0</v>
          </cell>
          <cell r="Q2577">
            <v>0</v>
          </cell>
          <cell r="R2577">
            <v>0</v>
          </cell>
          <cell r="S2577">
            <v>11</v>
          </cell>
          <cell r="T2577">
            <v>5406171.1799999997</v>
          </cell>
          <cell r="U2577">
            <v>491470.10727272701</v>
          </cell>
        </row>
        <row r="2578">
          <cell r="A2578">
            <v>1002655</v>
          </cell>
          <cell r="B2578" t="str">
            <v>Regulador Bajo C Monof 7620-7200V 416kV</v>
          </cell>
          <cell r="C2578" t="str">
            <v>NUEVO</v>
          </cell>
          <cell r="D2578">
            <v>6302</v>
          </cell>
          <cell r="E2578">
            <v>1000</v>
          </cell>
          <cell r="F2578" t="str">
            <v>ZALM</v>
          </cell>
          <cell r="G2578" t="str">
            <v>UN</v>
          </cell>
          <cell r="H2578" t="str">
            <v>DOP</v>
          </cell>
          <cell r="I2578">
            <v>4</v>
          </cell>
          <cell r="J2578">
            <v>2845308.28</v>
          </cell>
          <cell r="K2578">
            <v>0</v>
          </cell>
          <cell r="L2578">
            <v>0</v>
          </cell>
          <cell r="M2578">
            <v>0</v>
          </cell>
          <cell r="N2578">
            <v>0</v>
          </cell>
          <cell r="O2578">
            <v>0</v>
          </cell>
          <cell r="P2578">
            <v>0</v>
          </cell>
          <cell r="Q2578">
            <v>0</v>
          </cell>
          <cell r="R2578">
            <v>0</v>
          </cell>
          <cell r="S2578">
            <v>4</v>
          </cell>
          <cell r="T2578">
            <v>2845308.28</v>
          </cell>
          <cell r="U2578">
            <v>711327.07</v>
          </cell>
        </row>
        <row r="2579">
          <cell r="A2579">
            <v>1002656</v>
          </cell>
          <cell r="B2579" t="str">
            <v>Regulador Bajo C Monof 7620-7200V 500kV</v>
          </cell>
          <cell r="C2579" t="str">
            <v>NUEVO</v>
          </cell>
          <cell r="D2579">
            <v>6302</v>
          </cell>
          <cell r="E2579">
            <v>1000</v>
          </cell>
          <cell r="F2579" t="str">
            <v>ZALM</v>
          </cell>
          <cell r="G2579" t="str">
            <v>UN</v>
          </cell>
          <cell r="H2579" t="str">
            <v>DOP</v>
          </cell>
          <cell r="I2579">
            <v>1</v>
          </cell>
          <cell r="J2579">
            <v>0</v>
          </cell>
          <cell r="K2579">
            <v>0</v>
          </cell>
          <cell r="L2579">
            <v>0</v>
          </cell>
          <cell r="M2579">
            <v>0</v>
          </cell>
          <cell r="N2579">
            <v>0</v>
          </cell>
          <cell r="O2579">
            <v>0</v>
          </cell>
          <cell r="P2579">
            <v>0</v>
          </cell>
          <cell r="Q2579">
            <v>0</v>
          </cell>
          <cell r="R2579">
            <v>0</v>
          </cell>
          <cell r="S2579">
            <v>1</v>
          </cell>
          <cell r="T2579">
            <v>0</v>
          </cell>
          <cell r="U2579">
            <v>0</v>
          </cell>
        </row>
        <row r="2580">
          <cell r="A2580">
            <v>1002663</v>
          </cell>
          <cell r="B2580" t="str">
            <v>Transf 230-480/115-50 VA</v>
          </cell>
          <cell r="C2580" t="str">
            <v>NUEVO</v>
          </cell>
          <cell r="D2580">
            <v>6302</v>
          </cell>
          <cell r="E2580">
            <v>1000</v>
          </cell>
          <cell r="F2580" t="str">
            <v>ZALM</v>
          </cell>
          <cell r="G2580" t="str">
            <v>UN</v>
          </cell>
          <cell r="H2580" t="str">
            <v>DOP</v>
          </cell>
          <cell r="I2580">
            <v>13</v>
          </cell>
          <cell r="J2580">
            <v>4804.8</v>
          </cell>
          <cell r="K2580">
            <v>0</v>
          </cell>
          <cell r="L2580">
            <v>0</v>
          </cell>
          <cell r="M2580">
            <v>0</v>
          </cell>
          <cell r="N2580">
            <v>0</v>
          </cell>
          <cell r="O2580">
            <v>0</v>
          </cell>
          <cell r="P2580">
            <v>0</v>
          </cell>
          <cell r="Q2580">
            <v>0</v>
          </cell>
          <cell r="R2580">
            <v>0</v>
          </cell>
          <cell r="S2580">
            <v>13</v>
          </cell>
          <cell r="T2580">
            <v>4804.8</v>
          </cell>
          <cell r="U2580">
            <v>369.6</v>
          </cell>
        </row>
        <row r="2581">
          <cell r="A2581">
            <v>1002664</v>
          </cell>
          <cell r="B2581" t="str">
            <v>Transf 25kV 7.2kV 240-480V</v>
          </cell>
          <cell r="C2581" t="str">
            <v>NUEVO</v>
          </cell>
          <cell r="D2581">
            <v>6302</v>
          </cell>
          <cell r="E2581">
            <v>1000</v>
          </cell>
          <cell r="F2581" t="str">
            <v>ZALM</v>
          </cell>
          <cell r="G2581" t="str">
            <v>UN</v>
          </cell>
          <cell r="H2581" t="str">
            <v>DOP</v>
          </cell>
          <cell r="I2581">
            <v>0</v>
          </cell>
          <cell r="J2581">
            <v>0</v>
          </cell>
          <cell r="K2581">
            <v>0</v>
          </cell>
          <cell r="L2581">
            <v>0</v>
          </cell>
          <cell r="M2581">
            <v>13</v>
          </cell>
          <cell r="N2581">
            <v>810308.43</v>
          </cell>
          <cell r="O2581">
            <v>0</v>
          </cell>
          <cell r="P2581">
            <v>0</v>
          </cell>
          <cell r="Q2581">
            <v>0</v>
          </cell>
          <cell r="R2581">
            <v>0</v>
          </cell>
          <cell r="S2581">
            <v>13</v>
          </cell>
          <cell r="T2581">
            <v>810308.43</v>
          </cell>
          <cell r="U2581">
            <v>62331.417692307703</v>
          </cell>
        </row>
        <row r="2582">
          <cell r="A2582">
            <v>1002664</v>
          </cell>
          <cell r="B2582" t="str">
            <v>Transf 25kV 7.2kV 240-480V</v>
          </cell>
          <cell r="C2582" t="str">
            <v>REMANUFACT</v>
          </cell>
          <cell r="D2582">
            <v>6302</v>
          </cell>
          <cell r="E2582">
            <v>1000</v>
          </cell>
          <cell r="F2582" t="str">
            <v>ZALM</v>
          </cell>
          <cell r="G2582" t="str">
            <v>UN</v>
          </cell>
          <cell r="H2582" t="str">
            <v>DOP</v>
          </cell>
          <cell r="I2582">
            <v>0</v>
          </cell>
          <cell r="J2582">
            <v>0</v>
          </cell>
          <cell r="K2582">
            <v>0</v>
          </cell>
          <cell r="L2582">
            <v>0</v>
          </cell>
          <cell r="M2582">
            <v>4</v>
          </cell>
          <cell r="N2582">
            <v>134560</v>
          </cell>
          <cell r="O2582">
            <v>0</v>
          </cell>
          <cell r="P2582">
            <v>0</v>
          </cell>
          <cell r="Q2582">
            <v>0</v>
          </cell>
          <cell r="R2582">
            <v>0</v>
          </cell>
          <cell r="S2582">
            <v>4</v>
          </cell>
          <cell r="T2582">
            <v>134560</v>
          </cell>
          <cell r="U2582">
            <v>33640</v>
          </cell>
        </row>
        <row r="2583">
          <cell r="A2583">
            <v>1002666</v>
          </cell>
          <cell r="B2583" t="str">
            <v>Transf 50kV T/BOOSTER 12470V 20% Reg.</v>
          </cell>
          <cell r="C2583" t="str">
            <v>NUEVO</v>
          </cell>
          <cell r="D2583">
            <v>6302</v>
          </cell>
          <cell r="E2583">
            <v>1000</v>
          </cell>
          <cell r="F2583" t="str">
            <v>ZALM</v>
          </cell>
          <cell r="G2583" t="str">
            <v>UN</v>
          </cell>
          <cell r="H2583" t="str">
            <v>DOP</v>
          </cell>
          <cell r="I2583">
            <v>0</v>
          </cell>
          <cell r="J2583">
            <v>0</v>
          </cell>
          <cell r="K2583">
            <v>0</v>
          </cell>
          <cell r="L2583">
            <v>0</v>
          </cell>
          <cell r="M2583">
            <v>3</v>
          </cell>
          <cell r="N2583">
            <v>178771.53</v>
          </cell>
          <cell r="O2583">
            <v>0</v>
          </cell>
          <cell r="P2583">
            <v>0</v>
          </cell>
          <cell r="Q2583">
            <v>0</v>
          </cell>
          <cell r="R2583">
            <v>0</v>
          </cell>
          <cell r="S2583">
            <v>3</v>
          </cell>
          <cell r="T2583">
            <v>178771.53</v>
          </cell>
          <cell r="U2583">
            <v>59590.51</v>
          </cell>
        </row>
        <row r="2584">
          <cell r="A2584">
            <v>1002666</v>
          </cell>
          <cell r="B2584" t="str">
            <v>Transf 50kV T/BOOSTER 12470V 20% Reg.</v>
          </cell>
          <cell r="C2584" t="str">
            <v>REPARADO</v>
          </cell>
          <cell r="D2584">
            <v>6302</v>
          </cell>
          <cell r="E2584">
            <v>1000</v>
          </cell>
          <cell r="F2584" t="str">
            <v>ZALM</v>
          </cell>
          <cell r="G2584" t="str">
            <v>UN</v>
          </cell>
          <cell r="H2584" t="str">
            <v>DOP</v>
          </cell>
          <cell r="I2584">
            <v>0</v>
          </cell>
          <cell r="J2584">
            <v>0</v>
          </cell>
          <cell r="K2584">
            <v>0</v>
          </cell>
          <cell r="L2584">
            <v>0</v>
          </cell>
          <cell r="M2584">
            <v>0</v>
          </cell>
          <cell r="N2584">
            <v>0</v>
          </cell>
          <cell r="O2584">
            <v>0</v>
          </cell>
          <cell r="P2584">
            <v>0</v>
          </cell>
          <cell r="Q2584">
            <v>0</v>
          </cell>
          <cell r="R2584">
            <v>0</v>
          </cell>
          <cell r="S2584">
            <v>0</v>
          </cell>
          <cell r="T2584">
            <v>0</v>
          </cell>
          <cell r="U2584" t="e">
            <v>#N/A</v>
          </cell>
        </row>
        <row r="2585">
          <cell r="A2585">
            <v>1002671</v>
          </cell>
          <cell r="B2585" t="str">
            <v>Transf Corr 2500/5-5-5-5A 12.47-17.5kV</v>
          </cell>
          <cell r="C2585" t="str">
            <v>NUEVO</v>
          </cell>
          <cell r="D2585">
            <v>6302</v>
          </cell>
          <cell r="E2585">
            <v>1000</v>
          </cell>
          <cell r="F2585" t="str">
            <v>ZALM</v>
          </cell>
          <cell r="G2585" t="str">
            <v>UN</v>
          </cell>
          <cell r="H2585" t="str">
            <v>DOP</v>
          </cell>
          <cell r="I2585">
            <v>7</v>
          </cell>
          <cell r="J2585">
            <v>218519.59</v>
          </cell>
          <cell r="K2585">
            <v>0</v>
          </cell>
          <cell r="L2585">
            <v>0</v>
          </cell>
          <cell r="M2585">
            <v>0</v>
          </cell>
          <cell r="N2585">
            <v>0</v>
          </cell>
          <cell r="O2585">
            <v>0</v>
          </cell>
          <cell r="P2585">
            <v>0</v>
          </cell>
          <cell r="Q2585">
            <v>0</v>
          </cell>
          <cell r="R2585">
            <v>0</v>
          </cell>
          <cell r="S2585">
            <v>7</v>
          </cell>
          <cell r="T2585">
            <v>218519.59</v>
          </cell>
          <cell r="U2585">
            <v>31217.0842857143</v>
          </cell>
        </row>
        <row r="2586">
          <cell r="A2586">
            <v>1002672</v>
          </cell>
          <cell r="B2586" t="str">
            <v>Transf Corr 600/5-5-5A 12.47-17.5kV</v>
          </cell>
          <cell r="C2586" t="str">
            <v>NUEVO</v>
          </cell>
          <cell r="D2586">
            <v>6302</v>
          </cell>
          <cell r="E2586">
            <v>1000</v>
          </cell>
          <cell r="F2586" t="str">
            <v>ZALM</v>
          </cell>
          <cell r="G2586" t="str">
            <v>UN</v>
          </cell>
          <cell r="H2586" t="str">
            <v>DOP</v>
          </cell>
          <cell r="I2586">
            <v>11</v>
          </cell>
          <cell r="J2586">
            <v>527645.1</v>
          </cell>
          <cell r="K2586">
            <v>0</v>
          </cell>
          <cell r="L2586">
            <v>0</v>
          </cell>
          <cell r="M2586">
            <v>0</v>
          </cell>
          <cell r="N2586">
            <v>0</v>
          </cell>
          <cell r="O2586">
            <v>0</v>
          </cell>
          <cell r="P2586">
            <v>0</v>
          </cell>
          <cell r="Q2586">
            <v>0</v>
          </cell>
          <cell r="R2586">
            <v>0</v>
          </cell>
          <cell r="S2586">
            <v>11</v>
          </cell>
          <cell r="T2586">
            <v>527645.1</v>
          </cell>
          <cell r="U2586">
            <v>47967.736363636403</v>
          </cell>
        </row>
        <row r="2587">
          <cell r="A2587">
            <v>1002677</v>
          </cell>
          <cell r="B2587" t="str">
            <v>Transf Corr Ko 20/5-5-5-5A 69kV</v>
          </cell>
          <cell r="C2587" t="str">
            <v>NUEVO</v>
          </cell>
          <cell r="D2587">
            <v>6302</v>
          </cell>
          <cell r="E2587">
            <v>1000</v>
          </cell>
          <cell r="F2587" t="str">
            <v>ZALM</v>
          </cell>
          <cell r="G2587" t="str">
            <v>UN</v>
          </cell>
          <cell r="H2587" t="str">
            <v>DOP</v>
          </cell>
          <cell r="I2587">
            <v>2</v>
          </cell>
          <cell r="J2587">
            <v>127100</v>
          </cell>
          <cell r="K2587">
            <v>0</v>
          </cell>
          <cell r="L2587">
            <v>0</v>
          </cell>
          <cell r="M2587">
            <v>0</v>
          </cell>
          <cell r="N2587">
            <v>0</v>
          </cell>
          <cell r="O2587">
            <v>0</v>
          </cell>
          <cell r="P2587">
            <v>0</v>
          </cell>
          <cell r="Q2587">
            <v>0</v>
          </cell>
          <cell r="R2587">
            <v>0</v>
          </cell>
          <cell r="S2587">
            <v>2</v>
          </cell>
          <cell r="T2587">
            <v>127100</v>
          </cell>
          <cell r="U2587">
            <v>63550</v>
          </cell>
        </row>
        <row r="2588">
          <cell r="A2588">
            <v>1002681</v>
          </cell>
          <cell r="B2588" t="str">
            <v>Transf Corr Ko 50/5-5-5-5A 69kV</v>
          </cell>
          <cell r="C2588" t="str">
            <v>NUEVO</v>
          </cell>
          <cell r="D2588">
            <v>6302</v>
          </cell>
          <cell r="E2588">
            <v>1000</v>
          </cell>
          <cell r="F2588" t="str">
            <v>ZALM</v>
          </cell>
          <cell r="G2588" t="str">
            <v>UN</v>
          </cell>
          <cell r="H2588" t="str">
            <v>DOP</v>
          </cell>
          <cell r="I2588">
            <v>2</v>
          </cell>
          <cell r="J2588">
            <v>131200</v>
          </cell>
          <cell r="K2588">
            <v>0</v>
          </cell>
          <cell r="L2588">
            <v>0</v>
          </cell>
          <cell r="M2588">
            <v>0</v>
          </cell>
          <cell r="N2588">
            <v>0</v>
          </cell>
          <cell r="O2588">
            <v>0</v>
          </cell>
          <cell r="P2588">
            <v>0</v>
          </cell>
          <cell r="Q2588">
            <v>0</v>
          </cell>
          <cell r="R2588">
            <v>0</v>
          </cell>
          <cell r="S2588">
            <v>2</v>
          </cell>
          <cell r="T2588">
            <v>131200</v>
          </cell>
          <cell r="U2588">
            <v>65600</v>
          </cell>
        </row>
        <row r="2589">
          <cell r="A2589">
            <v>1002683</v>
          </cell>
          <cell r="B2589" t="str">
            <v>Transf Corr Toroi 2500/5-1-1A12.5-17.5kV</v>
          </cell>
          <cell r="C2589" t="str">
            <v>NUEVO</v>
          </cell>
          <cell r="D2589">
            <v>6302</v>
          </cell>
          <cell r="E2589">
            <v>1000</v>
          </cell>
          <cell r="F2589" t="str">
            <v>ZALM</v>
          </cell>
          <cell r="G2589" t="str">
            <v>UN</v>
          </cell>
          <cell r="H2589" t="str">
            <v>DOP</v>
          </cell>
          <cell r="I2589">
            <v>4</v>
          </cell>
          <cell r="J2589">
            <v>188274.17</v>
          </cell>
          <cell r="K2589">
            <v>0</v>
          </cell>
          <cell r="L2589">
            <v>0</v>
          </cell>
          <cell r="M2589">
            <v>0</v>
          </cell>
          <cell r="N2589">
            <v>0</v>
          </cell>
          <cell r="O2589">
            <v>0</v>
          </cell>
          <cell r="P2589">
            <v>0</v>
          </cell>
          <cell r="Q2589">
            <v>0</v>
          </cell>
          <cell r="R2589">
            <v>0</v>
          </cell>
          <cell r="S2589">
            <v>4</v>
          </cell>
          <cell r="T2589">
            <v>188274.17</v>
          </cell>
          <cell r="U2589">
            <v>47068.542500000003</v>
          </cell>
        </row>
        <row r="2590">
          <cell r="A2590">
            <v>1002684</v>
          </cell>
          <cell r="B2590" t="str">
            <v>Transf Corriente Int 2000/5-5-5A 12.5kV</v>
          </cell>
          <cell r="C2590" t="str">
            <v>NUEVO</v>
          </cell>
          <cell r="D2590">
            <v>6302</v>
          </cell>
          <cell r="E2590">
            <v>1000</v>
          </cell>
          <cell r="F2590" t="str">
            <v>ZALM</v>
          </cell>
          <cell r="G2590" t="str">
            <v>UN</v>
          </cell>
          <cell r="H2590" t="str">
            <v>DOP</v>
          </cell>
          <cell r="I2590">
            <v>1</v>
          </cell>
          <cell r="J2590">
            <v>104774.47</v>
          </cell>
          <cell r="K2590">
            <v>0</v>
          </cell>
          <cell r="L2590">
            <v>0</v>
          </cell>
          <cell r="M2590">
            <v>0</v>
          </cell>
          <cell r="N2590">
            <v>0</v>
          </cell>
          <cell r="O2590">
            <v>0</v>
          </cell>
          <cell r="P2590">
            <v>0</v>
          </cell>
          <cell r="Q2590">
            <v>0</v>
          </cell>
          <cell r="R2590">
            <v>0</v>
          </cell>
          <cell r="S2590">
            <v>1</v>
          </cell>
          <cell r="T2590">
            <v>104774.47</v>
          </cell>
          <cell r="U2590">
            <v>104774.47</v>
          </cell>
        </row>
        <row r="2591">
          <cell r="A2591">
            <v>1002685</v>
          </cell>
          <cell r="B2591" t="str">
            <v>Transf 250kV T/Booster 12470V 30% Reg.</v>
          </cell>
          <cell r="C2591" t="str">
            <v>NUEVO</v>
          </cell>
          <cell r="D2591">
            <v>6302</v>
          </cell>
          <cell r="E2591">
            <v>1000</v>
          </cell>
          <cell r="F2591" t="str">
            <v>ZALM</v>
          </cell>
          <cell r="G2591" t="str">
            <v>UN</v>
          </cell>
          <cell r="H2591" t="str">
            <v>DOP</v>
          </cell>
          <cell r="I2591">
            <v>0</v>
          </cell>
          <cell r="J2591">
            <v>0</v>
          </cell>
          <cell r="K2591">
            <v>0</v>
          </cell>
          <cell r="L2591">
            <v>0</v>
          </cell>
          <cell r="M2591">
            <v>2</v>
          </cell>
          <cell r="N2591">
            <v>484155.94</v>
          </cell>
          <cell r="O2591">
            <v>0</v>
          </cell>
          <cell r="P2591">
            <v>0</v>
          </cell>
          <cell r="Q2591">
            <v>0</v>
          </cell>
          <cell r="R2591">
            <v>0</v>
          </cell>
          <cell r="S2591">
            <v>2</v>
          </cell>
          <cell r="T2591">
            <v>484155.94</v>
          </cell>
          <cell r="U2591">
            <v>242077.97</v>
          </cell>
        </row>
        <row r="2592">
          <cell r="A2592">
            <v>1002685</v>
          </cell>
          <cell r="B2592" t="str">
            <v>Transf 250kV T/Booster 12470V 30% Reg.</v>
          </cell>
          <cell r="C2592" t="str">
            <v>REMANUFACT</v>
          </cell>
          <cell r="D2592">
            <v>6302</v>
          </cell>
          <cell r="E2592">
            <v>1000</v>
          </cell>
          <cell r="F2592" t="str">
            <v>ZALM</v>
          </cell>
          <cell r="G2592" t="str">
            <v>UN</v>
          </cell>
          <cell r="H2592" t="str">
            <v>DOP</v>
          </cell>
          <cell r="I2592">
            <v>0</v>
          </cell>
          <cell r="J2592">
            <v>0</v>
          </cell>
          <cell r="K2592">
            <v>0</v>
          </cell>
          <cell r="L2592">
            <v>0</v>
          </cell>
          <cell r="M2592">
            <v>0</v>
          </cell>
          <cell r="N2592">
            <v>0</v>
          </cell>
          <cell r="O2592">
            <v>0</v>
          </cell>
          <cell r="P2592">
            <v>0</v>
          </cell>
          <cell r="Q2592">
            <v>0</v>
          </cell>
          <cell r="R2592">
            <v>0</v>
          </cell>
          <cell r="S2592">
            <v>0</v>
          </cell>
          <cell r="T2592">
            <v>0</v>
          </cell>
          <cell r="U2592" t="e">
            <v>#N/A</v>
          </cell>
        </row>
        <row r="2593">
          <cell r="A2593">
            <v>1002688</v>
          </cell>
          <cell r="B2593" t="str">
            <v>Transf Monof 100kVA 34.5kV 120-240V</v>
          </cell>
          <cell r="C2593" t="str">
            <v>NUEVO</v>
          </cell>
          <cell r="D2593">
            <v>6302</v>
          </cell>
          <cell r="E2593">
            <v>1000</v>
          </cell>
          <cell r="F2593" t="str">
            <v>ZALM</v>
          </cell>
          <cell r="G2593" t="str">
            <v>UN</v>
          </cell>
          <cell r="H2593" t="str">
            <v>DOP</v>
          </cell>
          <cell r="I2593">
            <v>5</v>
          </cell>
          <cell r="J2593">
            <v>1163845.7</v>
          </cell>
          <cell r="K2593">
            <v>0</v>
          </cell>
          <cell r="L2593">
            <v>0</v>
          </cell>
          <cell r="M2593">
            <v>0</v>
          </cell>
          <cell r="N2593">
            <v>0</v>
          </cell>
          <cell r="O2593">
            <v>0</v>
          </cell>
          <cell r="P2593">
            <v>0</v>
          </cell>
          <cell r="Q2593">
            <v>0</v>
          </cell>
          <cell r="R2593">
            <v>0</v>
          </cell>
          <cell r="S2593">
            <v>5</v>
          </cell>
          <cell r="T2593">
            <v>1163845.7</v>
          </cell>
          <cell r="U2593">
            <v>232769.14</v>
          </cell>
        </row>
        <row r="2594">
          <cell r="A2594">
            <v>1002689</v>
          </cell>
          <cell r="B2594" t="str">
            <v>Transf Monof 100kVA 7.2kV 120-240V</v>
          </cell>
          <cell r="C2594" t="str">
            <v>NUEVO</v>
          </cell>
          <cell r="D2594">
            <v>6302</v>
          </cell>
          <cell r="E2594">
            <v>1000</v>
          </cell>
          <cell r="F2594" t="str">
            <v>ZALM</v>
          </cell>
          <cell r="G2594" t="str">
            <v>UN</v>
          </cell>
          <cell r="H2594" t="str">
            <v>DOP</v>
          </cell>
          <cell r="I2594">
            <v>0</v>
          </cell>
          <cell r="J2594">
            <v>0</v>
          </cell>
          <cell r="K2594">
            <v>0</v>
          </cell>
          <cell r="L2594">
            <v>0</v>
          </cell>
          <cell r="M2594">
            <v>0</v>
          </cell>
          <cell r="N2594">
            <v>0</v>
          </cell>
          <cell r="O2594">
            <v>0</v>
          </cell>
          <cell r="P2594">
            <v>0</v>
          </cell>
          <cell r="Q2594">
            <v>0</v>
          </cell>
          <cell r="R2594">
            <v>0</v>
          </cell>
          <cell r="S2594">
            <v>0</v>
          </cell>
          <cell r="T2594">
            <v>0</v>
          </cell>
          <cell r="U2594" t="e">
            <v>#N/A</v>
          </cell>
        </row>
        <row r="2595">
          <cell r="A2595">
            <v>1002689</v>
          </cell>
          <cell r="B2595" t="str">
            <v>Transf Monof 100kVA 7.2kV 120-240V</v>
          </cell>
          <cell r="C2595" t="str">
            <v>REMANUFACT</v>
          </cell>
          <cell r="D2595">
            <v>6302</v>
          </cell>
          <cell r="E2595">
            <v>1000</v>
          </cell>
          <cell r="F2595" t="str">
            <v>ZALM</v>
          </cell>
          <cell r="G2595" t="str">
            <v>UN</v>
          </cell>
          <cell r="H2595" t="str">
            <v>DOP</v>
          </cell>
          <cell r="I2595">
            <v>0</v>
          </cell>
          <cell r="J2595">
            <v>0</v>
          </cell>
          <cell r="K2595">
            <v>0</v>
          </cell>
          <cell r="L2595">
            <v>0</v>
          </cell>
          <cell r="M2595">
            <v>0</v>
          </cell>
          <cell r="N2595">
            <v>0</v>
          </cell>
          <cell r="O2595">
            <v>0</v>
          </cell>
          <cell r="P2595">
            <v>0</v>
          </cell>
          <cell r="Q2595">
            <v>0</v>
          </cell>
          <cell r="R2595">
            <v>0</v>
          </cell>
          <cell r="S2595">
            <v>0</v>
          </cell>
          <cell r="T2595">
            <v>0</v>
          </cell>
          <cell r="U2595" t="e">
            <v>#N/A</v>
          </cell>
        </row>
        <row r="2596">
          <cell r="A2596">
            <v>1002689</v>
          </cell>
          <cell r="B2596" t="str">
            <v>Transf Monof 100kVA 7.2kV 120-240V</v>
          </cell>
          <cell r="C2596" t="str">
            <v>REPARADO</v>
          </cell>
          <cell r="D2596">
            <v>6302</v>
          </cell>
          <cell r="E2596">
            <v>1000</v>
          </cell>
          <cell r="F2596" t="str">
            <v>ZALM</v>
          </cell>
          <cell r="G2596" t="str">
            <v>UN</v>
          </cell>
          <cell r="H2596" t="str">
            <v>DOP</v>
          </cell>
          <cell r="I2596">
            <v>0</v>
          </cell>
          <cell r="J2596">
            <v>0</v>
          </cell>
          <cell r="K2596">
            <v>0</v>
          </cell>
          <cell r="L2596">
            <v>0</v>
          </cell>
          <cell r="M2596">
            <v>0</v>
          </cell>
          <cell r="N2596">
            <v>0</v>
          </cell>
          <cell r="O2596">
            <v>0</v>
          </cell>
          <cell r="P2596">
            <v>0</v>
          </cell>
          <cell r="Q2596">
            <v>0</v>
          </cell>
          <cell r="R2596">
            <v>0</v>
          </cell>
          <cell r="S2596">
            <v>0</v>
          </cell>
          <cell r="T2596">
            <v>0</v>
          </cell>
          <cell r="U2596" t="e">
            <v>#N/A</v>
          </cell>
        </row>
        <row r="2597">
          <cell r="A2597">
            <v>1002693</v>
          </cell>
          <cell r="B2597" t="str">
            <v>Transf Monof 15kVA 7.2kV 120-240V</v>
          </cell>
          <cell r="C2597" t="str">
            <v>NUEVO</v>
          </cell>
          <cell r="D2597">
            <v>6302</v>
          </cell>
          <cell r="E2597">
            <v>1000</v>
          </cell>
          <cell r="F2597" t="str">
            <v>ZALM</v>
          </cell>
          <cell r="G2597" t="str">
            <v>UN</v>
          </cell>
          <cell r="H2597" t="str">
            <v>DOP</v>
          </cell>
          <cell r="I2597">
            <v>0</v>
          </cell>
          <cell r="J2597">
            <v>0</v>
          </cell>
          <cell r="K2597">
            <v>0</v>
          </cell>
          <cell r="L2597">
            <v>0</v>
          </cell>
          <cell r="M2597">
            <v>0</v>
          </cell>
          <cell r="N2597">
            <v>0</v>
          </cell>
          <cell r="O2597">
            <v>0</v>
          </cell>
          <cell r="P2597">
            <v>0</v>
          </cell>
          <cell r="Q2597">
            <v>0</v>
          </cell>
          <cell r="R2597">
            <v>0</v>
          </cell>
          <cell r="S2597">
            <v>0</v>
          </cell>
          <cell r="T2597">
            <v>0</v>
          </cell>
          <cell r="U2597" t="e">
            <v>#N/A</v>
          </cell>
        </row>
        <row r="2598">
          <cell r="A2598">
            <v>1002693</v>
          </cell>
          <cell r="B2598" t="str">
            <v>Transf Monof 15kVA 7.2kV 120-240V</v>
          </cell>
          <cell r="C2598" t="str">
            <v>REPARADO</v>
          </cell>
          <cell r="D2598">
            <v>6302</v>
          </cell>
          <cell r="E2598">
            <v>1000</v>
          </cell>
          <cell r="F2598" t="str">
            <v>ZALM</v>
          </cell>
          <cell r="G2598" t="str">
            <v>UN</v>
          </cell>
          <cell r="H2598" t="str">
            <v>DOP</v>
          </cell>
          <cell r="I2598">
            <v>0</v>
          </cell>
          <cell r="J2598">
            <v>0</v>
          </cell>
          <cell r="K2598">
            <v>0</v>
          </cell>
          <cell r="L2598">
            <v>0</v>
          </cell>
          <cell r="M2598">
            <v>0</v>
          </cell>
          <cell r="N2598">
            <v>0</v>
          </cell>
          <cell r="O2598">
            <v>0</v>
          </cell>
          <cell r="P2598">
            <v>0</v>
          </cell>
          <cell r="Q2598">
            <v>0</v>
          </cell>
          <cell r="R2598">
            <v>0</v>
          </cell>
          <cell r="S2598">
            <v>0</v>
          </cell>
          <cell r="T2598">
            <v>0</v>
          </cell>
          <cell r="U2598" t="e">
            <v>#N/A</v>
          </cell>
        </row>
        <row r="2599">
          <cell r="A2599">
            <v>1002694</v>
          </cell>
          <cell r="B2599" t="str">
            <v>Transf Monof 167kVA 2.4kVA 120-240V</v>
          </cell>
          <cell r="C2599" t="str">
            <v>REPARADO</v>
          </cell>
          <cell r="D2599">
            <v>6302</v>
          </cell>
          <cell r="E2599">
            <v>1000</v>
          </cell>
          <cell r="F2599" t="str">
            <v>ZALM</v>
          </cell>
          <cell r="G2599" t="str">
            <v>UN</v>
          </cell>
          <cell r="H2599" t="str">
            <v>DOP</v>
          </cell>
          <cell r="I2599">
            <v>2</v>
          </cell>
          <cell r="J2599">
            <v>0</v>
          </cell>
          <cell r="K2599">
            <v>0</v>
          </cell>
          <cell r="L2599">
            <v>0</v>
          </cell>
          <cell r="M2599">
            <v>0</v>
          </cell>
          <cell r="N2599">
            <v>0</v>
          </cell>
          <cell r="O2599">
            <v>0</v>
          </cell>
          <cell r="P2599">
            <v>0</v>
          </cell>
          <cell r="Q2599">
            <v>0</v>
          </cell>
          <cell r="R2599">
            <v>0</v>
          </cell>
          <cell r="S2599">
            <v>2</v>
          </cell>
          <cell r="T2599">
            <v>0</v>
          </cell>
          <cell r="U2599">
            <v>0</v>
          </cell>
        </row>
        <row r="2600">
          <cell r="A2600">
            <v>1002696</v>
          </cell>
          <cell r="B2600" t="str">
            <v>Transf Monof 167kVA 7.2-2.4kV</v>
          </cell>
          <cell r="C2600" t="str">
            <v>REMANUFACT</v>
          </cell>
          <cell r="D2600">
            <v>6302</v>
          </cell>
          <cell r="E2600">
            <v>1000</v>
          </cell>
          <cell r="F2600" t="str">
            <v>ZALM</v>
          </cell>
          <cell r="G2600" t="str">
            <v>UN</v>
          </cell>
          <cell r="H2600" t="str">
            <v>DOP</v>
          </cell>
          <cell r="I2600">
            <v>2</v>
          </cell>
          <cell r="J2600">
            <v>44553.599999999999</v>
          </cell>
          <cell r="K2600">
            <v>0</v>
          </cell>
          <cell r="L2600">
            <v>0</v>
          </cell>
          <cell r="M2600">
            <v>0</v>
          </cell>
          <cell r="N2600">
            <v>0</v>
          </cell>
          <cell r="O2600">
            <v>0</v>
          </cell>
          <cell r="P2600">
            <v>0</v>
          </cell>
          <cell r="Q2600">
            <v>0</v>
          </cell>
          <cell r="R2600">
            <v>0</v>
          </cell>
          <cell r="S2600">
            <v>2</v>
          </cell>
          <cell r="T2600">
            <v>44553.599999999999</v>
          </cell>
          <cell r="U2600">
            <v>22276.799999999999</v>
          </cell>
        </row>
        <row r="2601">
          <cell r="A2601">
            <v>1002696</v>
          </cell>
          <cell r="B2601" t="str">
            <v>Transf Monof 167kVA 7.2-2.4kV</v>
          </cell>
          <cell r="C2601" t="str">
            <v>REPARADO</v>
          </cell>
          <cell r="D2601">
            <v>6302</v>
          </cell>
          <cell r="E2601">
            <v>1000</v>
          </cell>
          <cell r="F2601" t="str">
            <v>ZALM</v>
          </cell>
          <cell r="G2601" t="str">
            <v>UN</v>
          </cell>
          <cell r="H2601" t="str">
            <v>DOP</v>
          </cell>
          <cell r="I2601">
            <v>0</v>
          </cell>
          <cell r="J2601">
            <v>0</v>
          </cell>
          <cell r="K2601">
            <v>0</v>
          </cell>
          <cell r="L2601">
            <v>0</v>
          </cell>
          <cell r="M2601">
            <v>0</v>
          </cell>
          <cell r="N2601">
            <v>0</v>
          </cell>
          <cell r="O2601">
            <v>0</v>
          </cell>
          <cell r="P2601">
            <v>0</v>
          </cell>
          <cell r="Q2601">
            <v>0</v>
          </cell>
          <cell r="R2601">
            <v>0</v>
          </cell>
          <cell r="S2601">
            <v>0</v>
          </cell>
          <cell r="T2601">
            <v>0</v>
          </cell>
          <cell r="U2601" t="e">
            <v>#N/A</v>
          </cell>
        </row>
        <row r="2602">
          <cell r="A2602">
            <v>1002698</v>
          </cell>
          <cell r="B2602" t="str">
            <v>Transf Monof 167kVA 7.2kV 120-240V Pltf</v>
          </cell>
          <cell r="C2602" t="str">
            <v>NUEVO</v>
          </cell>
          <cell r="D2602">
            <v>6302</v>
          </cell>
          <cell r="E2602">
            <v>1000</v>
          </cell>
          <cell r="F2602" t="str">
            <v>ZALM</v>
          </cell>
          <cell r="G2602" t="str">
            <v>UN</v>
          </cell>
          <cell r="H2602" t="str">
            <v>DOP</v>
          </cell>
          <cell r="I2602">
            <v>0</v>
          </cell>
          <cell r="J2602">
            <v>0</v>
          </cell>
          <cell r="K2602">
            <v>0</v>
          </cell>
          <cell r="L2602">
            <v>0</v>
          </cell>
          <cell r="M2602">
            <v>0</v>
          </cell>
          <cell r="N2602">
            <v>0</v>
          </cell>
          <cell r="O2602">
            <v>0</v>
          </cell>
          <cell r="P2602">
            <v>0</v>
          </cell>
          <cell r="Q2602">
            <v>0</v>
          </cell>
          <cell r="R2602">
            <v>0</v>
          </cell>
          <cell r="S2602">
            <v>0</v>
          </cell>
          <cell r="T2602">
            <v>0</v>
          </cell>
          <cell r="U2602" t="e">
            <v>#N/A</v>
          </cell>
        </row>
        <row r="2603">
          <cell r="A2603">
            <v>1002700</v>
          </cell>
          <cell r="B2603" t="str">
            <v>Transf Monof 250kVA 2.4kV</v>
          </cell>
          <cell r="C2603" t="str">
            <v>REMANUFACT</v>
          </cell>
          <cell r="D2603">
            <v>6302</v>
          </cell>
          <cell r="E2603">
            <v>1000</v>
          </cell>
          <cell r="F2603" t="str">
            <v>ZALM</v>
          </cell>
          <cell r="G2603" t="str">
            <v>UN</v>
          </cell>
          <cell r="H2603" t="str">
            <v>DOP</v>
          </cell>
          <cell r="I2603">
            <v>2</v>
          </cell>
          <cell r="J2603">
            <v>267936.8</v>
          </cell>
          <cell r="K2603">
            <v>0</v>
          </cell>
          <cell r="L2603">
            <v>0</v>
          </cell>
          <cell r="M2603">
            <v>0</v>
          </cell>
          <cell r="N2603">
            <v>0</v>
          </cell>
          <cell r="O2603">
            <v>0</v>
          </cell>
          <cell r="P2603">
            <v>0</v>
          </cell>
          <cell r="Q2603">
            <v>0</v>
          </cell>
          <cell r="R2603">
            <v>0</v>
          </cell>
          <cell r="S2603">
            <v>2</v>
          </cell>
          <cell r="T2603">
            <v>267936.8</v>
          </cell>
          <cell r="U2603">
            <v>133968.4</v>
          </cell>
        </row>
        <row r="2604">
          <cell r="A2604">
            <v>1002703</v>
          </cell>
          <cell r="B2604" t="str">
            <v>Transf Monof 250kVA 34.5kV 120-240V</v>
          </cell>
          <cell r="C2604" t="str">
            <v>REPARADO</v>
          </cell>
          <cell r="D2604">
            <v>6302</v>
          </cell>
          <cell r="E2604">
            <v>1000</v>
          </cell>
          <cell r="F2604" t="str">
            <v>ZALM</v>
          </cell>
          <cell r="G2604" t="str">
            <v>UN</v>
          </cell>
          <cell r="H2604" t="str">
            <v>DOP</v>
          </cell>
          <cell r="I2604">
            <v>1</v>
          </cell>
          <cell r="J2604">
            <v>0</v>
          </cell>
          <cell r="K2604">
            <v>0</v>
          </cell>
          <cell r="L2604">
            <v>0</v>
          </cell>
          <cell r="M2604">
            <v>0</v>
          </cell>
          <cell r="N2604">
            <v>0</v>
          </cell>
          <cell r="O2604">
            <v>0</v>
          </cell>
          <cell r="P2604">
            <v>0</v>
          </cell>
          <cell r="Q2604">
            <v>0</v>
          </cell>
          <cell r="R2604">
            <v>0</v>
          </cell>
          <cell r="S2604">
            <v>1</v>
          </cell>
          <cell r="T2604">
            <v>0</v>
          </cell>
          <cell r="U2604">
            <v>0</v>
          </cell>
        </row>
        <row r="2605">
          <cell r="A2605">
            <v>1002704</v>
          </cell>
          <cell r="B2605" t="str">
            <v>Transf Monof 250kVA 7.2kV 120-240V</v>
          </cell>
          <cell r="C2605" t="str">
            <v>NUEVO</v>
          </cell>
          <cell r="D2605">
            <v>6302</v>
          </cell>
          <cell r="E2605">
            <v>1000</v>
          </cell>
          <cell r="F2605" t="str">
            <v>ZALM</v>
          </cell>
          <cell r="G2605" t="str">
            <v>UN</v>
          </cell>
          <cell r="H2605" t="str">
            <v>DOP</v>
          </cell>
          <cell r="I2605">
            <v>1</v>
          </cell>
          <cell r="J2605">
            <v>58665.599999999999</v>
          </cell>
          <cell r="K2605">
            <v>0</v>
          </cell>
          <cell r="L2605">
            <v>0</v>
          </cell>
          <cell r="M2605">
            <v>0</v>
          </cell>
          <cell r="N2605">
            <v>0</v>
          </cell>
          <cell r="O2605">
            <v>0</v>
          </cell>
          <cell r="P2605">
            <v>0</v>
          </cell>
          <cell r="Q2605">
            <v>0</v>
          </cell>
          <cell r="R2605">
            <v>0</v>
          </cell>
          <cell r="S2605">
            <v>1</v>
          </cell>
          <cell r="T2605">
            <v>58665.599999999999</v>
          </cell>
          <cell r="U2605">
            <v>58665.599999999999</v>
          </cell>
        </row>
        <row r="2606">
          <cell r="A2606">
            <v>1002706</v>
          </cell>
          <cell r="B2606" t="str">
            <v>Transf Monof 25kVA 2.4kV 120-240V</v>
          </cell>
          <cell r="C2606" t="str">
            <v>NUEVO</v>
          </cell>
          <cell r="D2606">
            <v>6302</v>
          </cell>
          <cell r="E2606">
            <v>1000</v>
          </cell>
          <cell r="F2606" t="str">
            <v>ZALM</v>
          </cell>
          <cell r="G2606" t="str">
            <v>UN</v>
          </cell>
          <cell r="H2606" t="str">
            <v>DOP</v>
          </cell>
          <cell r="I2606">
            <v>0</v>
          </cell>
          <cell r="J2606">
            <v>0</v>
          </cell>
          <cell r="K2606">
            <v>0</v>
          </cell>
          <cell r="L2606">
            <v>0</v>
          </cell>
          <cell r="M2606">
            <v>11</v>
          </cell>
          <cell r="N2606">
            <v>764316.39</v>
          </cell>
          <cell r="O2606">
            <v>0</v>
          </cell>
          <cell r="P2606">
            <v>0</v>
          </cell>
          <cell r="Q2606">
            <v>0</v>
          </cell>
          <cell r="R2606">
            <v>0</v>
          </cell>
          <cell r="S2606">
            <v>11</v>
          </cell>
          <cell r="T2606">
            <v>764316.39</v>
          </cell>
          <cell r="U2606">
            <v>69483.308181818196</v>
          </cell>
        </row>
        <row r="2607">
          <cell r="A2607">
            <v>1002707</v>
          </cell>
          <cell r="B2607" t="str">
            <v>Transf Monof 25kVA 34.5kV 120-240V</v>
          </cell>
          <cell r="C2607" t="str">
            <v>NUEVO</v>
          </cell>
          <cell r="D2607">
            <v>6302</v>
          </cell>
          <cell r="E2607">
            <v>1000</v>
          </cell>
          <cell r="F2607" t="str">
            <v>ZALM</v>
          </cell>
          <cell r="G2607" t="str">
            <v>UN</v>
          </cell>
          <cell r="H2607" t="str">
            <v>DOP</v>
          </cell>
          <cell r="I2607">
            <v>0</v>
          </cell>
          <cell r="J2607">
            <v>0</v>
          </cell>
          <cell r="K2607">
            <v>0</v>
          </cell>
          <cell r="L2607">
            <v>0</v>
          </cell>
          <cell r="M2607">
            <v>7</v>
          </cell>
          <cell r="N2607">
            <v>479204.96</v>
          </cell>
          <cell r="O2607">
            <v>0</v>
          </cell>
          <cell r="P2607">
            <v>0</v>
          </cell>
          <cell r="Q2607">
            <v>0</v>
          </cell>
          <cell r="R2607">
            <v>0</v>
          </cell>
          <cell r="S2607">
            <v>7</v>
          </cell>
          <cell r="T2607">
            <v>479204.96</v>
          </cell>
          <cell r="U2607">
            <v>68457.851428571405</v>
          </cell>
        </row>
        <row r="2608">
          <cell r="A2608">
            <v>1002709</v>
          </cell>
          <cell r="B2608" t="str">
            <v>Transf Monof 25kVA 7.2kV 120-240V</v>
          </cell>
          <cell r="C2608" t="str">
            <v>NUEVO</v>
          </cell>
          <cell r="D2608">
            <v>6302</v>
          </cell>
          <cell r="E2608">
            <v>1000</v>
          </cell>
          <cell r="F2608" t="str">
            <v>ZALM</v>
          </cell>
          <cell r="G2608" t="str">
            <v>UN</v>
          </cell>
          <cell r="H2608" t="str">
            <v>DOP</v>
          </cell>
          <cell r="I2608">
            <v>0</v>
          </cell>
          <cell r="J2608">
            <v>0</v>
          </cell>
          <cell r="K2608">
            <v>0</v>
          </cell>
          <cell r="L2608">
            <v>0</v>
          </cell>
          <cell r="M2608">
            <v>0</v>
          </cell>
          <cell r="N2608">
            <v>0</v>
          </cell>
          <cell r="O2608">
            <v>0</v>
          </cell>
          <cell r="P2608">
            <v>0</v>
          </cell>
          <cell r="Q2608">
            <v>0</v>
          </cell>
          <cell r="R2608">
            <v>0</v>
          </cell>
          <cell r="S2608">
            <v>0</v>
          </cell>
          <cell r="T2608">
            <v>0</v>
          </cell>
          <cell r="U2608" t="e">
            <v>#N/A</v>
          </cell>
        </row>
        <row r="2609">
          <cell r="A2609">
            <v>1002709</v>
          </cell>
          <cell r="B2609" t="str">
            <v>Transf Monof 25kVA 7.2kV 120-240V</v>
          </cell>
          <cell r="C2609" t="str">
            <v>REMANUFACT</v>
          </cell>
          <cell r="D2609">
            <v>6302</v>
          </cell>
          <cell r="E2609">
            <v>1000</v>
          </cell>
          <cell r="F2609" t="str">
            <v>ZALM</v>
          </cell>
          <cell r="G2609" t="str">
            <v>UN</v>
          </cell>
          <cell r="H2609" t="str">
            <v>DOP</v>
          </cell>
          <cell r="I2609">
            <v>0</v>
          </cell>
          <cell r="J2609">
            <v>0</v>
          </cell>
          <cell r="K2609">
            <v>0</v>
          </cell>
          <cell r="L2609">
            <v>0</v>
          </cell>
          <cell r="M2609">
            <v>0</v>
          </cell>
          <cell r="N2609">
            <v>0</v>
          </cell>
          <cell r="O2609">
            <v>0</v>
          </cell>
          <cell r="P2609">
            <v>0</v>
          </cell>
          <cell r="Q2609">
            <v>0</v>
          </cell>
          <cell r="R2609">
            <v>0</v>
          </cell>
          <cell r="S2609">
            <v>0</v>
          </cell>
          <cell r="T2609">
            <v>0</v>
          </cell>
          <cell r="U2609" t="e">
            <v>#N/A</v>
          </cell>
        </row>
        <row r="2610">
          <cell r="A2610">
            <v>1002709</v>
          </cell>
          <cell r="B2610" t="str">
            <v>Transf Monof 25kVA 7.2kV 120-240V</v>
          </cell>
          <cell r="C2610" t="str">
            <v>REPARADO</v>
          </cell>
          <cell r="D2610">
            <v>6302</v>
          </cell>
          <cell r="E2610">
            <v>1000</v>
          </cell>
          <cell r="F2610" t="str">
            <v>ZALM</v>
          </cell>
          <cell r="G2610" t="str">
            <v>UN</v>
          </cell>
          <cell r="H2610" t="str">
            <v>DOP</v>
          </cell>
          <cell r="I2610">
            <v>1</v>
          </cell>
          <cell r="J2610">
            <v>16266.95</v>
          </cell>
          <cell r="K2610">
            <v>0</v>
          </cell>
          <cell r="L2610">
            <v>0</v>
          </cell>
          <cell r="M2610">
            <v>0</v>
          </cell>
          <cell r="N2610">
            <v>0</v>
          </cell>
          <cell r="O2610">
            <v>0</v>
          </cell>
          <cell r="P2610">
            <v>0</v>
          </cell>
          <cell r="Q2610">
            <v>0</v>
          </cell>
          <cell r="R2610">
            <v>0</v>
          </cell>
          <cell r="S2610">
            <v>1</v>
          </cell>
          <cell r="T2610">
            <v>16266.95</v>
          </cell>
          <cell r="U2610">
            <v>16266.95</v>
          </cell>
        </row>
        <row r="2611">
          <cell r="A2611">
            <v>1002710</v>
          </cell>
          <cell r="B2611" t="str">
            <v>Transf Monof 25kVA 7.2kV 120-240V CSP</v>
          </cell>
          <cell r="C2611" t="str">
            <v>NUEVO</v>
          </cell>
          <cell r="D2611">
            <v>6302</v>
          </cell>
          <cell r="E2611">
            <v>1000</v>
          </cell>
          <cell r="F2611" t="str">
            <v>ZALM</v>
          </cell>
          <cell r="G2611" t="str">
            <v>UN</v>
          </cell>
          <cell r="H2611" t="str">
            <v>DOP</v>
          </cell>
          <cell r="I2611">
            <v>0</v>
          </cell>
          <cell r="J2611">
            <v>0</v>
          </cell>
          <cell r="K2611">
            <v>0</v>
          </cell>
          <cell r="L2611">
            <v>0</v>
          </cell>
          <cell r="M2611">
            <v>0</v>
          </cell>
          <cell r="N2611">
            <v>0</v>
          </cell>
          <cell r="O2611">
            <v>0</v>
          </cell>
          <cell r="P2611">
            <v>0</v>
          </cell>
          <cell r="Q2611">
            <v>0</v>
          </cell>
          <cell r="R2611">
            <v>0</v>
          </cell>
          <cell r="S2611">
            <v>0</v>
          </cell>
          <cell r="T2611">
            <v>0</v>
          </cell>
          <cell r="U2611" t="e">
            <v>#N/A</v>
          </cell>
        </row>
        <row r="2612">
          <cell r="A2612">
            <v>1002711</v>
          </cell>
          <cell r="B2612" t="str">
            <v>Transf Monof 37.5kVA 1800kV 120-240V</v>
          </cell>
          <cell r="C2612" t="str">
            <v>REPARADO</v>
          </cell>
          <cell r="D2612">
            <v>6302</v>
          </cell>
          <cell r="E2612">
            <v>1000</v>
          </cell>
          <cell r="F2612" t="str">
            <v>ZALM</v>
          </cell>
          <cell r="G2612" t="str">
            <v>UN</v>
          </cell>
          <cell r="H2612" t="str">
            <v>DOP</v>
          </cell>
          <cell r="I2612">
            <v>1</v>
          </cell>
          <cell r="J2612">
            <v>0</v>
          </cell>
          <cell r="K2612">
            <v>0</v>
          </cell>
          <cell r="L2612">
            <v>0</v>
          </cell>
          <cell r="M2612">
            <v>0</v>
          </cell>
          <cell r="N2612">
            <v>0</v>
          </cell>
          <cell r="O2612">
            <v>0</v>
          </cell>
          <cell r="P2612">
            <v>0</v>
          </cell>
          <cell r="Q2612">
            <v>0</v>
          </cell>
          <cell r="R2612">
            <v>0</v>
          </cell>
          <cell r="S2612">
            <v>1</v>
          </cell>
          <cell r="T2612">
            <v>0</v>
          </cell>
          <cell r="U2612">
            <v>0</v>
          </cell>
        </row>
        <row r="2613">
          <cell r="A2613">
            <v>1002712</v>
          </cell>
          <cell r="B2613" t="str">
            <v>Transf Monof 37.5kVA 2.4kV 120-240V</v>
          </cell>
          <cell r="C2613" t="str">
            <v>NUEVO</v>
          </cell>
          <cell r="D2613">
            <v>6302</v>
          </cell>
          <cell r="E2613">
            <v>1000</v>
          </cell>
          <cell r="F2613" t="str">
            <v>ZALM</v>
          </cell>
          <cell r="G2613" t="str">
            <v>UN</v>
          </cell>
          <cell r="H2613" t="str">
            <v>DOP</v>
          </cell>
          <cell r="I2613">
            <v>0</v>
          </cell>
          <cell r="J2613">
            <v>0</v>
          </cell>
          <cell r="K2613">
            <v>0</v>
          </cell>
          <cell r="L2613">
            <v>0</v>
          </cell>
          <cell r="M2613">
            <v>0</v>
          </cell>
          <cell r="N2613">
            <v>0</v>
          </cell>
          <cell r="O2613">
            <v>0</v>
          </cell>
          <cell r="P2613">
            <v>0</v>
          </cell>
          <cell r="Q2613">
            <v>0</v>
          </cell>
          <cell r="R2613">
            <v>0</v>
          </cell>
          <cell r="S2613">
            <v>0</v>
          </cell>
          <cell r="T2613">
            <v>0</v>
          </cell>
          <cell r="U2613" t="e">
            <v>#N/A</v>
          </cell>
        </row>
        <row r="2614">
          <cell r="A2614">
            <v>1002713</v>
          </cell>
          <cell r="B2614" t="str">
            <v>Transf Monof 37.5kVA 35.5kV 120-240V</v>
          </cell>
          <cell r="C2614" t="str">
            <v>NUEVO</v>
          </cell>
          <cell r="D2614">
            <v>6302</v>
          </cell>
          <cell r="E2614">
            <v>1000</v>
          </cell>
          <cell r="F2614" t="str">
            <v>ZALM</v>
          </cell>
          <cell r="G2614" t="str">
            <v>UN</v>
          </cell>
          <cell r="H2614" t="str">
            <v>DOP</v>
          </cell>
          <cell r="I2614">
            <v>1</v>
          </cell>
          <cell r="J2614">
            <v>68770.3</v>
          </cell>
          <cell r="K2614">
            <v>0</v>
          </cell>
          <cell r="L2614">
            <v>0</v>
          </cell>
          <cell r="M2614">
            <v>6</v>
          </cell>
          <cell r="N2614">
            <v>412621.81</v>
          </cell>
          <cell r="O2614">
            <v>0</v>
          </cell>
          <cell r="P2614">
            <v>0</v>
          </cell>
          <cell r="Q2614">
            <v>0</v>
          </cell>
          <cell r="R2614">
            <v>0</v>
          </cell>
          <cell r="S2614">
            <v>7</v>
          </cell>
          <cell r="T2614">
            <v>481392.11</v>
          </cell>
          <cell r="U2614">
            <v>68770.301428571402</v>
          </cell>
        </row>
        <row r="2615">
          <cell r="A2615">
            <v>1002713</v>
          </cell>
          <cell r="B2615" t="str">
            <v>Transf Monof 37.5kVA 35.5kV 120-240V</v>
          </cell>
          <cell r="C2615" t="str">
            <v>REPARADO</v>
          </cell>
          <cell r="D2615">
            <v>6302</v>
          </cell>
          <cell r="E2615">
            <v>1000</v>
          </cell>
          <cell r="F2615" t="str">
            <v>ZALM</v>
          </cell>
          <cell r="G2615" t="str">
            <v>UN</v>
          </cell>
          <cell r="H2615" t="str">
            <v>DOP</v>
          </cell>
          <cell r="I2615">
            <v>0</v>
          </cell>
          <cell r="J2615">
            <v>0</v>
          </cell>
          <cell r="K2615">
            <v>0</v>
          </cell>
          <cell r="L2615">
            <v>0</v>
          </cell>
          <cell r="M2615">
            <v>0</v>
          </cell>
          <cell r="N2615">
            <v>0</v>
          </cell>
          <cell r="O2615">
            <v>0</v>
          </cell>
          <cell r="P2615">
            <v>0</v>
          </cell>
          <cell r="Q2615">
            <v>0</v>
          </cell>
          <cell r="R2615">
            <v>0</v>
          </cell>
          <cell r="S2615">
            <v>0</v>
          </cell>
          <cell r="T2615">
            <v>0</v>
          </cell>
          <cell r="U2615" t="e">
            <v>#N/A</v>
          </cell>
        </row>
        <row r="2616">
          <cell r="A2616">
            <v>1002714</v>
          </cell>
          <cell r="B2616" t="str">
            <v>Transf Monof 37.5kVA 4.16kV 120-240V</v>
          </cell>
          <cell r="C2616" t="str">
            <v>REPARADO</v>
          </cell>
          <cell r="D2616">
            <v>6302</v>
          </cell>
          <cell r="E2616">
            <v>1000</v>
          </cell>
          <cell r="F2616" t="str">
            <v>ZALM</v>
          </cell>
          <cell r="G2616" t="str">
            <v>UN</v>
          </cell>
          <cell r="H2616" t="str">
            <v>DOP</v>
          </cell>
          <cell r="I2616">
            <v>0</v>
          </cell>
          <cell r="J2616">
            <v>0</v>
          </cell>
          <cell r="K2616">
            <v>0</v>
          </cell>
          <cell r="L2616">
            <v>0</v>
          </cell>
          <cell r="M2616">
            <v>0</v>
          </cell>
          <cell r="N2616">
            <v>0</v>
          </cell>
          <cell r="O2616">
            <v>0</v>
          </cell>
          <cell r="P2616">
            <v>0</v>
          </cell>
          <cell r="Q2616">
            <v>0</v>
          </cell>
          <cell r="R2616">
            <v>0</v>
          </cell>
          <cell r="S2616">
            <v>0</v>
          </cell>
          <cell r="T2616">
            <v>0</v>
          </cell>
          <cell r="U2616" t="e">
            <v>#N/A</v>
          </cell>
        </row>
        <row r="2617">
          <cell r="A2617">
            <v>1002715</v>
          </cell>
          <cell r="B2617" t="str">
            <v>Transf Monof 37.5kVA 7.2kV 120-240V</v>
          </cell>
          <cell r="C2617" t="str">
            <v>NUEVO</v>
          </cell>
          <cell r="D2617">
            <v>6302</v>
          </cell>
          <cell r="E2617">
            <v>1000</v>
          </cell>
          <cell r="F2617" t="str">
            <v>ZALM</v>
          </cell>
          <cell r="G2617" t="str">
            <v>UN</v>
          </cell>
          <cell r="H2617" t="str">
            <v>DOP</v>
          </cell>
          <cell r="I2617">
            <v>0</v>
          </cell>
          <cell r="J2617">
            <v>0</v>
          </cell>
          <cell r="K2617">
            <v>0</v>
          </cell>
          <cell r="L2617">
            <v>0</v>
          </cell>
          <cell r="M2617">
            <v>0</v>
          </cell>
          <cell r="N2617">
            <v>0</v>
          </cell>
          <cell r="O2617">
            <v>0</v>
          </cell>
          <cell r="P2617">
            <v>0</v>
          </cell>
          <cell r="Q2617">
            <v>0</v>
          </cell>
          <cell r="R2617">
            <v>0</v>
          </cell>
          <cell r="S2617">
            <v>0</v>
          </cell>
          <cell r="T2617">
            <v>0</v>
          </cell>
          <cell r="U2617" t="e">
            <v>#N/A</v>
          </cell>
        </row>
        <row r="2618">
          <cell r="A2618">
            <v>1002715</v>
          </cell>
          <cell r="B2618" t="str">
            <v>Transf Monof 37.5kVA 7.2kV 120-240V</v>
          </cell>
          <cell r="C2618" t="str">
            <v>REMANUFACT</v>
          </cell>
          <cell r="D2618">
            <v>6302</v>
          </cell>
          <cell r="E2618">
            <v>1000</v>
          </cell>
          <cell r="F2618" t="str">
            <v>ZALM</v>
          </cell>
          <cell r="G2618" t="str">
            <v>UN</v>
          </cell>
          <cell r="H2618" t="str">
            <v>DOP</v>
          </cell>
          <cell r="I2618">
            <v>1</v>
          </cell>
          <cell r="J2618">
            <v>83057.08</v>
          </cell>
          <cell r="K2618">
            <v>0</v>
          </cell>
          <cell r="L2618">
            <v>0</v>
          </cell>
          <cell r="M2618">
            <v>0</v>
          </cell>
          <cell r="N2618">
            <v>0</v>
          </cell>
          <cell r="O2618">
            <v>0</v>
          </cell>
          <cell r="P2618">
            <v>0</v>
          </cell>
          <cell r="Q2618">
            <v>0</v>
          </cell>
          <cell r="R2618">
            <v>0</v>
          </cell>
          <cell r="S2618">
            <v>1</v>
          </cell>
          <cell r="T2618">
            <v>83057.08</v>
          </cell>
          <cell r="U2618">
            <v>83057.08</v>
          </cell>
        </row>
        <row r="2619">
          <cell r="A2619">
            <v>1002715</v>
          </cell>
          <cell r="B2619" t="str">
            <v>Transf Monof 37.5kVA 7.2kV 120-240V</v>
          </cell>
          <cell r="C2619" t="str">
            <v>REPARADO</v>
          </cell>
          <cell r="D2619">
            <v>6302</v>
          </cell>
          <cell r="E2619">
            <v>1000</v>
          </cell>
          <cell r="F2619" t="str">
            <v>ZALM</v>
          </cell>
          <cell r="G2619" t="str">
            <v>UN</v>
          </cell>
          <cell r="H2619" t="str">
            <v>DOP</v>
          </cell>
          <cell r="I2619">
            <v>0</v>
          </cell>
          <cell r="J2619">
            <v>0</v>
          </cell>
          <cell r="K2619">
            <v>0</v>
          </cell>
          <cell r="L2619">
            <v>0</v>
          </cell>
          <cell r="M2619">
            <v>0</v>
          </cell>
          <cell r="N2619">
            <v>0</v>
          </cell>
          <cell r="O2619">
            <v>0</v>
          </cell>
          <cell r="P2619">
            <v>0</v>
          </cell>
          <cell r="Q2619">
            <v>0</v>
          </cell>
          <cell r="R2619">
            <v>0</v>
          </cell>
          <cell r="S2619">
            <v>0</v>
          </cell>
          <cell r="T2619">
            <v>0</v>
          </cell>
          <cell r="U2619" t="e">
            <v>#N/A</v>
          </cell>
        </row>
        <row r="2620">
          <cell r="A2620">
            <v>1002717</v>
          </cell>
          <cell r="B2620" t="str">
            <v>Transf Monof 37.5kVA 7.2kV 120-240V CSP</v>
          </cell>
          <cell r="C2620" t="str">
            <v>NUEVO</v>
          </cell>
          <cell r="D2620">
            <v>6302</v>
          </cell>
          <cell r="E2620">
            <v>1000</v>
          </cell>
          <cell r="F2620" t="str">
            <v>ZALM</v>
          </cell>
          <cell r="G2620" t="str">
            <v>UN</v>
          </cell>
          <cell r="H2620" t="str">
            <v>DOP</v>
          </cell>
          <cell r="I2620">
            <v>0</v>
          </cell>
          <cell r="J2620">
            <v>0</v>
          </cell>
          <cell r="K2620">
            <v>0</v>
          </cell>
          <cell r="L2620">
            <v>0</v>
          </cell>
          <cell r="M2620">
            <v>0</v>
          </cell>
          <cell r="N2620">
            <v>0</v>
          </cell>
          <cell r="O2620">
            <v>0</v>
          </cell>
          <cell r="P2620">
            <v>0</v>
          </cell>
          <cell r="Q2620">
            <v>0</v>
          </cell>
          <cell r="R2620">
            <v>0</v>
          </cell>
          <cell r="S2620">
            <v>0</v>
          </cell>
          <cell r="T2620">
            <v>0</v>
          </cell>
          <cell r="U2620" t="e">
            <v>#N/A</v>
          </cell>
        </row>
        <row r="2621">
          <cell r="A2621">
            <v>1002718</v>
          </cell>
          <cell r="B2621" t="str">
            <v>Transf Monof 37.5kVA 7.2kV 240-480V</v>
          </cell>
          <cell r="C2621" t="str">
            <v>NUEVO</v>
          </cell>
          <cell r="D2621">
            <v>6302</v>
          </cell>
          <cell r="E2621">
            <v>1000</v>
          </cell>
          <cell r="F2621" t="str">
            <v>ZALM</v>
          </cell>
          <cell r="G2621" t="str">
            <v>UN</v>
          </cell>
          <cell r="H2621" t="str">
            <v>DOP</v>
          </cell>
          <cell r="I2621">
            <v>0</v>
          </cell>
          <cell r="J2621">
            <v>0</v>
          </cell>
          <cell r="K2621">
            <v>0</v>
          </cell>
          <cell r="L2621">
            <v>0</v>
          </cell>
          <cell r="M2621">
            <v>7</v>
          </cell>
          <cell r="N2621">
            <v>541953.37</v>
          </cell>
          <cell r="O2621">
            <v>0</v>
          </cell>
          <cell r="P2621">
            <v>0</v>
          </cell>
          <cell r="Q2621">
            <v>0</v>
          </cell>
          <cell r="R2621">
            <v>0</v>
          </cell>
          <cell r="S2621">
            <v>7</v>
          </cell>
          <cell r="T2621">
            <v>541953.37</v>
          </cell>
          <cell r="U2621">
            <v>77421.91</v>
          </cell>
        </row>
        <row r="2622">
          <cell r="A2622">
            <v>1002718</v>
          </cell>
          <cell r="B2622" t="str">
            <v>Transf Monof 37.5kVA 7.2kV 240-480V</v>
          </cell>
          <cell r="C2622" t="str">
            <v>REMANUFACT</v>
          </cell>
          <cell r="D2622">
            <v>6302</v>
          </cell>
          <cell r="E2622">
            <v>1000</v>
          </cell>
          <cell r="F2622" t="str">
            <v>ZALM</v>
          </cell>
          <cell r="G2622" t="str">
            <v>UN</v>
          </cell>
          <cell r="H2622" t="str">
            <v>DOP</v>
          </cell>
          <cell r="I2622">
            <v>0</v>
          </cell>
          <cell r="J2622">
            <v>0</v>
          </cell>
          <cell r="K2622">
            <v>0</v>
          </cell>
          <cell r="L2622">
            <v>0</v>
          </cell>
          <cell r="M2622">
            <v>6</v>
          </cell>
          <cell r="N2622">
            <v>236640</v>
          </cell>
          <cell r="O2622">
            <v>0</v>
          </cell>
          <cell r="P2622">
            <v>0</v>
          </cell>
          <cell r="Q2622">
            <v>0</v>
          </cell>
          <cell r="R2622">
            <v>0</v>
          </cell>
          <cell r="S2622">
            <v>6</v>
          </cell>
          <cell r="T2622">
            <v>236640</v>
          </cell>
          <cell r="U2622">
            <v>39440</v>
          </cell>
        </row>
        <row r="2623">
          <cell r="A2623">
            <v>1002720</v>
          </cell>
          <cell r="B2623" t="str">
            <v>Transf Monof 50kVA 12.47-7.2kV 240-480V</v>
          </cell>
          <cell r="C2623" t="str">
            <v>NUEVO</v>
          </cell>
          <cell r="D2623">
            <v>6302</v>
          </cell>
          <cell r="E2623">
            <v>1000</v>
          </cell>
          <cell r="F2623" t="str">
            <v>ZALM</v>
          </cell>
          <cell r="G2623" t="str">
            <v>UN</v>
          </cell>
          <cell r="H2623" t="str">
            <v>DOP</v>
          </cell>
          <cell r="I2623">
            <v>0</v>
          </cell>
          <cell r="J2623">
            <v>0</v>
          </cell>
          <cell r="K2623">
            <v>0</v>
          </cell>
          <cell r="L2623">
            <v>0</v>
          </cell>
          <cell r="M2623">
            <v>7</v>
          </cell>
          <cell r="N2623">
            <v>635333.68999999994</v>
          </cell>
          <cell r="O2623">
            <v>0</v>
          </cell>
          <cell r="P2623">
            <v>0</v>
          </cell>
          <cell r="Q2623">
            <v>0</v>
          </cell>
          <cell r="R2623">
            <v>0</v>
          </cell>
          <cell r="S2623">
            <v>7</v>
          </cell>
          <cell r="T2623">
            <v>635333.68999999994</v>
          </cell>
          <cell r="U2623">
            <v>90761.955714285694</v>
          </cell>
        </row>
        <row r="2624">
          <cell r="A2624">
            <v>1002721</v>
          </cell>
          <cell r="B2624" t="str">
            <v>Transf Monof 50kVA 2.4kV 120-240V</v>
          </cell>
          <cell r="C2624" t="str">
            <v>NUEVO</v>
          </cell>
          <cell r="D2624">
            <v>6302</v>
          </cell>
          <cell r="E2624">
            <v>1000</v>
          </cell>
          <cell r="F2624" t="str">
            <v>ZALM</v>
          </cell>
          <cell r="G2624" t="str">
            <v>UN</v>
          </cell>
          <cell r="H2624" t="str">
            <v>DOP</v>
          </cell>
          <cell r="I2624">
            <v>0</v>
          </cell>
          <cell r="J2624">
            <v>0</v>
          </cell>
          <cell r="K2624">
            <v>0</v>
          </cell>
          <cell r="L2624">
            <v>0</v>
          </cell>
          <cell r="M2624">
            <v>0</v>
          </cell>
          <cell r="N2624">
            <v>0</v>
          </cell>
          <cell r="O2624">
            <v>0</v>
          </cell>
          <cell r="P2624">
            <v>0</v>
          </cell>
          <cell r="Q2624">
            <v>0</v>
          </cell>
          <cell r="R2624">
            <v>0</v>
          </cell>
          <cell r="S2624">
            <v>0</v>
          </cell>
          <cell r="T2624">
            <v>0</v>
          </cell>
          <cell r="U2624" t="e">
            <v>#N/A</v>
          </cell>
        </row>
        <row r="2625">
          <cell r="A2625">
            <v>1002721</v>
          </cell>
          <cell r="B2625" t="str">
            <v>Transf Monof 50kVA 2.4kV 120-240V</v>
          </cell>
          <cell r="C2625" t="str">
            <v>REMANUFACT</v>
          </cell>
          <cell r="D2625">
            <v>6302</v>
          </cell>
          <cell r="E2625">
            <v>1000</v>
          </cell>
          <cell r="F2625" t="str">
            <v>ZALM</v>
          </cell>
          <cell r="G2625" t="str">
            <v>UN</v>
          </cell>
          <cell r="H2625" t="str">
            <v>DOP</v>
          </cell>
          <cell r="I2625">
            <v>0</v>
          </cell>
          <cell r="J2625">
            <v>0</v>
          </cell>
          <cell r="K2625">
            <v>0</v>
          </cell>
          <cell r="L2625">
            <v>0</v>
          </cell>
          <cell r="M2625">
            <v>0</v>
          </cell>
          <cell r="N2625">
            <v>0</v>
          </cell>
          <cell r="O2625">
            <v>0</v>
          </cell>
          <cell r="P2625">
            <v>0</v>
          </cell>
          <cell r="Q2625">
            <v>0</v>
          </cell>
          <cell r="R2625">
            <v>0</v>
          </cell>
          <cell r="S2625">
            <v>0</v>
          </cell>
          <cell r="T2625">
            <v>0</v>
          </cell>
          <cell r="U2625" t="e">
            <v>#N/A</v>
          </cell>
        </row>
        <row r="2626">
          <cell r="A2626">
            <v>1002722</v>
          </cell>
          <cell r="B2626" t="str">
            <v>Transf Monof 50kVA 34.5kV 120-240V</v>
          </cell>
          <cell r="C2626" t="str">
            <v>NUEVO</v>
          </cell>
          <cell r="D2626">
            <v>6302</v>
          </cell>
          <cell r="E2626">
            <v>1000</v>
          </cell>
          <cell r="F2626" t="str">
            <v>ZALM</v>
          </cell>
          <cell r="G2626" t="str">
            <v>UN</v>
          </cell>
          <cell r="H2626" t="str">
            <v>DOP</v>
          </cell>
          <cell r="I2626">
            <v>5</v>
          </cell>
          <cell r="J2626">
            <v>385135.99</v>
          </cell>
          <cell r="K2626">
            <v>0</v>
          </cell>
          <cell r="L2626">
            <v>0</v>
          </cell>
          <cell r="M2626">
            <v>10</v>
          </cell>
          <cell r="N2626">
            <v>770271.98</v>
          </cell>
          <cell r="O2626">
            <v>0</v>
          </cell>
          <cell r="P2626">
            <v>0</v>
          </cell>
          <cell r="Q2626">
            <v>0</v>
          </cell>
          <cell r="R2626">
            <v>0</v>
          </cell>
          <cell r="S2626">
            <v>15</v>
          </cell>
          <cell r="T2626">
            <v>1155407.97</v>
          </cell>
          <cell r="U2626">
            <v>77027.198000000004</v>
          </cell>
        </row>
        <row r="2627">
          <cell r="A2627">
            <v>1002724</v>
          </cell>
          <cell r="B2627" t="str">
            <v>Transf Monof 50kVA 7.2kV 120-240V</v>
          </cell>
          <cell r="C2627" t="str">
            <v>NUEVO</v>
          </cell>
          <cell r="D2627">
            <v>6302</v>
          </cell>
          <cell r="E2627">
            <v>1000</v>
          </cell>
          <cell r="F2627" t="str">
            <v>ZALM</v>
          </cell>
          <cell r="G2627" t="str">
            <v>UN</v>
          </cell>
          <cell r="H2627" t="str">
            <v>DOP</v>
          </cell>
          <cell r="I2627">
            <v>0</v>
          </cell>
          <cell r="J2627">
            <v>0</v>
          </cell>
          <cell r="K2627">
            <v>0</v>
          </cell>
          <cell r="L2627">
            <v>0</v>
          </cell>
          <cell r="M2627">
            <v>0</v>
          </cell>
          <cell r="N2627">
            <v>0</v>
          </cell>
          <cell r="O2627">
            <v>0</v>
          </cell>
          <cell r="P2627">
            <v>0</v>
          </cell>
          <cell r="Q2627">
            <v>0</v>
          </cell>
          <cell r="R2627">
            <v>0</v>
          </cell>
          <cell r="S2627">
            <v>0</v>
          </cell>
          <cell r="T2627">
            <v>0</v>
          </cell>
          <cell r="U2627" t="e">
            <v>#N/A</v>
          </cell>
        </row>
        <row r="2628">
          <cell r="A2628">
            <v>1002724</v>
          </cell>
          <cell r="B2628" t="str">
            <v>Transf Monof 50kVA 7.2kV 120-240V</v>
          </cell>
          <cell r="C2628" t="str">
            <v>REMANUFACT</v>
          </cell>
          <cell r="D2628">
            <v>6302</v>
          </cell>
          <cell r="E2628">
            <v>1000</v>
          </cell>
          <cell r="F2628" t="str">
            <v>ZALM</v>
          </cell>
          <cell r="G2628" t="str">
            <v>UN</v>
          </cell>
          <cell r="H2628" t="str">
            <v>DOP</v>
          </cell>
          <cell r="I2628">
            <v>0</v>
          </cell>
          <cell r="J2628">
            <v>0</v>
          </cell>
          <cell r="K2628">
            <v>0</v>
          </cell>
          <cell r="L2628">
            <v>0</v>
          </cell>
          <cell r="M2628">
            <v>0</v>
          </cell>
          <cell r="N2628">
            <v>0</v>
          </cell>
          <cell r="O2628">
            <v>0</v>
          </cell>
          <cell r="P2628">
            <v>0</v>
          </cell>
          <cell r="Q2628">
            <v>0</v>
          </cell>
          <cell r="R2628">
            <v>0</v>
          </cell>
          <cell r="S2628">
            <v>0</v>
          </cell>
          <cell r="T2628">
            <v>0</v>
          </cell>
          <cell r="U2628" t="e">
            <v>#N/A</v>
          </cell>
        </row>
        <row r="2629">
          <cell r="A2629">
            <v>1002724</v>
          </cell>
          <cell r="B2629" t="str">
            <v>Transf Monof 50kVA 7.2kV 120-240V</v>
          </cell>
          <cell r="C2629" t="str">
            <v>REPARADO</v>
          </cell>
          <cell r="D2629">
            <v>6302</v>
          </cell>
          <cell r="E2629">
            <v>1000</v>
          </cell>
          <cell r="F2629" t="str">
            <v>ZALM</v>
          </cell>
          <cell r="G2629" t="str">
            <v>UN</v>
          </cell>
          <cell r="H2629" t="str">
            <v>DOP</v>
          </cell>
          <cell r="I2629">
            <v>0</v>
          </cell>
          <cell r="J2629">
            <v>0</v>
          </cell>
          <cell r="K2629">
            <v>0</v>
          </cell>
          <cell r="L2629">
            <v>0</v>
          </cell>
          <cell r="M2629">
            <v>0</v>
          </cell>
          <cell r="N2629">
            <v>0</v>
          </cell>
          <cell r="O2629">
            <v>0</v>
          </cell>
          <cell r="P2629">
            <v>0</v>
          </cell>
          <cell r="Q2629">
            <v>0</v>
          </cell>
          <cell r="R2629">
            <v>0</v>
          </cell>
          <cell r="S2629">
            <v>0</v>
          </cell>
          <cell r="T2629">
            <v>0</v>
          </cell>
          <cell r="U2629" t="e">
            <v>#N/A</v>
          </cell>
        </row>
        <row r="2630">
          <cell r="A2630">
            <v>1002725</v>
          </cell>
          <cell r="B2630" t="str">
            <v>Transf Monof 50kVA 7.2kV 120-240V CPS</v>
          </cell>
          <cell r="C2630" t="str">
            <v>NUEVO</v>
          </cell>
          <cell r="D2630">
            <v>6302</v>
          </cell>
          <cell r="E2630">
            <v>1000</v>
          </cell>
          <cell r="F2630" t="str">
            <v>ZALM</v>
          </cell>
          <cell r="G2630" t="str">
            <v>UN</v>
          </cell>
          <cell r="H2630" t="str">
            <v>DOP</v>
          </cell>
          <cell r="I2630">
            <v>0</v>
          </cell>
          <cell r="J2630">
            <v>0</v>
          </cell>
          <cell r="K2630">
            <v>0</v>
          </cell>
          <cell r="L2630">
            <v>0</v>
          </cell>
          <cell r="M2630">
            <v>0</v>
          </cell>
          <cell r="N2630">
            <v>0</v>
          </cell>
          <cell r="O2630">
            <v>0</v>
          </cell>
          <cell r="P2630">
            <v>0</v>
          </cell>
          <cell r="Q2630">
            <v>0</v>
          </cell>
          <cell r="R2630">
            <v>0</v>
          </cell>
          <cell r="S2630">
            <v>0</v>
          </cell>
          <cell r="T2630">
            <v>0</v>
          </cell>
          <cell r="U2630" t="e">
            <v>#N/A</v>
          </cell>
        </row>
        <row r="2631">
          <cell r="A2631">
            <v>1002727</v>
          </cell>
          <cell r="B2631" t="str">
            <v>Transf Monof 5kVA 2.4kV 120-240V</v>
          </cell>
          <cell r="C2631" t="str">
            <v>REPARADO</v>
          </cell>
          <cell r="D2631">
            <v>6302</v>
          </cell>
          <cell r="E2631">
            <v>1000</v>
          </cell>
          <cell r="F2631" t="str">
            <v>ZALM</v>
          </cell>
          <cell r="G2631" t="str">
            <v>UN</v>
          </cell>
          <cell r="H2631" t="str">
            <v>DOP</v>
          </cell>
          <cell r="I2631">
            <v>1</v>
          </cell>
          <cell r="J2631">
            <v>0</v>
          </cell>
          <cell r="K2631">
            <v>0</v>
          </cell>
          <cell r="L2631">
            <v>0</v>
          </cell>
          <cell r="M2631">
            <v>0</v>
          </cell>
          <cell r="N2631">
            <v>0</v>
          </cell>
          <cell r="O2631">
            <v>0</v>
          </cell>
          <cell r="P2631">
            <v>0</v>
          </cell>
          <cell r="Q2631">
            <v>0</v>
          </cell>
          <cell r="R2631">
            <v>0</v>
          </cell>
          <cell r="S2631">
            <v>1</v>
          </cell>
          <cell r="T2631">
            <v>0</v>
          </cell>
          <cell r="U2631">
            <v>0</v>
          </cell>
        </row>
        <row r="2632">
          <cell r="A2632">
            <v>1002729</v>
          </cell>
          <cell r="B2632" t="str">
            <v>Transf Monof 75kVA 12,000kV 120-240V</v>
          </cell>
          <cell r="C2632" t="str">
            <v>REPARADO</v>
          </cell>
          <cell r="D2632">
            <v>6302</v>
          </cell>
          <cell r="E2632">
            <v>1000</v>
          </cell>
          <cell r="F2632" t="str">
            <v>ZALM</v>
          </cell>
          <cell r="G2632" t="str">
            <v>UN</v>
          </cell>
          <cell r="H2632" t="str">
            <v>DOP</v>
          </cell>
          <cell r="I2632">
            <v>1</v>
          </cell>
          <cell r="J2632">
            <v>0</v>
          </cell>
          <cell r="K2632">
            <v>0</v>
          </cell>
          <cell r="L2632">
            <v>0</v>
          </cell>
          <cell r="M2632">
            <v>0</v>
          </cell>
          <cell r="N2632">
            <v>0</v>
          </cell>
          <cell r="O2632">
            <v>0</v>
          </cell>
          <cell r="P2632">
            <v>0</v>
          </cell>
          <cell r="Q2632">
            <v>0</v>
          </cell>
          <cell r="R2632">
            <v>0</v>
          </cell>
          <cell r="S2632">
            <v>1</v>
          </cell>
          <cell r="T2632">
            <v>0</v>
          </cell>
          <cell r="U2632">
            <v>0</v>
          </cell>
        </row>
        <row r="2633">
          <cell r="A2633">
            <v>1002730</v>
          </cell>
          <cell r="B2633" t="str">
            <v>Transf Monof 75kVA 2.4kV 120-240V</v>
          </cell>
          <cell r="C2633" t="str">
            <v>NUEVO</v>
          </cell>
          <cell r="D2633">
            <v>6302</v>
          </cell>
          <cell r="E2633">
            <v>1000</v>
          </cell>
          <cell r="F2633" t="str">
            <v>ZALM</v>
          </cell>
          <cell r="G2633" t="str">
            <v>UN</v>
          </cell>
          <cell r="H2633" t="str">
            <v>DOP</v>
          </cell>
          <cell r="I2633">
            <v>0</v>
          </cell>
          <cell r="J2633">
            <v>0</v>
          </cell>
          <cell r="K2633">
            <v>0</v>
          </cell>
          <cell r="L2633">
            <v>0</v>
          </cell>
          <cell r="M2633">
            <v>0</v>
          </cell>
          <cell r="N2633">
            <v>0</v>
          </cell>
          <cell r="O2633">
            <v>0</v>
          </cell>
          <cell r="P2633">
            <v>0</v>
          </cell>
          <cell r="Q2633">
            <v>0</v>
          </cell>
          <cell r="R2633">
            <v>0</v>
          </cell>
          <cell r="S2633">
            <v>0</v>
          </cell>
          <cell r="T2633">
            <v>0</v>
          </cell>
          <cell r="U2633" t="e">
            <v>#N/A</v>
          </cell>
        </row>
        <row r="2634">
          <cell r="A2634">
            <v>1002730</v>
          </cell>
          <cell r="B2634" t="str">
            <v>Transf Monof 75kVA 2.4kV 120-240V</v>
          </cell>
          <cell r="C2634" t="str">
            <v>REMANUFACT</v>
          </cell>
          <cell r="D2634">
            <v>6302</v>
          </cell>
          <cell r="E2634">
            <v>1000</v>
          </cell>
          <cell r="F2634" t="str">
            <v>ZALM</v>
          </cell>
          <cell r="G2634" t="str">
            <v>UN</v>
          </cell>
          <cell r="H2634" t="str">
            <v>DOP</v>
          </cell>
          <cell r="I2634">
            <v>0</v>
          </cell>
          <cell r="J2634">
            <v>0</v>
          </cell>
          <cell r="K2634">
            <v>0</v>
          </cell>
          <cell r="L2634">
            <v>0</v>
          </cell>
          <cell r="M2634">
            <v>0</v>
          </cell>
          <cell r="N2634">
            <v>0</v>
          </cell>
          <cell r="O2634">
            <v>0</v>
          </cell>
          <cell r="P2634">
            <v>0</v>
          </cell>
          <cell r="Q2634">
            <v>0</v>
          </cell>
          <cell r="R2634">
            <v>0</v>
          </cell>
          <cell r="S2634">
            <v>0</v>
          </cell>
          <cell r="T2634">
            <v>0</v>
          </cell>
          <cell r="U2634" t="e">
            <v>#N/A</v>
          </cell>
        </row>
        <row r="2635">
          <cell r="A2635">
            <v>1002731</v>
          </cell>
          <cell r="B2635" t="str">
            <v>Transf Monof 75kVA 34.5kV 120-240V</v>
          </cell>
          <cell r="C2635" t="str">
            <v>NUEVO</v>
          </cell>
          <cell r="D2635">
            <v>6302</v>
          </cell>
          <cell r="E2635">
            <v>1000</v>
          </cell>
          <cell r="F2635" t="str">
            <v>ZALM</v>
          </cell>
          <cell r="G2635" t="str">
            <v>UN</v>
          </cell>
          <cell r="H2635" t="str">
            <v>DOP</v>
          </cell>
          <cell r="I2635">
            <v>6</v>
          </cell>
          <cell r="J2635">
            <v>1298987.74</v>
          </cell>
          <cell r="K2635">
            <v>0</v>
          </cell>
          <cell r="L2635">
            <v>0</v>
          </cell>
          <cell r="M2635">
            <v>10</v>
          </cell>
          <cell r="N2635">
            <v>2164979.5699999998</v>
          </cell>
          <cell r="O2635">
            <v>0</v>
          </cell>
          <cell r="P2635">
            <v>0</v>
          </cell>
          <cell r="Q2635">
            <v>0</v>
          </cell>
          <cell r="R2635">
            <v>0</v>
          </cell>
          <cell r="S2635">
            <v>16</v>
          </cell>
          <cell r="T2635">
            <v>3463967.31</v>
          </cell>
          <cell r="U2635">
            <v>216497.956875</v>
          </cell>
        </row>
        <row r="2636">
          <cell r="A2636">
            <v>1002731</v>
          </cell>
          <cell r="B2636" t="str">
            <v>Transf Monof 75kVA 34.5kV 120-240V</v>
          </cell>
          <cell r="C2636" t="str">
            <v>REPARADO</v>
          </cell>
          <cell r="D2636">
            <v>6302</v>
          </cell>
          <cell r="E2636">
            <v>1000</v>
          </cell>
          <cell r="F2636" t="str">
            <v>ZALM</v>
          </cell>
          <cell r="G2636" t="str">
            <v>UN</v>
          </cell>
          <cell r="H2636" t="str">
            <v>DOP</v>
          </cell>
          <cell r="I2636">
            <v>0</v>
          </cell>
          <cell r="J2636">
            <v>0</v>
          </cell>
          <cell r="K2636">
            <v>0</v>
          </cell>
          <cell r="L2636">
            <v>0</v>
          </cell>
          <cell r="M2636">
            <v>0</v>
          </cell>
          <cell r="N2636">
            <v>0</v>
          </cell>
          <cell r="O2636">
            <v>0</v>
          </cell>
          <cell r="P2636">
            <v>0</v>
          </cell>
          <cell r="Q2636">
            <v>0</v>
          </cell>
          <cell r="R2636">
            <v>0</v>
          </cell>
          <cell r="S2636">
            <v>0</v>
          </cell>
          <cell r="T2636">
            <v>0</v>
          </cell>
          <cell r="U2636" t="e">
            <v>#N/A</v>
          </cell>
        </row>
        <row r="2637">
          <cell r="A2637">
            <v>1002733</v>
          </cell>
          <cell r="B2637" t="str">
            <v>Transf Monof 75kVA 7.2kV 120-240V</v>
          </cell>
          <cell r="C2637" t="str">
            <v>NUEVO</v>
          </cell>
          <cell r="D2637">
            <v>6302</v>
          </cell>
          <cell r="E2637">
            <v>1000</v>
          </cell>
          <cell r="F2637" t="str">
            <v>ZALM</v>
          </cell>
          <cell r="G2637" t="str">
            <v>UN</v>
          </cell>
          <cell r="H2637" t="str">
            <v>DOP</v>
          </cell>
          <cell r="I2637">
            <v>0</v>
          </cell>
          <cell r="J2637">
            <v>0</v>
          </cell>
          <cell r="K2637">
            <v>0</v>
          </cell>
          <cell r="L2637">
            <v>0</v>
          </cell>
          <cell r="M2637">
            <v>0</v>
          </cell>
          <cell r="N2637">
            <v>0</v>
          </cell>
          <cell r="O2637">
            <v>0</v>
          </cell>
          <cell r="P2637">
            <v>0</v>
          </cell>
          <cell r="Q2637">
            <v>0</v>
          </cell>
          <cell r="R2637">
            <v>0</v>
          </cell>
          <cell r="S2637">
            <v>0</v>
          </cell>
          <cell r="T2637">
            <v>0</v>
          </cell>
          <cell r="U2637" t="e">
            <v>#N/A</v>
          </cell>
        </row>
        <row r="2638">
          <cell r="A2638">
            <v>1002733</v>
          </cell>
          <cell r="B2638" t="str">
            <v>Transf Monof 75kVA 7.2kV 120-240V</v>
          </cell>
          <cell r="C2638" t="str">
            <v>REMANUFACT</v>
          </cell>
          <cell r="D2638">
            <v>6302</v>
          </cell>
          <cell r="E2638">
            <v>1000</v>
          </cell>
          <cell r="F2638" t="str">
            <v>ZALM</v>
          </cell>
          <cell r="G2638" t="str">
            <v>UN</v>
          </cell>
          <cell r="H2638" t="str">
            <v>DOP</v>
          </cell>
          <cell r="I2638">
            <v>0</v>
          </cell>
          <cell r="J2638">
            <v>0</v>
          </cell>
          <cell r="K2638">
            <v>0</v>
          </cell>
          <cell r="L2638">
            <v>0</v>
          </cell>
          <cell r="M2638">
            <v>0</v>
          </cell>
          <cell r="N2638">
            <v>0</v>
          </cell>
          <cell r="O2638">
            <v>0</v>
          </cell>
          <cell r="P2638">
            <v>0</v>
          </cell>
          <cell r="Q2638">
            <v>0</v>
          </cell>
          <cell r="R2638">
            <v>0</v>
          </cell>
          <cell r="S2638">
            <v>0</v>
          </cell>
          <cell r="T2638">
            <v>0</v>
          </cell>
          <cell r="U2638" t="e">
            <v>#N/A</v>
          </cell>
        </row>
        <row r="2639">
          <cell r="A2639">
            <v>1002733</v>
          </cell>
          <cell r="B2639" t="str">
            <v>Transf Monof 75kVA 7.2kV 120-240V</v>
          </cell>
          <cell r="C2639" t="str">
            <v>REPARADO</v>
          </cell>
          <cell r="D2639">
            <v>6302</v>
          </cell>
          <cell r="E2639">
            <v>1000</v>
          </cell>
          <cell r="F2639" t="str">
            <v>ZALM</v>
          </cell>
          <cell r="G2639" t="str">
            <v>UN</v>
          </cell>
          <cell r="H2639" t="str">
            <v>DOP</v>
          </cell>
          <cell r="I2639">
            <v>0</v>
          </cell>
          <cell r="J2639">
            <v>0</v>
          </cell>
          <cell r="K2639">
            <v>0</v>
          </cell>
          <cell r="L2639">
            <v>0</v>
          </cell>
          <cell r="M2639">
            <v>0</v>
          </cell>
          <cell r="N2639">
            <v>0</v>
          </cell>
          <cell r="O2639">
            <v>0</v>
          </cell>
          <cell r="P2639">
            <v>0</v>
          </cell>
          <cell r="Q2639">
            <v>0</v>
          </cell>
          <cell r="R2639">
            <v>0</v>
          </cell>
          <cell r="S2639">
            <v>0</v>
          </cell>
          <cell r="T2639">
            <v>0</v>
          </cell>
          <cell r="U2639" t="e">
            <v>#N/A</v>
          </cell>
        </row>
        <row r="2640">
          <cell r="A2640">
            <v>1002736</v>
          </cell>
          <cell r="B2640" t="str">
            <v>Transf P-M 100kVA 7.2kV 120-240V</v>
          </cell>
          <cell r="C2640" t="str">
            <v>REMANUFACT</v>
          </cell>
          <cell r="D2640">
            <v>6302</v>
          </cell>
          <cell r="E2640">
            <v>1000</v>
          </cell>
          <cell r="F2640" t="str">
            <v>ZALM</v>
          </cell>
          <cell r="G2640" t="str">
            <v>UN</v>
          </cell>
          <cell r="H2640" t="str">
            <v>DOP</v>
          </cell>
          <cell r="I2640">
            <v>0</v>
          </cell>
          <cell r="J2640">
            <v>0</v>
          </cell>
          <cell r="K2640">
            <v>0</v>
          </cell>
          <cell r="L2640">
            <v>0</v>
          </cell>
          <cell r="M2640">
            <v>0</v>
          </cell>
          <cell r="N2640">
            <v>0</v>
          </cell>
          <cell r="O2640">
            <v>0</v>
          </cell>
          <cell r="P2640">
            <v>0</v>
          </cell>
          <cell r="Q2640">
            <v>0</v>
          </cell>
          <cell r="R2640">
            <v>0</v>
          </cell>
          <cell r="S2640">
            <v>0</v>
          </cell>
          <cell r="T2640">
            <v>0</v>
          </cell>
          <cell r="U2640" t="e">
            <v>#N/A</v>
          </cell>
        </row>
        <row r="2641">
          <cell r="A2641">
            <v>1002737</v>
          </cell>
          <cell r="B2641" t="str">
            <v>Transf P-M 112.5kVA 277-480/120-208V</v>
          </cell>
          <cell r="C2641" t="str">
            <v>NUEVO</v>
          </cell>
          <cell r="D2641">
            <v>6302</v>
          </cell>
          <cell r="E2641">
            <v>1000</v>
          </cell>
          <cell r="F2641" t="str">
            <v>ZALM</v>
          </cell>
          <cell r="G2641" t="str">
            <v>UN</v>
          </cell>
          <cell r="H2641" t="str">
            <v>DOP</v>
          </cell>
          <cell r="I2641">
            <v>0</v>
          </cell>
          <cell r="J2641">
            <v>0</v>
          </cell>
          <cell r="K2641">
            <v>0</v>
          </cell>
          <cell r="L2641">
            <v>0</v>
          </cell>
          <cell r="M2641">
            <v>1</v>
          </cell>
          <cell r="N2641">
            <v>233948.99</v>
          </cell>
          <cell r="O2641">
            <v>0</v>
          </cell>
          <cell r="P2641">
            <v>0</v>
          </cell>
          <cell r="Q2641">
            <v>0</v>
          </cell>
          <cell r="R2641">
            <v>0</v>
          </cell>
          <cell r="S2641">
            <v>1</v>
          </cell>
          <cell r="T2641">
            <v>233948.99</v>
          </cell>
          <cell r="U2641">
            <v>233948.99</v>
          </cell>
        </row>
        <row r="2642">
          <cell r="A2642">
            <v>1002739</v>
          </cell>
          <cell r="B2642" t="str">
            <v>Transf P-M 112.5kVA 7.2kV 120-208V</v>
          </cell>
          <cell r="C2642" t="str">
            <v>NUEVO</v>
          </cell>
          <cell r="D2642">
            <v>6302</v>
          </cell>
          <cell r="E2642">
            <v>1000</v>
          </cell>
          <cell r="F2642" t="str">
            <v>ZALM</v>
          </cell>
          <cell r="G2642" t="str">
            <v>UN</v>
          </cell>
          <cell r="H2642" t="str">
            <v>DOP</v>
          </cell>
          <cell r="I2642">
            <v>0</v>
          </cell>
          <cell r="J2642">
            <v>0</v>
          </cell>
          <cell r="K2642">
            <v>0</v>
          </cell>
          <cell r="L2642">
            <v>0</v>
          </cell>
          <cell r="M2642">
            <v>0</v>
          </cell>
          <cell r="N2642">
            <v>0</v>
          </cell>
          <cell r="O2642">
            <v>0</v>
          </cell>
          <cell r="P2642">
            <v>0</v>
          </cell>
          <cell r="Q2642">
            <v>0</v>
          </cell>
          <cell r="R2642">
            <v>0</v>
          </cell>
          <cell r="S2642">
            <v>0</v>
          </cell>
          <cell r="T2642">
            <v>0</v>
          </cell>
          <cell r="U2642" t="e">
            <v>#N/A</v>
          </cell>
        </row>
        <row r="2643">
          <cell r="A2643">
            <v>1002739</v>
          </cell>
          <cell r="B2643" t="str">
            <v>Transf P-M 112.5kVA 7.2kV 120-208V</v>
          </cell>
          <cell r="C2643" t="str">
            <v>REMANUFACT</v>
          </cell>
          <cell r="D2643">
            <v>6302</v>
          </cell>
          <cell r="E2643">
            <v>1000</v>
          </cell>
          <cell r="F2643" t="str">
            <v>ZALM</v>
          </cell>
          <cell r="G2643" t="str">
            <v>UN</v>
          </cell>
          <cell r="H2643" t="str">
            <v>DOP</v>
          </cell>
          <cell r="I2643">
            <v>0</v>
          </cell>
          <cell r="J2643">
            <v>0</v>
          </cell>
          <cell r="K2643">
            <v>0</v>
          </cell>
          <cell r="L2643">
            <v>0</v>
          </cell>
          <cell r="M2643">
            <v>0</v>
          </cell>
          <cell r="N2643">
            <v>0</v>
          </cell>
          <cell r="O2643">
            <v>0</v>
          </cell>
          <cell r="P2643">
            <v>0</v>
          </cell>
          <cell r="Q2643">
            <v>0</v>
          </cell>
          <cell r="R2643">
            <v>0</v>
          </cell>
          <cell r="S2643">
            <v>0</v>
          </cell>
          <cell r="T2643">
            <v>0</v>
          </cell>
          <cell r="U2643" t="e">
            <v>#N/A</v>
          </cell>
        </row>
        <row r="2644">
          <cell r="A2644">
            <v>1002741</v>
          </cell>
          <cell r="B2644" t="str">
            <v>Transf P-M 150kVA 12.5/7.2kV 120-208V</v>
          </cell>
          <cell r="C2644" t="str">
            <v>NUEVO</v>
          </cell>
          <cell r="D2644">
            <v>6302</v>
          </cell>
          <cell r="E2644">
            <v>1000</v>
          </cell>
          <cell r="F2644" t="str">
            <v>ZALM</v>
          </cell>
          <cell r="G2644" t="str">
            <v>UN</v>
          </cell>
          <cell r="H2644" t="str">
            <v>DOP</v>
          </cell>
          <cell r="I2644">
            <v>0</v>
          </cell>
          <cell r="J2644">
            <v>0</v>
          </cell>
          <cell r="K2644">
            <v>0</v>
          </cell>
          <cell r="L2644">
            <v>0</v>
          </cell>
          <cell r="M2644">
            <v>1</v>
          </cell>
          <cell r="N2644">
            <v>464463.15</v>
          </cell>
          <cell r="O2644">
            <v>0</v>
          </cell>
          <cell r="P2644">
            <v>0</v>
          </cell>
          <cell r="Q2644">
            <v>0</v>
          </cell>
          <cell r="R2644">
            <v>0</v>
          </cell>
          <cell r="S2644">
            <v>1</v>
          </cell>
          <cell r="T2644">
            <v>464463.15</v>
          </cell>
          <cell r="U2644">
            <v>464463.15</v>
          </cell>
        </row>
        <row r="2645">
          <cell r="A2645">
            <v>1002741</v>
          </cell>
          <cell r="B2645" t="str">
            <v>Transf P-M 150kVA 12.5/7.2kV 120-208V</v>
          </cell>
          <cell r="C2645" t="str">
            <v>REMANUFACT</v>
          </cell>
          <cell r="D2645">
            <v>6302</v>
          </cell>
          <cell r="E2645">
            <v>1000</v>
          </cell>
          <cell r="F2645" t="str">
            <v>ZALM</v>
          </cell>
          <cell r="G2645" t="str">
            <v>UN</v>
          </cell>
          <cell r="H2645" t="str">
            <v>DOP</v>
          </cell>
          <cell r="I2645">
            <v>0</v>
          </cell>
          <cell r="J2645">
            <v>0</v>
          </cell>
          <cell r="K2645">
            <v>0</v>
          </cell>
          <cell r="L2645">
            <v>0</v>
          </cell>
          <cell r="M2645">
            <v>1</v>
          </cell>
          <cell r="N2645">
            <v>258912</v>
          </cell>
          <cell r="O2645">
            <v>0</v>
          </cell>
          <cell r="P2645">
            <v>0</v>
          </cell>
          <cell r="Q2645">
            <v>0</v>
          </cell>
          <cell r="R2645">
            <v>0</v>
          </cell>
          <cell r="S2645">
            <v>1</v>
          </cell>
          <cell r="T2645">
            <v>258912</v>
          </cell>
          <cell r="U2645">
            <v>258912</v>
          </cell>
        </row>
        <row r="2646">
          <cell r="A2646">
            <v>1002742</v>
          </cell>
          <cell r="B2646" t="str">
            <v>Transf P-M 150kVA 12.5kV 120-208V</v>
          </cell>
          <cell r="C2646" t="str">
            <v>NUEVO</v>
          </cell>
          <cell r="D2646">
            <v>6302</v>
          </cell>
          <cell r="E2646">
            <v>1000</v>
          </cell>
          <cell r="F2646" t="str">
            <v>ZALM</v>
          </cell>
          <cell r="G2646" t="str">
            <v>UN</v>
          </cell>
          <cell r="H2646" t="str">
            <v>DOP</v>
          </cell>
          <cell r="I2646">
            <v>0</v>
          </cell>
          <cell r="J2646">
            <v>0</v>
          </cell>
          <cell r="K2646">
            <v>0</v>
          </cell>
          <cell r="L2646">
            <v>0</v>
          </cell>
          <cell r="M2646">
            <v>0</v>
          </cell>
          <cell r="N2646">
            <v>0</v>
          </cell>
          <cell r="O2646">
            <v>0</v>
          </cell>
          <cell r="P2646">
            <v>0</v>
          </cell>
          <cell r="Q2646">
            <v>0</v>
          </cell>
          <cell r="R2646">
            <v>0</v>
          </cell>
          <cell r="S2646">
            <v>0</v>
          </cell>
          <cell r="T2646">
            <v>0</v>
          </cell>
          <cell r="U2646" t="e">
            <v>#N/A</v>
          </cell>
        </row>
        <row r="2647">
          <cell r="A2647">
            <v>1002744</v>
          </cell>
          <cell r="B2647" t="str">
            <v>Transf P-M 150kVA 277-480/120-208V</v>
          </cell>
          <cell r="C2647" t="str">
            <v>NUEVO</v>
          </cell>
          <cell r="D2647">
            <v>6302</v>
          </cell>
          <cell r="E2647">
            <v>1000</v>
          </cell>
          <cell r="F2647" t="str">
            <v>ZALM</v>
          </cell>
          <cell r="G2647" t="str">
            <v>UN</v>
          </cell>
          <cell r="H2647" t="str">
            <v>DOP</v>
          </cell>
          <cell r="I2647">
            <v>0</v>
          </cell>
          <cell r="J2647">
            <v>0</v>
          </cell>
          <cell r="K2647">
            <v>0</v>
          </cell>
          <cell r="L2647">
            <v>0</v>
          </cell>
          <cell r="M2647">
            <v>2</v>
          </cell>
          <cell r="N2647">
            <v>512638.1</v>
          </cell>
          <cell r="O2647">
            <v>0</v>
          </cell>
          <cell r="P2647">
            <v>0</v>
          </cell>
          <cell r="Q2647">
            <v>0</v>
          </cell>
          <cell r="R2647">
            <v>0</v>
          </cell>
          <cell r="S2647">
            <v>2</v>
          </cell>
          <cell r="T2647">
            <v>512638.1</v>
          </cell>
          <cell r="U2647">
            <v>256319.05</v>
          </cell>
        </row>
        <row r="2648">
          <cell r="A2648">
            <v>1002751</v>
          </cell>
          <cell r="B2648" t="str">
            <v>Transf P-M 225kVA 12.47/7.2kV 120-208V</v>
          </cell>
          <cell r="C2648" t="str">
            <v>NUEVO</v>
          </cell>
          <cell r="D2648">
            <v>6302</v>
          </cell>
          <cell r="E2648">
            <v>1000</v>
          </cell>
          <cell r="F2648" t="str">
            <v>ZALM</v>
          </cell>
          <cell r="G2648" t="str">
            <v>UN</v>
          </cell>
          <cell r="H2648" t="str">
            <v>DOP</v>
          </cell>
          <cell r="I2648">
            <v>0</v>
          </cell>
          <cell r="J2648">
            <v>0</v>
          </cell>
          <cell r="K2648">
            <v>0</v>
          </cell>
          <cell r="L2648">
            <v>0</v>
          </cell>
          <cell r="M2648">
            <v>5</v>
          </cell>
          <cell r="N2648">
            <v>3013779.2</v>
          </cell>
          <cell r="O2648">
            <v>0</v>
          </cell>
          <cell r="P2648">
            <v>0</v>
          </cell>
          <cell r="Q2648">
            <v>0</v>
          </cell>
          <cell r="R2648">
            <v>0</v>
          </cell>
          <cell r="S2648">
            <v>5</v>
          </cell>
          <cell r="T2648">
            <v>3013779.2</v>
          </cell>
          <cell r="U2648">
            <v>602755.83999999997</v>
          </cell>
        </row>
        <row r="2649">
          <cell r="A2649">
            <v>1002754</v>
          </cell>
          <cell r="B2649" t="str">
            <v>Transf P-M 25kVA 2.4kV 120-240V</v>
          </cell>
          <cell r="C2649" t="str">
            <v>NUEVO</v>
          </cell>
          <cell r="D2649">
            <v>6302</v>
          </cell>
          <cell r="E2649">
            <v>1000</v>
          </cell>
          <cell r="F2649" t="str">
            <v>ZALM</v>
          </cell>
          <cell r="G2649" t="str">
            <v>UN</v>
          </cell>
          <cell r="H2649" t="str">
            <v>DOP</v>
          </cell>
          <cell r="I2649">
            <v>0</v>
          </cell>
          <cell r="J2649">
            <v>0</v>
          </cell>
          <cell r="K2649">
            <v>0</v>
          </cell>
          <cell r="L2649">
            <v>0</v>
          </cell>
          <cell r="M2649">
            <v>10</v>
          </cell>
          <cell r="N2649">
            <v>1164342.1399999999</v>
          </cell>
          <cell r="O2649">
            <v>0</v>
          </cell>
          <cell r="P2649">
            <v>0</v>
          </cell>
          <cell r="Q2649">
            <v>0</v>
          </cell>
          <cell r="R2649">
            <v>0</v>
          </cell>
          <cell r="S2649">
            <v>10</v>
          </cell>
          <cell r="T2649">
            <v>1164342.1399999999</v>
          </cell>
          <cell r="U2649">
            <v>116434.21400000001</v>
          </cell>
        </row>
        <row r="2650">
          <cell r="A2650">
            <v>1002756</v>
          </cell>
          <cell r="B2650" t="str">
            <v>Transf P-M 25kVA 7.2kV 120-480V</v>
          </cell>
          <cell r="C2650" t="str">
            <v>REPARADO</v>
          </cell>
          <cell r="D2650">
            <v>6302</v>
          </cell>
          <cell r="E2650">
            <v>1000</v>
          </cell>
          <cell r="F2650" t="str">
            <v>ZALM</v>
          </cell>
          <cell r="G2650" t="str">
            <v>UN</v>
          </cell>
          <cell r="H2650" t="str">
            <v>DOP</v>
          </cell>
          <cell r="I2650">
            <v>0</v>
          </cell>
          <cell r="J2650">
            <v>0</v>
          </cell>
          <cell r="K2650">
            <v>0</v>
          </cell>
          <cell r="L2650">
            <v>0</v>
          </cell>
          <cell r="M2650">
            <v>0</v>
          </cell>
          <cell r="N2650">
            <v>0</v>
          </cell>
          <cell r="O2650">
            <v>0</v>
          </cell>
          <cell r="P2650">
            <v>0</v>
          </cell>
          <cell r="Q2650">
            <v>0</v>
          </cell>
          <cell r="R2650">
            <v>0</v>
          </cell>
          <cell r="S2650">
            <v>0</v>
          </cell>
          <cell r="T2650">
            <v>0</v>
          </cell>
          <cell r="U2650" t="e">
            <v>#N/A</v>
          </cell>
        </row>
        <row r="2651">
          <cell r="A2651">
            <v>1002760</v>
          </cell>
          <cell r="B2651" t="str">
            <v>Transf P-M 300kVA 7.2kV 120-208V</v>
          </cell>
          <cell r="C2651" t="str">
            <v>NUEVO</v>
          </cell>
          <cell r="D2651">
            <v>6302</v>
          </cell>
          <cell r="E2651">
            <v>1000</v>
          </cell>
          <cell r="F2651" t="str">
            <v>ZALM</v>
          </cell>
          <cell r="G2651" t="str">
            <v>UN</v>
          </cell>
          <cell r="H2651" t="str">
            <v>DOP</v>
          </cell>
          <cell r="I2651">
            <v>0</v>
          </cell>
          <cell r="J2651">
            <v>0</v>
          </cell>
          <cell r="K2651">
            <v>0</v>
          </cell>
          <cell r="L2651">
            <v>0</v>
          </cell>
          <cell r="M2651">
            <v>1</v>
          </cell>
          <cell r="N2651">
            <v>732552.62</v>
          </cell>
          <cell r="O2651">
            <v>0</v>
          </cell>
          <cell r="P2651">
            <v>0</v>
          </cell>
          <cell r="Q2651">
            <v>0</v>
          </cell>
          <cell r="R2651">
            <v>0</v>
          </cell>
          <cell r="S2651">
            <v>1</v>
          </cell>
          <cell r="T2651">
            <v>732552.62</v>
          </cell>
          <cell r="U2651">
            <v>732552.62</v>
          </cell>
        </row>
        <row r="2652">
          <cell r="A2652">
            <v>1002760</v>
          </cell>
          <cell r="B2652" t="str">
            <v>Transf P-M 300kVA 7.2kV 120-208V</v>
          </cell>
          <cell r="C2652" t="str">
            <v>REMANUFACT</v>
          </cell>
          <cell r="D2652">
            <v>6302</v>
          </cell>
          <cell r="E2652">
            <v>1000</v>
          </cell>
          <cell r="F2652" t="str">
            <v>ZALM</v>
          </cell>
          <cell r="G2652" t="str">
            <v>UN</v>
          </cell>
          <cell r="H2652" t="str">
            <v>DOP</v>
          </cell>
          <cell r="I2652">
            <v>0</v>
          </cell>
          <cell r="J2652">
            <v>0</v>
          </cell>
          <cell r="K2652">
            <v>0</v>
          </cell>
          <cell r="L2652">
            <v>0</v>
          </cell>
          <cell r="M2652">
            <v>0</v>
          </cell>
          <cell r="N2652">
            <v>0</v>
          </cell>
          <cell r="O2652">
            <v>0</v>
          </cell>
          <cell r="P2652">
            <v>0</v>
          </cell>
          <cell r="Q2652">
            <v>0</v>
          </cell>
          <cell r="R2652">
            <v>0</v>
          </cell>
          <cell r="S2652">
            <v>0</v>
          </cell>
          <cell r="T2652">
            <v>0</v>
          </cell>
          <cell r="U2652" t="e">
            <v>#N/A</v>
          </cell>
        </row>
        <row r="2653">
          <cell r="A2653">
            <v>1002763</v>
          </cell>
          <cell r="B2653" t="str">
            <v>Transf P-M 37.5kVA 7.2kV 120-240V</v>
          </cell>
          <cell r="C2653" t="str">
            <v>NUEVO</v>
          </cell>
          <cell r="D2653">
            <v>6302</v>
          </cell>
          <cell r="E2653">
            <v>1000</v>
          </cell>
          <cell r="F2653" t="str">
            <v>ZALM</v>
          </cell>
          <cell r="G2653" t="str">
            <v>UN</v>
          </cell>
          <cell r="H2653" t="str">
            <v>DOP</v>
          </cell>
          <cell r="I2653">
            <v>0</v>
          </cell>
          <cell r="J2653">
            <v>0</v>
          </cell>
          <cell r="K2653">
            <v>0</v>
          </cell>
          <cell r="L2653">
            <v>0</v>
          </cell>
          <cell r="M2653">
            <v>12</v>
          </cell>
          <cell r="N2653">
            <v>1647081.64</v>
          </cell>
          <cell r="O2653">
            <v>0</v>
          </cell>
          <cell r="P2653">
            <v>0</v>
          </cell>
          <cell r="Q2653">
            <v>0</v>
          </cell>
          <cell r="R2653">
            <v>0</v>
          </cell>
          <cell r="S2653">
            <v>12</v>
          </cell>
          <cell r="T2653">
            <v>1647081.64</v>
          </cell>
          <cell r="U2653">
            <v>137256.80333333299</v>
          </cell>
        </row>
        <row r="2654">
          <cell r="A2654">
            <v>1002770</v>
          </cell>
          <cell r="B2654" t="str">
            <v>Transf P-M 45kVA 12.47kV 240-480V 3Ø</v>
          </cell>
          <cell r="C2654" t="str">
            <v>REMANUFACT</v>
          </cell>
          <cell r="D2654">
            <v>6302</v>
          </cell>
          <cell r="E2654">
            <v>1000</v>
          </cell>
          <cell r="F2654" t="str">
            <v>ZALM</v>
          </cell>
          <cell r="G2654" t="str">
            <v>UN</v>
          </cell>
          <cell r="H2654" t="str">
            <v>DOP</v>
          </cell>
          <cell r="I2654">
            <v>0</v>
          </cell>
          <cell r="J2654">
            <v>0</v>
          </cell>
          <cell r="K2654">
            <v>0</v>
          </cell>
          <cell r="L2654">
            <v>0</v>
          </cell>
          <cell r="M2654">
            <v>3</v>
          </cell>
          <cell r="N2654">
            <v>1103568.71</v>
          </cell>
          <cell r="O2654">
            <v>0</v>
          </cell>
          <cell r="P2654">
            <v>0</v>
          </cell>
          <cell r="Q2654">
            <v>0</v>
          </cell>
          <cell r="R2654">
            <v>0</v>
          </cell>
          <cell r="S2654">
            <v>3</v>
          </cell>
          <cell r="T2654">
            <v>1103568.71</v>
          </cell>
          <cell r="U2654">
            <v>367856.23666666698</v>
          </cell>
        </row>
        <row r="2655">
          <cell r="A2655">
            <v>1002774</v>
          </cell>
          <cell r="B2655" t="str">
            <v>Transf P-M 500kVA 12.5kV 277-480V</v>
          </cell>
          <cell r="C2655" t="str">
            <v>NUEVO</v>
          </cell>
          <cell r="D2655">
            <v>6302</v>
          </cell>
          <cell r="E2655">
            <v>1000</v>
          </cell>
          <cell r="F2655" t="str">
            <v>ZALM</v>
          </cell>
          <cell r="G2655" t="str">
            <v>UN</v>
          </cell>
          <cell r="H2655" t="str">
            <v>DOP</v>
          </cell>
          <cell r="I2655">
            <v>0</v>
          </cell>
          <cell r="J2655">
            <v>0</v>
          </cell>
          <cell r="K2655">
            <v>0</v>
          </cell>
          <cell r="L2655">
            <v>0</v>
          </cell>
          <cell r="M2655">
            <v>4</v>
          </cell>
          <cell r="N2655">
            <v>3429405.03</v>
          </cell>
          <cell r="O2655">
            <v>0</v>
          </cell>
          <cell r="P2655">
            <v>0</v>
          </cell>
          <cell r="Q2655">
            <v>0</v>
          </cell>
          <cell r="R2655">
            <v>0</v>
          </cell>
          <cell r="S2655">
            <v>4</v>
          </cell>
          <cell r="T2655">
            <v>3429405.03</v>
          </cell>
          <cell r="U2655">
            <v>857351.25749999995</v>
          </cell>
        </row>
        <row r="2656">
          <cell r="A2656">
            <v>1002777</v>
          </cell>
          <cell r="B2656" t="str">
            <v>Transf P-M 50kVA 7.2kV 120-240V</v>
          </cell>
          <cell r="C2656" t="str">
            <v>NUEVO</v>
          </cell>
          <cell r="D2656">
            <v>6302</v>
          </cell>
          <cell r="E2656">
            <v>1000</v>
          </cell>
          <cell r="F2656" t="str">
            <v>ZALM</v>
          </cell>
          <cell r="G2656" t="str">
            <v>UN</v>
          </cell>
          <cell r="H2656" t="str">
            <v>DOP</v>
          </cell>
          <cell r="I2656">
            <v>0</v>
          </cell>
          <cell r="J2656">
            <v>0</v>
          </cell>
          <cell r="K2656">
            <v>0</v>
          </cell>
          <cell r="L2656">
            <v>0</v>
          </cell>
          <cell r="M2656">
            <v>11</v>
          </cell>
          <cell r="N2656">
            <v>1670398.56</v>
          </cell>
          <cell r="O2656">
            <v>0</v>
          </cell>
          <cell r="P2656">
            <v>0</v>
          </cell>
          <cell r="Q2656">
            <v>0</v>
          </cell>
          <cell r="R2656">
            <v>0</v>
          </cell>
          <cell r="S2656">
            <v>11</v>
          </cell>
          <cell r="T2656">
            <v>1670398.56</v>
          </cell>
          <cell r="U2656">
            <v>151854.41454545499</v>
          </cell>
        </row>
        <row r="2657">
          <cell r="A2657">
            <v>1002777</v>
          </cell>
          <cell r="B2657" t="str">
            <v>Transf P-M 50kVA 7.2kV 120-240V</v>
          </cell>
          <cell r="C2657" t="str">
            <v>REMANUFACT</v>
          </cell>
          <cell r="D2657">
            <v>6302</v>
          </cell>
          <cell r="E2657">
            <v>1000</v>
          </cell>
          <cell r="F2657" t="str">
            <v>ZALM</v>
          </cell>
          <cell r="G2657" t="str">
            <v>UN</v>
          </cell>
          <cell r="H2657" t="str">
            <v>DOP</v>
          </cell>
          <cell r="I2657">
            <v>0</v>
          </cell>
          <cell r="J2657">
            <v>0</v>
          </cell>
          <cell r="K2657">
            <v>0</v>
          </cell>
          <cell r="L2657">
            <v>0</v>
          </cell>
          <cell r="M2657">
            <v>0</v>
          </cell>
          <cell r="N2657">
            <v>0</v>
          </cell>
          <cell r="O2657">
            <v>0</v>
          </cell>
          <cell r="P2657">
            <v>0</v>
          </cell>
          <cell r="Q2657">
            <v>0</v>
          </cell>
          <cell r="R2657">
            <v>0</v>
          </cell>
          <cell r="S2657">
            <v>0</v>
          </cell>
          <cell r="T2657">
            <v>0</v>
          </cell>
          <cell r="U2657" t="e">
            <v>#N/A</v>
          </cell>
        </row>
        <row r="2658">
          <cell r="A2658">
            <v>1002779</v>
          </cell>
          <cell r="B2658" t="str">
            <v>Transf P-M 75kVA 7.2kV 120-240V CSP</v>
          </cell>
          <cell r="C2658" t="str">
            <v>NUEVO</v>
          </cell>
          <cell r="D2658">
            <v>6302</v>
          </cell>
          <cell r="E2658">
            <v>1000</v>
          </cell>
          <cell r="F2658" t="str">
            <v>ZALM</v>
          </cell>
          <cell r="G2658" t="str">
            <v>UN</v>
          </cell>
          <cell r="H2658" t="str">
            <v>DOP</v>
          </cell>
          <cell r="I2658">
            <v>0</v>
          </cell>
          <cell r="J2658">
            <v>0</v>
          </cell>
          <cell r="K2658">
            <v>0</v>
          </cell>
          <cell r="L2658">
            <v>0</v>
          </cell>
          <cell r="M2658">
            <v>13</v>
          </cell>
          <cell r="N2658">
            <v>2187702.41</v>
          </cell>
          <cell r="O2658">
            <v>0</v>
          </cell>
          <cell r="P2658">
            <v>0</v>
          </cell>
          <cell r="Q2658">
            <v>0</v>
          </cell>
          <cell r="R2658">
            <v>0</v>
          </cell>
          <cell r="S2658">
            <v>13</v>
          </cell>
          <cell r="T2658">
            <v>2187702.41</v>
          </cell>
          <cell r="U2658">
            <v>168284.80076923099</v>
          </cell>
        </row>
        <row r="2659">
          <cell r="A2659">
            <v>1002779</v>
          </cell>
          <cell r="B2659" t="str">
            <v>Transf P-M 75kVA 7.2kV 120-240V CSP</v>
          </cell>
          <cell r="C2659" t="str">
            <v>REMANUFACT</v>
          </cell>
          <cell r="D2659">
            <v>6302</v>
          </cell>
          <cell r="E2659">
            <v>1000</v>
          </cell>
          <cell r="F2659" t="str">
            <v>ZALM</v>
          </cell>
          <cell r="G2659" t="str">
            <v>UN</v>
          </cell>
          <cell r="H2659" t="str">
            <v>DOP</v>
          </cell>
          <cell r="I2659">
            <v>0</v>
          </cell>
          <cell r="J2659">
            <v>0</v>
          </cell>
          <cell r="K2659">
            <v>0</v>
          </cell>
          <cell r="L2659">
            <v>0</v>
          </cell>
          <cell r="M2659">
            <v>1</v>
          </cell>
          <cell r="N2659">
            <v>102080</v>
          </cell>
          <cell r="O2659">
            <v>0</v>
          </cell>
          <cell r="P2659">
            <v>0</v>
          </cell>
          <cell r="Q2659">
            <v>0</v>
          </cell>
          <cell r="R2659">
            <v>0</v>
          </cell>
          <cell r="S2659">
            <v>1</v>
          </cell>
          <cell r="T2659">
            <v>102080</v>
          </cell>
          <cell r="U2659">
            <v>102080</v>
          </cell>
        </row>
        <row r="2660">
          <cell r="A2660">
            <v>1002782</v>
          </cell>
          <cell r="B2660" t="str">
            <v>Transf Potencia (PT) 15kV/150V 60.1A</v>
          </cell>
          <cell r="C2660" t="str">
            <v>NUEVO</v>
          </cell>
          <cell r="D2660">
            <v>6302</v>
          </cell>
          <cell r="E2660">
            <v>1000</v>
          </cell>
          <cell r="F2660" t="str">
            <v>ZALM</v>
          </cell>
          <cell r="G2660" t="str">
            <v>UN</v>
          </cell>
          <cell r="H2660" t="str">
            <v>DOP</v>
          </cell>
          <cell r="I2660">
            <v>1</v>
          </cell>
          <cell r="J2660">
            <v>14500</v>
          </cell>
          <cell r="K2660">
            <v>0</v>
          </cell>
          <cell r="L2660">
            <v>0</v>
          </cell>
          <cell r="M2660">
            <v>0</v>
          </cell>
          <cell r="N2660">
            <v>0</v>
          </cell>
          <cell r="O2660">
            <v>0</v>
          </cell>
          <cell r="P2660">
            <v>0</v>
          </cell>
          <cell r="Q2660">
            <v>0</v>
          </cell>
          <cell r="R2660">
            <v>0</v>
          </cell>
          <cell r="S2660">
            <v>1</v>
          </cell>
          <cell r="T2660">
            <v>14500</v>
          </cell>
          <cell r="U2660">
            <v>14500</v>
          </cell>
        </row>
        <row r="2661">
          <cell r="A2661">
            <v>1002787</v>
          </cell>
          <cell r="B2661" t="str">
            <v>Transf T/ Booter 25kVA 120-240V</v>
          </cell>
          <cell r="C2661" t="str">
            <v>NUEVO</v>
          </cell>
          <cell r="D2661">
            <v>6302</v>
          </cell>
          <cell r="E2661">
            <v>1000</v>
          </cell>
          <cell r="F2661" t="str">
            <v>ZALM</v>
          </cell>
          <cell r="G2661" t="str">
            <v>UN</v>
          </cell>
          <cell r="H2661" t="str">
            <v>DOP</v>
          </cell>
          <cell r="I2661">
            <v>1</v>
          </cell>
          <cell r="J2661">
            <v>11480</v>
          </cell>
          <cell r="K2661">
            <v>0</v>
          </cell>
          <cell r="L2661">
            <v>0</v>
          </cell>
          <cell r="M2661">
            <v>0</v>
          </cell>
          <cell r="N2661">
            <v>0</v>
          </cell>
          <cell r="O2661">
            <v>0</v>
          </cell>
          <cell r="P2661">
            <v>0</v>
          </cell>
          <cell r="Q2661">
            <v>0</v>
          </cell>
          <cell r="R2661">
            <v>0</v>
          </cell>
          <cell r="S2661">
            <v>1</v>
          </cell>
          <cell r="T2661">
            <v>11480</v>
          </cell>
          <cell r="U2661">
            <v>11480</v>
          </cell>
        </row>
        <row r="2662">
          <cell r="A2662">
            <v>1002790</v>
          </cell>
          <cell r="B2662" t="str">
            <v>Transf Tens P/Medic 7.2/12.4 70kV 60/1</v>
          </cell>
          <cell r="C2662" t="str">
            <v>NUEVO</v>
          </cell>
          <cell r="D2662">
            <v>6302</v>
          </cell>
          <cell r="E2662">
            <v>1000</v>
          </cell>
          <cell r="F2662" t="str">
            <v>ZALM</v>
          </cell>
          <cell r="G2662" t="str">
            <v>UN</v>
          </cell>
          <cell r="H2662" t="str">
            <v>DOP</v>
          </cell>
          <cell r="I2662">
            <v>0</v>
          </cell>
          <cell r="J2662">
            <v>0</v>
          </cell>
          <cell r="K2662">
            <v>0</v>
          </cell>
          <cell r="L2662">
            <v>0</v>
          </cell>
          <cell r="M2662">
            <v>0</v>
          </cell>
          <cell r="N2662">
            <v>0</v>
          </cell>
          <cell r="O2662">
            <v>0</v>
          </cell>
          <cell r="P2662">
            <v>0</v>
          </cell>
          <cell r="Q2662">
            <v>0</v>
          </cell>
          <cell r="R2662">
            <v>0</v>
          </cell>
          <cell r="S2662">
            <v>0</v>
          </cell>
          <cell r="T2662">
            <v>0</v>
          </cell>
          <cell r="U2662" t="e">
            <v>#N/A</v>
          </cell>
        </row>
        <row r="2663">
          <cell r="A2663">
            <v>1002794</v>
          </cell>
          <cell r="B2663" t="str">
            <v>Transf Tens TAIT 34,571,73-0,12kV 150kV</v>
          </cell>
          <cell r="C2663" t="str">
            <v>NUEVO</v>
          </cell>
          <cell r="D2663">
            <v>6302</v>
          </cell>
          <cell r="E2663">
            <v>1000</v>
          </cell>
          <cell r="F2663" t="str">
            <v>ZALM</v>
          </cell>
          <cell r="G2663" t="str">
            <v>UN</v>
          </cell>
          <cell r="H2663" t="str">
            <v>DOP</v>
          </cell>
          <cell r="I2663">
            <v>0</v>
          </cell>
          <cell r="J2663">
            <v>0</v>
          </cell>
          <cell r="K2663">
            <v>0</v>
          </cell>
          <cell r="L2663">
            <v>0</v>
          </cell>
          <cell r="M2663">
            <v>0</v>
          </cell>
          <cell r="N2663">
            <v>0</v>
          </cell>
          <cell r="O2663">
            <v>0</v>
          </cell>
          <cell r="P2663">
            <v>0</v>
          </cell>
          <cell r="Q2663">
            <v>0</v>
          </cell>
          <cell r="R2663">
            <v>0</v>
          </cell>
          <cell r="S2663">
            <v>0</v>
          </cell>
          <cell r="T2663">
            <v>0</v>
          </cell>
          <cell r="U2663" t="e">
            <v>#N/A</v>
          </cell>
        </row>
        <row r="2664">
          <cell r="A2664">
            <v>1002796</v>
          </cell>
          <cell r="B2664" t="str">
            <v>Transf Tensión 12.47/1.732-0.120V 60Hz</v>
          </cell>
          <cell r="C2664" t="str">
            <v>NUEVO</v>
          </cell>
          <cell r="D2664">
            <v>6302</v>
          </cell>
          <cell r="E2664">
            <v>1000</v>
          </cell>
          <cell r="F2664" t="str">
            <v>ZALM</v>
          </cell>
          <cell r="G2664" t="str">
            <v>UN</v>
          </cell>
          <cell r="H2664" t="str">
            <v>DOP</v>
          </cell>
          <cell r="I2664">
            <v>0</v>
          </cell>
          <cell r="J2664">
            <v>0</v>
          </cell>
          <cell r="K2664">
            <v>0</v>
          </cell>
          <cell r="L2664">
            <v>0</v>
          </cell>
          <cell r="M2664">
            <v>0</v>
          </cell>
          <cell r="N2664">
            <v>0</v>
          </cell>
          <cell r="O2664">
            <v>0</v>
          </cell>
          <cell r="P2664">
            <v>0</v>
          </cell>
          <cell r="Q2664">
            <v>0</v>
          </cell>
          <cell r="R2664">
            <v>0</v>
          </cell>
          <cell r="S2664">
            <v>0</v>
          </cell>
          <cell r="T2664">
            <v>0</v>
          </cell>
          <cell r="U2664" t="e">
            <v>#N/A</v>
          </cell>
        </row>
        <row r="2665">
          <cell r="A2665">
            <v>1002797</v>
          </cell>
          <cell r="B2665" t="str">
            <v>Transf Tensión 4,16/1,73-0 5kV 60Hz</v>
          </cell>
          <cell r="C2665" t="str">
            <v>NUEVO</v>
          </cell>
          <cell r="D2665">
            <v>6302</v>
          </cell>
          <cell r="E2665">
            <v>1000</v>
          </cell>
          <cell r="F2665" t="str">
            <v>ZALM</v>
          </cell>
          <cell r="G2665" t="str">
            <v>UN</v>
          </cell>
          <cell r="H2665" t="str">
            <v>DOP</v>
          </cell>
          <cell r="I2665">
            <v>2</v>
          </cell>
          <cell r="J2665">
            <v>72968.98</v>
          </cell>
          <cell r="K2665">
            <v>0</v>
          </cell>
          <cell r="L2665">
            <v>0</v>
          </cell>
          <cell r="M2665">
            <v>0</v>
          </cell>
          <cell r="N2665">
            <v>0</v>
          </cell>
          <cell r="O2665">
            <v>0</v>
          </cell>
          <cell r="P2665">
            <v>0</v>
          </cell>
          <cell r="Q2665">
            <v>11</v>
          </cell>
          <cell r="R2665">
            <v>401329.37</v>
          </cell>
          <cell r="S2665">
            <v>13</v>
          </cell>
          <cell r="T2665">
            <v>474298.35</v>
          </cell>
          <cell r="U2665">
            <v>36484.488461538502</v>
          </cell>
        </row>
        <row r="2666">
          <cell r="A2666">
            <v>1002800</v>
          </cell>
          <cell r="B2666" t="str">
            <v>Transf T-P 100kVA 34.5kV 240V</v>
          </cell>
          <cell r="C2666" t="str">
            <v>NUEVO</v>
          </cell>
          <cell r="D2666">
            <v>6302</v>
          </cell>
          <cell r="E2666">
            <v>1000</v>
          </cell>
          <cell r="F2666" t="str">
            <v>ZALM</v>
          </cell>
          <cell r="G2666" t="str">
            <v>UN</v>
          </cell>
          <cell r="H2666" t="str">
            <v>DOP</v>
          </cell>
          <cell r="I2666">
            <v>0</v>
          </cell>
          <cell r="J2666">
            <v>0</v>
          </cell>
          <cell r="K2666">
            <v>0</v>
          </cell>
          <cell r="L2666">
            <v>0</v>
          </cell>
          <cell r="M2666">
            <v>7</v>
          </cell>
          <cell r="N2666">
            <v>2086253.08</v>
          </cell>
          <cell r="O2666">
            <v>0</v>
          </cell>
          <cell r="P2666">
            <v>0</v>
          </cell>
          <cell r="Q2666">
            <v>0</v>
          </cell>
          <cell r="R2666">
            <v>0</v>
          </cell>
          <cell r="S2666">
            <v>7</v>
          </cell>
          <cell r="T2666">
            <v>2086253.08</v>
          </cell>
          <cell r="U2666">
            <v>298036.15428571397</v>
          </cell>
        </row>
        <row r="2667">
          <cell r="A2667">
            <v>1002800</v>
          </cell>
          <cell r="B2667" t="str">
            <v>Transf T-P 100kVA 34.5kV 240V</v>
          </cell>
          <cell r="C2667" t="str">
            <v>REMANUFACT</v>
          </cell>
          <cell r="D2667">
            <v>6302</v>
          </cell>
          <cell r="E2667">
            <v>1000</v>
          </cell>
          <cell r="F2667" t="str">
            <v>ZALM</v>
          </cell>
          <cell r="G2667" t="str">
            <v>UN</v>
          </cell>
          <cell r="H2667" t="str">
            <v>DOP</v>
          </cell>
          <cell r="I2667">
            <v>0</v>
          </cell>
          <cell r="J2667">
            <v>0</v>
          </cell>
          <cell r="K2667">
            <v>0</v>
          </cell>
          <cell r="L2667">
            <v>0</v>
          </cell>
          <cell r="M2667">
            <v>3</v>
          </cell>
          <cell r="N2667">
            <v>1009200</v>
          </cell>
          <cell r="O2667">
            <v>0</v>
          </cell>
          <cell r="P2667">
            <v>0</v>
          </cell>
          <cell r="Q2667">
            <v>0</v>
          </cell>
          <cell r="R2667">
            <v>0</v>
          </cell>
          <cell r="S2667">
            <v>3</v>
          </cell>
          <cell r="T2667">
            <v>1009200</v>
          </cell>
          <cell r="U2667">
            <v>336400</v>
          </cell>
        </row>
        <row r="2668">
          <cell r="A2668">
            <v>1002801</v>
          </cell>
          <cell r="B2668" t="str">
            <v>Transf T-P 100kVA 7.2kV 120/240 CSP</v>
          </cell>
          <cell r="C2668" t="str">
            <v>NUEVO</v>
          </cell>
          <cell r="D2668">
            <v>6302</v>
          </cell>
          <cell r="E2668">
            <v>1000</v>
          </cell>
          <cell r="F2668" t="str">
            <v>ZALM</v>
          </cell>
          <cell r="G2668" t="str">
            <v>UN</v>
          </cell>
          <cell r="H2668" t="str">
            <v>DOP</v>
          </cell>
          <cell r="I2668">
            <v>0</v>
          </cell>
          <cell r="J2668">
            <v>0</v>
          </cell>
          <cell r="K2668">
            <v>0</v>
          </cell>
          <cell r="L2668">
            <v>0</v>
          </cell>
          <cell r="M2668">
            <v>0</v>
          </cell>
          <cell r="N2668">
            <v>0</v>
          </cell>
          <cell r="O2668">
            <v>0</v>
          </cell>
          <cell r="P2668">
            <v>0</v>
          </cell>
          <cell r="Q2668">
            <v>0</v>
          </cell>
          <cell r="R2668">
            <v>0</v>
          </cell>
          <cell r="S2668">
            <v>0</v>
          </cell>
          <cell r="T2668">
            <v>0</v>
          </cell>
          <cell r="U2668" t="e">
            <v>#N/A</v>
          </cell>
        </row>
        <row r="2669">
          <cell r="A2669">
            <v>1002803</v>
          </cell>
          <cell r="B2669" t="str">
            <v>Transf T-P 15kVA 7.2kV 120/240V CSP</v>
          </cell>
          <cell r="C2669" t="str">
            <v>NUEVO</v>
          </cell>
          <cell r="D2669">
            <v>6302</v>
          </cell>
          <cell r="E2669">
            <v>1000</v>
          </cell>
          <cell r="F2669" t="str">
            <v>ZALM</v>
          </cell>
          <cell r="G2669" t="str">
            <v>UN</v>
          </cell>
          <cell r="H2669" t="str">
            <v>DOP</v>
          </cell>
          <cell r="I2669">
            <v>0</v>
          </cell>
          <cell r="J2669">
            <v>0</v>
          </cell>
          <cell r="K2669">
            <v>0</v>
          </cell>
          <cell r="L2669">
            <v>0</v>
          </cell>
          <cell r="M2669">
            <v>0</v>
          </cell>
          <cell r="N2669">
            <v>0</v>
          </cell>
          <cell r="O2669">
            <v>0</v>
          </cell>
          <cell r="P2669">
            <v>0</v>
          </cell>
          <cell r="Q2669">
            <v>0</v>
          </cell>
          <cell r="R2669">
            <v>0</v>
          </cell>
          <cell r="S2669">
            <v>0</v>
          </cell>
          <cell r="T2669">
            <v>0</v>
          </cell>
          <cell r="U2669" t="e">
            <v>#N/A</v>
          </cell>
        </row>
        <row r="2670">
          <cell r="A2670">
            <v>1002804</v>
          </cell>
          <cell r="B2670" t="str">
            <v>Transf T-P 15kVA 7.2kV 240-480V</v>
          </cell>
          <cell r="C2670" t="str">
            <v>NUEVO</v>
          </cell>
          <cell r="D2670">
            <v>6302</v>
          </cell>
          <cell r="E2670">
            <v>1000</v>
          </cell>
          <cell r="F2670" t="str">
            <v>ZALM</v>
          </cell>
          <cell r="G2670" t="str">
            <v>UN</v>
          </cell>
          <cell r="H2670" t="str">
            <v>DOP</v>
          </cell>
          <cell r="I2670">
            <v>0</v>
          </cell>
          <cell r="J2670">
            <v>0</v>
          </cell>
          <cell r="K2670">
            <v>0</v>
          </cell>
          <cell r="L2670">
            <v>0</v>
          </cell>
          <cell r="M2670">
            <v>6</v>
          </cell>
          <cell r="N2670">
            <v>326138.37</v>
          </cell>
          <cell r="O2670">
            <v>0</v>
          </cell>
          <cell r="P2670">
            <v>0</v>
          </cell>
          <cell r="Q2670">
            <v>0</v>
          </cell>
          <cell r="R2670">
            <v>0</v>
          </cell>
          <cell r="S2670">
            <v>6</v>
          </cell>
          <cell r="T2670">
            <v>326138.37</v>
          </cell>
          <cell r="U2670">
            <v>54356.394999999997</v>
          </cell>
        </row>
        <row r="2671">
          <cell r="A2671">
            <v>1002809</v>
          </cell>
          <cell r="B2671" t="str">
            <v>Transf T-P 5kVA 7.2kV 120/240V CSP</v>
          </cell>
          <cell r="C2671" t="str">
            <v>NUEVO</v>
          </cell>
          <cell r="D2671">
            <v>6302</v>
          </cell>
          <cell r="E2671">
            <v>1000</v>
          </cell>
          <cell r="F2671" t="str">
            <v>ZALM</v>
          </cell>
          <cell r="G2671" t="str">
            <v>UN</v>
          </cell>
          <cell r="H2671" t="str">
            <v>DOP</v>
          </cell>
          <cell r="I2671">
            <v>0</v>
          </cell>
          <cell r="J2671">
            <v>0</v>
          </cell>
          <cell r="K2671">
            <v>0</v>
          </cell>
          <cell r="L2671">
            <v>0</v>
          </cell>
          <cell r="M2671">
            <v>0</v>
          </cell>
          <cell r="N2671">
            <v>0</v>
          </cell>
          <cell r="O2671">
            <v>0</v>
          </cell>
          <cell r="P2671">
            <v>0</v>
          </cell>
          <cell r="Q2671">
            <v>0</v>
          </cell>
          <cell r="R2671">
            <v>0</v>
          </cell>
          <cell r="S2671">
            <v>0</v>
          </cell>
          <cell r="T2671">
            <v>0</v>
          </cell>
          <cell r="U2671" t="e">
            <v>#N/A</v>
          </cell>
        </row>
        <row r="2672">
          <cell r="A2672">
            <v>1002810</v>
          </cell>
          <cell r="B2672" t="str">
            <v>Transf T-P 75kVA 7.2kV 120/240V CPS</v>
          </cell>
          <cell r="C2672" t="str">
            <v>NUEVO</v>
          </cell>
          <cell r="D2672">
            <v>6302</v>
          </cell>
          <cell r="E2672">
            <v>1000</v>
          </cell>
          <cell r="F2672" t="str">
            <v>ZALM</v>
          </cell>
          <cell r="G2672" t="str">
            <v>UN</v>
          </cell>
          <cell r="H2672" t="str">
            <v>DOP</v>
          </cell>
          <cell r="I2672">
            <v>0</v>
          </cell>
          <cell r="J2672">
            <v>0</v>
          </cell>
          <cell r="K2672">
            <v>0</v>
          </cell>
          <cell r="L2672">
            <v>0</v>
          </cell>
          <cell r="M2672">
            <v>0</v>
          </cell>
          <cell r="N2672">
            <v>0</v>
          </cell>
          <cell r="O2672">
            <v>0</v>
          </cell>
          <cell r="P2672">
            <v>0</v>
          </cell>
          <cell r="Q2672">
            <v>0</v>
          </cell>
          <cell r="R2672">
            <v>0</v>
          </cell>
          <cell r="S2672">
            <v>0</v>
          </cell>
          <cell r="T2672">
            <v>0</v>
          </cell>
          <cell r="U2672" t="e">
            <v>#N/A</v>
          </cell>
        </row>
        <row r="2673">
          <cell r="A2673">
            <v>1002812</v>
          </cell>
          <cell r="B2673" t="str">
            <v>Transf Trif 28-40MVA 138-69/34.5-12.5kV</v>
          </cell>
          <cell r="C2673" t="str">
            <v>NUEVO</v>
          </cell>
          <cell r="D2673">
            <v>6302</v>
          </cell>
          <cell r="E2673">
            <v>1000</v>
          </cell>
          <cell r="F2673" t="str">
            <v>ZALM</v>
          </cell>
          <cell r="G2673" t="str">
            <v>UN</v>
          </cell>
          <cell r="H2673" t="str">
            <v>DOP</v>
          </cell>
          <cell r="I2673">
            <v>1</v>
          </cell>
          <cell r="J2673">
            <v>21049907.530000001</v>
          </cell>
          <cell r="K2673">
            <v>0</v>
          </cell>
          <cell r="L2673">
            <v>0</v>
          </cell>
          <cell r="M2673">
            <v>0</v>
          </cell>
          <cell r="N2673">
            <v>0</v>
          </cell>
          <cell r="O2673">
            <v>0</v>
          </cell>
          <cell r="P2673">
            <v>0</v>
          </cell>
          <cell r="Q2673">
            <v>0</v>
          </cell>
          <cell r="R2673">
            <v>0</v>
          </cell>
          <cell r="S2673">
            <v>1</v>
          </cell>
          <cell r="T2673">
            <v>21049907.530000001</v>
          </cell>
          <cell r="U2673">
            <v>21049907.530000001</v>
          </cell>
        </row>
        <row r="2674">
          <cell r="A2674">
            <v>1002814</v>
          </cell>
          <cell r="B2674" t="str">
            <v>Transf Trif 63kVA 7.2kV 120-240V</v>
          </cell>
          <cell r="C2674" t="str">
            <v>REPARADO</v>
          </cell>
          <cell r="D2674">
            <v>6302</v>
          </cell>
          <cell r="E2674">
            <v>1000</v>
          </cell>
          <cell r="F2674" t="str">
            <v>ZALM</v>
          </cell>
          <cell r="G2674" t="str">
            <v>UN</v>
          </cell>
          <cell r="H2674" t="str">
            <v>DOP</v>
          </cell>
          <cell r="I2674">
            <v>0</v>
          </cell>
          <cell r="J2674">
            <v>0</v>
          </cell>
          <cell r="K2674">
            <v>0</v>
          </cell>
          <cell r="L2674">
            <v>0</v>
          </cell>
          <cell r="M2674">
            <v>0</v>
          </cell>
          <cell r="N2674">
            <v>0</v>
          </cell>
          <cell r="O2674">
            <v>0</v>
          </cell>
          <cell r="P2674">
            <v>0</v>
          </cell>
          <cell r="Q2674">
            <v>0</v>
          </cell>
          <cell r="R2674">
            <v>0</v>
          </cell>
          <cell r="S2674">
            <v>0</v>
          </cell>
          <cell r="T2674">
            <v>0</v>
          </cell>
          <cell r="U2674" t="e">
            <v>#N/A</v>
          </cell>
        </row>
        <row r="2675">
          <cell r="A2675">
            <v>1002821</v>
          </cell>
          <cell r="B2675" t="str">
            <v>SILICAGEL</v>
          </cell>
          <cell r="D2675">
            <v>7208</v>
          </cell>
          <cell r="E2675">
            <v>1000</v>
          </cell>
          <cell r="F2675" t="str">
            <v>ZALM</v>
          </cell>
          <cell r="G2675" t="str">
            <v>UN</v>
          </cell>
          <cell r="H2675" t="str">
            <v>DOP</v>
          </cell>
          <cell r="I2675">
            <v>0</v>
          </cell>
          <cell r="J2675">
            <v>0</v>
          </cell>
          <cell r="K2675">
            <v>0</v>
          </cell>
          <cell r="L2675">
            <v>0</v>
          </cell>
          <cell r="M2675">
            <v>0</v>
          </cell>
          <cell r="N2675">
            <v>0</v>
          </cell>
          <cell r="O2675">
            <v>0</v>
          </cell>
          <cell r="P2675">
            <v>0</v>
          </cell>
          <cell r="Q2675">
            <v>0</v>
          </cell>
          <cell r="R2675">
            <v>0</v>
          </cell>
          <cell r="S2675">
            <v>0</v>
          </cell>
          <cell r="T2675">
            <v>0</v>
          </cell>
          <cell r="U2675" t="e">
            <v>#N/A</v>
          </cell>
        </row>
        <row r="2676">
          <cell r="A2676">
            <v>1002829</v>
          </cell>
          <cell r="B2676" t="str">
            <v>TUBO DE PVC DIAM. 6" LONG. 20' SDR-26</v>
          </cell>
          <cell r="D2676">
            <v>5104</v>
          </cell>
          <cell r="E2676">
            <v>1000</v>
          </cell>
          <cell r="F2676" t="str">
            <v>ZALM</v>
          </cell>
          <cell r="G2676" t="str">
            <v>UN</v>
          </cell>
          <cell r="H2676" t="str">
            <v>DOP</v>
          </cell>
          <cell r="I2676">
            <v>0</v>
          </cell>
          <cell r="J2676">
            <v>0</v>
          </cell>
          <cell r="K2676">
            <v>0</v>
          </cell>
          <cell r="L2676">
            <v>0</v>
          </cell>
          <cell r="M2676">
            <v>0</v>
          </cell>
          <cell r="N2676">
            <v>0</v>
          </cell>
          <cell r="O2676">
            <v>0</v>
          </cell>
          <cell r="P2676">
            <v>0</v>
          </cell>
          <cell r="Q2676">
            <v>0</v>
          </cell>
          <cell r="R2676">
            <v>0</v>
          </cell>
          <cell r="S2676">
            <v>0</v>
          </cell>
          <cell r="T2676">
            <v>0</v>
          </cell>
          <cell r="U2676" t="e">
            <v>#N/A</v>
          </cell>
        </row>
        <row r="2677">
          <cell r="A2677">
            <v>1002839</v>
          </cell>
          <cell r="B2677" t="str">
            <v>CRUCETA DE ACERO GALV 6'-0" 3"X3"X1/4"</v>
          </cell>
          <cell r="D2677">
            <v>5110</v>
          </cell>
          <cell r="E2677">
            <v>1000</v>
          </cell>
          <cell r="F2677" t="str">
            <v>ZALM</v>
          </cell>
          <cell r="G2677" t="str">
            <v>UN</v>
          </cell>
          <cell r="H2677" t="str">
            <v>DOP</v>
          </cell>
          <cell r="I2677">
            <v>0</v>
          </cell>
          <cell r="J2677">
            <v>0</v>
          </cell>
          <cell r="K2677">
            <v>0</v>
          </cell>
          <cell r="L2677">
            <v>0</v>
          </cell>
          <cell r="M2677">
            <v>0</v>
          </cell>
          <cell r="N2677">
            <v>0</v>
          </cell>
          <cell r="O2677">
            <v>0</v>
          </cell>
          <cell r="P2677">
            <v>0</v>
          </cell>
          <cell r="Q2677">
            <v>0</v>
          </cell>
          <cell r="R2677">
            <v>0</v>
          </cell>
          <cell r="S2677">
            <v>0</v>
          </cell>
          <cell r="T2677">
            <v>0</v>
          </cell>
          <cell r="U2677" t="e">
            <v>#N/A</v>
          </cell>
        </row>
        <row r="2678">
          <cell r="A2678">
            <v>1003458</v>
          </cell>
          <cell r="B2678" t="str">
            <v>RELE AUX. 125VCD  8 CONTAC 4N/C Y 4N/0</v>
          </cell>
          <cell r="D2678">
            <v>1808</v>
          </cell>
          <cell r="E2678">
            <v>1000</v>
          </cell>
          <cell r="F2678" t="str">
            <v>ZALM</v>
          </cell>
          <cell r="G2678" t="str">
            <v>UN</v>
          </cell>
          <cell r="H2678" t="str">
            <v>DOP</v>
          </cell>
          <cell r="I2678">
            <v>0</v>
          </cell>
          <cell r="J2678">
            <v>0</v>
          </cell>
          <cell r="K2678">
            <v>0</v>
          </cell>
          <cell r="L2678">
            <v>0</v>
          </cell>
          <cell r="M2678">
            <v>0</v>
          </cell>
          <cell r="N2678">
            <v>0</v>
          </cell>
          <cell r="O2678">
            <v>0</v>
          </cell>
          <cell r="P2678">
            <v>0</v>
          </cell>
          <cell r="Q2678">
            <v>0</v>
          </cell>
          <cell r="R2678">
            <v>0</v>
          </cell>
          <cell r="S2678">
            <v>0</v>
          </cell>
          <cell r="T2678">
            <v>0</v>
          </cell>
          <cell r="U2678" t="e">
            <v>#N/A</v>
          </cell>
        </row>
        <row r="2679">
          <cell r="A2679">
            <v>1004097</v>
          </cell>
          <cell r="B2679" t="str">
            <v>TARUGO DE PLOMO 5/16"X3"(8mm X 76mm)</v>
          </cell>
          <cell r="D2679">
            <v>4503</v>
          </cell>
          <cell r="E2679">
            <v>1000</v>
          </cell>
          <cell r="F2679" t="str">
            <v>ZALM</v>
          </cell>
          <cell r="G2679" t="str">
            <v>UN</v>
          </cell>
          <cell r="H2679" t="str">
            <v>DOP</v>
          </cell>
          <cell r="I2679">
            <v>0</v>
          </cell>
          <cell r="J2679">
            <v>0</v>
          </cell>
          <cell r="K2679">
            <v>0</v>
          </cell>
          <cell r="L2679">
            <v>0</v>
          </cell>
          <cell r="M2679">
            <v>0</v>
          </cell>
          <cell r="N2679">
            <v>0</v>
          </cell>
          <cell r="O2679">
            <v>0</v>
          </cell>
          <cell r="P2679">
            <v>0</v>
          </cell>
          <cell r="Q2679">
            <v>0</v>
          </cell>
          <cell r="R2679">
            <v>0</v>
          </cell>
          <cell r="S2679">
            <v>0</v>
          </cell>
          <cell r="T2679">
            <v>0</v>
          </cell>
          <cell r="U2679" t="e">
            <v>#N/A</v>
          </cell>
        </row>
        <row r="2680">
          <cell r="A2680">
            <v>1004600</v>
          </cell>
          <cell r="B2680" t="str">
            <v>Convertidor Ethernet serial</v>
          </cell>
          <cell r="D2680">
            <v>7211</v>
          </cell>
          <cell r="E2680">
            <v>1000</v>
          </cell>
          <cell r="F2680" t="str">
            <v>ZALM</v>
          </cell>
          <cell r="G2680" t="str">
            <v>UN</v>
          </cell>
          <cell r="H2680" t="str">
            <v>DOP</v>
          </cell>
          <cell r="I2680">
            <v>0</v>
          </cell>
          <cell r="J2680">
            <v>0</v>
          </cell>
          <cell r="K2680">
            <v>0</v>
          </cell>
          <cell r="L2680">
            <v>0</v>
          </cell>
          <cell r="M2680">
            <v>0</v>
          </cell>
          <cell r="N2680">
            <v>0</v>
          </cell>
          <cell r="O2680">
            <v>0</v>
          </cell>
          <cell r="P2680">
            <v>0</v>
          </cell>
          <cell r="Q2680">
            <v>0</v>
          </cell>
          <cell r="R2680">
            <v>0</v>
          </cell>
          <cell r="S2680">
            <v>0</v>
          </cell>
          <cell r="T2680">
            <v>0</v>
          </cell>
          <cell r="U2680" t="e">
            <v>#N/A</v>
          </cell>
        </row>
        <row r="2681">
          <cell r="A2681">
            <v>1004654</v>
          </cell>
          <cell r="B2681" t="str">
            <v>Med Monof REX2 FM 2S 3h ZFCW40000000</v>
          </cell>
          <cell r="D2681">
            <v>5409</v>
          </cell>
          <cell r="E2681">
            <v>1000</v>
          </cell>
          <cell r="F2681" t="str">
            <v>ZALM</v>
          </cell>
          <cell r="G2681" t="str">
            <v>UN</v>
          </cell>
          <cell r="H2681" t="str">
            <v>DOP</v>
          </cell>
          <cell r="I2681">
            <v>6664</v>
          </cell>
          <cell r="J2681">
            <v>26621028.239999998</v>
          </cell>
          <cell r="K2681">
            <v>0</v>
          </cell>
          <cell r="L2681">
            <v>0</v>
          </cell>
          <cell r="M2681">
            <v>0</v>
          </cell>
          <cell r="N2681">
            <v>0</v>
          </cell>
          <cell r="O2681">
            <v>0</v>
          </cell>
          <cell r="P2681">
            <v>0</v>
          </cell>
          <cell r="Q2681">
            <v>0</v>
          </cell>
          <cell r="R2681">
            <v>0</v>
          </cell>
          <cell r="S2681">
            <v>6664</v>
          </cell>
          <cell r="T2681">
            <v>26621028.239999998</v>
          </cell>
          <cell r="U2681">
            <v>3994.75213685474</v>
          </cell>
        </row>
        <row r="2682">
          <cell r="A2682">
            <v>1004656</v>
          </cell>
          <cell r="B2682" t="str">
            <v>Med Bif REX2 FM 12S 3h ZF5W2000000</v>
          </cell>
          <cell r="D2682">
            <v>5409</v>
          </cell>
          <cell r="E2682">
            <v>1000</v>
          </cell>
          <cell r="F2682" t="str">
            <v>ZALM</v>
          </cell>
          <cell r="G2682" t="str">
            <v>UN</v>
          </cell>
          <cell r="H2682" t="str">
            <v>DOP</v>
          </cell>
          <cell r="I2682">
            <v>993</v>
          </cell>
          <cell r="J2682">
            <v>5406177.8700000001</v>
          </cell>
          <cell r="K2682">
            <v>0</v>
          </cell>
          <cell r="L2682">
            <v>0</v>
          </cell>
          <cell r="M2682">
            <v>0</v>
          </cell>
          <cell r="N2682">
            <v>0</v>
          </cell>
          <cell r="O2682">
            <v>0</v>
          </cell>
          <cell r="P2682">
            <v>0</v>
          </cell>
          <cell r="Q2682">
            <v>0</v>
          </cell>
          <cell r="R2682">
            <v>0</v>
          </cell>
          <cell r="S2682">
            <v>993</v>
          </cell>
          <cell r="T2682">
            <v>5406177.8700000001</v>
          </cell>
          <cell r="U2682">
            <v>5444.2878851963796</v>
          </cell>
        </row>
        <row r="2683">
          <cell r="A2683">
            <v>1004657</v>
          </cell>
          <cell r="B2683" t="str">
            <v>Med Monof REX2 FM 4S 3h ZFA24000000</v>
          </cell>
          <cell r="D2683">
            <v>5409</v>
          </cell>
          <cell r="E2683">
            <v>1000</v>
          </cell>
          <cell r="F2683" t="str">
            <v>ZALM</v>
          </cell>
          <cell r="G2683" t="str">
            <v>UN</v>
          </cell>
          <cell r="H2683" t="str">
            <v>DOP</v>
          </cell>
          <cell r="I2683">
            <v>0</v>
          </cell>
          <cell r="J2683">
            <v>0</v>
          </cell>
          <cell r="K2683">
            <v>0</v>
          </cell>
          <cell r="L2683">
            <v>0</v>
          </cell>
          <cell r="M2683">
            <v>0</v>
          </cell>
          <cell r="N2683">
            <v>0</v>
          </cell>
          <cell r="O2683">
            <v>0</v>
          </cell>
          <cell r="P2683">
            <v>0</v>
          </cell>
          <cell r="Q2683">
            <v>540</v>
          </cell>
          <cell r="R2683">
            <v>2744062.68</v>
          </cell>
          <cell r="S2683">
            <v>540</v>
          </cell>
          <cell r="T2683">
            <v>2744062.68</v>
          </cell>
          <cell r="U2683">
            <v>5081.5975555555597</v>
          </cell>
        </row>
        <row r="2684">
          <cell r="A2684">
            <v>1004658</v>
          </cell>
          <cell r="B2684" t="str">
            <v>Med A3 Alpha Trif FM 9S Col ZD3200QD0L9</v>
          </cell>
          <cell r="D2684">
            <v>5409</v>
          </cell>
          <cell r="E2684">
            <v>1000</v>
          </cell>
          <cell r="F2684" t="str">
            <v>ZALM</v>
          </cell>
          <cell r="G2684" t="str">
            <v>UN</v>
          </cell>
          <cell r="H2684" t="str">
            <v>DOP</v>
          </cell>
          <cell r="I2684">
            <v>0</v>
          </cell>
          <cell r="J2684">
            <v>0</v>
          </cell>
          <cell r="K2684">
            <v>0</v>
          </cell>
          <cell r="L2684">
            <v>0</v>
          </cell>
          <cell r="M2684">
            <v>0</v>
          </cell>
          <cell r="N2684">
            <v>0</v>
          </cell>
          <cell r="O2684">
            <v>0</v>
          </cell>
          <cell r="P2684">
            <v>0</v>
          </cell>
          <cell r="Q2684">
            <v>8</v>
          </cell>
          <cell r="R2684">
            <v>312568.88</v>
          </cell>
          <cell r="S2684">
            <v>8</v>
          </cell>
          <cell r="T2684">
            <v>312568.88</v>
          </cell>
          <cell r="U2684">
            <v>39071.11</v>
          </cell>
        </row>
        <row r="2685">
          <cell r="A2685">
            <v>1004659</v>
          </cell>
          <cell r="B2685" t="str">
            <v>Med A3 Alpha Trif FM 9S Nod ZD3200P00L9</v>
          </cell>
          <cell r="D2685">
            <v>5409</v>
          </cell>
          <cell r="E2685">
            <v>1000</v>
          </cell>
          <cell r="F2685" t="str">
            <v>ZALM</v>
          </cell>
          <cell r="G2685" t="str">
            <v>UN</v>
          </cell>
          <cell r="H2685" t="str">
            <v>DOP</v>
          </cell>
          <cell r="I2685">
            <v>0</v>
          </cell>
          <cell r="J2685">
            <v>0</v>
          </cell>
          <cell r="K2685">
            <v>0</v>
          </cell>
          <cell r="L2685">
            <v>0</v>
          </cell>
          <cell r="M2685">
            <v>0</v>
          </cell>
          <cell r="N2685">
            <v>0</v>
          </cell>
          <cell r="O2685">
            <v>0</v>
          </cell>
          <cell r="P2685">
            <v>0</v>
          </cell>
          <cell r="Q2685">
            <v>87</v>
          </cell>
          <cell r="R2685">
            <v>2609105.9</v>
          </cell>
          <cell r="S2685">
            <v>87</v>
          </cell>
          <cell r="T2685">
            <v>2609105.9</v>
          </cell>
          <cell r="U2685">
            <v>29989.722988505699</v>
          </cell>
        </row>
        <row r="2686">
          <cell r="A2686">
            <v>1004660</v>
          </cell>
          <cell r="B2686" t="str">
            <v>Med A3 Alpha Trif FM 16S Nod ZD3300P00L9</v>
          </cell>
          <cell r="D2686">
            <v>5409</v>
          </cell>
          <cell r="E2686">
            <v>1000</v>
          </cell>
          <cell r="F2686" t="str">
            <v>ZALM</v>
          </cell>
          <cell r="G2686" t="str">
            <v>UN</v>
          </cell>
          <cell r="H2686" t="str">
            <v>DOP</v>
          </cell>
          <cell r="I2686">
            <v>0</v>
          </cell>
          <cell r="J2686">
            <v>0</v>
          </cell>
          <cell r="K2686">
            <v>0</v>
          </cell>
          <cell r="L2686">
            <v>0</v>
          </cell>
          <cell r="M2686">
            <v>0</v>
          </cell>
          <cell r="N2686">
            <v>0</v>
          </cell>
          <cell r="O2686">
            <v>0</v>
          </cell>
          <cell r="P2686">
            <v>0</v>
          </cell>
          <cell r="Q2686">
            <v>42</v>
          </cell>
          <cell r="R2686">
            <v>1066174.6299999999</v>
          </cell>
          <cell r="S2686">
            <v>42</v>
          </cell>
          <cell r="T2686">
            <v>1066174.6299999999</v>
          </cell>
          <cell r="U2686">
            <v>25385.1102380952</v>
          </cell>
        </row>
        <row r="2687">
          <cell r="A2687">
            <v>1004661</v>
          </cell>
          <cell r="B2687" t="str">
            <v>Fusible BT (LVFDS) UL CL RK1 400A 600V</v>
          </cell>
          <cell r="D2687">
            <v>7208</v>
          </cell>
          <cell r="E2687">
            <v>1000</v>
          </cell>
          <cell r="F2687" t="str">
            <v>ZALM</v>
          </cell>
          <cell r="G2687" t="str">
            <v>UN</v>
          </cell>
          <cell r="H2687" t="str">
            <v>DOP</v>
          </cell>
          <cell r="I2687">
            <v>0</v>
          </cell>
          <cell r="J2687">
            <v>0</v>
          </cell>
          <cell r="K2687">
            <v>0</v>
          </cell>
          <cell r="L2687">
            <v>0</v>
          </cell>
          <cell r="M2687">
            <v>0</v>
          </cell>
          <cell r="N2687">
            <v>0</v>
          </cell>
          <cell r="O2687">
            <v>0</v>
          </cell>
          <cell r="P2687">
            <v>0</v>
          </cell>
          <cell r="Q2687">
            <v>0</v>
          </cell>
          <cell r="R2687">
            <v>0</v>
          </cell>
          <cell r="S2687">
            <v>0</v>
          </cell>
          <cell r="T2687">
            <v>0</v>
          </cell>
          <cell r="U2687" t="e">
            <v>#N/A</v>
          </cell>
        </row>
        <row r="2688">
          <cell r="A2688">
            <v>1004662</v>
          </cell>
          <cell r="B2688" t="str">
            <v>Fusible BT (LVFDS) UL CL RK1 200A 600V</v>
          </cell>
          <cell r="D2688">
            <v>7208</v>
          </cell>
          <cell r="E2688">
            <v>1000</v>
          </cell>
          <cell r="F2688" t="str">
            <v>ZALM</v>
          </cell>
          <cell r="G2688" t="str">
            <v>UN</v>
          </cell>
          <cell r="H2688" t="str">
            <v>DOP</v>
          </cell>
          <cell r="I2688">
            <v>0</v>
          </cell>
          <cell r="J2688">
            <v>0</v>
          </cell>
          <cell r="K2688">
            <v>0</v>
          </cell>
          <cell r="L2688">
            <v>0</v>
          </cell>
          <cell r="M2688">
            <v>3</v>
          </cell>
          <cell r="N2688">
            <v>8761.35</v>
          </cell>
          <cell r="O2688">
            <v>0</v>
          </cell>
          <cell r="P2688">
            <v>0</v>
          </cell>
          <cell r="Q2688">
            <v>0</v>
          </cell>
          <cell r="R2688">
            <v>0</v>
          </cell>
          <cell r="S2688">
            <v>3</v>
          </cell>
          <cell r="T2688">
            <v>8761.35</v>
          </cell>
          <cell r="U2688">
            <v>2920.45</v>
          </cell>
        </row>
        <row r="2689">
          <cell r="A2689">
            <v>1004663</v>
          </cell>
          <cell r="B2689" t="str">
            <v>Tenis P/ Lectores Size 6</v>
          </cell>
          <cell r="D2689">
            <v>7201</v>
          </cell>
          <cell r="E2689">
            <v>1000</v>
          </cell>
          <cell r="F2689" t="str">
            <v>ZALM</v>
          </cell>
          <cell r="G2689" t="str">
            <v>UN</v>
          </cell>
          <cell r="H2689" t="str">
            <v>DOP</v>
          </cell>
          <cell r="I2689">
            <v>0</v>
          </cell>
          <cell r="J2689">
            <v>0</v>
          </cell>
          <cell r="K2689">
            <v>0</v>
          </cell>
          <cell r="L2689">
            <v>0</v>
          </cell>
          <cell r="M2689">
            <v>0</v>
          </cell>
          <cell r="N2689">
            <v>0</v>
          </cell>
          <cell r="O2689">
            <v>0</v>
          </cell>
          <cell r="P2689">
            <v>0</v>
          </cell>
          <cell r="Q2689">
            <v>0</v>
          </cell>
          <cell r="R2689">
            <v>0</v>
          </cell>
          <cell r="S2689">
            <v>0</v>
          </cell>
          <cell r="T2689">
            <v>0</v>
          </cell>
          <cell r="U2689" t="e">
            <v>#N/A</v>
          </cell>
        </row>
        <row r="2690">
          <cell r="A2690">
            <v>1004664</v>
          </cell>
          <cell r="B2690" t="str">
            <v>Tenis P/ Lectores Size 6 1/2</v>
          </cell>
          <cell r="D2690">
            <v>7201</v>
          </cell>
          <cell r="E2690">
            <v>1000</v>
          </cell>
          <cell r="F2690" t="str">
            <v>ZALM</v>
          </cell>
          <cell r="G2690" t="str">
            <v>UN</v>
          </cell>
          <cell r="H2690" t="str">
            <v>DOP</v>
          </cell>
          <cell r="I2690">
            <v>0</v>
          </cell>
          <cell r="J2690">
            <v>0</v>
          </cell>
          <cell r="K2690">
            <v>0</v>
          </cell>
          <cell r="L2690">
            <v>0</v>
          </cell>
          <cell r="M2690">
            <v>0</v>
          </cell>
          <cell r="N2690">
            <v>0</v>
          </cell>
          <cell r="O2690">
            <v>0</v>
          </cell>
          <cell r="P2690">
            <v>0</v>
          </cell>
          <cell r="Q2690">
            <v>0</v>
          </cell>
          <cell r="R2690">
            <v>0</v>
          </cell>
          <cell r="S2690">
            <v>0</v>
          </cell>
          <cell r="T2690">
            <v>0</v>
          </cell>
          <cell r="U2690" t="e">
            <v>#N/A</v>
          </cell>
        </row>
        <row r="2691">
          <cell r="A2691">
            <v>1004667</v>
          </cell>
          <cell r="B2691" t="str">
            <v>Med Monof REX2 FM 1S 2h ZFA32000000</v>
          </cell>
          <cell r="D2691">
            <v>5409</v>
          </cell>
          <cell r="E2691">
            <v>1000</v>
          </cell>
          <cell r="F2691" t="str">
            <v>ZALM</v>
          </cell>
          <cell r="G2691" t="str">
            <v>UN</v>
          </cell>
          <cell r="H2691" t="str">
            <v>DOP</v>
          </cell>
          <cell r="I2691">
            <v>0</v>
          </cell>
          <cell r="J2691">
            <v>0</v>
          </cell>
          <cell r="K2691">
            <v>0</v>
          </cell>
          <cell r="L2691">
            <v>0</v>
          </cell>
          <cell r="M2691">
            <v>0</v>
          </cell>
          <cell r="N2691">
            <v>0</v>
          </cell>
          <cell r="O2691">
            <v>0</v>
          </cell>
          <cell r="P2691">
            <v>0</v>
          </cell>
          <cell r="Q2691">
            <v>10572</v>
          </cell>
          <cell r="R2691">
            <v>35063012.549999997</v>
          </cell>
          <cell r="S2691">
            <v>10572</v>
          </cell>
          <cell r="T2691">
            <v>35063012.549999997</v>
          </cell>
          <cell r="U2691">
            <v>3316.5921821793399</v>
          </cell>
        </row>
        <row r="2692">
          <cell r="A2692">
            <v>1004672</v>
          </cell>
          <cell r="B2692" t="str">
            <v>Convertidor de norma  RS-232 a RS-422/48</v>
          </cell>
          <cell r="D2692">
            <v>5405</v>
          </cell>
          <cell r="E2692">
            <v>1000</v>
          </cell>
          <cell r="F2692" t="str">
            <v>ZALM</v>
          </cell>
          <cell r="G2692" t="str">
            <v>UN</v>
          </cell>
          <cell r="H2692" t="str">
            <v>DOP</v>
          </cell>
          <cell r="I2692">
            <v>0</v>
          </cell>
          <cell r="J2692">
            <v>0</v>
          </cell>
          <cell r="K2692">
            <v>0</v>
          </cell>
          <cell r="L2692">
            <v>0</v>
          </cell>
          <cell r="M2692">
            <v>13</v>
          </cell>
          <cell r="N2692">
            <v>77828.63</v>
          </cell>
          <cell r="O2692">
            <v>0</v>
          </cell>
          <cell r="P2692">
            <v>0</v>
          </cell>
          <cell r="Q2692">
            <v>0</v>
          </cell>
          <cell r="R2692">
            <v>0</v>
          </cell>
          <cell r="S2692">
            <v>13</v>
          </cell>
          <cell r="T2692">
            <v>77828.63</v>
          </cell>
          <cell r="U2692">
            <v>5986.8176923076899</v>
          </cell>
        </row>
        <row r="2693">
          <cell r="A2693">
            <v>1004673</v>
          </cell>
          <cell r="B2693" t="str">
            <v>Cable Helian LMR-400</v>
          </cell>
          <cell r="D2693">
            <v>6011</v>
          </cell>
          <cell r="E2693">
            <v>1000</v>
          </cell>
          <cell r="F2693" t="str">
            <v>ZALM</v>
          </cell>
          <cell r="G2693" t="str">
            <v>PIE</v>
          </cell>
          <cell r="H2693" t="str">
            <v>DOP</v>
          </cell>
          <cell r="I2693">
            <v>0</v>
          </cell>
          <cell r="J2693">
            <v>0</v>
          </cell>
          <cell r="K2693">
            <v>0</v>
          </cell>
          <cell r="L2693">
            <v>0</v>
          </cell>
          <cell r="M2693">
            <v>0</v>
          </cell>
          <cell r="N2693">
            <v>0</v>
          </cell>
          <cell r="O2693">
            <v>0</v>
          </cell>
          <cell r="P2693">
            <v>0</v>
          </cell>
          <cell r="Q2693">
            <v>0</v>
          </cell>
          <cell r="R2693">
            <v>0</v>
          </cell>
          <cell r="S2693">
            <v>0</v>
          </cell>
          <cell r="T2693">
            <v>0</v>
          </cell>
          <cell r="U2693" t="e">
            <v>#N/A</v>
          </cell>
        </row>
        <row r="2694">
          <cell r="A2694">
            <v>1004674</v>
          </cell>
          <cell r="B2694" t="str">
            <v>Conector BNC Macho</v>
          </cell>
          <cell r="D2694">
            <v>4506</v>
          </cell>
          <cell r="E2694">
            <v>1000</v>
          </cell>
          <cell r="F2694" t="str">
            <v>ZALM</v>
          </cell>
          <cell r="G2694" t="str">
            <v>UN</v>
          </cell>
          <cell r="H2694" t="str">
            <v>DOP</v>
          </cell>
          <cell r="I2694">
            <v>0</v>
          </cell>
          <cell r="J2694">
            <v>0</v>
          </cell>
          <cell r="K2694">
            <v>0</v>
          </cell>
          <cell r="L2694">
            <v>0</v>
          </cell>
          <cell r="M2694">
            <v>36</v>
          </cell>
          <cell r="N2694">
            <v>4789.46</v>
          </cell>
          <cell r="O2694">
            <v>0</v>
          </cell>
          <cell r="P2694">
            <v>0</v>
          </cell>
          <cell r="Q2694">
            <v>0</v>
          </cell>
          <cell r="R2694">
            <v>0</v>
          </cell>
          <cell r="S2694">
            <v>36</v>
          </cell>
          <cell r="T2694">
            <v>4789.46</v>
          </cell>
          <cell r="U2694">
            <v>133.04055555555601</v>
          </cell>
        </row>
        <row r="2695">
          <cell r="A2695">
            <v>1004675</v>
          </cell>
          <cell r="B2695" t="str">
            <v>Conector tipo N macho</v>
          </cell>
          <cell r="D2695">
            <v>4506</v>
          </cell>
          <cell r="E2695">
            <v>1000</v>
          </cell>
          <cell r="F2695" t="str">
            <v>ZALM</v>
          </cell>
          <cell r="G2695" t="str">
            <v>UN</v>
          </cell>
          <cell r="H2695" t="str">
            <v>DOP</v>
          </cell>
          <cell r="I2695">
            <v>0</v>
          </cell>
          <cell r="J2695">
            <v>0</v>
          </cell>
          <cell r="K2695">
            <v>0</v>
          </cell>
          <cell r="L2695">
            <v>0</v>
          </cell>
          <cell r="M2695">
            <v>4</v>
          </cell>
          <cell r="N2695">
            <v>1241.71</v>
          </cell>
          <cell r="O2695">
            <v>0</v>
          </cell>
          <cell r="P2695">
            <v>0</v>
          </cell>
          <cell r="Q2695">
            <v>0</v>
          </cell>
          <cell r="R2695">
            <v>0</v>
          </cell>
          <cell r="S2695">
            <v>4</v>
          </cell>
          <cell r="T2695">
            <v>1241.71</v>
          </cell>
          <cell r="U2695">
            <v>310.42750000000001</v>
          </cell>
        </row>
        <row r="2696">
          <cell r="A2696">
            <v>1004680</v>
          </cell>
          <cell r="B2696" t="str">
            <v>5.4 GHz Solid parabolic Antenna 28 dbi</v>
          </cell>
          <cell r="D2696">
            <v>5405</v>
          </cell>
          <cell r="E2696">
            <v>1000</v>
          </cell>
          <cell r="F2696" t="str">
            <v>ZALM</v>
          </cell>
          <cell r="G2696" t="str">
            <v>UN</v>
          </cell>
          <cell r="H2696" t="str">
            <v>DOP</v>
          </cell>
          <cell r="I2696">
            <v>0</v>
          </cell>
          <cell r="J2696">
            <v>0</v>
          </cell>
          <cell r="K2696">
            <v>0</v>
          </cell>
          <cell r="L2696">
            <v>0</v>
          </cell>
          <cell r="M2696">
            <v>0</v>
          </cell>
          <cell r="N2696">
            <v>0</v>
          </cell>
          <cell r="O2696">
            <v>0</v>
          </cell>
          <cell r="P2696">
            <v>0</v>
          </cell>
          <cell r="Q2696">
            <v>0</v>
          </cell>
          <cell r="R2696">
            <v>0</v>
          </cell>
          <cell r="S2696">
            <v>0</v>
          </cell>
          <cell r="T2696">
            <v>0</v>
          </cell>
          <cell r="U2696" t="e">
            <v>#N/A</v>
          </cell>
        </row>
        <row r="2697">
          <cell r="A2697">
            <v>1004681</v>
          </cell>
          <cell r="B2697" t="str">
            <v>Alvarion BreezeNetb 14 datached, 5.4 GHz</v>
          </cell>
          <cell r="D2697">
            <v>5405</v>
          </cell>
          <cell r="E2697">
            <v>1000</v>
          </cell>
          <cell r="F2697" t="str">
            <v>ZALM</v>
          </cell>
          <cell r="G2697" t="str">
            <v>UN</v>
          </cell>
          <cell r="H2697" t="str">
            <v>DOP</v>
          </cell>
          <cell r="I2697">
            <v>0</v>
          </cell>
          <cell r="J2697">
            <v>0</v>
          </cell>
          <cell r="K2697">
            <v>0</v>
          </cell>
          <cell r="L2697">
            <v>0</v>
          </cell>
          <cell r="M2697">
            <v>0</v>
          </cell>
          <cell r="N2697">
            <v>0</v>
          </cell>
          <cell r="O2697">
            <v>0</v>
          </cell>
          <cell r="P2697">
            <v>0</v>
          </cell>
          <cell r="Q2697">
            <v>0</v>
          </cell>
          <cell r="R2697">
            <v>0</v>
          </cell>
          <cell r="S2697">
            <v>0</v>
          </cell>
          <cell r="T2697">
            <v>0</v>
          </cell>
          <cell r="U2697" t="e">
            <v>#N/A</v>
          </cell>
        </row>
        <row r="2698">
          <cell r="A2698">
            <v>1004682</v>
          </cell>
          <cell r="B2698" t="str">
            <v>Antena Vara de 10 DBI</v>
          </cell>
          <cell r="D2698">
            <v>5405</v>
          </cell>
          <cell r="E2698">
            <v>1000</v>
          </cell>
          <cell r="F2698" t="str">
            <v>ZALM</v>
          </cell>
          <cell r="G2698" t="str">
            <v>UN</v>
          </cell>
          <cell r="H2698" t="str">
            <v>DOP</v>
          </cell>
          <cell r="I2698">
            <v>0</v>
          </cell>
          <cell r="J2698">
            <v>0</v>
          </cell>
          <cell r="K2698">
            <v>0</v>
          </cell>
          <cell r="L2698">
            <v>0</v>
          </cell>
          <cell r="M2698">
            <v>0</v>
          </cell>
          <cell r="N2698">
            <v>0</v>
          </cell>
          <cell r="O2698">
            <v>0</v>
          </cell>
          <cell r="P2698">
            <v>0</v>
          </cell>
          <cell r="Q2698">
            <v>0</v>
          </cell>
          <cell r="R2698">
            <v>0</v>
          </cell>
          <cell r="S2698">
            <v>0</v>
          </cell>
          <cell r="T2698">
            <v>0</v>
          </cell>
          <cell r="U2698" t="e">
            <v>#N/A</v>
          </cell>
        </row>
        <row r="2699">
          <cell r="A2699">
            <v>1004683</v>
          </cell>
          <cell r="B2699" t="str">
            <v>Conectores Heliax 1/2 N macho</v>
          </cell>
          <cell r="D2699">
            <v>5405</v>
          </cell>
          <cell r="E2699">
            <v>1000</v>
          </cell>
          <cell r="F2699" t="str">
            <v>ZALM</v>
          </cell>
          <cell r="G2699" t="str">
            <v>UN</v>
          </cell>
          <cell r="H2699" t="str">
            <v>DOP</v>
          </cell>
          <cell r="I2699">
            <v>0</v>
          </cell>
          <cell r="J2699">
            <v>0</v>
          </cell>
          <cell r="K2699">
            <v>0</v>
          </cell>
          <cell r="L2699">
            <v>0</v>
          </cell>
          <cell r="M2699">
            <v>0</v>
          </cell>
          <cell r="N2699">
            <v>0</v>
          </cell>
          <cell r="O2699">
            <v>0</v>
          </cell>
          <cell r="P2699">
            <v>0</v>
          </cell>
          <cell r="Q2699">
            <v>0</v>
          </cell>
          <cell r="R2699">
            <v>0</v>
          </cell>
          <cell r="S2699">
            <v>0</v>
          </cell>
          <cell r="T2699">
            <v>0</v>
          </cell>
          <cell r="U2699" t="e">
            <v>#N/A</v>
          </cell>
        </row>
        <row r="2700">
          <cell r="A2700">
            <v>1004684</v>
          </cell>
          <cell r="B2700" t="str">
            <v>Cable Heliax de 1/2</v>
          </cell>
          <cell r="D2700">
            <v>5405</v>
          </cell>
          <cell r="E2700">
            <v>1000</v>
          </cell>
          <cell r="F2700" t="str">
            <v>ZALM</v>
          </cell>
          <cell r="G2700" t="str">
            <v>PIE</v>
          </cell>
          <cell r="H2700" t="str">
            <v>DOP</v>
          </cell>
          <cell r="I2700">
            <v>0</v>
          </cell>
          <cell r="J2700">
            <v>0</v>
          </cell>
          <cell r="K2700">
            <v>0</v>
          </cell>
          <cell r="L2700">
            <v>0</v>
          </cell>
          <cell r="M2700">
            <v>0</v>
          </cell>
          <cell r="N2700">
            <v>0</v>
          </cell>
          <cell r="O2700">
            <v>0</v>
          </cell>
          <cell r="P2700">
            <v>0</v>
          </cell>
          <cell r="Q2700">
            <v>0</v>
          </cell>
          <cell r="R2700">
            <v>0</v>
          </cell>
          <cell r="S2700">
            <v>0</v>
          </cell>
          <cell r="T2700">
            <v>0</v>
          </cell>
          <cell r="U2700" t="e">
            <v>#N/A</v>
          </cell>
        </row>
        <row r="2701">
          <cell r="A2701">
            <v>1004685</v>
          </cell>
          <cell r="B2701" t="str">
            <v>Convertidor N-N Hembra</v>
          </cell>
          <cell r="D2701">
            <v>5405</v>
          </cell>
          <cell r="E2701">
            <v>1000</v>
          </cell>
          <cell r="F2701" t="str">
            <v>ZALM</v>
          </cell>
          <cell r="G2701" t="str">
            <v>UN</v>
          </cell>
          <cell r="H2701" t="str">
            <v>DOP</v>
          </cell>
          <cell r="I2701">
            <v>0</v>
          </cell>
          <cell r="J2701">
            <v>0</v>
          </cell>
          <cell r="K2701">
            <v>0</v>
          </cell>
          <cell r="L2701">
            <v>0</v>
          </cell>
          <cell r="M2701">
            <v>0</v>
          </cell>
          <cell r="N2701">
            <v>0</v>
          </cell>
          <cell r="O2701">
            <v>0</v>
          </cell>
          <cell r="P2701">
            <v>0</v>
          </cell>
          <cell r="Q2701">
            <v>0</v>
          </cell>
          <cell r="R2701">
            <v>0</v>
          </cell>
          <cell r="S2701">
            <v>0</v>
          </cell>
          <cell r="T2701">
            <v>0</v>
          </cell>
          <cell r="U2701" t="e">
            <v>#N/A</v>
          </cell>
        </row>
        <row r="2702">
          <cell r="A2702">
            <v>1004686</v>
          </cell>
          <cell r="B2702" t="str">
            <v>Enlace Punto a Punto Inalambrico</v>
          </cell>
          <cell r="D2702">
            <v>5405</v>
          </cell>
          <cell r="E2702">
            <v>1000</v>
          </cell>
          <cell r="F2702" t="str">
            <v>ZALM</v>
          </cell>
          <cell r="G2702" t="str">
            <v>UN</v>
          </cell>
          <cell r="H2702" t="str">
            <v>DOP</v>
          </cell>
          <cell r="I2702">
            <v>0</v>
          </cell>
          <cell r="J2702">
            <v>0</v>
          </cell>
          <cell r="K2702">
            <v>0</v>
          </cell>
          <cell r="L2702">
            <v>0</v>
          </cell>
          <cell r="M2702">
            <v>0</v>
          </cell>
          <cell r="N2702">
            <v>0</v>
          </cell>
          <cell r="O2702">
            <v>0</v>
          </cell>
          <cell r="P2702">
            <v>0</v>
          </cell>
          <cell r="Q2702">
            <v>0</v>
          </cell>
          <cell r="R2702">
            <v>0</v>
          </cell>
          <cell r="S2702">
            <v>0</v>
          </cell>
          <cell r="T2702">
            <v>0</v>
          </cell>
          <cell r="U2702" t="e">
            <v>#N/A</v>
          </cell>
        </row>
        <row r="2703">
          <cell r="A2703">
            <v>1004687</v>
          </cell>
          <cell r="B2703" t="str">
            <v>Fuentes de 12 VDC Output / Input 125 VAC</v>
          </cell>
          <cell r="D2703">
            <v>5405</v>
          </cell>
          <cell r="E2703">
            <v>1000</v>
          </cell>
          <cell r="F2703" t="str">
            <v>ZALM</v>
          </cell>
          <cell r="G2703" t="str">
            <v>UN</v>
          </cell>
          <cell r="H2703" t="str">
            <v>DOP</v>
          </cell>
          <cell r="I2703">
            <v>0</v>
          </cell>
          <cell r="J2703">
            <v>0</v>
          </cell>
          <cell r="K2703">
            <v>0</v>
          </cell>
          <cell r="L2703">
            <v>0</v>
          </cell>
          <cell r="M2703">
            <v>0</v>
          </cell>
          <cell r="N2703">
            <v>0</v>
          </cell>
          <cell r="O2703">
            <v>0</v>
          </cell>
          <cell r="P2703">
            <v>0</v>
          </cell>
          <cell r="Q2703">
            <v>0</v>
          </cell>
          <cell r="R2703">
            <v>0</v>
          </cell>
          <cell r="S2703">
            <v>0</v>
          </cell>
          <cell r="T2703">
            <v>0</v>
          </cell>
          <cell r="U2703" t="e">
            <v>#N/A</v>
          </cell>
        </row>
        <row r="2704">
          <cell r="A2704">
            <v>1004688</v>
          </cell>
          <cell r="B2704" t="str">
            <v>Fuentes de 24 VDC Output / Input 125 VAC</v>
          </cell>
          <cell r="D2704">
            <v>5405</v>
          </cell>
          <cell r="E2704">
            <v>1000</v>
          </cell>
          <cell r="F2704" t="str">
            <v>ZALM</v>
          </cell>
          <cell r="G2704" t="str">
            <v>UN</v>
          </cell>
          <cell r="H2704" t="str">
            <v>DOP</v>
          </cell>
          <cell r="I2704">
            <v>0</v>
          </cell>
          <cell r="J2704">
            <v>0</v>
          </cell>
          <cell r="K2704">
            <v>0</v>
          </cell>
          <cell r="L2704">
            <v>0</v>
          </cell>
          <cell r="M2704">
            <v>0</v>
          </cell>
          <cell r="N2704">
            <v>0</v>
          </cell>
          <cell r="O2704">
            <v>0</v>
          </cell>
          <cell r="P2704">
            <v>0</v>
          </cell>
          <cell r="Q2704">
            <v>0</v>
          </cell>
          <cell r="R2704">
            <v>0</v>
          </cell>
          <cell r="S2704">
            <v>0</v>
          </cell>
          <cell r="T2704">
            <v>0</v>
          </cell>
          <cell r="U2704" t="e">
            <v>#N/A</v>
          </cell>
        </row>
        <row r="2705">
          <cell r="A2705">
            <v>1004689</v>
          </cell>
          <cell r="B2705" t="str">
            <v>Poliphaser</v>
          </cell>
          <cell r="D2705">
            <v>5405</v>
          </cell>
          <cell r="E2705">
            <v>1000</v>
          </cell>
          <cell r="F2705" t="str">
            <v>ZALM</v>
          </cell>
          <cell r="G2705" t="str">
            <v>UN</v>
          </cell>
          <cell r="H2705" t="str">
            <v>DOP</v>
          </cell>
          <cell r="I2705">
            <v>0</v>
          </cell>
          <cell r="J2705">
            <v>0</v>
          </cell>
          <cell r="K2705">
            <v>0</v>
          </cell>
          <cell r="L2705">
            <v>0</v>
          </cell>
          <cell r="M2705">
            <v>0</v>
          </cell>
          <cell r="N2705">
            <v>0</v>
          </cell>
          <cell r="O2705">
            <v>0</v>
          </cell>
          <cell r="P2705">
            <v>0</v>
          </cell>
          <cell r="Q2705">
            <v>0</v>
          </cell>
          <cell r="R2705">
            <v>0</v>
          </cell>
          <cell r="S2705">
            <v>0</v>
          </cell>
          <cell r="T2705">
            <v>0</v>
          </cell>
          <cell r="U2705" t="e">
            <v>#N/A</v>
          </cell>
        </row>
        <row r="2706">
          <cell r="A2706">
            <v>1004690</v>
          </cell>
          <cell r="B2706" t="str">
            <v>Radio MDS 4790 UHF</v>
          </cell>
          <cell r="D2706">
            <v>5405</v>
          </cell>
          <cell r="E2706">
            <v>1000</v>
          </cell>
          <cell r="F2706" t="str">
            <v>ZALM</v>
          </cell>
          <cell r="G2706" t="str">
            <v>UN</v>
          </cell>
          <cell r="H2706" t="str">
            <v>DOP</v>
          </cell>
          <cell r="I2706">
            <v>0</v>
          </cell>
          <cell r="J2706">
            <v>0</v>
          </cell>
          <cell r="K2706">
            <v>0</v>
          </cell>
          <cell r="L2706">
            <v>0</v>
          </cell>
          <cell r="M2706">
            <v>0</v>
          </cell>
          <cell r="N2706">
            <v>0</v>
          </cell>
          <cell r="O2706">
            <v>0</v>
          </cell>
          <cell r="P2706">
            <v>0</v>
          </cell>
          <cell r="Q2706">
            <v>0</v>
          </cell>
          <cell r="R2706">
            <v>0</v>
          </cell>
          <cell r="S2706">
            <v>0</v>
          </cell>
          <cell r="T2706">
            <v>0</v>
          </cell>
          <cell r="U2706" t="e">
            <v>#N/A</v>
          </cell>
        </row>
        <row r="2707">
          <cell r="A2707">
            <v>1004691</v>
          </cell>
          <cell r="B2707" t="str">
            <v>Radio MDS SD4 UHF</v>
          </cell>
          <cell r="D2707">
            <v>5405</v>
          </cell>
          <cell r="E2707">
            <v>1000</v>
          </cell>
          <cell r="F2707" t="str">
            <v>ZALM</v>
          </cell>
          <cell r="G2707" t="str">
            <v>UN</v>
          </cell>
          <cell r="H2707" t="str">
            <v>DOP</v>
          </cell>
          <cell r="I2707">
            <v>0</v>
          </cell>
          <cell r="J2707">
            <v>0</v>
          </cell>
          <cell r="K2707">
            <v>0</v>
          </cell>
          <cell r="L2707">
            <v>0</v>
          </cell>
          <cell r="M2707">
            <v>0</v>
          </cell>
          <cell r="N2707">
            <v>0</v>
          </cell>
          <cell r="O2707">
            <v>0</v>
          </cell>
          <cell r="P2707">
            <v>0</v>
          </cell>
          <cell r="Q2707">
            <v>0</v>
          </cell>
          <cell r="R2707">
            <v>0</v>
          </cell>
          <cell r="S2707">
            <v>0</v>
          </cell>
          <cell r="T2707">
            <v>0</v>
          </cell>
          <cell r="U2707" t="e">
            <v>#N/A</v>
          </cell>
        </row>
        <row r="2708">
          <cell r="A2708">
            <v>1004692</v>
          </cell>
          <cell r="B2708" t="str">
            <v>Torre Metalica Autosoportada con cables</v>
          </cell>
          <cell r="D2708">
            <v>5405</v>
          </cell>
          <cell r="E2708">
            <v>1000</v>
          </cell>
          <cell r="F2708" t="str">
            <v>ZALM</v>
          </cell>
          <cell r="G2708" t="str">
            <v>PIE</v>
          </cell>
          <cell r="H2708" t="str">
            <v>DOP</v>
          </cell>
          <cell r="I2708">
            <v>0</v>
          </cell>
          <cell r="J2708">
            <v>0</v>
          </cell>
          <cell r="K2708">
            <v>0</v>
          </cell>
          <cell r="L2708">
            <v>0</v>
          </cell>
          <cell r="M2708">
            <v>0</v>
          </cell>
          <cell r="N2708">
            <v>0</v>
          </cell>
          <cell r="O2708">
            <v>0</v>
          </cell>
          <cell r="P2708">
            <v>0</v>
          </cell>
          <cell r="Q2708">
            <v>0</v>
          </cell>
          <cell r="R2708">
            <v>0</v>
          </cell>
          <cell r="S2708">
            <v>0</v>
          </cell>
          <cell r="T2708">
            <v>0</v>
          </cell>
          <cell r="U2708" t="e">
            <v>#N/A</v>
          </cell>
        </row>
        <row r="2709">
          <cell r="A2709">
            <v>1004693</v>
          </cell>
          <cell r="B2709" t="str">
            <v>Z Galvanizada</v>
          </cell>
          <cell r="D2709">
            <v>5405</v>
          </cell>
          <cell r="E2709">
            <v>1000</v>
          </cell>
          <cell r="F2709" t="str">
            <v>ZALM</v>
          </cell>
          <cell r="G2709" t="str">
            <v>UN</v>
          </cell>
          <cell r="H2709" t="str">
            <v>DOP</v>
          </cell>
          <cell r="I2709">
            <v>0</v>
          </cell>
          <cell r="J2709">
            <v>0</v>
          </cell>
          <cell r="K2709">
            <v>0</v>
          </cell>
          <cell r="L2709">
            <v>0</v>
          </cell>
          <cell r="M2709">
            <v>0</v>
          </cell>
          <cell r="N2709">
            <v>0</v>
          </cell>
          <cell r="O2709">
            <v>0</v>
          </cell>
          <cell r="P2709">
            <v>0</v>
          </cell>
          <cell r="Q2709">
            <v>0</v>
          </cell>
          <cell r="R2709">
            <v>0</v>
          </cell>
          <cell r="S2709">
            <v>0</v>
          </cell>
          <cell r="T2709">
            <v>0</v>
          </cell>
          <cell r="U2709" t="e">
            <v>#N/A</v>
          </cell>
        </row>
        <row r="2710">
          <cell r="A2710">
            <v>1004694</v>
          </cell>
          <cell r="B2710" t="str">
            <v>Cable duplo numero 12 de alimentacion 12</v>
          </cell>
          <cell r="D2710">
            <v>5405</v>
          </cell>
          <cell r="E2710">
            <v>1000</v>
          </cell>
          <cell r="F2710" t="str">
            <v>ZALM</v>
          </cell>
          <cell r="G2710" t="str">
            <v>PIE</v>
          </cell>
          <cell r="H2710" t="str">
            <v>DOP</v>
          </cell>
          <cell r="I2710">
            <v>0</v>
          </cell>
          <cell r="J2710">
            <v>0</v>
          </cell>
          <cell r="K2710">
            <v>0</v>
          </cell>
          <cell r="L2710">
            <v>0</v>
          </cell>
          <cell r="M2710">
            <v>0</v>
          </cell>
          <cell r="N2710">
            <v>0</v>
          </cell>
          <cell r="O2710">
            <v>0</v>
          </cell>
          <cell r="P2710">
            <v>0</v>
          </cell>
          <cell r="Q2710">
            <v>0</v>
          </cell>
          <cell r="R2710">
            <v>0</v>
          </cell>
          <cell r="S2710">
            <v>0</v>
          </cell>
          <cell r="T2710">
            <v>0</v>
          </cell>
          <cell r="U2710" t="e">
            <v>#N/A</v>
          </cell>
        </row>
        <row r="2711">
          <cell r="A2711">
            <v>1004695</v>
          </cell>
          <cell r="B2711" t="str">
            <v>Conectores DB9</v>
          </cell>
          <cell r="D2711">
            <v>5405</v>
          </cell>
          <cell r="E2711">
            <v>1000</v>
          </cell>
          <cell r="F2711" t="str">
            <v>ZALM</v>
          </cell>
          <cell r="G2711" t="str">
            <v>UN</v>
          </cell>
          <cell r="H2711" t="str">
            <v>DOP</v>
          </cell>
          <cell r="I2711">
            <v>0</v>
          </cell>
          <cell r="J2711">
            <v>0</v>
          </cell>
          <cell r="K2711">
            <v>0</v>
          </cell>
          <cell r="L2711">
            <v>0</v>
          </cell>
          <cell r="M2711">
            <v>0</v>
          </cell>
          <cell r="N2711">
            <v>0</v>
          </cell>
          <cell r="O2711">
            <v>0</v>
          </cell>
          <cell r="P2711">
            <v>0</v>
          </cell>
          <cell r="Q2711">
            <v>0</v>
          </cell>
          <cell r="R2711">
            <v>0</v>
          </cell>
          <cell r="S2711">
            <v>0</v>
          </cell>
          <cell r="T2711">
            <v>0</v>
          </cell>
          <cell r="U2711" t="e">
            <v>#N/A</v>
          </cell>
        </row>
        <row r="2712">
          <cell r="A2712">
            <v>1004696</v>
          </cell>
          <cell r="B2712" t="str">
            <v>Conectores DB25</v>
          </cell>
          <cell r="D2712">
            <v>5405</v>
          </cell>
          <cell r="E2712">
            <v>1000</v>
          </cell>
          <cell r="F2712" t="str">
            <v>ZALM</v>
          </cell>
          <cell r="G2712" t="str">
            <v>UN</v>
          </cell>
          <cell r="H2712" t="str">
            <v>DOP</v>
          </cell>
          <cell r="I2712">
            <v>0</v>
          </cell>
          <cell r="J2712">
            <v>0</v>
          </cell>
          <cell r="K2712">
            <v>0</v>
          </cell>
          <cell r="L2712">
            <v>0</v>
          </cell>
          <cell r="M2712">
            <v>0</v>
          </cell>
          <cell r="N2712">
            <v>0</v>
          </cell>
          <cell r="O2712">
            <v>0</v>
          </cell>
          <cell r="P2712">
            <v>0</v>
          </cell>
          <cell r="Q2712">
            <v>0</v>
          </cell>
          <cell r="R2712">
            <v>0</v>
          </cell>
          <cell r="S2712">
            <v>0</v>
          </cell>
          <cell r="T2712">
            <v>0</v>
          </cell>
          <cell r="U2712" t="e">
            <v>#N/A</v>
          </cell>
        </row>
        <row r="2713">
          <cell r="A2713">
            <v>1004697</v>
          </cell>
          <cell r="B2713" t="str">
            <v>Cable RG213</v>
          </cell>
          <cell r="D2713">
            <v>5405</v>
          </cell>
          <cell r="E2713">
            <v>1000</v>
          </cell>
          <cell r="F2713" t="str">
            <v>ZALM</v>
          </cell>
          <cell r="G2713" t="str">
            <v>PIE</v>
          </cell>
          <cell r="H2713" t="str">
            <v>DOP</v>
          </cell>
          <cell r="I2713">
            <v>0</v>
          </cell>
          <cell r="J2713">
            <v>0</v>
          </cell>
          <cell r="K2713">
            <v>0</v>
          </cell>
          <cell r="L2713">
            <v>0</v>
          </cell>
          <cell r="M2713">
            <v>0</v>
          </cell>
          <cell r="N2713">
            <v>0</v>
          </cell>
          <cell r="O2713">
            <v>0</v>
          </cell>
          <cell r="P2713">
            <v>0</v>
          </cell>
          <cell r="Q2713">
            <v>0</v>
          </cell>
          <cell r="R2713">
            <v>0</v>
          </cell>
          <cell r="S2713">
            <v>0</v>
          </cell>
          <cell r="T2713">
            <v>0</v>
          </cell>
          <cell r="U2713" t="e">
            <v>#N/A</v>
          </cell>
        </row>
        <row r="2714">
          <cell r="A2714">
            <v>1004698</v>
          </cell>
          <cell r="B2714" t="str">
            <v>Conectores Miniuhf</v>
          </cell>
          <cell r="D2714">
            <v>5405</v>
          </cell>
          <cell r="E2714">
            <v>1000</v>
          </cell>
          <cell r="F2714" t="str">
            <v>ZALM</v>
          </cell>
          <cell r="G2714" t="str">
            <v>UN</v>
          </cell>
          <cell r="H2714" t="str">
            <v>DOP</v>
          </cell>
          <cell r="I2714">
            <v>0</v>
          </cell>
          <cell r="J2714">
            <v>0</v>
          </cell>
          <cell r="K2714">
            <v>0</v>
          </cell>
          <cell r="L2714">
            <v>0</v>
          </cell>
          <cell r="M2714">
            <v>0</v>
          </cell>
          <cell r="N2714">
            <v>0</v>
          </cell>
          <cell r="O2714">
            <v>0</v>
          </cell>
          <cell r="P2714">
            <v>0</v>
          </cell>
          <cell r="Q2714">
            <v>0</v>
          </cell>
          <cell r="R2714">
            <v>0</v>
          </cell>
          <cell r="S2714">
            <v>0</v>
          </cell>
          <cell r="T2714">
            <v>0</v>
          </cell>
          <cell r="U2714" t="e">
            <v>#N/A</v>
          </cell>
        </row>
        <row r="2715">
          <cell r="A2715">
            <v>1004699</v>
          </cell>
          <cell r="B2715" t="str">
            <v>Conector N Hembra</v>
          </cell>
          <cell r="D2715">
            <v>5405</v>
          </cell>
          <cell r="E2715">
            <v>1000</v>
          </cell>
          <cell r="F2715" t="str">
            <v>ZALM</v>
          </cell>
          <cell r="G2715" t="str">
            <v>UN</v>
          </cell>
          <cell r="H2715" t="str">
            <v>DOP</v>
          </cell>
          <cell r="I2715">
            <v>0</v>
          </cell>
          <cell r="J2715">
            <v>0</v>
          </cell>
          <cell r="K2715">
            <v>0</v>
          </cell>
          <cell r="L2715">
            <v>0</v>
          </cell>
          <cell r="M2715">
            <v>0</v>
          </cell>
          <cell r="N2715">
            <v>0</v>
          </cell>
          <cell r="O2715">
            <v>0</v>
          </cell>
          <cell r="P2715">
            <v>0</v>
          </cell>
          <cell r="Q2715">
            <v>0</v>
          </cell>
          <cell r="R2715">
            <v>0</v>
          </cell>
          <cell r="S2715">
            <v>0</v>
          </cell>
          <cell r="T2715">
            <v>0</v>
          </cell>
          <cell r="U2715" t="e">
            <v>#N/A</v>
          </cell>
        </row>
        <row r="2716">
          <cell r="A2716">
            <v>1004700</v>
          </cell>
          <cell r="B2716" t="str">
            <v>Conectorer PL 259</v>
          </cell>
          <cell r="D2716">
            <v>5405</v>
          </cell>
          <cell r="E2716">
            <v>1000</v>
          </cell>
          <cell r="F2716" t="str">
            <v>ZALM</v>
          </cell>
          <cell r="G2716" t="str">
            <v>UN</v>
          </cell>
          <cell r="H2716" t="str">
            <v>DOP</v>
          </cell>
          <cell r="I2716">
            <v>0</v>
          </cell>
          <cell r="J2716">
            <v>0</v>
          </cell>
          <cell r="K2716">
            <v>0</v>
          </cell>
          <cell r="L2716">
            <v>0</v>
          </cell>
          <cell r="M2716">
            <v>0</v>
          </cell>
          <cell r="N2716">
            <v>0</v>
          </cell>
          <cell r="O2716">
            <v>0</v>
          </cell>
          <cell r="P2716">
            <v>0</v>
          </cell>
          <cell r="Q2716">
            <v>0</v>
          </cell>
          <cell r="R2716">
            <v>0</v>
          </cell>
          <cell r="S2716">
            <v>0</v>
          </cell>
          <cell r="T2716">
            <v>0</v>
          </cell>
          <cell r="U2716" t="e">
            <v>#N/A</v>
          </cell>
        </row>
        <row r="2717">
          <cell r="A2717">
            <v>1004701</v>
          </cell>
          <cell r="B2717" t="str">
            <v>Union PL Hembra</v>
          </cell>
          <cell r="D2717">
            <v>5405</v>
          </cell>
          <cell r="E2717">
            <v>1000</v>
          </cell>
          <cell r="F2717" t="str">
            <v>ZALM</v>
          </cell>
          <cell r="G2717" t="str">
            <v>PIE</v>
          </cell>
          <cell r="H2717" t="str">
            <v>DOP</v>
          </cell>
          <cell r="I2717">
            <v>0</v>
          </cell>
          <cell r="J2717">
            <v>0</v>
          </cell>
          <cell r="K2717">
            <v>0</v>
          </cell>
          <cell r="L2717">
            <v>0</v>
          </cell>
          <cell r="M2717">
            <v>0</v>
          </cell>
          <cell r="N2717">
            <v>0</v>
          </cell>
          <cell r="O2717">
            <v>0</v>
          </cell>
          <cell r="P2717">
            <v>0</v>
          </cell>
          <cell r="Q2717">
            <v>0</v>
          </cell>
          <cell r="R2717">
            <v>0</v>
          </cell>
          <cell r="S2717">
            <v>0</v>
          </cell>
          <cell r="T2717">
            <v>0</v>
          </cell>
          <cell r="U2717" t="e">
            <v>#N/A</v>
          </cell>
        </row>
        <row r="2718">
          <cell r="A2718">
            <v>1004702</v>
          </cell>
          <cell r="B2718" t="str">
            <v>Union N Hembra</v>
          </cell>
          <cell r="D2718">
            <v>5405</v>
          </cell>
          <cell r="E2718">
            <v>1000</v>
          </cell>
          <cell r="F2718" t="str">
            <v>ZALM</v>
          </cell>
          <cell r="G2718" t="str">
            <v>UN</v>
          </cell>
          <cell r="H2718" t="str">
            <v>DOP</v>
          </cell>
          <cell r="I2718">
            <v>0</v>
          </cell>
          <cell r="J2718">
            <v>0</v>
          </cell>
          <cell r="K2718">
            <v>0</v>
          </cell>
          <cell r="L2718">
            <v>0</v>
          </cell>
          <cell r="M2718">
            <v>0</v>
          </cell>
          <cell r="N2718">
            <v>0</v>
          </cell>
          <cell r="O2718">
            <v>0</v>
          </cell>
          <cell r="P2718">
            <v>0</v>
          </cell>
          <cell r="Q2718">
            <v>0</v>
          </cell>
          <cell r="R2718">
            <v>0</v>
          </cell>
          <cell r="S2718">
            <v>0</v>
          </cell>
          <cell r="T2718">
            <v>0</v>
          </cell>
          <cell r="U2718" t="e">
            <v>#N/A</v>
          </cell>
        </row>
        <row r="2719">
          <cell r="A2719">
            <v>1004703</v>
          </cell>
          <cell r="B2719" t="str">
            <v>Union de Miniuhf hembra a PL 259</v>
          </cell>
          <cell r="D2719">
            <v>5405</v>
          </cell>
          <cell r="E2719">
            <v>1000</v>
          </cell>
          <cell r="F2719" t="str">
            <v>ZALM</v>
          </cell>
          <cell r="G2719" t="str">
            <v>UN</v>
          </cell>
          <cell r="H2719" t="str">
            <v>DOP</v>
          </cell>
          <cell r="I2719">
            <v>0</v>
          </cell>
          <cell r="J2719">
            <v>0</v>
          </cell>
          <cell r="K2719">
            <v>0</v>
          </cell>
          <cell r="L2719">
            <v>0</v>
          </cell>
          <cell r="M2719">
            <v>0</v>
          </cell>
          <cell r="N2719">
            <v>0</v>
          </cell>
          <cell r="O2719">
            <v>0</v>
          </cell>
          <cell r="P2719">
            <v>0</v>
          </cell>
          <cell r="Q2719">
            <v>0</v>
          </cell>
          <cell r="R2719">
            <v>0</v>
          </cell>
          <cell r="S2719">
            <v>0</v>
          </cell>
          <cell r="T2719">
            <v>0</v>
          </cell>
          <cell r="U2719" t="e">
            <v>#N/A</v>
          </cell>
        </row>
        <row r="2720">
          <cell r="A2720">
            <v>1004704</v>
          </cell>
          <cell r="B2720" t="str">
            <v>Power conector 12 con porta fusible</v>
          </cell>
          <cell r="D2720">
            <v>5405</v>
          </cell>
          <cell r="E2720">
            <v>1000</v>
          </cell>
          <cell r="F2720" t="str">
            <v>ZALM</v>
          </cell>
          <cell r="G2720" t="str">
            <v>UN</v>
          </cell>
          <cell r="H2720" t="str">
            <v>DOP</v>
          </cell>
          <cell r="I2720">
            <v>0</v>
          </cell>
          <cell r="J2720">
            <v>0</v>
          </cell>
          <cell r="K2720">
            <v>0</v>
          </cell>
          <cell r="L2720">
            <v>0</v>
          </cell>
          <cell r="M2720">
            <v>0</v>
          </cell>
          <cell r="N2720">
            <v>0</v>
          </cell>
          <cell r="O2720">
            <v>0</v>
          </cell>
          <cell r="P2720">
            <v>0</v>
          </cell>
          <cell r="Q2720">
            <v>0</v>
          </cell>
          <cell r="R2720">
            <v>0</v>
          </cell>
          <cell r="S2720">
            <v>0</v>
          </cell>
          <cell r="T2720">
            <v>0</v>
          </cell>
          <cell r="U2720" t="e">
            <v>#N/A</v>
          </cell>
        </row>
        <row r="2721">
          <cell r="A2721">
            <v>1004707</v>
          </cell>
          <cell r="B2721" t="str">
            <v>Perno Seguridad Acero Inox Comb EDE-03</v>
          </cell>
          <cell r="D2721">
            <v>5108</v>
          </cell>
          <cell r="E2721">
            <v>1000</v>
          </cell>
          <cell r="F2721" t="str">
            <v>ZALM</v>
          </cell>
          <cell r="G2721" t="str">
            <v>UN</v>
          </cell>
          <cell r="H2721" t="str">
            <v>DOP</v>
          </cell>
          <cell r="I2721">
            <v>0</v>
          </cell>
          <cell r="J2721">
            <v>0</v>
          </cell>
          <cell r="K2721">
            <v>0</v>
          </cell>
          <cell r="L2721">
            <v>0</v>
          </cell>
          <cell r="M2721">
            <v>0</v>
          </cell>
          <cell r="N2721">
            <v>0</v>
          </cell>
          <cell r="O2721">
            <v>0</v>
          </cell>
          <cell r="P2721">
            <v>0</v>
          </cell>
          <cell r="Q2721">
            <v>0</v>
          </cell>
          <cell r="R2721">
            <v>0</v>
          </cell>
          <cell r="S2721">
            <v>0</v>
          </cell>
          <cell r="T2721">
            <v>0</v>
          </cell>
          <cell r="U2721" t="e">
            <v>#N/A</v>
          </cell>
        </row>
        <row r="2722">
          <cell r="A2722">
            <v>1004708</v>
          </cell>
          <cell r="B2722" t="str">
            <v>Caja para Transf. Reduc. Aislados a 600V</v>
          </cell>
          <cell r="D2722">
            <v>7208</v>
          </cell>
          <cell r="E2722">
            <v>1000</v>
          </cell>
          <cell r="F2722" t="str">
            <v>ZALM</v>
          </cell>
          <cell r="G2722" t="str">
            <v>UN</v>
          </cell>
          <cell r="H2722" t="str">
            <v>DOP</v>
          </cell>
          <cell r="I2722">
            <v>0</v>
          </cell>
          <cell r="J2722">
            <v>0</v>
          </cell>
          <cell r="K2722">
            <v>0</v>
          </cell>
          <cell r="L2722">
            <v>0</v>
          </cell>
          <cell r="M2722">
            <v>0</v>
          </cell>
          <cell r="N2722">
            <v>0</v>
          </cell>
          <cell r="O2722">
            <v>0</v>
          </cell>
          <cell r="P2722">
            <v>0</v>
          </cell>
          <cell r="Q2722">
            <v>0</v>
          </cell>
          <cell r="R2722">
            <v>0</v>
          </cell>
          <cell r="S2722">
            <v>0</v>
          </cell>
          <cell r="T2722">
            <v>0</v>
          </cell>
          <cell r="U2722" t="e">
            <v>#N/A</v>
          </cell>
        </row>
        <row r="2723">
          <cell r="A2723">
            <v>1004709</v>
          </cell>
          <cell r="B2723" t="str">
            <v>Transf Tension Red 480/120V Aisl. a 600V</v>
          </cell>
          <cell r="D2723">
            <v>6302</v>
          </cell>
          <cell r="E2723">
            <v>1000</v>
          </cell>
          <cell r="F2723" t="str">
            <v>ZALM</v>
          </cell>
          <cell r="G2723" t="str">
            <v>UN</v>
          </cell>
          <cell r="H2723" t="str">
            <v>DOP</v>
          </cell>
          <cell r="I2723">
            <v>0</v>
          </cell>
          <cell r="J2723">
            <v>0</v>
          </cell>
          <cell r="K2723">
            <v>0</v>
          </cell>
          <cell r="L2723">
            <v>0</v>
          </cell>
          <cell r="M2723">
            <v>0</v>
          </cell>
          <cell r="N2723">
            <v>0</v>
          </cell>
          <cell r="O2723">
            <v>0</v>
          </cell>
          <cell r="P2723">
            <v>0</v>
          </cell>
          <cell r="Q2723">
            <v>0</v>
          </cell>
          <cell r="R2723">
            <v>0</v>
          </cell>
          <cell r="S2723">
            <v>0</v>
          </cell>
          <cell r="T2723">
            <v>0</v>
          </cell>
          <cell r="U2723" t="e">
            <v>#N/A</v>
          </cell>
        </row>
        <row r="2724">
          <cell r="A2724">
            <v>1004752</v>
          </cell>
          <cell r="B2724" t="str">
            <v>Conector elástico tipo cuña 4/0 - 2 CU</v>
          </cell>
          <cell r="D2724">
            <v>6003</v>
          </cell>
          <cell r="E2724">
            <v>1000</v>
          </cell>
          <cell r="F2724" t="str">
            <v>ZALM</v>
          </cell>
          <cell r="G2724" t="str">
            <v>UN</v>
          </cell>
          <cell r="H2724" t="str">
            <v>DOP</v>
          </cell>
          <cell r="I2724">
            <v>61</v>
          </cell>
          <cell r="J2724">
            <v>5978.51</v>
          </cell>
          <cell r="K2724">
            <v>0</v>
          </cell>
          <cell r="L2724">
            <v>0</v>
          </cell>
          <cell r="M2724">
            <v>0</v>
          </cell>
          <cell r="N2724">
            <v>0</v>
          </cell>
          <cell r="O2724">
            <v>0</v>
          </cell>
          <cell r="P2724">
            <v>0</v>
          </cell>
          <cell r="Q2724">
            <v>0</v>
          </cell>
          <cell r="R2724">
            <v>0</v>
          </cell>
          <cell r="S2724">
            <v>61</v>
          </cell>
          <cell r="T2724">
            <v>5978.51</v>
          </cell>
          <cell r="U2724">
            <v>98.008360655737704</v>
          </cell>
        </row>
        <row r="2725">
          <cell r="A2725">
            <v>1004753</v>
          </cell>
          <cell r="B2725" t="str">
            <v>Conector elástico tipo cuña 2 – 2 Cu AW</v>
          </cell>
          <cell r="D2725">
            <v>6003</v>
          </cell>
          <cell r="E2725">
            <v>1000</v>
          </cell>
          <cell r="F2725" t="str">
            <v>ZALM</v>
          </cell>
          <cell r="G2725" t="str">
            <v>UN</v>
          </cell>
          <cell r="H2725" t="str">
            <v>DOP</v>
          </cell>
          <cell r="I2725">
            <v>0</v>
          </cell>
          <cell r="J2725">
            <v>0</v>
          </cell>
          <cell r="K2725">
            <v>0</v>
          </cell>
          <cell r="L2725">
            <v>0</v>
          </cell>
          <cell r="M2725">
            <v>200</v>
          </cell>
          <cell r="N2725">
            <v>31999.759999999998</v>
          </cell>
          <cell r="O2725">
            <v>0</v>
          </cell>
          <cell r="P2725">
            <v>0</v>
          </cell>
          <cell r="Q2725">
            <v>429</v>
          </cell>
          <cell r="R2725">
            <v>68639.48</v>
          </cell>
          <cell r="S2725">
            <v>629</v>
          </cell>
          <cell r="T2725">
            <v>100639.24</v>
          </cell>
          <cell r="U2725">
            <v>159.99879173290901</v>
          </cell>
        </row>
        <row r="2726">
          <cell r="A2726">
            <v>1004754</v>
          </cell>
          <cell r="B2726" t="str">
            <v>Conector elástico T/ cuña 2/0 - 2/0 AWG</v>
          </cell>
          <cell r="D2726">
            <v>6003</v>
          </cell>
          <cell r="E2726">
            <v>1000</v>
          </cell>
          <cell r="F2726" t="str">
            <v>ZALM</v>
          </cell>
          <cell r="G2726" t="str">
            <v>UN</v>
          </cell>
          <cell r="H2726" t="str">
            <v>DOP</v>
          </cell>
          <cell r="I2726">
            <v>0</v>
          </cell>
          <cell r="J2726">
            <v>0</v>
          </cell>
          <cell r="K2726">
            <v>0</v>
          </cell>
          <cell r="L2726">
            <v>0</v>
          </cell>
          <cell r="M2726">
            <v>0</v>
          </cell>
          <cell r="N2726">
            <v>0</v>
          </cell>
          <cell r="O2726">
            <v>0</v>
          </cell>
          <cell r="P2726">
            <v>0</v>
          </cell>
          <cell r="Q2726">
            <v>0</v>
          </cell>
          <cell r="R2726">
            <v>0</v>
          </cell>
          <cell r="S2726">
            <v>0</v>
          </cell>
          <cell r="T2726">
            <v>0</v>
          </cell>
          <cell r="U2726" t="e">
            <v>#N/A</v>
          </cell>
        </row>
        <row r="2727">
          <cell r="A2727">
            <v>1004797</v>
          </cell>
          <cell r="B2727" t="str">
            <v>Cable concentrico 2 x Nº 10 cobre</v>
          </cell>
          <cell r="D2727">
            <v>6000</v>
          </cell>
          <cell r="E2727">
            <v>1000</v>
          </cell>
          <cell r="F2727" t="str">
            <v>ZALM</v>
          </cell>
          <cell r="G2727" t="str">
            <v>M</v>
          </cell>
          <cell r="H2727" t="str">
            <v>DOP</v>
          </cell>
          <cell r="I2727">
            <v>0</v>
          </cell>
          <cell r="J2727">
            <v>0</v>
          </cell>
          <cell r="K2727">
            <v>0</v>
          </cell>
          <cell r="L2727">
            <v>0</v>
          </cell>
          <cell r="M2727">
            <v>1200</v>
          </cell>
          <cell r="N2727">
            <v>114648.91</v>
          </cell>
          <cell r="O2727">
            <v>0</v>
          </cell>
          <cell r="P2727">
            <v>0</v>
          </cell>
          <cell r="Q2727">
            <v>214000</v>
          </cell>
          <cell r="R2727">
            <v>20445723.09</v>
          </cell>
          <cell r="S2727">
            <v>215200</v>
          </cell>
          <cell r="T2727">
            <v>20560372</v>
          </cell>
          <cell r="U2727">
            <v>95.540762081784393</v>
          </cell>
        </row>
        <row r="2728">
          <cell r="A2728">
            <v>1004798</v>
          </cell>
          <cell r="B2728" t="str">
            <v>Cable concentrico 3 x Nº 8 cobre</v>
          </cell>
          <cell r="D2728">
            <v>6000</v>
          </cell>
          <cell r="E2728">
            <v>1000</v>
          </cell>
          <cell r="F2728" t="str">
            <v>ZALM</v>
          </cell>
          <cell r="G2728" t="str">
            <v>M</v>
          </cell>
          <cell r="H2728" t="str">
            <v>DOP</v>
          </cell>
          <cell r="I2728">
            <v>1094</v>
          </cell>
          <cell r="J2728">
            <v>291489.86</v>
          </cell>
          <cell r="K2728">
            <v>0</v>
          </cell>
          <cell r="L2728">
            <v>0</v>
          </cell>
          <cell r="M2728">
            <v>0</v>
          </cell>
          <cell r="N2728">
            <v>0</v>
          </cell>
          <cell r="O2728">
            <v>0</v>
          </cell>
          <cell r="P2728">
            <v>0</v>
          </cell>
          <cell r="Q2728">
            <v>170967</v>
          </cell>
          <cell r="R2728">
            <v>45553150.359999999</v>
          </cell>
          <cell r="S2728">
            <v>172061</v>
          </cell>
          <cell r="T2728">
            <v>45844640.219999999</v>
          </cell>
          <cell r="U2728">
            <v>266.44411121637103</v>
          </cell>
        </row>
        <row r="2729">
          <cell r="A2729">
            <v>1004807</v>
          </cell>
          <cell r="B2729" t="str">
            <v>AISLADOR T/ ESP PIN CL 57-1 3/4" 12.47KV</v>
          </cell>
          <cell r="D2729">
            <v>6001</v>
          </cell>
          <cell r="E2729">
            <v>1000</v>
          </cell>
          <cell r="F2729" t="str">
            <v>ZALM</v>
          </cell>
          <cell r="G2729" t="str">
            <v>UN</v>
          </cell>
          <cell r="H2729" t="str">
            <v>DOP</v>
          </cell>
          <cell r="I2729">
            <v>0</v>
          </cell>
          <cell r="J2729">
            <v>0</v>
          </cell>
          <cell r="K2729">
            <v>0</v>
          </cell>
          <cell r="L2729">
            <v>0</v>
          </cell>
          <cell r="M2729">
            <v>0</v>
          </cell>
          <cell r="N2729">
            <v>0</v>
          </cell>
          <cell r="O2729">
            <v>0</v>
          </cell>
          <cell r="P2729">
            <v>0</v>
          </cell>
          <cell r="Q2729">
            <v>0</v>
          </cell>
          <cell r="R2729">
            <v>0</v>
          </cell>
          <cell r="S2729">
            <v>0</v>
          </cell>
          <cell r="T2729">
            <v>0</v>
          </cell>
          <cell r="U2729" t="e">
            <v>#N/A</v>
          </cell>
        </row>
        <row r="2730">
          <cell r="A2730">
            <v>1004813</v>
          </cell>
          <cell r="B2730" t="str">
            <v>Cruceta Acero Galvanizado 10'</v>
          </cell>
          <cell r="D2730">
            <v>3300</v>
          </cell>
          <cell r="E2730">
            <v>1000</v>
          </cell>
          <cell r="F2730" t="str">
            <v>ZALM</v>
          </cell>
          <cell r="G2730" t="str">
            <v>UN</v>
          </cell>
          <cell r="H2730" t="str">
            <v>DOP</v>
          </cell>
          <cell r="I2730">
            <v>0</v>
          </cell>
          <cell r="J2730">
            <v>0</v>
          </cell>
          <cell r="K2730">
            <v>0</v>
          </cell>
          <cell r="L2730">
            <v>0</v>
          </cell>
          <cell r="M2730">
            <v>0</v>
          </cell>
          <cell r="N2730">
            <v>0</v>
          </cell>
          <cell r="O2730">
            <v>0</v>
          </cell>
          <cell r="P2730">
            <v>0</v>
          </cell>
          <cell r="Q2730">
            <v>0</v>
          </cell>
          <cell r="R2730">
            <v>0</v>
          </cell>
          <cell r="S2730">
            <v>0</v>
          </cell>
          <cell r="T2730">
            <v>0</v>
          </cell>
          <cell r="U2730" t="e">
            <v>#N/A</v>
          </cell>
        </row>
        <row r="2731">
          <cell r="A2731">
            <v>1004814</v>
          </cell>
          <cell r="B2731" t="str">
            <v> Porta-aislador en U para cruceta 6-1/4"</v>
          </cell>
          <cell r="D2731">
            <v>3300</v>
          </cell>
          <cell r="E2731">
            <v>1000</v>
          </cell>
          <cell r="F2731" t="str">
            <v>ZALM</v>
          </cell>
          <cell r="G2731" t="str">
            <v>UN</v>
          </cell>
          <cell r="H2731" t="str">
            <v>DOP</v>
          </cell>
          <cell r="I2731">
            <v>0</v>
          </cell>
          <cell r="J2731">
            <v>0</v>
          </cell>
          <cell r="K2731">
            <v>0</v>
          </cell>
          <cell r="L2731">
            <v>0</v>
          </cell>
          <cell r="M2731">
            <v>0</v>
          </cell>
          <cell r="N2731">
            <v>0</v>
          </cell>
          <cell r="O2731">
            <v>0</v>
          </cell>
          <cell r="P2731">
            <v>0</v>
          </cell>
          <cell r="Q2731">
            <v>0</v>
          </cell>
          <cell r="R2731">
            <v>0</v>
          </cell>
          <cell r="S2731">
            <v>0</v>
          </cell>
          <cell r="T2731">
            <v>0</v>
          </cell>
          <cell r="U2731" t="e">
            <v>#N/A</v>
          </cell>
        </row>
        <row r="2732">
          <cell r="A2732">
            <v>1004815</v>
          </cell>
          <cell r="B2732" t="str">
            <v> Porta Aislador y Codillo</v>
          </cell>
          <cell r="D2732">
            <v>3300</v>
          </cell>
          <cell r="E2732">
            <v>1000</v>
          </cell>
          <cell r="F2732" t="str">
            <v>ZALM</v>
          </cell>
          <cell r="G2732" t="str">
            <v>UN</v>
          </cell>
          <cell r="H2732" t="str">
            <v>DOP</v>
          </cell>
          <cell r="I2732">
            <v>0</v>
          </cell>
          <cell r="J2732">
            <v>0</v>
          </cell>
          <cell r="K2732">
            <v>0</v>
          </cell>
          <cell r="L2732">
            <v>0</v>
          </cell>
          <cell r="M2732">
            <v>0</v>
          </cell>
          <cell r="N2732">
            <v>0</v>
          </cell>
          <cell r="O2732">
            <v>0</v>
          </cell>
          <cell r="P2732">
            <v>0</v>
          </cell>
          <cell r="Q2732">
            <v>0</v>
          </cell>
          <cell r="R2732">
            <v>0</v>
          </cell>
          <cell r="S2732">
            <v>0</v>
          </cell>
          <cell r="T2732">
            <v>0</v>
          </cell>
          <cell r="U2732" t="e">
            <v>#N/A</v>
          </cell>
        </row>
        <row r="2733">
          <cell r="A2733">
            <v>1004817</v>
          </cell>
          <cell r="B2733" t="str">
            <v>Adaptador metálico IMC Contratuerca 1"</v>
          </cell>
          <cell r="D2733">
            <v>6003</v>
          </cell>
          <cell r="E2733">
            <v>1000</v>
          </cell>
          <cell r="F2733" t="str">
            <v>ZALM</v>
          </cell>
          <cell r="G2733" t="str">
            <v>UN</v>
          </cell>
          <cell r="H2733" t="str">
            <v>DOP</v>
          </cell>
          <cell r="I2733">
            <v>0</v>
          </cell>
          <cell r="J2733">
            <v>0</v>
          </cell>
          <cell r="K2733">
            <v>0</v>
          </cell>
          <cell r="L2733">
            <v>0</v>
          </cell>
          <cell r="M2733">
            <v>0</v>
          </cell>
          <cell r="N2733">
            <v>0</v>
          </cell>
          <cell r="O2733">
            <v>0</v>
          </cell>
          <cell r="P2733">
            <v>0</v>
          </cell>
          <cell r="Q2733">
            <v>0</v>
          </cell>
          <cell r="R2733">
            <v>0</v>
          </cell>
          <cell r="S2733">
            <v>0</v>
          </cell>
          <cell r="T2733">
            <v>0</v>
          </cell>
          <cell r="U2733" t="e">
            <v>#N/A</v>
          </cell>
        </row>
        <row r="2734">
          <cell r="A2734">
            <v>1004818</v>
          </cell>
          <cell r="B2734" t="str">
            <v> Arandela redonda de 1 3/4" x 1/4"</v>
          </cell>
          <cell r="D2734">
            <v>5108</v>
          </cell>
          <cell r="E2734">
            <v>1000</v>
          </cell>
          <cell r="F2734" t="str">
            <v>ZALM</v>
          </cell>
          <cell r="G2734" t="str">
            <v>UN</v>
          </cell>
          <cell r="H2734" t="str">
            <v>DOP</v>
          </cell>
          <cell r="I2734">
            <v>0</v>
          </cell>
          <cell r="J2734">
            <v>0</v>
          </cell>
          <cell r="K2734">
            <v>0</v>
          </cell>
          <cell r="L2734">
            <v>0</v>
          </cell>
          <cell r="M2734">
            <v>0</v>
          </cell>
          <cell r="N2734">
            <v>0</v>
          </cell>
          <cell r="O2734">
            <v>0</v>
          </cell>
          <cell r="P2734">
            <v>0</v>
          </cell>
          <cell r="Q2734">
            <v>0</v>
          </cell>
          <cell r="R2734">
            <v>0</v>
          </cell>
          <cell r="S2734">
            <v>0</v>
          </cell>
          <cell r="T2734">
            <v>0</v>
          </cell>
          <cell r="U2734" t="e">
            <v>#N/A</v>
          </cell>
        </row>
        <row r="2735">
          <cell r="A2735">
            <v>1004820</v>
          </cell>
          <cell r="B2735" t="str">
            <v> Cruceta tubular cuadrada 3" x 3</v>
          </cell>
          <cell r="D2735">
            <v>3300</v>
          </cell>
          <cell r="E2735">
            <v>1000</v>
          </cell>
          <cell r="F2735" t="str">
            <v>ZALM</v>
          </cell>
          <cell r="G2735" t="str">
            <v>UN</v>
          </cell>
          <cell r="H2735" t="str">
            <v>DOP</v>
          </cell>
          <cell r="I2735">
            <v>0</v>
          </cell>
          <cell r="J2735">
            <v>0</v>
          </cell>
          <cell r="K2735">
            <v>0</v>
          </cell>
          <cell r="L2735">
            <v>0</v>
          </cell>
          <cell r="M2735">
            <v>0</v>
          </cell>
          <cell r="N2735">
            <v>0</v>
          </cell>
          <cell r="O2735">
            <v>0</v>
          </cell>
          <cell r="P2735">
            <v>0</v>
          </cell>
          <cell r="Q2735">
            <v>0</v>
          </cell>
          <cell r="R2735">
            <v>0</v>
          </cell>
          <cell r="S2735">
            <v>0</v>
          </cell>
          <cell r="T2735">
            <v>0</v>
          </cell>
          <cell r="U2735" t="e">
            <v>#N/A</v>
          </cell>
        </row>
        <row r="2736">
          <cell r="A2736">
            <v>1004821</v>
          </cell>
          <cell r="B2736" t="str">
            <v>Curva para tubería metálica IMC 1"</v>
          </cell>
          <cell r="D2736">
            <v>5110</v>
          </cell>
          <cell r="E2736">
            <v>1000</v>
          </cell>
          <cell r="F2736" t="str">
            <v>ZALM</v>
          </cell>
          <cell r="G2736" t="str">
            <v>UN</v>
          </cell>
          <cell r="H2736" t="str">
            <v>DOP</v>
          </cell>
          <cell r="I2736">
            <v>0</v>
          </cell>
          <cell r="J2736">
            <v>0</v>
          </cell>
          <cell r="K2736">
            <v>0</v>
          </cell>
          <cell r="L2736">
            <v>0</v>
          </cell>
          <cell r="M2736">
            <v>0</v>
          </cell>
          <cell r="N2736">
            <v>0</v>
          </cell>
          <cell r="O2736">
            <v>0</v>
          </cell>
          <cell r="P2736">
            <v>0</v>
          </cell>
          <cell r="Q2736">
            <v>0</v>
          </cell>
          <cell r="R2736">
            <v>0</v>
          </cell>
          <cell r="S2736">
            <v>0</v>
          </cell>
          <cell r="T2736">
            <v>0</v>
          </cell>
          <cell r="U2736" t="e">
            <v>#N/A</v>
          </cell>
        </row>
        <row r="2737">
          <cell r="A2737">
            <v>1004822</v>
          </cell>
          <cell r="B2737" t="str">
            <v>Soporte de acero para aislador rígido</v>
          </cell>
          <cell r="D2737">
            <v>5110</v>
          </cell>
          <cell r="E2737">
            <v>1000</v>
          </cell>
          <cell r="F2737" t="str">
            <v>ZALM</v>
          </cell>
          <cell r="G2737" t="str">
            <v>UN</v>
          </cell>
          <cell r="H2737" t="str">
            <v>DOP</v>
          </cell>
          <cell r="I2737">
            <v>0</v>
          </cell>
          <cell r="J2737">
            <v>0</v>
          </cell>
          <cell r="K2737">
            <v>0</v>
          </cell>
          <cell r="L2737">
            <v>0</v>
          </cell>
          <cell r="M2737">
            <v>0</v>
          </cell>
          <cell r="N2737">
            <v>0</v>
          </cell>
          <cell r="O2737">
            <v>0</v>
          </cell>
          <cell r="P2737">
            <v>0</v>
          </cell>
          <cell r="Q2737">
            <v>0</v>
          </cell>
          <cell r="R2737">
            <v>0</v>
          </cell>
          <cell r="S2737">
            <v>0</v>
          </cell>
          <cell r="T2737">
            <v>0</v>
          </cell>
          <cell r="U2737" t="e">
            <v>#N/A</v>
          </cell>
        </row>
        <row r="2738">
          <cell r="A2738">
            <v>1004827</v>
          </cell>
          <cell r="B2738" t="str">
            <v>Tubo  Condulet EMT 2" X 10"</v>
          </cell>
          <cell r="D2738">
            <v>5104</v>
          </cell>
          <cell r="E2738">
            <v>1000</v>
          </cell>
          <cell r="F2738" t="str">
            <v>ZALM</v>
          </cell>
          <cell r="G2738" t="str">
            <v>UN</v>
          </cell>
          <cell r="H2738" t="str">
            <v>DOP</v>
          </cell>
          <cell r="I2738">
            <v>0</v>
          </cell>
          <cell r="J2738">
            <v>0</v>
          </cell>
          <cell r="K2738">
            <v>0</v>
          </cell>
          <cell r="L2738">
            <v>0</v>
          </cell>
          <cell r="M2738">
            <v>0</v>
          </cell>
          <cell r="N2738">
            <v>0</v>
          </cell>
          <cell r="O2738">
            <v>0</v>
          </cell>
          <cell r="P2738">
            <v>0</v>
          </cell>
          <cell r="Q2738">
            <v>0</v>
          </cell>
          <cell r="R2738">
            <v>0</v>
          </cell>
          <cell r="S2738">
            <v>0</v>
          </cell>
          <cell r="T2738">
            <v>0</v>
          </cell>
          <cell r="U2738" t="e">
            <v>#N/A</v>
          </cell>
        </row>
        <row r="2739">
          <cell r="A2739">
            <v>1004829</v>
          </cell>
          <cell r="B2739" t="str">
            <v>Tubo Metálico IMC 1´</v>
          </cell>
          <cell r="D2739">
            <v>5110</v>
          </cell>
          <cell r="E2739">
            <v>1000</v>
          </cell>
          <cell r="F2739" t="str">
            <v>ZALM</v>
          </cell>
          <cell r="G2739" t="str">
            <v>UN</v>
          </cell>
          <cell r="H2739" t="str">
            <v>DOP</v>
          </cell>
          <cell r="I2739">
            <v>0</v>
          </cell>
          <cell r="J2739">
            <v>0</v>
          </cell>
          <cell r="K2739">
            <v>0</v>
          </cell>
          <cell r="L2739">
            <v>0</v>
          </cell>
          <cell r="M2739">
            <v>0</v>
          </cell>
          <cell r="N2739">
            <v>0</v>
          </cell>
          <cell r="O2739">
            <v>0</v>
          </cell>
          <cell r="P2739">
            <v>0</v>
          </cell>
          <cell r="Q2739">
            <v>0</v>
          </cell>
          <cell r="R2739">
            <v>0</v>
          </cell>
          <cell r="S2739">
            <v>0</v>
          </cell>
          <cell r="T2739">
            <v>0</v>
          </cell>
          <cell r="U2739" t="e">
            <v>#N/A</v>
          </cell>
        </row>
        <row r="2740">
          <cell r="A2740">
            <v>1004830</v>
          </cell>
          <cell r="B2740" t="str">
            <v>Tuerca cuadrada para tornillo 5/8"</v>
          </cell>
          <cell r="D2740">
            <v>5110</v>
          </cell>
          <cell r="E2740">
            <v>1000</v>
          </cell>
          <cell r="F2740" t="str">
            <v>ZALM</v>
          </cell>
          <cell r="G2740" t="str">
            <v>UN</v>
          </cell>
          <cell r="H2740" t="str">
            <v>DOP</v>
          </cell>
          <cell r="I2740">
            <v>0</v>
          </cell>
          <cell r="J2740">
            <v>0</v>
          </cell>
          <cell r="K2740">
            <v>0</v>
          </cell>
          <cell r="L2740">
            <v>0</v>
          </cell>
          <cell r="M2740">
            <v>0</v>
          </cell>
          <cell r="N2740">
            <v>0</v>
          </cell>
          <cell r="O2740">
            <v>0</v>
          </cell>
          <cell r="P2740">
            <v>0</v>
          </cell>
          <cell r="Q2740">
            <v>0</v>
          </cell>
          <cell r="R2740">
            <v>0</v>
          </cell>
          <cell r="S2740">
            <v>0</v>
          </cell>
          <cell r="T2740">
            <v>0</v>
          </cell>
          <cell r="U2740" t="e">
            <v>#N/A</v>
          </cell>
        </row>
        <row r="2741">
          <cell r="A2741">
            <v>1004831</v>
          </cell>
          <cell r="B2741" t="str">
            <v>Unión para tubería IMC de 1''</v>
          </cell>
          <cell r="D2741">
            <v>5110</v>
          </cell>
          <cell r="E2741">
            <v>1000</v>
          </cell>
          <cell r="F2741" t="str">
            <v>ZALM</v>
          </cell>
          <cell r="G2741" t="str">
            <v>UN</v>
          </cell>
          <cell r="H2741" t="str">
            <v>DOP</v>
          </cell>
          <cell r="I2741">
            <v>0</v>
          </cell>
          <cell r="J2741">
            <v>0</v>
          </cell>
          <cell r="K2741">
            <v>0</v>
          </cell>
          <cell r="L2741">
            <v>0</v>
          </cell>
          <cell r="M2741">
            <v>0</v>
          </cell>
          <cell r="N2741">
            <v>0</v>
          </cell>
          <cell r="O2741">
            <v>0</v>
          </cell>
          <cell r="P2741">
            <v>0</v>
          </cell>
          <cell r="Q2741">
            <v>0</v>
          </cell>
          <cell r="R2741">
            <v>0</v>
          </cell>
          <cell r="S2741">
            <v>0</v>
          </cell>
          <cell r="T2741">
            <v>0</v>
          </cell>
          <cell r="U2741" t="e">
            <v>#N/A</v>
          </cell>
        </row>
        <row r="2742">
          <cell r="A2742">
            <v>1004832</v>
          </cell>
          <cell r="B2742" t="str">
            <v>Grapa Fijación P/Madera Calibre 0.125"</v>
          </cell>
          <cell r="D2742">
            <v>6003</v>
          </cell>
          <cell r="E2742">
            <v>1000</v>
          </cell>
          <cell r="F2742" t="str">
            <v>ZALM</v>
          </cell>
          <cell r="G2742" t="str">
            <v>UN</v>
          </cell>
          <cell r="H2742" t="str">
            <v>DOP</v>
          </cell>
          <cell r="I2742">
            <v>0</v>
          </cell>
          <cell r="J2742">
            <v>0</v>
          </cell>
          <cell r="K2742">
            <v>0</v>
          </cell>
          <cell r="L2742">
            <v>0</v>
          </cell>
          <cell r="M2742">
            <v>0</v>
          </cell>
          <cell r="N2742">
            <v>0</v>
          </cell>
          <cell r="O2742">
            <v>0</v>
          </cell>
          <cell r="P2742">
            <v>0</v>
          </cell>
          <cell r="Q2742">
            <v>0</v>
          </cell>
          <cell r="R2742">
            <v>0</v>
          </cell>
          <cell r="S2742">
            <v>0</v>
          </cell>
          <cell r="T2742">
            <v>0</v>
          </cell>
          <cell r="U2742" t="e">
            <v>#N/A</v>
          </cell>
        </row>
        <row r="2743">
          <cell r="A2743">
            <v>1004833</v>
          </cell>
          <cell r="B2743" t="str">
            <v>Barniz Eléctrico</v>
          </cell>
          <cell r="D2743">
            <v>6003</v>
          </cell>
          <cell r="E2743">
            <v>1000</v>
          </cell>
          <cell r="F2743" t="str">
            <v>ZALM</v>
          </cell>
          <cell r="G2743" t="str">
            <v>UN</v>
          </cell>
          <cell r="H2743" t="str">
            <v>DOP</v>
          </cell>
          <cell r="I2743">
            <v>0</v>
          </cell>
          <cell r="J2743">
            <v>0</v>
          </cell>
          <cell r="K2743">
            <v>0</v>
          </cell>
          <cell r="L2743">
            <v>0</v>
          </cell>
          <cell r="M2743">
            <v>0</v>
          </cell>
          <cell r="N2743">
            <v>0</v>
          </cell>
          <cell r="O2743">
            <v>0</v>
          </cell>
          <cell r="P2743">
            <v>0</v>
          </cell>
          <cell r="Q2743">
            <v>0</v>
          </cell>
          <cell r="R2743">
            <v>0</v>
          </cell>
          <cell r="S2743">
            <v>0</v>
          </cell>
          <cell r="T2743">
            <v>0</v>
          </cell>
          <cell r="U2743" t="e">
            <v>#N/A</v>
          </cell>
        </row>
        <row r="2744">
          <cell r="A2744">
            <v>1004836</v>
          </cell>
          <cell r="B2744" t="str">
            <v>Tarugo de plomo 5/16 X 3"</v>
          </cell>
          <cell r="D2744">
            <v>5110</v>
          </cell>
          <cell r="E2744">
            <v>1000</v>
          </cell>
          <cell r="F2744" t="str">
            <v>ZALM</v>
          </cell>
          <cell r="G2744" t="str">
            <v>UN</v>
          </cell>
          <cell r="H2744" t="str">
            <v>DOP</v>
          </cell>
          <cell r="I2744">
            <v>0</v>
          </cell>
          <cell r="J2744">
            <v>0</v>
          </cell>
          <cell r="K2744">
            <v>0</v>
          </cell>
          <cell r="L2744">
            <v>0</v>
          </cell>
          <cell r="M2744">
            <v>0</v>
          </cell>
          <cell r="N2744">
            <v>0</v>
          </cell>
          <cell r="O2744">
            <v>0</v>
          </cell>
          <cell r="P2744">
            <v>0</v>
          </cell>
          <cell r="Q2744">
            <v>0</v>
          </cell>
          <cell r="R2744">
            <v>0</v>
          </cell>
          <cell r="S2744">
            <v>0</v>
          </cell>
          <cell r="T2744">
            <v>0</v>
          </cell>
          <cell r="U2744" t="e">
            <v>#N/A</v>
          </cell>
        </row>
        <row r="2745">
          <cell r="A2745">
            <v>1004837</v>
          </cell>
          <cell r="B2745" t="str">
            <v>Cruceta de acero galvanizado 6.0'</v>
          </cell>
          <cell r="D2745">
            <v>5110</v>
          </cell>
          <cell r="E2745">
            <v>1000</v>
          </cell>
          <cell r="F2745" t="str">
            <v>ZALM</v>
          </cell>
          <cell r="G2745" t="str">
            <v>UN</v>
          </cell>
          <cell r="H2745" t="str">
            <v>DOP</v>
          </cell>
          <cell r="I2745">
            <v>0</v>
          </cell>
          <cell r="J2745">
            <v>0</v>
          </cell>
          <cell r="K2745">
            <v>0</v>
          </cell>
          <cell r="L2745">
            <v>0</v>
          </cell>
          <cell r="M2745">
            <v>0</v>
          </cell>
          <cell r="N2745">
            <v>0</v>
          </cell>
          <cell r="O2745">
            <v>0</v>
          </cell>
          <cell r="P2745">
            <v>0</v>
          </cell>
          <cell r="Q2745">
            <v>0</v>
          </cell>
          <cell r="R2745">
            <v>0</v>
          </cell>
          <cell r="S2745">
            <v>0</v>
          </cell>
          <cell r="T2745">
            <v>0</v>
          </cell>
          <cell r="U2745" t="e">
            <v>#N/A</v>
          </cell>
        </row>
        <row r="2746">
          <cell r="A2746">
            <v>1004839</v>
          </cell>
          <cell r="B2746" t="str">
            <v>Toma Corriente Superficie</v>
          </cell>
          <cell r="D2746">
            <v>6003</v>
          </cell>
          <cell r="E2746">
            <v>1000</v>
          </cell>
          <cell r="F2746" t="str">
            <v>ZALM</v>
          </cell>
          <cell r="G2746" t="str">
            <v>UN</v>
          </cell>
          <cell r="H2746" t="str">
            <v>DOP</v>
          </cell>
          <cell r="I2746">
            <v>929</v>
          </cell>
          <cell r="J2746">
            <v>87622.91</v>
          </cell>
          <cell r="K2746">
            <v>0</v>
          </cell>
          <cell r="L2746">
            <v>0</v>
          </cell>
          <cell r="M2746">
            <v>0</v>
          </cell>
          <cell r="N2746">
            <v>0</v>
          </cell>
          <cell r="O2746">
            <v>0</v>
          </cell>
          <cell r="P2746">
            <v>0</v>
          </cell>
          <cell r="Q2746">
            <v>0</v>
          </cell>
          <cell r="R2746">
            <v>0</v>
          </cell>
          <cell r="S2746">
            <v>929</v>
          </cell>
          <cell r="T2746">
            <v>87622.91</v>
          </cell>
          <cell r="U2746">
            <v>94.319601722282002</v>
          </cell>
        </row>
        <row r="2747">
          <cell r="A2747">
            <v>1004840</v>
          </cell>
          <cell r="B2747" t="str">
            <v>Transf Tension Unipolar 500 VA 7200/120V</v>
          </cell>
          <cell r="D2747">
            <v>5708</v>
          </cell>
          <cell r="E2747">
            <v>1000</v>
          </cell>
          <cell r="F2747" t="str">
            <v>ZALM</v>
          </cell>
          <cell r="G2747" t="str">
            <v>UN</v>
          </cell>
          <cell r="H2747" t="str">
            <v>DOP</v>
          </cell>
          <cell r="I2747">
            <v>0</v>
          </cell>
          <cell r="J2747">
            <v>0</v>
          </cell>
          <cell r="K2747">
            <v>0</v>
          </cell>
          <cell r="L2747">
            <v>0</v>
          </cell>
          <cell r="M2747">
            <v>0</v>
          </cell>
          <cell r="N2747">
            <v>0</v>
          </cell>
          <cell r="O2747">
            <v>0</v>
          </cell>
          <cell r="P2747">
            <v>0</v>
          </cell>
          <cell r="Q2747">
            <v>0</v>
          </cell>
          <cell r="R2747">
            <v>0</v>
          </cell>
          <cell r="S2747">
            <v>0</v>
          </cell>
          <cell r="T2747">
            <v>0</v>
          </cell>
          <cell r="U2747" t="e">
            <v>#N/A</v>
          </cell>
        </row>
        <row r="2748">
          <cell r="A2748">
            <v>1004850</v>
          </cell>
          <cell r="B2748" t="str">
            <v>TRANSF P-M 500 KVA 7.2-12.47KV 120-208V</v>
          </cell>
          <cell r="D2748">
            <v>4503</v>
          </cell>
          <cell r="E2748">
            <v>1000</v>
          </cell>
          <cell r="F2748" t="str">
            <v>ZALM</v>
          </cell>
          <cell r="G2748" t="str">
            <v>UN</v>
          </cell>
          <cell r="H2748" t="str">
            <v>DOP</v>
          </cell>
          <cell r="I2748">
            <v>0</v>
          </cell>
          <cell r="J2748">
            <v>0</v>
          </cell>
          <cell r="K2748">
            <v>0</v>
          </cell>
          <cell r="L2748">
            <v>0</v>
          </cell>
          <cell r="M2748">
            <v>1</v>
          </cell>
          <cell r="N2748">
            <v>465206.4</v>
          </cell>
          <cell r="O2748">
            <v>0</v>
          </cell>
          <cell r="P2748">
            <v>0</v>
          </cell>
          <cell r="Q2748">
            <v>0</v>
          </cell>
          <cell r="R2748">
            <v>0</v>
          </cell>
          <cell r="S2748">
            <v>1</v>
          </cell>
          <cell r="T2748">
            <v>465206.4</v>
          </cell>
          <cell r="U2748">
            <v>465206.4</v>
          </cell>
        </row>
        <row r="2749">
          <cell r="A2749">
            <v>1004857</v>
          </cell>
          <cell r="B2749" t="str">
            <v>Base Rectangular Dual 4 Clips 120/240 V</v>
          </cell>
          <cell r="D2749">
            <v>7208</v>
          </cell>
          <cell r="E2749">
            <v>1000</v>
          </cell>
          <cell r="F2749" t="str">
            <v>ZALM</v>
          </cell>
          <cell r="G2749" t="str">
            <v>UN</v>
          </cell>
          <cell r="H2749" t="str">
            <v>DOP</v>
          </cell>
          <cell r="I2749">
            <v>0</v>
          </cell>
          <cell r="J2749">
            <v>0</v>
          </cell>
          <cell r="K2749">
            <v>0</v>
          </cell>
          <cell r="L2749">
            <v>0</v>
          </cell>
          <cell r="M2749">
            <v>0</v>
          </cell>
          <cell r="N2749">
            <v>0</v>
          </cell>
          <cell r="O2749">
            <v>0</v>
          </cell>
          <cell r="P2749">
            <v>0</v>
          </cell>
          <cell r="Q2749">
            <v>0</v>
          </cell>
          <cell r="R2749">
            <v>0</v>
          </cell>
          <cell r="S2749">
            <v>0</v>
          </cell>
          <cell r="T2749">
            <v>0</v>
          </cell>
          <cell r="U2749" t="e">
            <v>#N/A</v>
          </cell>
        </row>
        <row r="2750">
          <cell r="A2750">
            <v>1004863</v>
          </cell>
          <cell r="B2750" t="str">
            <v>Soporte de acero para aislador rigido</v>
          </cell>
          <cell r="D2750">
            <v>5110</v>
          </cell>
          <cell r="E2750">
            <v>1000</v>
          </cell>
          <cell r="F2750" t="str">
            <v>ZALM</v>
          </cell>
          <cell r="G2750" t="str">
            <v>UN</v>
          </cell>
          <cell r="H2750" t="str">
            <v>DOP</v>
          </cell>
          <cell r="I2750">
            <v>0</v>
          </cell>
          <cell r="J2750">
            <v>0</v>
          </cell>
          <cell r="K2750">
            <v>0</v>
          </cell>
          <cell r="L2750">
            <v>0</v>
          </cell>
          <cell r="M2750">
            <v>0</v>
          </cell>
          <cell r="N2750">
            <v>0</v>
          </cell>
          <cell r="O2750">
            <v>0</v>
          </cell>
          <cell r="P2750">
            <v>0</v>
          </cell>
          <cell r="Q2750">
            <v>0</v>
          </cell>
          <cell r="R2750">
            <v>0</v>
          </cell>
          <cell r="S2750">
            <v>0</v>
          </cell>
          <cell r="T2750">
            <v>0</v>
          </cell>
          <cell r="U2750" t="e">
            <v>#N/A</v>
          </cell>
        </row>
        <row r="2751">
          <cell r="A2751">
            <v>1004865</v>
          </cell>
          <cell r="B2751" t="str">
            <v>Caja Derivadora P/Acometidas 30 tomas</v>
          </cell>
          <cell r="D2751">
            <v>5116</v>
          </cell>
          <cell r="E2751">
            <v>1000</v>
          </cell>
          <cell r="F2751" t="str">
            <v>ZALM</v>
          </cell>
          <cell r="G2751" t="str">
            <v>UN</v>
          </cell>
          <cell r="H2751" t="str">
            <v>DOP</v>
          </cell>
          <cell r="I2751">
            <v>0</v>
          </cell>
          <cell r="J2751">
            <v>0</v>
          </cell>
          <cell r="K2751">
            <v>0</v>
          </cell>
          <cell r="L2751">
            <v>0</v>
          </cell>
          <cell r="M2751">
            <v>0</v>
          </cell>
          <cell r="N2751">
            <v>0</v>
          </cell>
          <cell r="O2751">
            <v>0</v>
          </cell>
          <cell r="P2751">
            <v>0</v>
          </cell>
          <cell r="Q2751">
            <v>0</v>
          </cell>
          <cell r="R2751">
            <v>0</v>
          </cell>
          <cell r="S2751">
            <v>0</v>
          </cell>
          <cell r="T2751">
            <v>0</v>
          </cell>
          <cell r="U2751" t="e">
            <v>#N/A</v>
          </cell>
        </row>
        <row r="2752">
          <cell r="A2752">
            <v>1004866</v>
          </cell>
          <cell r="B2752" t="str">
            <v>Caja Derivadora P/ Acometidas 15 Tomas</v>
          </cell>
          <cell r="D2752">
            <v>5116</v>
          </cell>
          <cell r="E2752">
            <v>1000</v>
          </cell>
          <cell r="F2752" t="str">
            <v>ZALM</v>
          </cell>
          <cell r="G2752" t="str">
            <v>UN</v>
          </cell>
          <cell r="H2752" t="str">
            <v>DOP</v>
          </cell>
          <cell r="I2752">
            <v>0</v>
          </cell>
          <cell r="J2752">
            <v>0</v>
          </cell>
          <cell r="K2752">
            <v>0</v>
          </cell>
          <cell r="L2752">
            <v>0</v>
          </cell>
          <cell r="M2752">
            <v>0</v>
          </cell>
          <cell r="N2752">
            <v>0</v>
          </cell>
          <cell r="O2752">
            <v>0</v>
          </cell>
          <cell r="P2752">
            <v>0</v>
          </cell>
          <cell r="Q2752">
            <v>0</v>
          </cell>
          <cell r="R2752">
            <v>0</v>
          </cell>
          <cell r="S2752">
            <v>0</v>
          </cell>
          <cell r="T2752">
            <v>0</v>
          </cell>
          <cell r="U2752" t="e">
            <v>#N/A</v>
          </cell>
        </row>
        <row r="2753">
          <cell r="A2753">
            <v>1004868</v>
          </cell>
          <cell r="B2753" t="str">
            <v>Toma corriente doble 120V polarizado</v>
          </cell>
          <cell r="D2753">
            <v>7876</v>
          </cell>
          <cell r="E2753">
            <v>1000</v>
          </cell>
          <cell r="F2753" t="str">
            <v>ZALM</v>
          </cell>
          <cell r="G2753" t="str">
            <v>UN</v>
          </cell>
          <cell r="H2753" t="str">
            <v>DOP</v>
          </cell>
          <cell r="I2753">
            <v>0</v>
          </cell>
          <cell r="J2753">
            <v>0</v>
          </cell>
          <cell r="K2753">
            <v>0</v>
          </cell>
          <cell r="L2753">
            <v>0</v>
          </cell>
          <cell r="M2753">
            <v>0</v>
          </cell>
          <cell r="N2753">
            <v>0</v>
          </cell>
          <cell r="O2753">
            <v>0</v>
          </cell>
          <cell r="P2753">
            <v>0</v>
          </cell>
          <cell r="Q2753">
            <v>0</v>
          </cell>
          <cell r="R2753">
            <v>0</v>
          </cell>
          <cell r="S2753">
            <v>0</v>
          </cell>
          <cell r="T2753">
            <v>0</v>
          </cell>
          <cell r="U2753" t="e">
            <v>#N/A</v>
          </cell>
        </row>
        <row r="2754">
          <cell r="A2754">
            <v>1004869</v>
          </cell>
          <cell r="B2754" t="str">
            <v>Soporte Banco Capacitor Ac. Galv. 150KV</v>
          </cell>
          <cell r="D2754">
            <v>5110</v>
          </cell>
          <cell r="E2754">
            <v>1000</v>
          </cell>
          <cell r="F2754" t="str">
            <v>ZALM</v>
          </cell>
          <cell r="G2754" t="str">
            <v>UN</v>
          </cell>
          <cell r="H2754" t="str">
            <v>DOP</v>
          </cell>
          <cell r="I2754">
            <v>0</v>
          </cell>
          <cell r="J2754">
            <v>0</v>
          </cell>
          <cell r="K2754">
            <v>0</v>
          </cell>
          <cell r="L2754">
            <v>0</v>
          </cell>
          <cell r="M2754">
            <v>0</v>
          </cell>
          <cell r="N2754">
            <v>0</v>
          </cell>
          <cell r="O2754">
            <v>0</v>
          </cell>
          <cell r="P2754">
            <v>0</v>
          </cell>
          <cell r="Q2754">
            <v>0</v>
          </cell>
          <cell r="R2754">
            <v>0</v>
          </cell>
          <cell r="S2754">
            <v>0</v>
          </cell>
          <cell r="T2754">
            <v>0</v>
          </cell>
          <cell r="U2754" t="e">
            <v>#N/A</v>
          </cell>
        </row>
        <row r="2755">
          <cell r="A2755">
            <v>1004870</v>
          </cell>
          <cell r="B2755" t="str">
            <v>Cruceta de acero galvanizado 5' 7"</v>
          </cell>
          <cell r="D2755">
            <v>5110</v>
          </cell>
          <cell r="E2755">
            <v>1000</v>
          </cell>
          <cell r="F2755" t="str">
            <v>ZALM</v>
          </cell>
          <cell r="G2755" t="str">
            <v>UN</v>
          </cell>
          <cell r="H2755" t="str">
            <v>DOP</v>
          </cell>
          <cell r="I2755">
            <v>0</v>
          </cell>
          <cell r="J2755">
            <v>0</v>
          </cell>
          <cell r="K2755">
            <v>0</v>
          </cell>
          <cell r="L2755">
            <v>0</v>
          </cell>
          <cell r="M2755">
            <v>0</v>
          </cell>
          <cell r="N2755">
            <v>0</v>
          </cell>
          <cell r="O2755">
            <v>0</v>
          </cell>
          <cell r="P2755">
            <v>0</v>
          </cell>
          <cell r="Q2755">
            <v>0</v>
          </cell>
          <cell r="R2755">
            <v>0</v>
          </cell>
          <cell r="S2755">
            <v>0</v>
          </cell>
          <cell r="T2755">
            <v>0</v>
          </cell>
          <cell r="U2755" t="e">
            <v>#N/A</v>
          </cell>
        </row>
        <row r="2756">
          <cell r="A2756">
            <v>1004871</v>
          </cell>
          <cell r="B2756" t="str">
            <v>Poste Metálico de Chapa - 25', 2.5KN</v>
          </cell>
          <cell r="D2756">
            <v>5106</v>
          </cell>
          <cell r="E2756">
            <v>1000</v>
          </cell>
          <cell r="F2756" t="str">
            <v>ZALM</v>
          </cell>
          <cell r="G2756" t="str">
            <v>UN</v>
          </cell>
          <cell r="H2756" t="str">
            <v>DOP</v>
          </cell>
          <cell r="I2756">
            <v>0</v>
          </cell>
          <cell r="J2756">
            <v>0</v>
          </cell>
          <cell r="K2756">
            <v>0</v>
          </cell>
          <cell r="L2756">
            <v>0</v>
          </cell>
          <cell r="M2756">
            <v>0</v>
          </cell>
          <cell r="N2756">
            <v>0</v>
          </cell>
          <cell r="O2756">
            <v>0</v>
          </cell>
          <cell r="P2756">
            <v>0</v>
          </cell>
          <cell r="Q2756">
            <v>0</v>
          </cell>
          <cell r="R2756">
            <v>0</v>
          </cell>
          <cell r="S2756">
            <v>0</v>
          </cell>
          <cell r="T2756">
            <v>0</v>
          </cell>
          <cell r="U2756" t="e">
            <v>#N/A</v>
          </cell>
        </row>
        <row r="2757">
          <cell r="A2757">
            <v>1004872</v>
          </cell>
          <cell r="B2757" t="str">
            <v>Transf. Mon. de 50 KVA, 34.5 KV 120-240V</v>
          </cell>
          <cell r="D2757">
            <v>6302</v>
          </cell>
          <cell r="E2757">
            <v>1000</v>
          </cell>
          <cell r="F2757" t="str">
            <v>ZALM</v>
          </cell>
          <cell r="G2757" t="str">
            <v>UN</v>
          </cell>
          <cell r="H2757" t="str">
            <v>DOP</v>
          </cell>
          <cell r="I2757">
            <v>0</v>
          </cell>
          <cell r="J2757">
            <v>0</v>
          </cell>
          <cell r="K2757">
            <v>0</v>
          </cell>
          <cell r="L2757">
            <v>0</v>
          </cell>
          <cell r="M2757">
            <v>0</v>
          </cell>
          <cell r="N2757">
            <v>0</v>
          </cell>
          <cell r="O2757">
            <v>0</v>
          </cell>
          <cell r="P2757">
            <v>0</v>
          </cell>
          <cell r="Q2757">
            <v>0</v>
          </cell>
          <cell r="R2757">
            <v>0</v>
          </cell>
          <cell r="S2757">
            <v>0</v>
          </cell>
          <cell r="T2757">
            <v>0</v>
          </cell>
          <cell r="U2757" t="e">
            <v>#N/A</v>
          </cell>
        </row>
        <row r="2758">
          <cell r="A2758">
            <v>1004873</v>
          </cell>
          <cell r="B2758" t="str">
            <v>Cable Triplex AAC 2# 1/0 Neutro AAAC</v>
          </cell>
          <cell r="D2758">
            <v>6000</v>
          </cell>
          <cell r="E2758">
            <v>1000</v>
          </cell>
          <cell r="F2758" t="str">
            <v>ZALM</v>
          </cell>
          <cell r="G2758" t="str">
            <v>UN</v>
          </cell>
          <cell r="H2758" t="str">
            <v>DOP</v>
          </cell>
          <cell r="I2758">
            <v>0</v>
          </cell>
          <cell r="J2758">
            <v>0</v>
          </cell>
          <cell r="K2758">
            <v>0</v>
          </cell>
          <cell r="L2758">
            <v>0</v>
          </cell>
          <cell r="M2758">
            <v>0</v>
          </cell>
          <cell r="N2758">
            <v>0</v>
          </cell>
          <cell r="O2758">
            <v>0</v>
          </cell>
          <cell r="P2758">
            <v>0</v>
          </cell>
          <cell r="Q2758">
            <v>0</v>
          </cell>
          <cell r="R2758">
            <v>0</v>
          </cell>
          <cell r="S2758">
            <v>0</v>
          </cell>
          <cell r="T2758">
            <v>0</v>
          </cell>
          <cell r="U2758" t="e">
            <v>#N/A</v>
          </cell>
        </row>
        <row r="2759">
          <cell r="A2759">
            <v>1004874</v>
          </cell>
          <cell r="B2759" t="str">
            <v>Kit Iluminación Exterior 150 Watts</v>
          </cell>
          <cell r="D2759">
            <v>6007</v>
          </cell>
          <cell r="E2759">
            <v>1000</v>
          </cell>
          <cell r="F2759" t="str">
            <v>ZALM</v>
          </cell>
          <cell r="G2759" t="str">
            <v>UN</v>
          </cell>
          <cell r="H2759" t="str">
            <v>DOP</v>
          </cell>
          <cell r="I2759">
            <v>0</v>
          </cell>
          <cell r="J2759">
            <v>0</v>
          </cell>
          <cell r="K2759">
            <v>0</v>
          </cell>
          <cell r="L2759">
            <v>0</v>
          </cell>
          <cell r="M2759">
            <v>0</v>
          </cell>
          <cell r="N2759">
            <v>0</v>
          </cell>
          <cell r="O2759">
            <v>0</v>
          </cell>
          <cell r="P2759">
            <v>0</v>
          </cell>
          <cell r="Q2759">
            <v>0</v>
          </cell>
          <cell r="R2759">
            <v>0</v>
          </cell>
          <cell r="S2759">
            <v>0</v>
          </cell>
          <cell r="T2759">
            <v>0</v>
          </cell>
          <cell r="U2759" t="e">
            <v>#N/A</v>
          </cell>
        </row>
        <row r="2760">
          <cell r="A2760">
            <v>1004875</v>
          </cell>
          <cell r="B2760" t="str">
            <v>Transf Mon.  25 kVA, 19,92 KV 120-240V</v>
          </cell>
          <cell r="D2760">
            <v>6302</v>
          </cell>
          <cell r="E2760">
            <v>1000</v>
          </cell>
          <cell r="F2760" t="str">
            <v>ZALM</v>
          </cell>
          <cell r="G2760" t="str">
            <v>UN</v>
          </cell>
          <cell r="H2760" t="str">
            <v>DOP</v>
          </cell>
          <cell r="I2760">
            <v>0</v>
          </cell>
          <cell r="J2760">
            <v>0</v>
          </cell>
          <cell r="K2760">
            <v>0</v>
          </cell>
          <cell r="L2760">
            <v>0</v>
          </cell>
          <cell r="M2760">
            <v>0</v>
          </cell>
          <cell r="N2760">
            <v>0</v>
          </cell>
          <cell r="O2760">
            <v>0</v>
          </cell>
          <cell r="P2760">
            <v>0</v>
          </cell>
          <cell r="Q2760">
            <v>0</v>
          </cell>
          <cell r="R2760">
            <v>0</v>
          </cell>
          <cell r="S2760">
            <v>0</v>
          </cell>
          <cell r="T2760">
            <v>0</v>
          </cell>
          <cell r="U2760" t="e">
            <v>#N/A</v>
          </cell>
        </row>
        <row r="2761">
          <cell r="A2761">
            <v>1004876</v>
          </cell>
          <cell r="B2761" t="str">
            <v>Transf Mon.  37.5 kVA, 19,92 KV 120-240V</v>
          </cell>
          <cell r="D2761">
            <v>6302</v>
          </cell>
          <cell r="E2761">
            <v>1000</v>
          </cell>
          <cell r="F2761" t="str">
            <v>ZALM</v>
          </cell>
          <cell r="G2761" t="str">
            <v>UN</v>
          </cell>
          <cell r="H2761" t="str">
            <v>DOP</v>
          </cell>
          <cell r="I2761">
            <v>0</v>
          </cell>
          <cell r="J2761">
            <v>0</v>
          </cell>
          <cell r="K2761">
            <v>0</v>
          </cell>
          <cell r="L2761">
            <v>0</v>
          </cell>
          <cell r="M2761">
            <v>0</v>
          </cell>
          <cell r="N2761">
            <v>0</v>
          </cell>
          <cell r="O2761">
            <v>0</v>
          </cell>
          <cell r="P2761">
            <v>0</v>
          </cell>
          <cell r="Q2761">
            <v>0</v>
          </cell>
          <cell r="R2761">
            <v>0</v>
          </cell>
          <cell r="S2761">
            <v>0</v>
          </cell>
          <cell r="T2761">
            <v>0</v>
          </cell>
          <cell r="U2761" t="e">
            <v>#N/A</v>
          </cell>
        </row>
        <row r="2762">
          <cell r="A2762">
            <v>1004877</v>
          </cell>
          <cell r="B2762" t="str">
            <v>Transf trif. P-M  500 KVA,12475-480/277</v>
          </cell>
          <cell r="D2762">
            <v>6302</v>
          </cell>
          <cell r="E2762">
            <v>1000</v>
          </cell>
          <cell r="F2762" t="str">
            <v>ZALM</v>
          </cell>
          <cell r="G2762" t="str">
            <v>UN</v>
          </cell>
          <cell r="H2762" t="str">
            <v>DOP</v>
          </cell>
          <cell r="I2762">
            <v>0</v>
          </cell>
          <cell r="J2762">
            <v>0</v>
          </cell>
          <cell r="K2762">
            <v>0</v>
          </cell>
          <cell r="L2762">
            <v>0</v>
          </cell>
          <cell r="M2762">
            <v>0</v>
          </cell>
          <cell r="N2762">
            <v>0</v>
          </cell>
          <cell r="O2762">
            <v>0</v>
          </cell>
          <cell r="P2762">
            <v>0</v>
          </cell>
          <cell r="Q2762">
            <v>0</v>
          </cell>
          <cell r="R2762">
            <v>0</v>
          </cell>
          <cell r="S2762">
            <v>0</v>
          </cell>
          <cell r="T2762">
            <v>0</v>
          </cell>
          <cell r="U2762" t="e">
            <v>#N/A</v>
          </cell>
        </row>
        <row r="2763">
          <cell r="A2763">
            <v>1004878</v>
          </cell>
          <cell r="B2763" t="str">
            <v>MEDIDOR BOTTON 120V CLASE 100</v>
          </cell>
          <cell r="D2763">
            <v>5409</v>
          </cell>
          <cell r="E2763">
            <v>1000</v>
          </cell>
          <cell r="F2763" t="str">
            <v>ZALM</v>
          </cell>
          <cell r="G2763" t="str">
            <v>UN</v>
          </cell>
          <cell r="H2763" t="str">
            <v>DOP</v>
          </cell>
          <cell r="I2763">
            <v>0</v>
          </cell>
          <cell r="J2763">
            <v>0</v>
          </cell>
          <cell r="K2763">
            <v>0</v>
          </cell>
          <cell r="L2763">
            <v>0</v>
          </cell>
          <cell r="M2763">
            <v>0</v>
          </cell>
          <cell r="N2763">
            <v>0</v>
          </cell>
          <cell r="O2763">
            <v>0</v>
          </cell>
          <cell r="P2763">
            <v>0</v>
          </cell>
          <cell r="Q2763">
            <v>0</v>
          </cell>
          <cell r="R2763">
            <v>0</v>
          </cell>
          <cell r="S2763">
            <v>0</v>
          </cell>
          <cell r="T2763">
            <v>0</v>
          </cell>
          <cell r="U2763" t="e">
            <v>#N/A</v>
          </cell>
        </row>
        <row r="2764">
          <cell r="A2764">
            <v>1004880</v>
          </cell>
          <cell r="B2764" t="str">
            <v>CONECT DENT 50/150-50/150 MM² 1/0-4/0</v>
          </cell>
          <cell r="D2764">
            <v>4506</v>
          </cell>
          <cell r="E2764">
            <v>1000</v>
          </cell>
          <cell r="F2764" t="str">
            <v>ZALM</v>
          </cell>
          <cell r="G2764" t="str">
            <v>UN</v>
          </cell>
          <cell r="H2764" t="str">
            <v>DOP</v>
          </cell>
          <cell r="I2764">
            <v>0</v>
          </cell>
          <cell r="J2764">
            <v>0</v>
          </cell>
          <cell r="K2764">
            <v>0</v>
          </cell>
          <cell r="L2764">
            <v>0</v>
          </cell>
          <cell r="M2764">
            <v>0</v>
          </cell>
          <cell r="N2764">
            <v>0</v>
          </cell>
          <cell r="O2764">
            <v>0</v>
          </cell>
          <cell r="P2764">
            <v>0</v>
          </cell>
          <cell r="Q2764">
            <v>0</v>
          </cell>
          <cell r="R2764">
            <v>0</v>
          </cell>
          <cell r="S2764">
            <v>0</v>
          </cell>
          <cell r="T2764">
            <v>0</v>
          </cell>
          <cell r="U2764" t="e">
            <v>#N/A</v>
          </cell>
        </row>
        <row r="2765">
          <cell r="A2765">
            <v>1004881</v>
          </cell>
          <cell r="B2765" t="str">
            <v>MANGUITO COMP. AL AISLA</v>
          </cell>
          <cell r="D2765">
            <v>6003</v>
          </cell>
          <cell r="E2765">
            <v>1000</v>
          </cell>
          <cell r="F2765" t="str">
            <v>ZALM</v>
          </cell>
          <cell r="G2765" t="str">
            <v>UN</v>
          </cell>
          <cell r="H2765" t="str">
            <v>DOP</v>
          </cell>
          <cell r="I2765">
            <v>0</v>
          </cell>
          <cell r="J2765">
            <v>0</v>
          </cell>
          <cell r="K2765">
            <v>0</v>
          </cell>
          <cell r="L2765">
            <v>0</v>
          </cell>
          <cell r="M2765">
            <v>0</v>
          </cell>
          <cell r="N2765">
            <v>0</v>
          </cell>
          <cell r="O2765">
            <v>0</v>
          </cell>
          <cell r="P2765">
            <v>0</v>
          </cell>
          <cell r="Q2765">
            <v>0</v>
          </cell>
          <cell r="R2765">
            <v>0</v>
          </cell>
          <cell r="S2765">
            <v>0</v>
          </cell>
          <cell r="T2765">
            <v>0</v>
          </cell>
          <cell r="U2765" t="e">
            <v>#N/A</v>
          </cell>
        </row>
        <row r="2766">
          <cell r="A2766">
            <v>1004882</v>
          </cell>
          <cell r="B2766" t="str">
            <v>Terminal Macho Para Tubo 2"</v>
          </cell>
          <cell r="D2766">
            <v>5110</v>
          </cell>
          <cell r="E2766">
            <v>1000</v>
          </cell>
          <cell r="F2766" t="str">
            <v>ZALM</v>
          </cell>
          <cell r="G2766" t="str">
            <v>UN</v>
          </cell>
          <cell r="H2766" t="str">
            <v>DOP</v>
          </cell>
          <cell r="I2766">
            <v>0</v>
          </cell>
          <cell r="J2766">
            <v>0</v>
          </cell>
          <cell r="K2766">
            <v>0</v>
          </cell>
          <cell r="L2766">
            <v>0</v>
          </cell>
          <cell r="M2766">
            <v>0</v>
          </cell>
          <cell r="N2766">
            <v>0</v>
          </cell>
          <cell r="O2766">
            <v>0</v>
          </cell>
          <cell r="P2766">
            <v>0</v>
          </cell>
          <cell r="Q2766">
            <v>0</v>
          </cell>
          <cell r="R2766">
            <v>0</v>
          </cell>
          <cell r="S2766">
            <v>0</v>
          </cell>
          <cell r="T2766">
            <v>0</v>
          </cell>
          <cell r="U2766" t="e">
            <v>#N/A</v>
          </cell>
        </row>
        <row r="2767">
          <cell r="A2767">
            <v>1004883</v>
          </cell>
          <cell r="B2767" t="str">
            <v>PINZA DE RETENCION PARA ACOMETIDAS</v>
          </cell>
          <cell r="D2767">
            <v>7208</v>
          </cell>
          <cell r="E2767">
            <v>1000</v>
          </cell>
          <cell r="F2767" t="str">
            <v>ZALM</v>
          </cell>
          <cell r="G2767" t="str">
            <v>UN</v>
          </cell>
          <cell r="H2767" t="str">
            <v>DOP</v>
          </cell>
          <cell r="I2767">
            <v>0</v>
          </cell>
          <cell r="J2767">
            <v>0</v>
          </cell>
          <cell r="K2767">
            <v>0</v>
          </cell>
          <cell r="L2767">
            <v>0</v>
          </cell>
          <cell r="M2767">
            <v>0</v>
          </cell>
          <cell r="N2767">
            <v>0</v>
          </cell>
          <cell r="O2767">
            <v>0</v>
          </cell>
          <cell r="P2767">
            <v>0</v>
          </cell>
          <cell r="Q2767">
            <v>0</v>
          </cell>
          <cell r="R2767">
            <v>0</v>
          </cell>
          <cell r="S2767">
            <v>0</v>
          </cell>
          <cell r="T2767">
            <v>0</v>
          </cell>
          <cell r="U2767" t="e">
            <v>#N/A</v>
          </cell>
        </row>
        <row r="2768">
          <cell r="A2768">
            <v>1004884</v>
          </cell>
          <cell r="B2768" t="str">
            <v>BASE RECTANGULAR P/ MEDIDOR 240v 30A</v>
          </cell>
          <cell r="D2768">
            <v>5110</v>
          </cell>
          <cell r="E2768">
            <v>1000</v>
          </cell>
          <cell r="F2768" t="str">
            <v>ZALM</v>
          </cell>
          <cell r="G2768" t="str">
            <v>UN</v>
          </cell>
          <cell r="H2768" t="str">
            <v>DOP</v>
          </cell>
          <cell r="I2768">
            <v>0</v>
          </cell>
          <cell r="J2768">
            <v>0</v>
          </cell>
          <cell r="K2768">
            <v>0</v>
          </cell>
          <cell r="L2768">
            <v>0</v>
          </cell>
          <cell r="M2768">
            <v>0</v>
          </cell>
          <cell r="N2768">
            <v>0</v>
          </cell>
          <cell r="O2768">
            <v>0</v>
          </cell>
          <cell r="P2768">
            <v>0</v>
          </cell>
          <cell r="Q2768">
            <v>0</v>
          </cell>
          <cell r="R2768">
            <v>0</v>
          </cell>
          <cell r="S2768">
            <v>0</v>
          </cell>
          <cell r="T2768">
            <v>0</v>
          </cell>
          <cell r="U2768" t="e">
            <v>#N/A</v>
          </cell>
        </row>
        <row r="2769">
          <cell r="A2769">
            <v>1004885</v>
          </cell>
          <cell r="B2769" t="str">
            <v>SELLO DE SEGURIDAD ROTO-SEAL</v>
          </cell>
          <cell r="D2769">
            <v>7208</v>
          </cell>
          <cell r="E2769">
            <v>1000</v>
          </cell>
          <cell r="F2769" t="str">
            <v>ZALM</v>
          </cell>
          <cell r="G2769" t="str">
            <v>UN</v>
          </cell>
          <cell r="H2769" t="str">
            <v>DOP</v>
          </cell>
          <cell r="I2769">
            <v>0</v>
          </cell>
          <cell r="J2769">
            <v>0</v>
          </cell>
          <cell r="K2769">
            <v>0</v>
          </cell>
          <cell r="L2769">
            <v>0</v>
          </cell>
          <cell r="M2769">
            <v>0</v>
          </cell>
          <cell r="N2769">
            <v>0</v>
          </cell>
          <cell r="O2769">
            <v>0</v>
          </cell>
          <cell r="P2769">
            <v>0</v>
          </cell>
          <cell r="Q2769">
            <v>0</v>
          </cell>
          <cell r="R2769">
            <v>0</v>
          </cell>
          <cell r="S2769">
            <v>0</v>
          </cell>
          <cell r="T2769">
            <v>0</v>
          </cell>
          <cell r="U2769" t="e">
            <v>#N/A</v>
          </cell>
        </row>
        <row r="2770">
          <cell r="A2770">
            <v>1004886</v>
          </cell>
          <cell r="B2770" t="str">
            <v>Transformador Pad-Mounted 75kVA 12470V</v>
          </cell>
          <cell r="D2770">
            <v>5705</v>
          </cell>
          <cell r="E2770">
            <v>1000</v>
          </cell>
          <cell r="F2770" t="str">
            <v>ZALM</v>
          </cell>
          <cell r="G2770" t="str">
            <v>UN</v>
          </cell>
          <cell r="H2770" t="str">
            <v>DOP</v>
          </cell>
          <cell r="I2770">
            <v>0</v>
          </cell>
          <cell r="J2770">
            <v>0</v>
          </cell>
          <cell r="K2770">
            <v>0</v>
          </cell>
          <cell r="L2770">
            <v>0</v>
          </cell>
          <cell r="M2770">
            <v>0</v>
          </cell>
          <cell r="N2770">
            <v>0</v>
          </cell>
          <cell r="O2770">
            <v>0</v>
          </cell>
          <cell r="P2770">
            <v>0</v>
          </cell>
          <cell r="Q2770">
            <v>0</v>
          </cell>
          <cell r="R2770">
            <v>0</v>
          </cell>
          <cell r="S2770">
            <v>0</v>
          </cell>
          <cell r="T2770">
            <v>0</v>
          </cell>
          <cell r="U2770" t="e">
            <v>#N/A</v>
          </cell>
        </row>
        <row r="2771">
          <cell r="A2771">
            <v>1004894</v>
          </cell>
          <cell r="B2771" t="str">
            <v>Juego de Juntas y Empaques para Transf.</v>
          </cell>
          <cell r="D2771">
            <v>7200</v>
          </cell>
          <cell r="E2771">
            <v>1000</v>
          </cell>
          <cell r="F2771" t="str">
            <v>ZALM</v>
          </cell>
          <cell r="G2771" t="str">
            <v>UN</v>
          </cell>
          <cell r="H2771" t="str">
            <v>DOP</v>
          </cell>
          <cell r="I2771">
            <v>0</v>
          </cell>
          <cell r="J2771">
            <v>0</v>
          </cell>
          <cell r="K2771">
            <v>0</v>
          </cell>
          <cell r="L2771">
            <v>0</v>
          </cell>
          <cell r="M2771">
            <v>0</v>
          </cell>
          <cell r="N2771">
            <v>0</v>
          </cell>
          <cell r="O2771">
            <v>0</v>
          </cell>
          <cell r="P2771">
            <v>0</v>
          </cell>
          <cell r="Q2771">
            <v>0</v>
          </cell>
          <cell r="R2771">
            <v>0</v>
          </cell>
          <cell r="S2771">
            <v>0</v>
          </cell>
          <cell r="T2771">
            <v>0</v>
          </cell>
          <cell r="U2771" t="e">
            <v>#N/A</v>
          </cell>
        </row>
        <row r="2772">
          <cell r="A2772">
            <v>1004895</v>
          </cell>
          <cell r="B2772" t="str">
            <v>Juego de Deshidratadores para Transf.</v>
          </cell>
          <cell r="D2772">
            <v>7200</v>
          </cell>
          <cell r="E2772">
            <v>1000</v>
          </cell>
          <cell r="F2772" t="str">
            <v>ZALM</v>
          </cell>
          <cell r="G2772" t="str">
            <v>UN</v>
          </cell>
          <cell r="H2772" t="str">
            <v>DOP</v>
          </cell>
          <cell r="I2772">
            <v>0</v>
          </cell>
          <cell r="J2772">
            <v>0</v>
          </cell>
          <cell r="K2772">
            <v>0</v>
          </cell>
          <cell r="L2772">
            <v>0</v>
          </cell>
          <cell r="M2772">
            <v>0</v>
          </cell>
          <cell r="N2772">
            <v>0</v>
          </cell>
          <cell r="O2772">
            <v>0</v>
          </cell>
          <cell r="P2772">
            <v>0</v>
          </cell>
          <cell r="Q2772">
            <v>0</v>
          </cell>
          <cell r="R2772">
            <v>0</v>
          </cell>
          <cell r="S2772">
            <v>0</v>
          </cell>
          <cell r="T2772">
            <v>0</v>
          </cell>
          <cell r="U2772" t="e">
            <v>#N/A</v>
          </cell>
        </row>
        <row r="2773">
          <cell r="A2773">
            <v>1004900</v>
          </cell>
          <cell r="B2773" t="str">
            <v>Transf P-M 150kVA 7.2-2.4kV 120-240V</v>
          </cell>
          <cell r="D2773">
            <v>6302</v>
          </cell>
          <cell r="E2773">
            <v>1000</v>
          </cell>
          <cell r="F2773" t="str">
            <v>ZALM</v>
          </cell>
          <cell r="G2773" t="str">
            <v>UN</v>
          </cell>
          <cell r="H2773" t="str">
            <v>DOP</v>
          </cell>
          <cell r="I2773">
            <v>0</v>
          </cell>
          <cell r="J2773">
            <v>0</v>
          </cell>
          <cell r="K2773">
            <v>0</v>
          </cell>
          <cell r="L2773">
            <v>0</v>
          </cell>
          <cell r="M2773">
            <v>0</v>
          </cell>
          <cell r="N2773">
            <v>0</v>
          </cell>
          <cell r="O2773">
            <v>0</v>
          </cell>
          <cell r="P2773">
            <v>0</v>
          </cell>
          <cell r="Q2773">
            <v>0</v>
          </cell>
          <cell r="R2773">
            <v>0</v>
          </cell>
          <cell r="S2773">
            <v>0</v>
          </cell>
          <cell r="T2773">
            <v>0</v>
          </cell>
          <cell r="U2773" t="e">
            <v>#N/A</v>
          </cell>
        </row>
        <row r="2774">
          <cell r="A2774">
            <v>1004901</v>
          </cell>
          <cell r="B2774" t="str">
            <v>Transf P-M 50kVA 7.2-2.4kV 120-240V</v>
          </cell>
          <cell r="D2774">
            <v>6302</v>
          </cell>
          <cell r="E2774">
            <v>1000</v>
          </cell>
          <cell r="F2774" t="str">
            <v>ZALM</v>
          </cell>
          <cell r="G2774" t="str">
            <v>UN</v>
          </cell>
          <cell r="H2774" t="str">
            <v>DOP</v>
          </cell>
          <cell r="I2774">
            <v>0</v>
          </cell>
          <cell r="J2774">
            <v>0</v>
          </cell>
          <cell r="K2774">
            <v>0</v>
          </cell>
          <cell r="L2774">
            <v>0</v>
          </cell>
          <cell r="M2774">
            <v>0</v>
          </cell>
          <cell r="N2774">
            <v>0</v>
          </cell>
          <cell r="O2774">
            <v>0</v>
          </cell>
          <cell r="P2774">
            <v>0</v>
          </cell>
          <cell r="Q2774">
            <v>0</v>
          </cell>
          <cell r="R2774">
            <v>0</v>
          </cell>
          <cell r="S2774">
            <v>0</v>
          </cell>
          <cell r="T2774">
            <v>0</v>
          </cell>
          <cell r="U2774" t="e">
            <v>#N/A</v>
          </cell>
        </row>
        <row r="2775">
          <cell r="A2775">
            <v>1004915</v>
          </cell>
          <cell r="B2775" t="str">
            <v>Casco Seguridad Tipo Sombrero</v>
          </cell>
          <cell r="D2775">
            <v>7201</v>
          </cell>
          <cell r="E2775">
            <v>1000</v>
          </cell>
          <cell r="F2775" t="str">
            <v>ZALM</v>
          </cell>
          <cell r="G2775" t="str">
            <v>UN</v>
          </cell>
          <cell r="H2775" t="str">
            <v>DOP</v>
          </cell>
          <cell r="I2775">
            <v>80</v>
          </cell>
          <cell r="J2775">
            <v>63568</v>
          </cell>
          <cell r="K2775">
            <v>0</v>
          </cell>
          <cell r="L2775">
            <v>0</v>
          </cell>
          <cell r="M2775">
            <v>0</v>
          </cell>
          <cell r="N2775">
            <v>0</v>
          </cell>
          <cell r="O2775">
            <v>0</v>
          </cell>
          <cell r="P2775">
            <v>0</v>
          </cell>
          <cell r="Q2775">
            <v>0</v>
          </cell>
          <cell r="R2775">
            <v>0</v>
          </cell>
          <cell r="S2775">
            <v>80</v>
          </cell>
          <cell r="T2775">
            <v>63568</v>
          </cell>
          <cell r="U2775">
            <v>794.6</v>
          </cell>
        </row>
        <row r="2776">
          <cell r="A2776">
            <v>1004916</v>
          </cell>
          <cell r="B2776" t="str">
            <v>BARBUIQUEJO AJUSTABLE</v>
          </cell>
          <cell r="D2776">
            <v>7201</v>
          </cell>
          <cell r="E2776">
            <v>1000</v>
          </cell>
          <cell r="F2776" t="str">
            <v>ZALM</v>
          </cell>
          <cell r="G2776" t="str">
            <v>UN</v>
          </cell>
          <cell r="H2776" t="str">
            <v>DOP</v>
          </cell>
          <cell r="I2776">
            <v>128</v>
          </cell>
          <cell r="J2776">
            <v>11519.22</v>
          </cell>
          <cell r="K2776">
            <v>0</v>
          </cell>
          <cell r="L2776">
            <v>0</v>
          </cell>
          <cell r="M2776">
            <v>0</v>
          </cell>
          <cell r="N2776">
            <v>0</v>
          </cell>
          <cell r="O2776">
            <v>0</v>
          </cell>
          <cell r="P2776">
            <v>0</v>
          </cell>
          <cell r="Q2776">
            <v>0</v>
          </cell>
          <cell r="R2776">
            <v>0</v>
          </cell>
          <cell r="S2776">
            <v>128</v>
          </cell>
          <cell r="T2776">
            <v>11519.22</v>
          </cell>
          <cell r="U2776">
            <v>89.993906249999995</v>
          </cell>
        </row>
        <row r="2777">
          <cell r="A2777">
            <v>1004917</v>
          </cell>
          <cell r="B2777" t="str">
            <v>Correa Montonera</v>
          </cell>
          <cell r="D2777">
            <v>7201</v>
          </cell>
          <cell r="E2777">
            <v>1000</v>
          </cell>
          <cell r="F2777" t="str">
            <v>ZALM</v>
          </cell>
          <cell r="G2777" t="str">
            <v>UN</v>
          </cell>
          <cell r="H2777" t="str">
            <v>DOP</v>
          </cell>
          <cell r="I2777">
            <v>0</v>
          </cell>
          <cell r="J2777">
            <v>0</v>
          </cell>
          <cell r="K2777">
            <v>0</v>
          </cell>
          <cell r="L2777">
            <v>0</v>
          </cell>
          <cell r="M2777">
            <v>0</v>
          </cell>
          <cell r="N2777">
            <v>0</v>
          </cell>
          <cell r="O2777">
            <v>0</v>
          </cell>
          <cell r="P2777">
            <v>0</v>
          </cell>
          <cell r="Q2777">
            <v>0</v>
          </cell>
          <cell r="R2777">
            <v>0</v>
          </cell>
          <cell r="S2777">
            <v>0</v>
          </cell>
          <cell r="T2777">
            <v>0</v>
          </cell>
          <cell r="U2777" t="e">
            <v>#N/A</v>
          </cell>
        </row>
        <row r="2778">
          <cell r="A2778">
            <v>1004918</v>
          </cell>
          <cell r="B2778" t="str">
            <v>KIT CAMILLA INMOVILIZADORA ANTITRAUMA</v>
          </cell>
          <cell r="D2778">
            <v>7201</v>
          </cell>
          <cell r="E2778">
            <v>1000</v>
          </cell>
          <cell r="F2778" t="str">
            <v>ZALM</v>
          </cell>
          <cell r="G2778" t="str">
            <v>UN</v>
          </cell>
          <cell r="H2778" t="str">
            <v>DOP</v>
          </cell>
          <cell r="I2778">
            <v>0</v>
          </cell>
          <cell r="J2778">
            <v>0</v>
          </cell>
          <cell r="K2778">
            <v>0</v>
          </cell>
          <cell r="L2778">
            <v>0</v>
          </cell>
          <cell r="M2778">
            <v>0</v>
          </cell>
          <cell r="N2778">
            <v>0</v>
          </cell>
          <cell r="O2778">
            <v>0</v>
          </cell>
          <cell r="P2778">
            <v>0</v>
          </cell>
          <cell r="Q2778">
            <v>0</v>
          </cell>
          <cell r="R2778">
            <v>0</v>
          </cell>
          <cell r="S2778">
            <v>0</v>
          </cell>
          <cell r="T2778">
            <v>0</v>
          </cell>
          <cell r="U2778" t="e">
            <v>#N/A</v>
          </cell>
        </row>
        <row r="2779">
          <cell r="A2779">
            <v>1004921</v>
          </cell>
          <cell r="B2779" t="str">
            <v>KIT DE REEMPLAZO LUMINARIA 400 W HPS</v>
          </cell>
          <cell r="D2779">
            <v>6007</v>
          </cell>
          <cell r="E2779">
            <v>1000</v>
          </cell>
          <cell r="F2779" t="str">
            <v>ZALM</v>
          </cell>
          <cell r="G2779" t="str">
            <v>UN</v>
          </cell>
          <cell r="H2779" t="str">
            <v>DOP</v>
          </cell>
          <cell r="I2779">
            <v>0</v>
          </cell>
          <cell r="J2779">
            <v>0</v>
          </cell>
          <cell r="K2779">
            <v>0</v>
          </cell>
          <cell r="L2779">
            <v>0</v>
          </cell>
          <cell r="M2779">
            <v>0</v>
          </cell>
          <cell r="N2779">
            <v>0</v>
          </cell>
          <cell r="O2779">
            <v>0</v>
          </cell>
          <cell r="P2779">
            <v>0</v>
          </cell>
          <cell r="Q2779">
            <v>0</v>
          </cell>
          <cell r="R2779">
            <v>0</v>
          </cell>
          <cell r="S2779">
            <v>0</v>
          </cell>
          <cell r="T2779">
            <v>0</v>
          </cell>
          <cell r="U2779" t="e">
            <v>#N/A</v>
          </cell>
        </row>
        <row r="2780">
          <cell r="A2780">
            <v>1004928</v>
          </cell>
          <cell r="B2780" t="str">
            <v>Kit de Blindaje Eléctrico Armorcast</v>
          </cell>
          <cell r="D2780">
            <v>7208</v>
          </cell>
          <cell r="E2780">
            <v>1000</v>
          </cell>
          <cell r="F2780" t="str">
            <v>ZALM</v>
          </cell>
          <cell r="G2780" t="str">
            <v>UN</v>
          </cell>
          <cell r="H2780" t="str">
            <v>DOP</v>
          </cell>
          <cell r="I2780">
            <v>0</v>
          </cell>
          <cell r="J2780">
            <v>0</v>
          </cell>
          <cell r="K2780">
            <v>0</v>
          </cell>
          <cell r="L2780">
            <v>0</v>
          </cell>
          <cell r="M2780">
            <v>0</v>
          </cell>
          <cell r="N2780">
            <v>0</v>
          </cell>
          <cell r="O2780">
            <v>0</v>
          </cell>
          <cell r="P2780">
            <v>0</v>
          </cell>
          <cell r="Q2780">
            <v>0</v>
          </cell>
          <cell r="R2780">
            <v>0</v>
          </cell>
          <cell r="S2780">
            <v>0</v>
          </cell>
          <cell r="T2780">
            <v>0</v>
          </cell>
          <cell r="U2780" t="e">
            <v>#N/A</v>
          </cell>
        </row>
        <row r="2781">
          <cell r="A2781">
            <v>1004929</v>
          </cell>
          <cell r="B2781" t="str">
            <v>JUEGO DE  PUENTE AISLADOS (0-15KV)</v>
          </cell>
          <cell r="D2781">
            <v>7201</v>
          </cell>
          <cell r="E2781">
            <v>1000</v>
          </cell>
          <cell r="F2781" t="str">
            <v>ZALM</v>
          </cell>
          <cell r="G2781" t="str">
            <v>UN</v>
          </cell>
          <cell r="H2781" t="str">
            <v>DOP</v>
          </cell>
          <cell r="I2781">
            <v>0</v>
          </cell>
          <cell r="J2781">
            <v>0</v>
          </cell>
          <cell r="K2781">
            <v>0</v>
          </cell>
          <cell r="L2781">
            <v>0</v>
          </cell>
          <cell r="M2781">
            <v>0</v>
          </cell>
          <cell r="N2781">
            <v>0</v>
          </cell>
          <cell r="O2781">
            <v>0</v>
          </cell>
          <cell r="P2781">
            <v>0</v>
          </cell>
          <cell r="Q2781">
            <v>0</v>
          </cell>
          <cell r="R2781">
            <v>0</v>
          </cell>
          <cell r="S2781">
            <v>0</v>
          </cell>
          <cell r="T2781">
            <v>0</v>
          </cell>
          <cell r="U2781" t="e">
            <v>#N/A</v>
          </cell>
        </row>
        <row r="2782">
          <cell r="A2782">
            <v>1004930</v>
          </cell>
          <cell r="B2782" t="str">
            <v>Rana 2/0</v>
          </cell>
          <cell r="D2782">
            <v>7201</v>
          </cell>
          <cell r="E2782">
            <v>1000</v>
          </cell>
          <cell r="F2782" t="str">
            <v>ZALM</v>
          </cell>
          <cell r="G2782" t="str">
            <v>UN</v>
          </cell>
          <cell r="H2782" t="str">
            <v>DOP</v>
          </cell>
          <cell r="I2782">
            <v>0</v>
          </cell>
          <cell r="J2782">
            <v>0</v>
          </cell>
          <cell r="K2782">
            <v>0</v>
          </cell>
          <cell r="L2782">
            <v>0</v>
          </cell>
          <cell r="M2782">
            <v>0</v>
          </cell>
          <cell r="N2782">
            <v>0</v>
          </cell>
          <cell r="O2782">
            <v>0</v>
          </cell>
          <cell r="P2782">
            <v>0</v>
          </cell>
          <cell r="Q2782">
            <v>0</v>
          </cell>
          <cell r="R2782">
            <v>0</v>
          </cell>
          <cell r="S2782">
            <v>0</v>
          </cell>
          <cell r="T2782">
            <v>0</v>
          </cell>
          <cell r="U2782" t="e">
            <v>#N/A</v>
          </cell>
        </row>
        <row r="2783">
          <cell r="A2783">
            <v>1004932</v>
          </cell>
          <cell r="B2783" t="str">
            <v>Terminal condulet para tubo de 3"</v>
          </cell>
          <cell r="D2783">
            <v>5110</v>
          </cell>
          <cell r="E2783">
            <v>1000</v>
          </cell>
          <cell r="F2783" t="str">
            <v>ZALM</v>
          </cell>
          <cell r="G2783" t="str">
            <v>UN</v>
          </cell>
          <cell r="H2783" t="str">
            <v>DOP</v>
          </cell>
          <cell r="I2783">
            <v>0</v>
          </cell>
          <cell r="J2783">
            <v>0</v>
          </cell>
          <cell r="K2783">
            <v>0</v>
          </cell>
          <cell r="L2783">
            <v>0</v>
          </cell>
          <cell r="M2783">
            <v>0</v>
          </cell>
          <cell r="N2783">
            <v>0</v>
          </cell>
          <cell r="O2783">
            <v>0</v>
          </cell>
          <cell r="P2783">
            <v>0</v>
          </cell>
          <cell r="Q2783">
            <v>0</v>
          </cell>
          <cell r="R2783">
            <v>0</v>
          </cell>
          <cell r="S2783">
            <v>0</v>
          </cell>
          <cell r="T2783">
            <v>0</v>
          </cell>
          <cell r="U2783" t="e">
            <v>#N/A</v>
          </cell>
        </row>
        <row r="2784">
          <cell r="A2784">
            <v>1004933</v>
          </cell>
          <cell r="B2784" t="str">
            <v>Poste de Hormigon Pretensado 35' 5KN</v>
          </cell>
          <cell r="D2784">
            <v>4502</v>
          </cell>
          <cell r="E2784">
            <v>1000</v>
          </cell>
          <cell r="F2784" t="str">
            <v>ZALM</v>
          </cell>
          <cell r="G2784" t="str">
            <v>UN</v>
          </cell>
          <cell r="H2784" t="str">
            <v>DOP</v>
          </cell>
          <cell r="I2784">
            <v>0</v>
          </cell>
          <cell r="J2784">
            <v>0</v>
          </cell>
          <cell r="K2784">
            <v>0</v>
          </cell>
          <cell r="L2784">
            <v>0</v>
          </cell>
          <cell r="M2784">
            <v>0</v>
          </cell>
          <cell r="N2784">
            <v>0</v>
          </cell>
          <cell r="O2784">
            <v>0</v>
          </cell>
          <cell r="P2784">
            <v>0</v>
          </cell>
          <cell r="Q2784">
            <v>0</v>
          </cell>
          <cell r="R2784">
            <v>0</v>
          </cell>
          <cell r="S2784">
            <v>0</v>
          </cell>
          <cell r="T2784">
            <v>0</v>
          </cell>
          <cell r="U2784" t="e">
            <v>#N/A</v>
          </cell>
        </row>
        <row r="2785">
          <cell r="A2785">
            <v>1005020</v>
          </cell>
          <cell r="B2785" t="str">
            <v>Transf P-M 500kVA 12.5kV 120/ 208 V</v>
          </cell>
          <cell r="D2785">
            <v>6302</v>
          </cell>
          <cell r="E2785">
            <v>1000</v>
          </cell>
          <cell r="F2785" t="str">
            <v>ZALM</v>
          </cell>
          <cell r="G2785" t="str">
            <v>UN</v>
          </cell>
          <cell r="H2785" t="str">
            <v>DOP</v>
          </cell>
          <cell r="I2785">
            <v>0</v>
          </cell>
          <cell r="J2785">
            <v>0</v>
          </cell>
          <cell r="K2785">
            <v>0</v>
          </cell>
          <cell r="L2785">
            <v>0</v>
          </cell>
          <cell r="M2785">
            <v>0</v>
          </cell>
          <cell r="N2785">
            <v>0</v>
          </cell>
          <cell r="O2785">
            <v>0</v>
          </cell>
          <cell r="P2785">
            <v>0</v>
          </cell>
          <cell r="Q2785">
            <v>0</v>
          </cell>
          <cell r="R2785">
            <v>0</v>
          </cell>
          <cell r="S2785">
            <v>0</v>
          </cell>
          <cell r="T2785">
            <v>0</v>
          </cell>
          <cell r="U2785" t="e">
            <v>#N/A</v>
          </cell>
        </row>
        <row r="2786">
          <cell r="A2786">
            <v>1005041</v>
          </cell>
          <cell r="B2786" t="str">
            <v>BOCINA SELLADA SK P PRO</v>
          </cell>
          <cell r="D2786">
            <v>5405</v>
          </cell>
          <cell r="E2786">
            <v>1000</v>
          </cell>
          <cell r="F2786" t="str">
            <v>ZALM</v>
          </cell>
          <cell r="G2786" t="str">
            <v>UN</v>
          </cell>
          <cell r="H2786" t="str">
            <v>DOP</v>
          </cell>
          <cell r="I2786">
            <v>0</v>
          </cell>
          <cell r="J2786">
            <v>0</v>
          </cell>
          <cell r="K2786">
            <v>0</v>
          </cell>
          <cell r="L2786">
            <v>0</v>
          </cell>
          <cell r="M2786">
            <v>0</v>
          </cell>
          <cell r="N2786">
            <v>0</v>
          </cell>
          <cell r="O2786">
            <v>0</v>
          </cell>
          <cell r="P2786">
            <v>0</v>
          </cell>
          <cell r="Q2786">
            <v>0</v>
          </cell>
          <cell r="R2786">
            <v>0</v>
          </cell>
          <cell r="S2786">
            <v>0</v>
          </cell>
          <cell r="T2786">
            <v>0</v>
          </cell>
          <cell r="U2786" t="e">
            <v>#N/A</v>
          </cell>
        </row>
        <row r="2787">
          <cell r="A2787">
            <v>1005049</v>
          </cell>
          <cell r="B2787" t="str">
            <v>BREAKER 20A.DOBLE</v>
          </cell>
          <cell r="D2787">
            <v>7208</v>
          </cell>
          <cell r="E2787">
            <v>1000</v>
          </cell>
          <cell r="F2787" t="str">
            <v>ZALM</v>
          </cell>
          <cell r="G2787" t="str">
            <v>UN</v>
          </cell>
          <cell r="H2787" t="str">
            <v>DOP</v>
          </cell>
          <cell r="I2787">
            <v>0</v>
          </cell>
          <cell r="J2787">
            <v>0</v>
          </cell>
          <cell r="K2787">
            <v>0</v>
          </cell>
          <cell r="L2787">
            <v>0</v>
          </cell>
          <cell r="M2787">
            <v>0</v>
          </cell>
          <cell r="N2787">
            <v>0</v>
          </cell>
          <cell r="O2787">
            <v>0</v>
          </cell>
          <cell r="P2787">
            <v>0</v>
          </cell>
          <cell r="Q2787">
            <v>0</v>
          </cell>
          <cell r="R2787">
            <v>0</v>
          </cell>
          <cell r="S2787">
            <v>0</v>
          </cell>
          <cell r="T2787">
            <v>0</v>
          </cell>
          <cell r="U2787" t="e">
            <v>#N/A</v>
          </cell>
        </row>
        <row r="2788">
          <cell r="A2788">
            <v>1005050</v>
          </cell>
          <cell r="B2788" t="str">
            <v>Transf Monof 167KVA 12.5/7.2kv 120/208</v>
          </cell>
          <cell r="D2788">
            <v>6302</v>
          </cell>
          <cell r="E2788">
            <v>1000</v>
          </cell>
          <cell r="F2788" t="str">
            <v>ZALM</v>
          </cell>
          <cell r="G2788" t="str">
            <v>UN</v>
          </cell>
          <cell r="H2788" t="str">
            <v>DOP</v>
          </cell>
          <cell r="I2788">
            <v>1</v>
          </cell>
          <cell r="J2788">
            <v>183280</v>
          </cell>
          <cell r="K2788">
            <v>0</v>
          </cell>
          <cell r="L2788">
            <v>0</v>
          </cell>
          <cell r="M2788">
            <v>0</v>
          </cell>
          <cell r="N2788">
            <v>0</v>
          </cell>
          <cell r="O2788">
            <v>0</v>
          </cell>
          <cell r="P2788">
            <v>0</v>
          </cell>
          <cell r="Q2788">
            <v>0</v>
          </cell>
          <cell r="R2788">
            <v>0</v>
          </cell>
          <cell r="S2788">
            <v>1</v>
          </cell>
          <cell r="T2788">
            <v>183280</v>
          </cell>
          <cell r="U2788">
            <v>183280</v>
          </cell>
        </row>
        <row r="2789">
          <cell r="A2789">
            <v>1005070</v>
          </cell>
          <cell r="B2789" t="str">
            <v>TORNILLO CABEZA  HEXAGONAL   3/8"X 2"</v>
          </cell>
          <cell r="D2789">
            <v>5108</v>
          </cell>
          <cell r="E2789">
            <v>1000</v>
          </cell>
          <cell r="F2789" t="str">
            <v>ZALM</v>
          </cell>
          <cell r="G2789" t="str">
            <v>UN</v>
          </cell>
          <cell r="H2789" t="str">
            <v>DOP</v>
          </cell>
          <cell r="I2789">
            <v>0</v>
          </cell>
          <cell r="J2789">
            <v>0</v>
          </cell>
          <cell r="K2789">
            <v>0</v>
          </cell>
          <cell r="L2789">
            <v>0</v>
          </cell>
          <cell r="M2789">
            <v>0</v>
          </cell>
          <cell r="N2789">
            <v>0</v>
          </cell>
          <cell r="O2789">
            <v>0</v>
          </cell>
          <cell r="P2789">
            <v>0</v>
          </cell>
          <cell r="Q2789">
            <v>0</v>
          </cell>
          <cell r="R2789">
            <v>0</v>
          </cell>
          <cell r="S2789">
            <v>0</v>
          </cell>
          <cell r="T2789">
            <v>0</v>
          </cell>
          <cell r="U2789" t="e">
            <v>#N/A</v>
          </cell>
        </row>
        <row r="2790">
          <cell r="A2790">
            <v>1005071</v>
          </cell>
          <cell r="B2790" t="str">
            <v>TORNILLO AC.GALV. CON OJO.C.T.5/8X16</v>
          </cell>
          <cell r="D2790">
            <v>5108</v>
          </cell>
          <cell r="E2790">
            <v>1000</v>
          </cell>
          <cell r="F2790" t="str">
            <v>ZALM</v>
          </cell>
          <cell r="G2790" t="str">
            <v>UN</v>
          </cell>
          <cell r="H2790" t="str">
            <v>DOP</v>
          </cell>
          <cell r="I2790">
            <v>0</v>
          </cell>
          <cell r="J2790">
            <v>0</v>
          </cell>
          <cell r="K2790">
            <v>0</v>
          </cell>
          <cell r="L2790">
            <v>0</v>
          </cell>
          <cell r="M2790">
            <v>0</v>
          </cell>
          <cell r="N2790">
            <v>0</v>
          </cell>
          <cell r="O2790">
            <v>0</v>
          </cell>
          <cell r="P2790">
            <v>0</v>
          </cell>
          <cell r="Q2790">
            <v>0</v>
          </cell>
          <cell r="R2790">
            <v>0</v>
          </cell>
          <cell r="S2790">
            <v>0</v>
          </cell>
          <cell r="T2790">
            <v>0</v>
          </cell>
          <cell r="U2790" t="e">
            <v>#N/A</v>
          </cell>
        </row>
        <row r="2791">
          <cell r="A2791">
            <v>1005092</v>
          </cell>
          <cell r="B2791" t="str">
            <v>Transf M. 75kVA 2.4kV 120-240V Reg. 30%</v>
          </cell>
          <cell r="D2791">
            <v>6302</v>
          </cell>
          <cell r="E2791">
            <v>1000</v>
          </cell>
          <cell r="F2791" t="str">
            <v>ZALM</v>
          </cell>
          <cell r="G2791" t="str">
            <v>UN</v>
          </cell>
          <cell r="H2791" t="str">
            <v>DOP</v>
          </cell>
          <cell r="I2791">
            <v>0</v>
          </cell>
          <cell r="J2791">
            <v>0</v>
          </cell>
          <cell r="K2791">
            <v>0</v>
          </cell>
          <cell r="L2791">
            <v>0</v>
          </cell>
          <cell r="M2791">
            <v>0</v>
          </cell>
          <cell r="N2791">
            <v>0</v>
          </cell>
          <cell r="O2791">
            <v>0</v>
          </cell>
          <cell r="P2791">
            <v>0</v>
          </cell>
          <cell r="Q2791">
            <v>0</v>
          </cell>
          <cell r="R2791">
            <v>0</v>
          </cell>
          <cell r="S2791">
            <v>0</v>
          </cell>
          <cell r="T2791">
            <v>0</v>
          </cell>
          <cell r="U2791" t="e">
            <v>#N/A</v>
          </cell>
        </row>
        <row r="2792">
          <cell r="A2792">
            <v>1005093</v>
          </cell>
          <cell r="B2792" t="str">
            <v>PUENTE CAPTA CARGA</v>
          </cell>
          <cell r="D2792">
            <v>7201</v>
          </cell>
          <cell r="E2792">
            <v>1000</v>
          </cell>
          <cell r="F2792" t="str">
            <v>ZALM</v>
          </cell>
          <cell r="G2792" t="str">
            <v>UN</v>
          </cell>
          <cell r="H2792" t="str">
            <v>DOP</v>
          </cell>
          <cell r="I2792">
            <v>401</v>
          </cell>
          <cell r="J2792">
            <v>11314612.16</v>
          </cell>
          <cell r="K2792">
            <v>0</v>
          </cell>
          <cell r="L2792">
            <v>0</v>
          </cell>
          <cell r="M2792">
            <v>0</v>
          </cell>
          <cell r="N2792">
            <v>0</v>
          </cell>
          <cell r="O2792">
            <v>0</v>
          </cell>
          <cell r="P2792">
            <v>0</v>
          </cell>
          <cell r="Q2792">
            <v>0</v>
          </cell>
          <cell r="R2792">
            <v>0</v>
          </cell>
          <cell r="S2792">
            <v>401</v>
          </cell>
          <cell r="T2792">
            <v>11314612.16</v>
          </cell>
          <cell r="U2792">
            <v>28215.9904239401</v>
          </cell>
        </row>
        <row r="2793">
          <cell r="A2793">
            <v>1005094</v>
          </cell>
          <cell r="B2793" t="str">
            <v>COBERTURA P/ POSTES</v>
          </cell>
          <cell r="D2793">
            <v>7201</v>
          </cell>
          <cell r="E2793">
            <v>1000</v>
          </cell>
          <cell r="F2793" t="str">
            <v>ZALM</v>
          </cell>
          <cell r="G2793" t="str">
            <v>UN</v>
          </cell>
          <cell r="H2793" t="str">
            <v>DOP</v>
          </cell>
          <cell r="I2793">
            <v>60</v>
          </cell>
          <cell r="J2793">
            <v>742438.52</v>
          </cell>
          <cell r="K2793">
            <v>0</v>
          </cell>
          <cell r="L2793">
            <v>0</v>
          </cell>
          <cell r="M2793">
            <v>0</v>
          </cell>
          <cell r="N2793">
            <v>0</v>
          </cell>
          <cell r="O2793">
            <v>0</v>
          </cell>
          <cell r="P2793">
            <v>0</v>
          </cell>
          <cell r="Q2793">
            <v>0</v>
          </cell>
          <cell r="R2793">
            <v>0</v>
          </cell>
          <cell r="S2793">
            <v>60</v>
          </cell>
          <cell r="T2793">
            <v>742438.52</v>
          </cell>
          <cell r="U2793">
            <v>12373.975333333299</v>
          </cell>
        </row>
        <row r="2794">
          <cell r="A2794">
            <v>1005096</v>
          </cell>
          <cell r="B2794" t="str">
            <v>TRANSF M. 50KVA 2.4KV 120-240V REG. 30%</v>
          </cell>
          <cell r="D2794">
            <v>6302</v>
          </cell>
          <cell r="E2794">
            <v>1000</v>
          </cell>
          <cell r="F2794" t="str">
            <v>ZALM</v>
          </cell>
          <cell r="G2794" t="str">
            <v>UN</v>
          </cell>
          <cell r="H2794" t="str">
            <v>DOP</v>
          </cell>
          <cell r="I2794">
            <v>0</v>
          </cell>
          <cell r="J2794">
            <v>0</v>
          </cell>
          <cell r="K2794">
            <v>0</v>
          </cell>
          <cell r="L2794">
            <v>0</v>
          </cell>
          <cell r="M2794">
            <v>0</v>
          </cell>
          <cell r="N2794">
            <v>0</v>
          </cell>
          <cell r="O2794">
            <v>0</v>
          </cell>
          <cell r="P2794">
            <v>0</v>
          </cell>
          <cell r="Q2794">
            <v>0</v>
          </cell>
          <cell r="R2794">
            <v>0</v>
          </cell>
          <cell r="S2794">
            <v>0</v>
          </cell>
          <cell r="T2794">
            <v>0</v>
          </cell>
          <cell r="U2794" t="e">
            <v>#N/A</v>
          </cell>
        </row>
        <row r="2795">
          <cell r="A2795">
            <v>1005097</v>
          </cell>
          <cell r="B2795" t="str">
            <v>Tornillo Cab Hex 3/8"x2</v>
          </cell>
          <cell r="D2795">
            <v>5108</v>
          </cell>
          <cell r="E2795">
            <v>1000</v>
          </cell>
          <cell r="F2795" t="str">
            <v>ZALM</v>
          </cell>
          <cell r="G2795" t="str">
            <v>UN</v>
          </cell>
          <cell r="H2795" t="str">
            <v>DOP</v>
          </cell>
          <cell r="I2795">
            <v>0</v>
          </cell>
          <cell r="J2795">
            <v>0</v>
          </cell>
          <cell r="K2795">
            <v>0</v>
          </cell>
          <cell r="L2795">
            <v>0</v>
          </cell>
          <cell r="M2795">
            <v>0</v>
          </cell>
          <cell r="N2795">
            <v>0</v>
          </cell>
          <cell r="O2795">
            <v>0</v>
          </cell>
          <cell r="P2795">
            <v>0</v>
          </cell>
          <cell r="Q2795">
            <v>0</v>
          </cell>
          <cell r="R2795">
            <v>0</v>
          </cell>
          <cell r="S2795">
            <v>0</v>
          </cell>
          <cell r="T2795">
            <v>0</v>
          </cell>
          <cell r="U2795" t="e">
            <v>#N/A</v>
          </cell>
        </row>
        <row r="2796">
          <cell r="A2796">
            <v>1005099</v>
          </cell>
          <cell r="B2796" t="str">
            <v>Regulador Aut. Volt. 114.4 KVA a 7.2 KV</v>
          </cell>
          <cell r="D2796">
            <v>6302</v>
          </cell>
          <cell r="E2796">
            <v>1000</v>
          </cell>
          <cell r="F2796" t="str">
            <v>ZALM</v>
          </cell>
          <cell r="G2796" t="str">
            <v>UN</v>
          </cell>
          <cell r="H2796" t="str">
            <v>DOP</v>
          </cell>
          <cell r="I2796">
            <v>3</v>
          </cell>
          <cell r="J2796">
            <v>1850209.35</v>
          </cell>
          <cell r="K2796">
            <v>0</v>
          </cell>
          <cell r="L2796">
            <v>0</v>
          </cell>
          <cell r="M2796">
            <v>0</v>
          </cell>
          <cell r="N2796">
            <v>0</v>
          </cell>
          <cell r="O2796">
            <v>0</v>
          </cell>
          <cell r="P2796">
            <v>0</v>
          </cell>
          <cell r="Q2796">
            <v>0</v>
          </cell>
          <cell r="R2796">
            <v>0</v>
          </cell>
          <cell r="S2796">
            <v>3</v>
          </cell>
          <cell r="T2796">
            <v>1850209.35</v>
          </cell>
          <cell r="U2796">
            <v>616736.44999999995</v>
          </cell>
        </row>
        <row r="2797">
          <cell r="A2797">
            <v>1005100</v>
          </cell>
          <cell r="B2797" t="str">
            <v>Regulador Aut. Volt. 76.2 KVA a 7.2 KV</v>
          </cell>
          <cell r="D2797">
            <v>6302</v>
          </cell>
          <cell r="E2797">
            <v>1000</v>
          </cell>
          <cell r="F2797" t="str">
            <v>ZALM</v>
          </cell>
          <cell r="G2797" t="str">
            <v>UN</v>
          </cell>
          <cell r="H2797" t="str">
            <v>DOP</v>
          </cell>
          <cell r="I2797">
            <v>0</v>
          </cell>
          <cell r="J2797">
            <v>0</v>
          </cell>
          <cell r="K2797">
            <v>0</v>
          </cell>
          <cell r="L2797">
            <v>0</v>
          </cell>
          <cell r="M2797">
            <v>0</v>
          </cell>
          <cell r="N2797">
            <v>0</v>
          </cell>
          <cell r="O2797">
            <v>0</v>
          </cell>
          <cell r="P2797">
            <v>0</v>
          </cell>
          <cell r="Q2797">
            <v>0</v>
          </cell>
          <cell r="R2797">
            <v>0</v>
          </cell>
          <cell r="S2797">
            <v>0</v>
          </cell>
          <cell r="T2797">
            <v>0</v>
          </cell>
          <cell r="U2797" t="e">
            <v>#N/A</v>
          </cell>
        </row>
        <row r="2798">
          <cell r="A2798">
            <v>1005107</v>
          </cell>
          <cell r="B2798" t="str">
            <v>Cable Helian RG-213</v>
          </cell>
          <cell r="D2798">
            <v>5405</v>
          </cell>
          <cell r="E2798">
            <v>1000</v>
          </cell>
          <cell r="F2798" t="str">
            <v>ZALM</v>
          </cell>
          <cell r="G2798" t="str">
            <v>PIE</v>
          </cell>
          <cell r="H2798" t="str">
            <v>DOP</v>
          </cell>
          <cell r="I2798">
            <v>0</v>
          </cell>
          <cell r="J2798">
            <v>0</v>
          </cell>
          <cell r="K2798">
            <v>0</v>
          </cell>
          <cell r="L2798">
            <v>0</v>
          </cell>
          <cell r="M2798">
            <v>0</v>
          </cell>
          <cell r="N2798">
            <v>0</v>
          </cell>
          <cell r="O2798">
            <v>0</v>
          </cell>
          <cell r="P2798">
            <v>0</v>
          </cell>
          <cell r="Q2798">
            <v>0</v>
          </cell>
          <cell r="R2798">
            <v>0</v>
          </cell>
          <cell r="S2798">
            <v>0</v>
          </cell>
          <cell r="T2798">
            <v>0</v>
          </cell>
          <cell r="U2798" t="e">
            <v>#N/A</v>
          </cell>
        </row>
        <row r="2799">
          <cell r="A2799">
            <v>1005108</v>
          </cell>
          <cell r="B2799" t="str">
            <v>Cable Helian RG-58</v>
          </cell>
          <cell r="D2799">
            <v>5405</v>
          </cell>
          <cell r="E2799">
            <v>1000</v>
          </cell>
          <cell r="F2799" t="str">
            <v>ZALM</v>
          </cell>
          <cell r="G2799" t="str">
            <v>PIE</v>
          </cell>
          <cell r="H2799" t="str">
            <v>DOP</v>
          </cell>
          <cell r="I2799">
            <v>0</v>
          </cell>
          <cell r="J2799">
            <v>0</v>
          </cell>
          <cell r="K2799">
            <v>0</v>
          </cell>
          <cell r="L2799">
            <v>0</v>
          </cell>
          <cell r="M2799">
            <v>0</v>
          </cell>
          <cell r="N2799">
            <v>0</v>
          </cell>
          <cell r="O2799">
            <v>0</v>
          </cell>
          <cell r="P2799">
            <v>0</v>
          </cell>
          <cell r="Q2799">
            <v>0</v>
          </cell>
          <cell r="R2799">
            <v>0</v>
          </cell>
          <cell r="S2799">
            <v>0</v>
          </cell>
          <cell r="T2799">
            <v>0</v>
          </cell>
          <cell r="U2799" t="e">
            <v>#N/A</v>
          </cell>
        </row>
        <row r="2800">
          <cell r="A2800">
            <v>1005109</v>
          </cell>
          <cell r="B2800" t="str">
            <v>Radio TS4000</v>
          </cell>
          <cell r="D2800">
            <v>5405</v>
          </cell>
          <cell r="E2800">
            <v>1000</v>
          </cell>
          <cell r="F2800" t="str">
            <v>ZALM</v>
          </cell>
          <cell r="G2800" t="str">
            <v>UN</v>
          </cell>
          <cell r="H2800" t="str">
            <v>DOP</v>
          </cell>
          <cell r="I2800">
            <v>0</v>
          </cell>
          <cell r="J2800">
            <v>0</v>
          </cell>
          <cell r="K2800">
            <v>0</v>
          </cell>
          <cell r="L2800">
            <v>0</v>
          </cell>
          <cell r="M2800">
            <v>0</v>
          </cell>
          <cell r="N2800">
            <v>0</v>
          </cell>
          <cell r="O2800">
            <v>0</v>
          </cell>
          <cell r="P2800">
            <v>0</v>
          </cell>
          <cell r="Q2800">
            <v>0</v>
          </cell>
          <cell r="R2800">
            <v>0</v>
          </cell>
          <cell r="S2800">
            <v>0</v>
          </cell>
          <cell r="T2800">
            <v>0</v>
          </cell>
          <cell r="U2800" t="e">
            <v>#N/A</v>
          </cell>
        </row>
        <row r="2801">
          <cell r="A2801">
            <v>1005110</v>
          </cell>
          <cell r="B2801" t="str">
            <v>Conector Tipo N Macho para RG58</v>
          </cell>
          <cell r="D2801">
            <v>5405</v>
          </cell>
          <cell r="E2801">
            <v>1000</v>
          </cell>
          <cell r="F2801" t="str">
            <v>ZALM</v>
          </cell>
          <cell r="G2801" t="str">
            <v>UN</v>
          </cell>
          <cell r="H2801" t="str">
            <v>DOP</v>
          </cell>
          <cell r="I2801">
            <v>0</v>
          </cell>
          <cell r="J2801">
            <v>0</v>
          </cell>
          <cell r="K2801">
            <v>0</v>
          </cell>
          <cell r="L2801">
            <v>0</v>
          </cell>
          <cell r="M2801">
            <v>0</v>
          </cell>
          <cell r="N2801">
            <v>0</v>
          </cell>
          <cell r="O2801">
            <v>0</v>
          </cell>
          <cell r="P2801">
            <v>0</v>
          </cell>
          <cell r="Q2801">
            <v>0</v>
          </cell>
          <cell r="R2801">
            <v>0</v>
          </cell>
          <cell r="S2801">
            <v>0</v>
          </cell>
          <cell r="T2801">
            <v>0</v>
          </cell>
          <cell r="U2801" t="e">
            <v>#N/A</v>
          </cell>
        </row>
        <row r="2802">
          <cell r="A2802">
            <v>1005135</v>
          </cell>
          <cell r="B2802" t="str">
            <v>Pinza Amperimétrica Fluke 373</v>
          </cell>
          <cell r="D2802">
            <v>6023</v>
          </cell>
          <cell r="E2802">
            <v>1000</v>
          </cell>
          <cell r="F2802" t="str">
            <v>ZALM</v>
          </cell>
          <cell r="G2802" t="str">
            <v>UN</v>
          </cell>
          <cell r="H2802" t="str">
            <v>DOP</v>
          </cell>
          <cell r="I2802">
            <v>0</v>
          </cell>
          <cell r="J2802">
            <v>0</v>
          </cell>
          <cell r="K2802">
            <v>0</v>
          </cell>
          <cell r="L2802">
            <v>0</v>
          </cell>
          <cell r="M2802">
            <v>0</v>
          </cell>
          <cell r="N2802">
            <v>0</v>
          </cell>
          <cell r="O2802">
            <v>0</v>
          </cell>
          <cell r="P2802">
            <v>0</v>
          </cell>
          <cell r="Q2802">
            <v>0</v>
          </cell>
          <cell r="R2802">
            <v>0</v>
          </cell>
          <cell r="S2802">
            <v>0</v>
          </cell>
          <cell r="T2802">
            <v>0</v>
          </cell>
          <cell r="U2802" t="e">
            <v>#N/A</v>
          </cell>
        </row>
        <row r="2803">
          <cell r="A2803">
            <v>1005142</v>
          </cell>
          <cell r="B2803" t="str">
            <v>Banco de Baterías de 24 unidades</v>
          </cell>
          <cell r="D2803">
            <v>6008</v>
          </cell>
          <cell r="E2803">
            <v>1000</v>
          </cell>
          <cell r="F2803" t="str">
            <v>ZALM</v>
          </cell>
          <cell r="G2803" t="str">
            <v>UN</v>
          </cell>
          <cell r="H2803" t="str">
            <v>DOP</v>
          </cell>
          <cell r="I2803">
            <v>0</v>
          </cell>
          <cell r="J2803">
            <v>0</v>
          </cell>
          <cell r="K2803">
            <v>0</v>
          </cell>
          <cell r="L2803">
            <v>0</v>
          </cell>
          <cell r="M2803">
            <v>0</v>
          </cell>
          <cell r="N2803">
            <v>0</v>
          </cell>
          <cell r="O2803">
            <v>0</v>
          </cell>
          <cell r="P2803">
            <v>0</v>
          </cell>
          <cell r="Q2803">
            <v>0</v>
          </cell>
          <cell r="R2803">
            <v>0</v>
          </cell>
          <cell r="S2803">
            <v>0</v>
          </cell>
          <cell r="T2803">
            <v>0</v>
          </cell>
          <cell r="U2803" t="e">
            <v>#N/A</v>
          </cell>
        </row>
        <row r="2804">
          <cell r="A2804">
            <v>1005166</v>
          </cell>
          <cell r="B2804" t="str">
            <v>Vara Telescópica 32'</v>
          </cell>
          <cell r="D2804">
            <v>5501</v>
          </cell>
          <cell r="E2804">
            <v>1000</v>
          </cell>
          <cell r="F2804" t="str">
            <v>ZALM</v>
          </cell>
          <cell r="G2804" t="str">
            <v>UN</v>
          </cell>
          <cell r="H2804" t="str">
            <v>DOP</v>
          </cell>
          <cell r="I2804">
            <v>0</v>
          </cell>
          <cell r="J2804">
            <v>0</v>
          </cell>
          <cell r="K2804">
            <v>0</v>
          </cell>
          <cell r="L2804">
            <v>0</v>
          </cell>
          <cell r="M2804">
            <v>0</v>
          </cell>
          <cell r="N2804">
            <v>0</v>
          </cell>
          <cell r="O2804">
            <v>0</v>
          </cell>
          <cell r="P2804">
            <v>0</v>
          </cell>
          <cell r="Q2804">
            <v>0</v>
          </cell>
          <cell r="R2804">
            <v>0</v>
          </cell>
          <cell r="S2804">
            <v>0</v>
          </cell>
          <cell r="T2804">
            <v>0</v>
          </cell>
          <cell r="U2804" t="e">
            <v>#N/A</v>
          </cell>
        </row>
        <row r="2805">
          <cell r="A2805">
            <v>1005421</v>
          </cell>
          <cell r="B2805" t="str">
            <v>PULIDORA 4-1/2''</v>
          </cell>
          <cell r="D2805">
            <v>5501</v>
          </cell>
          <cell r="E2805">
            <v>1000</v>
          </cell>
          <cell r="F2805" t="str">
            <v>ZALM</v>
          </cell>
          <cell r="G2805" t="str">
            <v>UN</v>
          </cell>
          <cell r="H2805" t="str">
            <v>DOP</v>
          </cell>
          <cell r="I2805">
            <v>0</v>
          </cell>
          <cell r="J2805">
            <v>0</v>
          </cell>
          <cell r="K2805">
            <v>0</v>
          </cell>
          <cell r="L2805">
            <v>0</v>
          </cell>
          <cell r="M2805">
            <v>0</v>
          </cell>
          <cell r="N2805">
            <v>0</v>
          </cell>
          <cell r="O2805">
            <v>0</v>
          </cell>
          <cell r="P2805">
            <v>0</v>
          </cell>
          <cell r="Q2805">
            <v>0</v>
          </cell>
          <cell r="R2805">
            <v>0</v>
          </cell>
          <cell r="S2805">
            <v>0</v>
          </cell>
          <cell r="T2805">
            <v>0</v>
          </cell>
          <cell r="U2805" t="e">
            <v>#N/A</v>
          </cell>
        </row>
        <row r="2806">
          <cell r="A2806">
            <v>1005663</v>
          </cell>
          <cell r="B2806" t="str">
            <v>DINAMOMETRO</v>
          </cell>
          <cell r="D2806">
            <v>7208</v>
          </cell>
          <cell r="E2806">
            <v>1000</v>
          </cell>
          <cell r="F2806" t="str">
            <v>ZALM</v>
          </cell>
          <cell r="G2806" t="str">
            <v>UN</v>
          </cell>
          <cell r="H2806" t="str">
            <v>DOP</v>
          </cell>
          <cell r="I2806">
            <v>0</v>
          </cell>
          <cell r="J2806">
            <v>0</v>
          </cell>
          <cell r="K2806">
            <v>0</v>
          </cell>
          <cell r="L2806">
            <v>0</v>
          </cell>
          <cell r="M2806">
            <v>0</v>
          </cell>
          <cell r="N2806">
            <v>0</v>
          </cell>
          <cell r="O2806">
            <v>0</v>
          </cell>
          <cell r="P2806">
            <v>0</v>
          </cell>
          <cell r="Q2806">
            <v>0</v>
          </cell>
          <cell r="R2806">
            <v>0</v>
          </cell>
          <cell r="S2806">
            <v>0</v>
          </cell>
          <cell r="T2806">
            <v>0</v>
          </cell>
          <cell r="U2806" t="e">
            <v>#N/A</v>
          </cell>
        </row>
        <row r="2807">
          <cell r="A2807">
            <v>1005668</v>
          </cell>
          <cell r="B2807" t="str">
            <v>TALADRO D/PEDESTAL</v>
          </cell>
          <cell r="D2807">
            <v>5501</v>
          </cell>
          <cell r="E2807">
            <v>1000</v>
          </cell>
          <cell r="F2807" t="str">
            <v>ZALM</v>
          </cell>
          <cell r="G2807" t="str">
            <v>UN</v>
          </cell>
          <cell r="H2807" t="str">
            <v>DOP</v>
          </cell>
          <cell r="I2807">
            <v>0</v>
          </cell>
          <cell r="J2807">
            <v>0</v>
          </cell>
          <cell r="K2807">
            <v>0</v>
          </cell>
          <cell r="L2807">
            <v>0</v>
          </cell>
          <cell r="M2807">
            <v>0</v>
          </cell>
          <cell r="N2807">
            <v>0</v>
          </cell>
          <cell r="O2807">
            <v>0</v>
          </cell>
          <cell r="P2807">
            <v>0</v>
          </cell>
          <cell r="Q2807">
            <v>0</v>
          </cell>
          <cell r="R2807">
            <v>0</v>
          </cell>
          <cell r="S2807">
            <v>0</v>
          </cell>
          <cell r="T2807">
            <v>0</v>
          </cell>
          <cell r="U2807" t="e">
            <v>#N/A</v>
          </cell>
        </row>
        <row r="2808">
          <cell r="A2808">
            <v>1005804</v>
          </cell>
          <cell r="B2808" t="str">
            <v>EQUIPO ANALIZADOR PCB's</v>
          </cell>
          <cell r="D2808">
            <v>7200</v>
          </cell>
          <cell r="E2808">
            <v>1000</v>
          </cell>
          <cell r="F2808" t="str">
            <v>ZALM</v>
          </cell>
          <cell r="G2808" t="str">
            <v>UN</v>
          </cell>
          <cell r="H2808" t="str">
            <v>DOP</v>
          </cell>
          <cell r="I2808">
            <v>0</v>
          </cell>
          <cell r="J2808">
            <v>0</v>
          </cell>
          <cell r="K2808">
            <v>0</v>
          </cell>
          <cell r="L2808">
            <v>0</v>
          </cell>
          <cell r="M2808">
            <v>0</v>
          </cell>
          <cell r="N2808">
            <v>0</v>
          </cell>
          <cell r="O2808">
            <v>0</v>
          </cell>
          <cell r="P2808">
            <v>0</v>
          </cell>
          <cell r="Q2808">
            <v>0</v>
          </cell>
          <cell r="R2808">
            <v>0</v>
          </cell>
          <cell r="S2808">
            <v>0</v>
          </cell>
          <cell r="T2808">
            <v>0</v>
          </cell>
          <cell r="U2808" t="e">
            <v>#N/A</v>
          </cell>
        </row>
        <row r="2809">
          <cell r="A2809">
            <v>1005838</v>
          </cell>
          <cell r="B2809" t="str">
            <v>PISTOLA PRESION P/PINTAR</v>
          </cell>
          <cell r="D2809">
            <v>5501</v>
          </cell>
          <cell r="E2809">
            <v>1000</v>
          </cell>
          <cell r="F2809" t="str">
            <v>ZALM</v>
          </cell>
          <cell r="G2809" t="str">
            <v>UN</v>
          </cell>
          <cell r="H2809" t="str">
            <v>DOP</v>
          </cell>
          <cell r="I2809">
            <v>0</v>
          </cell>
          <cell r="J2809">
            <v>0</v>
          </cell>
          <cell r="K2809">
            <v>0</v>
          </cell>
          <cell r="L2809">
            <v>0</v>
          </cell>
          <cell r="M2809">
            <v>0</v>
          </cell>
          <cell r="N2809">
            <v>0</v>
          </cell>
          <cell r="O2809">
            <v>0</v>
          </cell>
          <cell r="P2809">
            <v>0</v>
          </cell>
          <cell r="Q2809">
            <v>0</v>
          </cell>
          <cell r="R2809">
            <v>0</v>
          </cell>
          <cell r="S2809">
            <v>0</v>
          </cell>
          <cell r="T2809">
            <v>0</v>
          </cell>
          <cell r="U2809" t="e">
            <v>#N/A</v>
          </cell>
        </row>
        <row r="2810">
          <cell r="A2810">
            <v>1006192</v>
          </cell>
          <cell r="B2810" t="str">
            <v>TERMO P/AGUA D/5 GALONES (NEVERITA)</v>
          </cell>
          <cell r="D2810">
            <v>7201</v>
          </cell>
          <cell r="E2810">
            <v>1000</v>
          </cell>
          <cell r="F2810" t="str">
            <v>ZALM</v>
          </cell>
          <cell r="G2810" t="str">
            <v>UN</v>
          </cell>
          <cell r="H2810" t="str">
            <v>DOP</v>
          </cell>
          <cell r="I2810">
            <v>18</v>
          </cell>
          <cell r="J2810">
            <v>38454</v>
          </cell>
          <cell r="K2810">
            <v>0</v>
          </cell>
          <cell r="L2810">
            <v>0</v>
          </cell>
          <cell r="M2810">
            <v>0</v>
          </cell>
          <cell r="N2810">
            <v>0</v>
          </cell>
          <cell r="O2810">
            <v>0</v>
          </cell>
          <cell r="P2810">
            <v>0</v>
          </cell>
          <cell r="Q2810">
            <v>0</v>
          </cell>
          <cell r="R2810">
            <v>0</v>
          </cell>
          <cell r="S2810">
            <v>18</v>
          </cell>
          <cell r="T2810">
            <v>38454</v>
          </cell>
          <cell r="U2810">
            <v>2136.3333333333298</v>
          </cell>
        </row>
        <row r="2811">
          <cell r="A2811">
            <v>1007305</v>
          </cell>
          <cell r="B2811" t="str">
            <v>CINTA METRICA 8MTS</v>
          </cell>
          <cell r="D2811">
            <v>5501</v>
          </cell>
          <cell r="E2811">
            <v>1000</v>
          </cell>
          <cell r="F2811" t="str">
            <v>ZALM</v>
          </cell>
          <cell r="G2811" t="str">
            <v>UN</v>
          </cell>
          <cell r="H2811" t="str">
            <v>DOP</v>
          </cell>
          <cell r="I2811">
            <v>0</v>
          </cell>
          <cell r="J2811">
            <v>0</v>
          </cell>
          <cell r="K2811">
            <v>0</v>
          </cell>
          <cell r="L2811">
            <v>0</v>
          </cell>
          <cell r="M2811">
            <v>0</v>
          </cell>
          <cell r="N2811">
            <v>0</v>
          </cell>
          <cell r="O2811">
            <v>0</v>
          </cell>
          <cell r="P2811">
            <v>0</v>
          </cell>
          <cell r="Q2811">
            <v>0</v>
          </cell>
          <cell r="R2811">
            <v>0</v>
          </cell>
          <cell r="S2811">
            <v>0</v>
          </cell>
          <cell r="T2811">
            <v>0</v>
          </cell>
          <cell r="U2811" t="e">
            <v>#N/A</v>
          </cell>
        </row>
        <row r="2812">
          <cell r="A2812">
            <v>1007404</v>
          </cell>
          <cell r="B2812" t="str">
            <v>CONTACTOR - 32A  220V 50/6</v>
          </cell>
          <cell r="D2812">
            <v>4506</v>
          </cell>
          <cell r="E2812">
            <v>1000</v>
          </cell>
          <cell r="F2812" t="str">
            <v>ZALM</v>
          </cell>
          <cell r="G2812" t="str">
            <v>UN</v>
          </cell>
          <cell r="H2812" t="str">
            <v>DOP</v>
          </cell>
          <cell r="I2812">
            <v>0</v>
          </cell>
          <cell r="J2812">
            <v>0</v>
          </cell>
          <cell r="K2812">
            <v>0</v>
          </cell>
          <cell r="L2812">
            <v>0</v>
          </cell>
          <cell r="M2812">
            <v>0</v>
          </cell>
          <cell r="N2812">
            <v>0</v>
          </cell>
          <cell r="O2812">
            <v>0</v>
          </cell>
          <cell r="P2812">
            <v>0</v>
          </cell>
          <cell r="Q2812">
            <v>0</v>
          </cell>
          <cell r="R2812">
            <v>0</v>
          </cell>
          <cell r="S2812">
            <v>0</v>
          </cell>
          <cell r="T2812">
            <v>0</v>
          </cell>
          <cell r="U2812" t="e">
            <v>#N/A</v>
          </cell>
        </row>
        <row r="2813">
          <cell r="A2813">
            <v>1007546</v>
          </cell>
          <cell r="B2813" t="str">
            <v>TIJERA PODADORA D/RAMA</v>
          </cell>
          <cell r="D2813">
            <v>5501</v>
          </cell>
          <cell r="E2813">
            <v>1000</v>
          </cell>
          <cell r="F2813" t="str">
            <v>ZALM</v>
          </cell>
          <cell r="G2813" t="str">
            <v>UN</v>
          </cell>
          <cell r="H2813" t="str">
            <v>DOP</v>
          </cell>
          <cell r="I2813">
            <v>0</v>
          </cell>
          <cell r="J2813">
            <v>0</v>
          </cell>
          <cell r="K2813">
            <v>0</v>
          </cell>
          <cell r="L2813">
            <v>0</v>
          </cell>
          <cell r="M2813">
            <v>0</v>
          </cell>
          <cell r="N2813">
            <v>0</v>
          </cell>
          <cell r="O2813">
            <v>0</v>
          </cell>
          <cell r="P2813">
            <v>0</v>
          </cell>
          <cell r="Q2813">
            <v>0</v>
          </cell>
          <cell r="R2813">
            <v>0</v>
          </cell>
          <cell r="S2813">
            <v>0</v>
          </cell>
          <cell r="T2813">
            <v>0</v>
          </cell>
          <cell r="U2813" t="e">
            <v>#N/A</v>
          </cell>
        </row>
        <row r="2814">
          <cell r="A2814">
            <v>1007995</v>
          </cell>
          <cell r="B2814" t="str">
            <v>Transf M. 250KVA 7.2 KV/ 240-480V P/Plat</v>
          </cell>
          <cell r="D2814">
            <v>6302</v>
          </cell>
          <cell r="E2814">
            <v>1000</v>
          </cell>
          <cell r="F2814" t="str">
            <v>ZALM</v>
          </cell>
          <cell r="G2814" t="str">
            <v>UN</v>
          </cell>
          <cell r="H2814" t="str">
            <v>DOP</v>
          </cell>
          <cell r="I2814">
            <v>2</v>
          </cell>
          <cell r="J2814">
            <v>480240</v>
          </cell>
          <cell r="K2814">
            <v>0</v>
          </cell>
          <cell r="L2814">
            <v>0</v>
          </cell>
          <cell r="M2814">
            <v>0</v>
          </cell>
          <cell r="N2814">
            <v>0</v>
          </cell>
          <cell r="O2814">
            <v>0</v>
          </cell>
          <cell r="P2814">
            <v>0</v>
          </cell>
          <cell r="Q2814">
            <v>0</v>
          </cell>
          <cell r="R2814">
            <v>0</v>
          </cell>
          <cell r="S2814">
            <v>2</v>
          </cell>
          <cell r="T2814">
            <v>480240</v>
          </cell>
          <cell r="U2814">
            <v>240120</v>
          </cell>
        </row>
        <row r="2815">
          <cell r="A2815">
            <v>1008102</v>
          </cell>
          <cell r="B2815" t="str">
            <v>Med ION 8650 Cl20 57/277V 4h FM 9S Pr0.2</v>
          </cell>
          <cell r="D2815">
            <v>5409</v>
          </cell>
          <cell r="E2815">
            <v>1000</v>
          </cell>
          <cell r="F2815" t="str">
            <v>ZALM</v>
          </cell>
          <cell r="G2815" t="str">
            <v>UN</v>
          </cell>
          <cell r="H2815" t="str">
            <v>DOP</v>
          </cell>
          <cell r="I2815">
            <v>2</v>
          </cell>
          <cell r="J2815">
            <v>385216.64</v>
          </cell>
          <cell r="K2815">
            <v>0</v>
          </cell>
          <cell r="L2815">
            <v>0</v>
          </cell>
          <cell r="M2815">
            <v>0</v>
          </cell>
          <cell r="N2815">
            <v>0</v>
          </cell>
          <cell r="O2815">
            <v>0</v>
          </cell>
          <cell r="P2815">
            <v>0</v>
          </cell>
          <cell r="Q2815">
            <v>0</v>
          </cell>
          <cell r="R2815">
            <v>0</v>
          </cell>
          <cell r="S2815">
            <v>2</v>
          </cell>
          <cell r="T2815">
            <v>385216.64</v>
          </cell>
          <cell r="U2815">
            <v>192608.32</v>
          </cell>
        </row>
        <row r="2816">
          <cell r="A2816">
            <v>1008202</v>
          </cell>
          <cell r="B2816" t="str">
            <v>Detector Tensión Multirango 240V/275 K</v>
          </cell>
          <cell r="D2816">
            <v>6023</v>
          </cell>
          <cell r="E2816">
            <v>1000</v>
          </cell>
          <cell r="F2816" t="str">
            <v>ZALM</v>
          </cell>
          <cell r="G2816" t="str">
            <v>UN</v>
          </cell>
          <cell r="H2816" t="str">
            <v>DOP</v>
          </cell>
          <cell r="I2816">
            <v>0</v>
          </cell>
          <cell r="J2816">
            <v>0</v>
          </cell>
          <cell r="K2816">
            <v>0</v>
          </cell>
          <cell r="L2816">
            <v>0</v>
          </cell>
          <cell r="M2816">
            <v>0</v>
          </cell>
          <cell r="N2816">
            <v>0</v>
          </cell>
          <cell r="O2816">
            <v>0</v>
          </cell>
          <cell r="P2816">
            <v>0</v>
          </cell>
          <cell r="Q2816">
            <v>0</v>
          </cell>
          <cell r="R2816">
            <v>0</v>
          </cell>
          <cell r="S2816">
            <v>0</v>
          </cell>
          <cell r="T2816">
            <v>0</v>
          </cell>
          <cell r="U2816" t="e">
            <v>#N/A</v>
          </cell>
        </row>
        <row r="2817">
          <cell r="A2817">
            <v>1008203</v>
          </cell>
          <cell r="B2817" t="str">
            <v>Papel 2¼ para sumadora</v>
          </cell>
          <cell r="D2817">
            <v>8401</v>
          </cell>
          <cell r="E2817">
            <v>1000</v>
          </cell>
          <cell r="F2817" t="str">
            <v>ZALM</v>
          </cell>
          <cell r="G2817" t="str">
            <v>UN</v>
          </cell>
          <cell r="H2817" t="str">
            <v>DOP</v>
          </cell>
          <cell r="I2817">
            <v>0</v>
          </cell>
          <cell r="J2817">
            <v>0</v>
          </cell>
          <cell r="K2817">
            <v>0</v>
          </cell>
          <cell r="L2817">
            <v>0</v>
          </cell>
          <cell r="M2817">
            <v>0</v>
          </cell>
          <cell r="N2817">
            <v>0</v>
          </cell>
          <cell r="O2817">
            <v>0</v>
          </cell>
          <cell r="P2817">
            <v>0</v>
          </cell>
          <cell r="Q2817">
            <v>0</v>
          </cell>
          <cell r="R2817">
            <v>0</v>
          </cell>
          <cell r="S2817">
            <v>0</v>
          </cell>
          <cell r="T2817">
            <v>0</v>
          </cell>
          <cell r="U2817" t="e">
            <v>#N/A</v>
          </cell>
        </row>
        <row r="2818">
          <cell r="A2818">
            <v>1008222</v>
          </cell>
          <cell r="B2818" t="str">
            <v>Broche Plástico P/ Manta</v>
          </cell>
          <cell r="D2818">
            <v>7201</v>
          </cell>
          <cell r="E2818">
            <v>1000</v>
          </cell>
          <cell r="F2818" t="str">
            <v>ZALM</v>
          </cell>
          <cell r="G2818" t="str">
            <v>UN</v>
          </cell>
          <cell r="H2818" t="str">
            <v>DOP</v>
          </cell>
          <cell r="I2818">
            <v>0</v>
          </cell>
          <cell r="J2818">
            <v>0</v>
          </cell>
          <cell r="K2818">
            <v>0</v>
          </cell>
          <cell r="L2818">
            <v>0</v>
          </cell>
          <cell r="M2818">
            <v>0</v>
          </cell>
          <cell r="N2818">
            <v>0</v>
          </cell>
          <cell r="O2818">
            <v>0</v>
          </cell>
          <cell r="P2818">
            <v>0</v>
          </cell>
          <cell r="Q2818">
            <v>0</v>
          </cell>
          <cell r="R2818">
            <v>0</v>
          </cell>
          <cell r="S2818">
            <v>0</v>
          </cell>
          <cell r="T2818">
            <v>0</v>
          </cell>
          <cell r="U2818" t="e">
            <v>#N/A</v>
          </cell>
        </row>
        <row r="2819">
          <cell r="A2819">
            <v>1008245</v>
          </cell>
          <cell r="B2819" t="str">
            <v>Transf. Trif. P/M 750KVA 12475 120/208V</v>
          </cell>
          <cell r="D2819">
            <v>6302</v>
          </cell>
          <cell r="E2819">
            <v>1000</v>
          </cell>
          <cell r="F2819" t="str">
            <v>ZALM</v>
          </cell>
          <cell r="G2819" t="str">
            <v>UN</v>
          </cell>
          <cell r="H2819" t="str">
            <v>DOP</v>
          </cell>
          <cell r="I2819">
            <v>0</v>
          </cell>
          <cell r="J2819">
            <v>0</v>
          </cell>
          <cell r="K2819">
            <v>0</v>
          </cell>
          <cell r="L2819">
            <v>0</v>
          </cell>
          <cell r="M2819">
            <v>0</v>
          </cell>
          <cell r="N2819">
            <v>0</v>
          </cell>
          <cell r="O2819">
            <v>0</v>
          </cell>
          <cell r="P2819">
            <v>0</v>
          </cell>
          <cell r="Q2819">
            <v>0</v>
          </cell>
          <cell r="R2819">
            <v>0</v>
          </cell>
          <cell r="S2819">
            <v>0</v>
          </cell>
          <cell r="T2819">
            <v>0</v>
          </cell>
          <cell r="U2819" t="e">
            <v>#N/A</v>
          </cell>
        </row>
        <row r="2820">
          <cell r="A2820">
            <v>1008247</v>
          </cell>
          <cell r="B2820" t="str">
            <v>Alcoholimetro</v>
          </cell>
          <cell r="D2820">
            <v>7201</v>
          </cell>
          <cell r="E2820">
            <v>1000</v>
          </cell>
          <cell r="F2820" t="str">
            <v>ZALM</v>
          </cell>
          <cell r="G2820" t="str">
            <v>UN</v>
          </cell>
          <cell r="H2820" t="str">
            <v>DOP</v>
          </cell>
          <cell r="I2820">
            <v>0</v>
          </cell>
          <cell r="J2820">
            <v>0</v>
          </cell>
          <cell r="K2820">
            <v>0</v>
          </cell>
          <cell r="L2820">
            <v>0</v>
          </cell>
          <cell r="M2820">
            <v>0</v>
          </cell>
          <cell r="N2820">
            <v>0</v>
          </cell>
          <cell r="O2820">
            <v>0</v>
          </cell>
          <cell r="P2820">
            <v>0</v>
          </cell>
          <cell r="Q2820">
            <v>0</v>
          </cell>
          <cell r="R2820">
            <v>0</v>
          </cell>
          <cell r="S2820">
            <v>0</v>
          </cell>
          <cell r="T2820">
            <v>0</v>
          </cell>
          <cell r="U2820" t="e">
            <v>#N/A</v>
          </cell>
        </row>
        <row r="2821">
          <cell r="A2821">
            <v>1008248</v>
          </cell>
          <cell r="B2821" t="str">
            <v>Lentes de seguridad in door / out door</v>
          </cell>
          <cell r="D2821">
            <v>7201</v>
          </cell>
          <cell r="E2821">
            <v>1000</v>
          </cell>
          <cell r="F2821" t="str">
            <v>ZALM</v>
          </cell>
          <cell r="G2821" t="str">
            <v>UN</v>
          </cell>
          <cell r="H2821" t="str">
            <v>DOP</v>
          </cell>
          <cell r="I2821">
            <v>622</v>
          </cell>
          <cell r="J2821">
            <v>113502.23</v>
          </cell>
          <cell r="K2821">
            <v>0</v>
          </cell>
          <cell r="L2821">
            <v>0</v>
          </cell>
          <cell r="M2821">
            <v>0</v>
          </cell>
          <cell r="N2821">
            <v>0</v>
          </cell>
          <cell r="O2821">
            <v>0</v>
          </cell>
          <cell r="P2821">
            <v>0</v>
          </cell>
          <cell r="Q2821">
            <v>0</v>
          </cell>
          <cell r="R2821">
            <v>0</v>
          </cell>
          <cell r="S2821">
            <v>622</v>
          </cell>
          <cell r="T2821">
            <v>113502.23</v>
          </cell>
          <cell r="U2821">
            <v>182.479469453376</v>
          </cell>
        </row>
        <row r="2822">
          <cell r="A2822">
            <v>1008279</v>
          </cell>
          <cell r="B2822" t="str">
            <v>Arnés Tipo Tiras P/Mangas Dieléct, Cl 2</v>
          </cell>
          <cell r="D2822">
            <v>7201</v>
          </cell>
          <cell r="E2822">
            <v>1000</v>
          </cell>
          <cell r="F2822" t="str">
            <v>ZALM</v>
          </cell>
          <cell r="G2822" t="str">
            <v>UN</v>
          </cell>
          <cell r="H2822" t="str">
            <v>DOP</v>
          </cell>
          <cell r="I2822">
            <v>50</v>
          </cell>
          <cell r="J2822">
            <v>30606.6</v>
          </cell>
          <cell r="K2822">
            <v>0</v>
          </cell>
          <cell r="L2822">
            <v>0</v>
          </cell>
          <cell r="M2822">
            <v>0</v>
          </cell>
          <cell r="N2822">
            <v>0</v>
          </cell>
          <cell r="O2822">
            <v>0</v>
          </cell>
          <cell r="P2822">
            <v>0</v>
          </cell>
          <cell r="Q2822">
            <v>0</v>
          </cell>
          <cell r="R2822">
            <v>0</v>
          </cell>
          <cell r="S2822">
            <v>50</v>
          </cell>
          <cell r="T2822">
            <v>30606.6</v>
          </cell>
          <cell r="U2822">
            <v>612.13199999999995</v>
          </cell>
        </row>
        <row r="2823">
          <cell r="A2823">
            <v>1008280</v>
          </cell>
          <cell r="B2823" t="str">
            <v>Batería NP7-12 de 12 VDC  7AH</v>
          </cell>
          <cell r="D2823">
            <v>6008</v>
          </cell>
          <cell r="E2823">
            <v>1000</v>
          </cell>
          <cell r="F2823" t="str">
            <v>ZALM</v>
          </cell>
          <cell r="G2823" t="str">
            <v>UN</v>
          </cell>
          <cell r="H2823" t="str">
            <v>DOP</v>
          </cell>
          <cell r="I2823">
            <v>0</v>
          </cell>
          <cell r="J2823">
            <v>0</v>
          </cell>
          <cell r="K2823">
            <v>0</v>
          </cell>
          <cell r="L2823">
            <v>0</v>
          </cell>
          <cell r="M2823">
            <v>0</v>
          </cell>
          <cell r="N2823">
            <v>0</v>
          </cell>
          <cell r="O2823">
            <v>0</v>
          </cell>
          <cell r="P2823">
            <v>0</v>
          </cell>
          <cell r="Q2823">
            <v>0</v>
          </cell>
          <cell r="R2823">
            <v>0</v>
          </cell>
          <cell r="S2823">
            <v>0</v>
          </cell>
          <cell r="T2823">
            <v>0</v>
          </cell>
          <cell r="U2823" t="e">
            <v>#N/A</v>
          </cell>
        </row>
        <row r="2824">
          <cell r="A2824">
            <v>1008281</v>
          </cell>
          <cell r="B2824" t="str">
            <v>Cordon para Lentes Seguridad</v>
          </cell>
          <cell r="D2824">
            <v>7201</v>
          </cell>
          <cell r="E2824">
            <v>1000</v>
          </cell>
          <cell r="F2824" t="str">
            <v>ZALM</v>
          </cell>
          <cell r="G2824" t="str">
            <v>UN</v>
          </cell>
          <cell r="H2824" t="str">
            <v>DOP</v>
          </cell>
          <cell r="I2824">
            <v>0</v>
          </cell>
          <cell r="J2824">
            <v>0</v>
          </cell>
          <cell r="K2824">
            <v>0</v>
          </cell>
          <cell r="L2824">
            <v>0</v>
          </cell>
          <cell r="M2824">
            <v>0</v>
          </cell>
          <cell r="N2824">
            <v>0</v>
          </cell>
          <cell r="O2824">
            <v>0</v>
          </cell>
          <cell r="P2824">
            <v>0</v>
          </cell>
          <cell r="Q2824">
            <v>0</v>
          </cell>
          <cell r="R2824">
            <v>0</v>
          </cell>
          <cell r="S2824">
            <v>0</v>
          </cell>
          <cell r="T2824">
            <v>0</v>
          </cell>
          <cell r="U2824" t="e">
            <v>#N/A</v>
          </cell>
        </row>
        <row r="2825">
          <cell r="A2825">
            <v>1008282</v>
          </cell>
          <cell r="B2825" t="str">
            <v>Guantes para Laboratorio</v>
          </cell>
          <cell r="D2825">
            <v>7201</v>
          </cell>
          <cell r="E2825">
            <v>1000</v>
          </cell>
          <cell r="F2825" t="str">
            <v>ZALM</v>
          </cell>
          <cell r="G2825" t="str">
            <v>UN</v>
          </cell>
          <cell r="H2825" t="str">
            <v>DOP</v>
          </cell>
          <cell r="I2825">
            <v>60</v>
          </cell>
          <cell r="J2825">
            <v>8700</v>
          </cell>
          <cell r="K2825">
            <v>0</v>
          </cell>
          <cell r="L2825">
            <v>0</v>
          </cell>
          <cell r="M2825">
            <v>0</v>
          </cell>
          <cell r="N2825">
            <v>0</v>
          </cell>
          <cell r="O2825">
            <v>0</v>
          </cell>
          <cell r="P2825">
            <v>0</v>
          </cell>
          <cell r="Q2825">
            <v>0</v>
          </cell>
          <cell r="R2825">
            <v>0</v>
          </cell>
          <cell r="S2825">
            <v>60</v>
          </cell>
          <cell r="T2825">
            <v>8700</v>
          </cell>
          <cell r="U2825">
            <v>145</v>
          </cell>
        </row>
        <row r="2826">
          <cell r="A2826">
            <v>1008283</v>
          </cell>
          <cell r="B2826" t="str">
            <v>Cinta anti resbalante</v>
          </cell>
          <cell r="D2826">
            <v>7201</v>
          </cell>
          <cell r="E2826">
            <v>1000</v>
          </cell>
          <cell r="F2826" t="str">
            <v>ZALM</v>
          </cell>
          <cell r="G2826" t="str">
            <v>UN</v>
          </cell>
          <cell r="H2826" t="str">
            <v>DOP</v>
          </cell>
          <cell r="I2826">
            <v>34</v>
          </cell>
          <cell r="J2826">
            <v>53244</v>
          </cell>
          <cell r="K2826">
            <v>0</v>
          </cell>
          <cell r="L2826">
            <v>0</v>
          </cell>
          <cell r="M2826">
            <v>0</v>
          </cell>
          <cell r="N2826">
            <v>0</v>
          </cell>
          <cell r="O2826">
            <v>0</v>
          </cell>
          <cell r="P2826">
            <v>0</v>
          </cell>
          <cell r="Q2826">
            <v>0</v>
          </cell>
          <cell r="R2826">
            <v>0</v>
          </cell>
          <cell r="S2826">
            <v>34</v>
          </cell>
          <cell r="T2826">
            <v>53244</v>
          </cell>
          <cell r="U2826">
            <v>1566</v>
          </cell>
        </row>
        <row r="2827">
          <cell r="A2827">
            <v>1008306</v>
          </cell>
          <cell r="B2827" t="str">
            <v>Accesorios para Equipo</v>
          </cell>
          <cell r="D2827">
            <v>6092</v>
          </cell>
          <cell r="E2827">
            <v>1000</v>
          </cell>
          <cell r="F2827" t="str">
            <v>ZALM</v>
          </cell>
          <cell r="G2827" t="str">
            <v>UN</v>
          </cell>
          <cell r="H2827" t="str">
            <v>DOP</v>
          </cell>
          <cell r="I2827">
            <v>0</v>
          </cell>
          <cell r="J2827">
            <v>0</v>
          </cell>
          <cell r="K2827">
            <v>0</v>
          </cell>
          <cell r="L2827">
            <v>0</v>
          </cell>
          <cell r="M2827">
            <v>0</v>
          </cell>
          <cell r="N2827">
            <v>0</v>
          </cell>
          <cell r="O2827">
            <v>0</v>
          </cell>
          <cell r="P2827">
            <v>0</v>
          </cell>
          <cell r="Q2827">
            <v>0</v>
          </cell>
          <cell r="R2827">
            <v>0</v>
          </cell>
          <cell r="S2827">
            <v>0</v>
          </cell>
          <cell r="T2827">
            <v>0</v>
          </cell>
          <cell r="U2827" t="e">
            <v>#N/A</v>
          </cell>
        </row>
        <row r="2828">
          <cell r="A2828">
            <v>1008309</v>
          </cell>
          <cell r="B2828" t="str">
            <v>Voltimetro</v>
          </cell>
          <cell r="D2828">
            <v>6023</v>
          </cell>
          <cell r="E2828">
            <v>1000</v>
          </cell>
          <cell r="F2828" t="str">
            <v>ZALM</v>
          </cell>
          <cell r="G2828" t="str">
            <v>UN</v>
          </cell>
          <cell r="H2828" t="str">
            <v>DOP</v>
          </cell>
          <cell r="I2828">
            <v>0</v>
          </cell>
          <cell r="J2828">
            <v>0</v>
          </cell>
          <cell r="K2828">
            <v>0</v>
          </cell>
          <cell r="L2828">
            <v>0</v>
          </cell>
          <cell r="M2828">
            <v>0</v>
          </cell>
          <cell r="N2828">
            <v>0</v>
          </cell>
          <cell r="O2828">
            <v>0</v>
          </cell>
          <cell r="P2828">
            <v>0</v>
          </cell>
          <cell r="Q2828">
            <v>0</v>
          </cell>
          <cell r="R2828">
            <v>0</v>
          </cell>
          <cell r="S2828">
            <v>0</v>
          </cell>
          <cell r="T2828">
            <v>0</v>
          </cell>
          <cell r="U2828" t="e">
            <v>#N/A</v>
          </cell>
        </row>
        <row r="2829">
          <cell r="A2829">
            <v>1008321</v>
          </cell>
          <cell r="B2829" t="str">
            <v>BATA DE LABORATORIO CON LOGO</v>
          </cell>
          <cell r="D2829">
            <v>7201</v>
          </cell>
          <cell r="E2829">
            <v>1000</v>
          </cell>
          <cell r="F2829" t="str">
            <v>ZALM</v>
          </cell>
          <cell r="G2829" t="str">
            <v>UN</v>
          </cell>
          <cell r="H2829" t="str">
            <v>DOP</v>
          </cell>
          <cell r="I2829">
            <v>0</v>
          </cell>
          <cell r="J2829">
            <v>0</v>
          </cell>
          <cell r="K2829">
            <v>0</v>
          </cell>
          <cell r="L2829">
            <v>0</v>
          </cell>
          <cell r="M2829">
            <v>0</v>
          </cell>
          <cell r="N2829">
            <v>0</v>
          </cell>
          <cell r="O2829">
            <v>0</v>
          </cell>
          <cell r="P2829">
            <v>0</v>
          </cell>
          <cell r="Q2829">
            <v>0</v>
          </cell>
          <cell r="R2829">
            <v>0</v>
          </cell>
          <cell r="S2829">
            <v>0</v>
          </cell>
          <cell r="T2829">
            <v>0</v>
          </cell>
          <cell r="U2829" t="e">
            <v>#N/A</v>
          </cell>
        </row>
        <row r="2830">
          <cell r="A2830">
            <v>1008326</v>
          </cell>
          <cell r="B2830" t="str">
            <v>Fluke 376, 1000A</v>
          </cell>
          <cell r="D2830">
            <v>7200</v>
          </cell>
          <cell r="E2830">
            <v>1000</v>
          </cell>
          <cell r="F2830" t="str">
            <v>ZALM</v>
          </cell>
          <cell r="G2830" t="str">
            <v>UN</v>
          </cell>
          <cell r="H2830" t="str">
            <v>DOP</v>
          </cell>
          <cell r="I2830">
            <v>0</v>
          </cell>
          <cell r="J2830">
            <v>0</v>
          </cell>
          <cell r="K2830">
            <v>0</v>
          </cell>
          <cell r="L2830">
            <v>0</v>
          </cell>
          <cell r="M2830">
            <v>0</v>
          </cell>
          <cell r="N2830">
            <v>0</v>
          </cell>
          <cell r="O2830">
            <v>0</v>
          </cell>
          <cell r="P2830">
            <v>0</v>
          </cell>
          <cell r="Q2830">
            <v>0</v>
          </cell>
          <cell r="R2830">
            <v>0</v>
          </cell>
          <cell r="S2830">
            <v>0</v>
          </cell>
          <cell r="T2830">
            <v>0</v>
          </cell>
          <cell r="U2830" t="e">
            <v>#N/A</v>
          </cell>
        </row>
        <row r="2831">
          <cell r="A2831">
            <v>1008327</v>
          </cell>
          <cell r="B2831" t="str">
            <v>Esmeriladora de Banco 6"</v>
          </cell>
          <cell r="D2831">
            <v>7200</v>
          </cell>
          <cell r="E2831">
            <v>1000</v>
          </cell>
          <cell r="F2831" t="str">
            <v>ZALM</v>
          </cell>
          <cell r="G2831" t="str">
            <v>UN</v>
          </cell>
          <cell r="H2831" t="str">
            <v>DOP</v>
          </cell>
          <cell r="I2831">
            <v>0</v>
          </cell>
          <cell r="J2831">
            <v>0</v>
          </cell>
          <cell r="K2831">
            <v>0</v>
          </cell>
          <cell r="L2831">
            <v>0</v>
          </cell>
          <cell r="M2831">
            <v>0</v>
          </cell>
          <cell r="N2831">
            <v>0</v>
          </cell>
          <cell r="O2831">
            <v>0</v>
          </cell>
          <cell r="P2831">
            <v>0</v>
          </cell>
          <cell r="Q2831">
            <v>0</v>
          </cell>
          <cell r="R2831">
            <v>0</v>
          </cell>
          <cell r="S2831">
            <v>0</v>
          </cell>
          <cell r="T2831">
            <v>0</v>
          </cell>
          <cell r="U2831" t="e">
            <v>#N/A</v>
          </cell>
        </row>
        <row r="2832">
          <cell r="A2832">
            <v>1008328</v>
          </cell>
          <cell r="B2832" t="str">
            <v>Conector Serial DB 25</v>
          </cell>
          <cell r="D2832">
            <v>5405</v>
          </cell>
          <cell r="E2832">
            <v>1000</v>
          </cell>
          <cell r="F2832" t="str">
            <v>ZALM</v>
          </cell>
          <cell r="G2832" t="str">
            <v>UN</v>
          </cell>
          <cell r="H2832" t="str">
            <v>DOP</v>
          </cell>
          <cell r="I2832">
            <v>0</v>
          </cell>
          <cell r="J2832">
            <v>0</v>
          </cell>
          <cell r="K2832">
            <v>0</v>
          </cell>
          <cell r="L2832">
            <v>0</v>
          </cell>
          <cell r="M2832">
            <v>0</v>
          </cell>
          <cell r="N2832">
            <v>0</v>
          </cell>
          <cell r="O2832">
            <v>0</v>
          </cell>
          <cell r="P2832">
            <v>0</v>
          </cell>
          <cell r="Q2832">
            <v>0</v>
          </cell>
          <cell r="R2832">
            <v>0</v>
          </cell>
          <cell r="S2832">
            <v>0</v>
          </cell>
          <cell r="T2832">
            <v>0</v>
          </cell>
          <cell r="U2832" t="e">
            <v>#N/A</v>
          </cell>
        </row>
        <row r="2833">
          <cell r="A2833">
            <v>1008330</v>
          </cell>
          <cell r="B2833" t="str">
            <v>Medidor GYR E23A 240V 3 Hilos Bottom</v>
          </cell>
          <cell r="D2833">
            <v>7200</v>
          </cell>
          <cell r="E2833">
            <v>1000</v>
          </cell>
          <cell r="F2833" t="str">
            <v>ZALM</v>
          </cell>
          <cell r="G2833" t="str">
            <v>UN</v>
          </cell>
          <cell r="H2833" t="str">
            <v>DOP</v>
          </cell>
          <cell r="I2833">
            <v>792</v>
          </cell>
          <cell r="J2833">
            <v>1732233.91</v>
          </cell>
          <cell r="K2833">
            <v>0</v>
          </cell>
          <cell r="L2833">
            <v>0</v>
          </cell>
          <cell r="M2833">
            <v>0</v>
          </cell>
          <cell r="N2833">
            <v>0</v>
          </cell>
          <cell r="O2833">
            <v>0</v>
          </cell>
          <cell r="P2833">
            <v>0</v>
          </cell>
          <cell r="Q2833">
            <v>0</v>
          </cell>
          <cell r="R2833">
            <v>0</v>
          </cell>
          <cell r="S2833">
            <v>792</v>
          </cell>
          <cell r="T2833">
            <v>1732233.91</v>
          </cell>
          <cell r="U2833">
            <v>2187.1640277777801</v>
          </cell>
        </row>
        <row r="2834">
          <cell r="A2834">
            <v>1008344</v>
          </cell>
          <cell r="B2834" t="str">
            <v>Luminarias Led SAT 48S</v>
          </cell>
          <cell r="D2834">
            <v>6007</v>
          </cell>
          <cell r="E2834">
            <v>1000</v>
          </cell>
          <cell r="F2834" t="str">
            <v>ZALM</v>
          </cell>
          <cell r="G2834" t="str">
            <v>UN</v>
          </cell>
          <cell r="H2834" t="str">
            <v>DOP</v>
          </cell>
          <cell r="I2834">
            <v>0</v>
          </cell>
          <cell r="J2834">
            <v>0</v>
          </cell>
          <cell r="K2834">
            <v>0</v>
          </cell>
          <cell r="L2834">
            <v>0</v>
          </cell>
          <cell r="M2834">
            <v>86</v>
          </cell>
          <cell r="N2834">
            <v>2045114.38</v>
          </cell>
          <cell r="O2834">
            <v>0</v>
          </cell>
          <cell r="P2834">
            <v>0</v>
          </cell>
          <cell r="Q2834">
            <v>0</v>
          </cell>
          <cell r="R2834">
            <v>0</v>
          </cell>
          <cell r="S2834">
            <v>86</v>
          </cell>
          <cell r="T2834">
            <v>2045114.38</v>
          </cell>
          <cell r="U2834">
            <v>23780.399767441901</v>
          </cell>
        </row>
        <row r="2835">
          <cell r="A2835">
            <v>1008345</v>
          </cell>
          <cell r="B2835" t="str">
            <v>Luminarias Led SAT 72M</v>
          </cell>
          <cell r="D2835">
            <v>6007</v>
          </cell>
          <cell r="E2835">
            <v>1000</v>
          </cell>
          <cell r="F2835" t="str">
            <v>ZALM</v>
          </cell>
          <cell r="G2835" t="str">
            <v>UN</v>
          </cell>
          <cell r="H2835" t="str">
            <v>DOP</v>
          </cell>
          <cell r="I2835">
            <v>0</v>
          </cell>
          <cell r="J2835">
            <v>0</v>
          </cell>
          <cell r="K2835">
            <v>0</v>
          </cell>
          <cell r="L2835">
            <v>0</v>
          </cell>
          <cell r="M2835">
            <v>8</v>
          </cell>
          <cell r="N2835">
            <v>269241.58</v>
          </cell>
          <cell r="O2835">
            <v>0</v>
          </cell>
          <cell r="P2835">
            <v>0</v>
          </cell>
          <cell r="Q2835">
            <v>0</v>
          </cell>
          <cell r="R2835">
            <v>0</v>
          </cell>
          <cell r="S2835">
            <v>8</v>
          </cell>
          <cell r="T2835">
            <v>269241.58</v>
          </cell>
          <cell r="U2835">
            <v>33655.197500000002</v>
          </cell>
        </row>
        <row r="2836">
          <cell r="A2836">
            <v>1008346</v>
          </cell>
          <cell r="B2836" t="str">
            <v>Luminarias Led SAT 96M</v>
          </cell>
          <cell r="D2836">
            <v>6007</v>
          </cell>
          <cell r="E2836">
            <v>1000</v>
          </cell>
          <cell r="F2836" t="str">
            <v>ZALM</v>
          </cell>
          <cell r="G2836" t="str">
            <v>UN</v>
          </cell>
          <cell r="H2836" t="str">
            <v>DOP</v>
          </cell>
          <cell r="I2836">
            <v>0</v>
          </cell>
          <cell r="J2836">
            <v>0</v>
          </cell>
          <cell r="K2836">
            <v>0</v>
          </cell>
          <cell r="L2836">
            <v>0</v>
          </cell>
          <cell r="M2836">
            <v>48</v>
          </cell>
          <cell r="N2836">
            <v>2163099.0499999998</v>
          </cell>
          <cell r="O2836">
            <v>0</v>
          </cell>
          <cell r="P2836">
            <v>0</v>
          </cell>
          <cell r="Q2836">
            <v>0</v>
          </cell>
          <cell r="R2836">
            <v>0</v>
          </cell>
          <cell r="S2836">
            <v>48</v>
          </cell>
          <cell r="T2836">
            <v>2163099.0499999998</v>
          </cell>
          <cell r="U2836">
            <v>45064.563541666699</v>
          </cell>
        </row>
        <row r="2837">
          <cell r="A2837">
            <v>1008349</v>
          </cell>
          <cell r="B2837" t="str">
            <v>Batería de 12 Voltios Tipo AGM</v>
          </cell>
          <cell r="D2837">
            <v>6008</v>
          </cell>
          <cell r="E2837">
            <v>1000</v>
          </cell>
          <cell r="F2837" t="str">
            <v>ZALM</v>
          </cell>
          <cell r="G2837" t="str">
            <v>UN</v>
          </cell>
          <cell r="H2837" t="str">
            <v>DOP</v>
          </cell>
          <cell r="I2837">
            <v>20</v>
          </cell>
          <cell r="J2837">
            <v>179452</v>
          </cell>
          <cell r="K2837">
            <v>0</v>
          </cell>
          <cell r="L2837">
            <v>0</v>
          </cell>
          <cell r="M2837">
            <v>0</v>
          </cell>
          <cell r="N2837">
            <v>0</v>
          </cell>
          <cell r="O2837">
            <v>0</v>
          </cell>
          <cell r="P2837">
            <v>0</v>
          </cell>
          <cell r="Q2837">
            <v>0</v>
          </cell>
          <cell r="R2837">
            <v>0</v>
          </cell>
          <cell r="S2837">
            <v>20</v>
          </cell>
          <cell r="T2837">
            <v>179452</v>
          </cell>
          <cell r="U2837">
            <v>8972.6</v>
          </cell>
        </row>
        <row r="2838">
          <cell r="A2838">
            <v>1008350</v>
          </cell>
          <cell r="B2838" t="str">
            <v>Transf P-M 150kVA 7.2 /12.47kV 120-240V</v>
          </cell>
          <cell r="D2838">
            <v>6302</v>
          </cell>
          <cell r="E2838">
            <v>1000</v>
          </cell>
          <cell r="F2838" t="str">
            <v>ZALM</v>
          </cell>
          <cell r="G2838" t="str">
            <v>UN</v>
          </cell>
          <cell r="H2838" t="str">
            <v>DOP</v>
          </cell>
          <cell r="I2838">
            <v>0</v>
          </cell>
          <cell r="J2838">
            <v>0</v>
          </cell>
          <cell r="K2838">
            <v>0</v>
          </cell>
          <cell r="L2838">
            <v>0</v>
          </cell>
          <cell r="M2838">
            <v>0</v>
          </cell>
          <cell r="N2838">
            <v>0</v>
          </cell>
          <cell r="O2838">
            <v>0</v>
          </cell>
          <cell r="P2838">
            <v>0</v>
          </cell>
          <cell r="Q2838">
            <v>0</v>
          </cell>
          <cell r="R2838">
            <v>0</v>
          </cell>
          <cell r="S2838">
            <v>0</v>
          </cell>
          <cell r="T2838">
            <v>0</v>
          </cell>
          <cell r="U2838" t="e">
            <v>#N/A</v>
          </cell>
        </row>
        <row r="2839">
          <cell r="A2839">
            <v>1008351</v>
          </cell>
          <cell r="B2839" t="str">
            <v>TALADRO ROTOMARTILLO</v>
          </cell>
          <cell r="D2839">
            <v>5501</v>
          </cell>
          <cell r="E2839">
            <v>1000</v>
          </cell>
          <cell r="F2839" t="str">
            <v>ZALM</v>
          </cell>
          <cell r="G2839" t="str">
            <v>UN</v>
          </cell>
          <cell r="H2839" t="str">
            <v>DOP</v>
          </cell>
          <cell r="I2839">
            <v>0</v>
          </cell>
          <cell r="J2839">
            <v>0</v>
          </cell>
          <cell r="K2839">
            <v>0</v>
          </cell>
          <cell r="L2839">
            <v>0</v>
          </cell>
          <cell r="M2839">
            <v>0</v>
          </cell>
          <cell r="N2839">
            <v>0</v>
          </cell>
          <cell r="O2839">
            <v>0</v>
          </cell>
          <cell r="P2839">
            <v>0</v>
          </cell>
          <cell r="Q2839">
            <v>0</v>
          </cell>
          <cell r="R2839">
            <v>0</v>
          </cell>
          <cell r="S2839">
            <v>0</v>
          </cell>
          <cell r="T2839">
            <v>0</v>
          </cell>
          <cell r="U2839" t="e">
            <v>#N/A</v>
          </cell>
        </row>
        <row r="2840">
          <cell r="A2840">
            <v>1008353</v>
          </cell>
          <cell r="B2840" t="str">
            <v>Perno Seguridad Carbon Steel Serie E5</v>
          </cell>
          <cell r="D2840">
            <v>5108</v>
          </cell>
          <cell r="E2840">
            <v>1000</v>
          </cell>
          <cell r="F2840" t="str">
            <v>ZALM</v>
          </cell>
          <cell r="G2840" t="str">
            <v>UN</v>
          </cell>
          <cell r="H2840" t="str">
            <v>DOP</v>
          </cell>
          <cell r="I2840">
            <v>704</v>
          </cell>
          <cell r="J2840">
            <v>129199.15</v>
          </cell>
          <cell r="K2840">
            <v>0</v>
          </cell>
          <cell r="L2840">
            <v>0</v>
          </cell>
          <cell r="M2840">
            <v>0</v>
          </cell>
          <cell r="N2840">
            <v>0</v>
          </cell>
          <cell r="O2840">
            <v>0</v>
          </cell>
          <cell r="P2840">
            <v>0</v>
          </cell>
          <cell r="Q2840">
            <v>0</v>
          </cell>
          <cell r="R2840">
            <v>0</v>
          </cell>
          <cell r="S2840">
            <v>704</v>
          </cell>
          <cell r="T2840">
            <v>129199.15</v>
          </cell>
          <cell r="U2840">
            <v>183.52151988636399</v>
          </cell>
        </row>
        <row r="2841">
          <cell r="A2841">
            <v>1008415</v>
          </cell>
          <cell r="B2841" t="str">
            <v>Apartarrayo 10KV T/ Est MCOV 8.4kV Porc</v>
          </cell>
          <cell r="D2841">
            <v>7208</v>
          </cell>
          <cell r="E2841">
            <v>1000</v>
          </cell>
          <cell r="F2841" t="str">
            <v>ZALM</v>
          </cell>
          <cell r="G2841" t="str">
            <v>UN</v>
          </cell>
          <cell r="H2841" t="str">
            <v>DOP</v>
          </cell>
          <cell r="I2841">
            <v>0</v>
          </cell>
          <cell r="J2841">
            <v>0</v>
          </cell>
          <cell r="K2841">
            <v>0</v>
          </cell>
          <cell r="L2841">
            <v>0</v>
          </cell>
          <cell r="M2841">
            <v>0</v>
          </cell>
          <cell r="N2841">
            <v>0</v>
          </cell>
          <cell r="O2841">
            <v>0</v>
          </cell>
          <cell r="P2841">
            <v>0</v>
          </cell>
          <cell r="Q2841">
            <v>0</v>
          </cell>
          <cell r="R2841">
            <v>0</v>
          </cell>
          <cell r="S2841">
            <v>0</v>
          </cell>
          <cell r="T2841">
            <v>0</v>
          </cell>
          <cell r="U2841" t="e">
            <v>#N/A</v>
          </cell>
        </row>
        <row r="2842">
          <cell r="A2842">
            <v>1008420</v>
          </cell>
          <cell r="B2842" t="str">
            <v>Perno Seguridad Acero Inox Comb DDI</v>
          </cell>
          <cell r="D2842">
            <v>5108</v>
          </cell>
          <cell r="E2842">
            <v>1000</v>
          </cell>
          <cell r="F2842" t="str">
            <v>ZALM</v>
          </cell>
          <cell r="G2842" t="str">
            <v>UN</v>
          </cell>
          <cell r="H2842" t="str">
            <v>DOP</v>
          </cell>
          <cell r="I2842">
            <v>0</v>
          </cell>
          <cell r="J2842">
            <v>0</v>
          </cell>
          <cell r="K2842">
            <v>0</v>
          </cell>
          <cell r="L2842">
            <v>0</v>
          </cell>
          <cell r="M2842">
            <v>813</v>
          </cell>
          <cell r="N2842">
            <v>170730</v>
          </cell>
          <cell r="O2842">
            <v>0</v>
          </cell>
          <cell r="P2842">
            <v>0</v>
          </cell>
          <cell r="Q2842">
            <v>0</v>
          </cell>
          <cell r="R2842">
            <v>0</v>
          </cell>
          <cell r="S2842">
            <v>813</v>
          </cell>
          <cell r="T2842">
            <v>170730</v>
          </cell>
          <cell r="U2842">
            <v>210</v>
          </cell>
        </row>
        <row r="2843">
          <cell r="A2843">
            <v>1008435</v>
          </cell>
          <cell r="B2843" t="str">
            <v>Medidor Elec. FM12S Cl 200 3H 120/480V</v>
          </cell>
          <cell r="D2843">
            <v>5409</v>
          </cell>
          <cell r="E2843">
            <v>1000</v>
          </cell>
          <cell r="F2843" t="str">
            <v>ZALM</v>
          </cell>
          <cell r="G2843" t="str">
            <v>UN</v>
          </cell>
          <cell r="H2843" t="str">
            <v>DOP</v>
          </cell>
          <cell r="I2843">
            <v>0</v>
          </cell>
          <cell r="J2843">
            <v>0</v>
          </cell>
          <cell r="K2843">
            <v>0</v>
          </cell>
          <cell r="L2843">
            <v>0</v>
          </cell>
          <cell r="M2843">
            <v>0</v>
          </cell>
          <cell r="N2843">
            <v>0</v>
          </cell>
          <cell r="O2843">
            <v>0</v>
          </cell>
          <cell r="P2843">
            <v>0</v>
          </cell>
          <cell r="Q2843">
            <v>142</v>
          </cell>
          <cell r="R2843">
            <v>3547222.64</v>
          </cell>
          <cell r="S2843">
            <v>142</v>
          </cell>
          <cell r="T2843">
            <v>3547222.64</v>
          </cell>
          <cell r="U2843">
            <v>24980.441126760601</v>
          </cell>
        </row>
        <row r="2844">
          <cell r="A2844">
            <v>1008451</v>
          </cell>
          <cell r="B2844" t="str">
            <v>Capa P/ Agua Amarillo Size XXXL</v>
          </cell>
          <cell r="D2844">
            <v>7201</v>
          </cell>
          <cell r="E2844">
            <v>1000</v>
          </cell>
          <cell r="F2844" t="str">
            <v>ZALM</v>
          </cell>
          <cell r="G2844" t="str">
            <v>UN</v>
          </cell>
          <cell r="H2844" t="str">
            <v>DOP</v>
          </cell>
          <cell r="I2844">
            <v>20</v>
          </cell>
          <cell r="J2844">
            <v>11020</v>
          </cell>
          <cell r="K2844">
            <v>0</v>
          </cell>
          <cell r="L2844">
            <v>0</v>
          </cell>
          <cell r="M2844">
            <v>0</v>
          </cell>
          <cell r="N2844">
            <v>0</v>
          </cell>
          <cell r="O2844">
            <v>0</v>
          </cell>
          <cell r="P2844">
            <v>0</v>
          </cell>
          <cell r="Q2844">
            <v>0</v>
          </cell>
          <cell r="R2844">
            <v>0</v>
          </cell>
          <cell r="S2844">
            <v>20</v>
          </cell>
          <cell r="T2844">
            <v>11020</v>
          </cell>
          <cell r="U2844">
            <v>551</v>
          </cell>
        </row>
        <row r="2845">
          <cell r="A2845">
            <v>1008504</v>
          </cell>
          <cell r="B2845" t="str">
            <v>Linterna de Xenon</v>
          </cell>
          <cell r="D2845">
            <v>7201</v>
          </cell>
          <cell r="E2845">
            <v>1000</v>
          </cell>
          <cell r="F2845" t="str">
            <v>ZALM</v>
          </cell>
          <cell r="G2845" t="str">
            <v>UN</v>
          </cell>
          <cell r="H2845" t="str">
            <v>DOP</v>
          </cell>
          <cell r="I2845">
            <v>32</v>
          </cell>
          <cell r="J2845">
            <v>39632.28</v>
          </cell>
          <cell r="K2845">
            <v>0</v>
          </cell>
          <cell r="L2845">
            <v>0</v>
          </cell>
          <cell r="M2845">
            <v>0</v>
          </cell>
          <cell r="N2845">
            <v>0</v>
          </cell>
          <cell r="O2845">
            <v>0</v>
          </cell>
          <cell r="P2845">
            <v>0</v>
          </cell>
          <cell r="Q2845">
            <v>0</v>
          </cell>
          <cell r="R2845">
            <v>0</v>
          </cell>
          <cell r="S2845">
            <v>32</v>
          </cell>
          <cell r="T2845">
            <v>39632.28</v>
          </cell>
          <cell r="U2845">
            <v>1238.50875</v>
          </cell>
        </row>
        <row r="2846">
          <cell r="A2846">
            <v>1008505</v>
          </cell>
          <cell r="B2846" t="str">
            <v>Tanque Señalizacion</v>
          </cell>
          <cell r="D2846">
            <v>7201</v>
          </cell>
          <cell r="E2846">
            <v>1000</v>
          </cell>
          <cell r="F2846" t="str">
            <v>ZALM</v>
          </cell>
          <cell r="G2846" t="str">
            <v>UN</v>
          </cell>
          <cell r="H2846" t="str">
            <v>DOP</v>
          </cell>
          <cell r="I2846">
            <v>3</v>
          </cell>
          <cell r="J2846">
            <v>8424.52</v>
          </cell>
          <cell r="K2846">
            <v>0</v>
          </cell>
          <cell r="L2846">
            <v>0</v>
          </cell>
          <cell r="M2846">
            <v>0</v>
          </cell>
          <cell r="N2846">
            <v>0</v>
          </cell>
          <cell r="O2846">
            <v>0</v>
          </cell>
          <cell r="P2846">
            <v>0</v>
          </cell>
          <cell r="Q2846">
            <v>0</v>
          </cell>
          <cell r="R2846">
            <v>0</v>
          </cell>
          <cell r="S2846">
            <v>3</v>
          </cell>
          <cell r="T2846">
            <v>8424.52</v>
          </cell>
          <cell r="U2846">
            <v>2808.17333333333</v>
          </cell>
        </row>
        <row r="2847">
          <cell r="A2847">
            <v>1008506</v>
          </cell>
          <cell r="B2847" t="str">
            <v>Base Traiboss</v>
          </cell>
          <cell r="D2847">
            <v>7201</v>
          </cell>
          <cell r="E2847">
            <v>1000</v>
          </cell>
          <cell r="F2847" t="str">
            <v>ZALM</v>
          </cell>
          <cell r="G2847" t="str">
            <v>UN</v>
          </cell>
          <cell r="H2847" t="str">
            <v>DOP</v>
          </cell>
          <cell r="I2847">
            <v>3</v>
          </cell>
          <cell r="J2847">
            <v>4074.45</v>
          </cell>
          <cell r="K2847">
            <v>0</v>
          </cell>
          <cell r="L2847">
            <v>0</v>
          </cell>
          <cell r="M2847">
            <v>0</v>
          </cell>
          <cell r="N2847">
            <v>0</v>
          </cell>
          <cell r="O2847">
            <v>0</v>
          </cell>
          <cell r="P2847">
            <v>0</v>
          </cell>
          <cell r="Q2847">
            <v>0</v>
          </cell>
          <cell r="R2847">
            <v>0</v>
          </cell>
          <cell r="S2847">
            <v>3</v>
          </cell>
          <cell r="T2847">
            <v>4074.45</v>
          </cell>
          <cell r="U2847">
            <v>1358.15</v>
          </cell>
        </row>
        <row r="2848">
          <cell r="A2848">
            <v>1008508</v>
          </cell>
          <cell r="B2848" t="str">
            <v>Chaleco Reflec Alta Visib Naranja L</v>
          </cell>
          <cell r="D2848">
            <v>7201</v>
          </cell>
          <cell r="E2848">
            <v>1000</v>
          </cell>
          <cell r="F2848" t="str">
            <v>ZALM</v>
          </cell>
          <cell r="G2848" t="str">
            <v>UN</v>
          </cell>
          <cell r="H2848" t="str">
            <v>DOP</v>
          </cell>
          <cell r="I2848">
            <v>0</v>
          </cell>
          <cell r="J2848">
            <v>0</v>
          </cell>
          <cell r="K2848">
            <v>0</v>
          </cell>
          <cell r="L2848">
            <v>0</v>
          </cell>
          <cell r="M2848">
            <v>0</v>
          </cell>
          <cell r="N2848">
            <v>0</v>
          </cell>
          <cell r="O2848">
            <v>0</v>
          </cell>
          <cell r="P2848">
            <v>0</v>
          </cell>
          <cell r="Q2848">
            <v>0</v>
          </cell>
          <cell r="R2848">
            <v>0</v>
          </cell>
          <cell r="S2848">
            <v>0</v>
          </cell>
          <cell r="T2848">
            <v>0</v>
          </cell>
          <cell r="U2848" t="e">
            <v>#N/A</v>
          </cell>
        </row>
        <row r="2849">
          <cell r="A2849">
            <v>1008509</v>
          </cell>
          <cell r="B2849" t="str">
            <v>BULTO PORTA HERRAMIENTAS</v>
          </cell>
          <cell r="D2849">
            <v>5501</v>
          </cell>
          <cell r="E2849">
            <v>1000</v>
          </cell>
          <cell r="F2849" t="str">
            <v>ZALM</v>
          </cell>
          <cell r="G2849" t="str">
            <v>UN</v>
          </cell>
          <cell r="H2849" t="str">
            <v>DOP</v>
          </cell>
          <cell r="I2849">
            <v>0</v>
          </cell>
          <cell r="J2849">
            <v>0</v>
          </cell>
          <cell r="K2849">
            <v>0</v>
          </cell>
          <cell r="L2849">
            <v>0</v>
          </cell>
          <cell r="M2849">
            <v>0</v>
          </cell>
          <cell r="N2849">
            <v>0</v>
          </cell>
          <cell r="O2849">
            <v>0</v>
          </cell>
          <cell r="P2849">
            <v>0</v>
          </cell>
          <cell r="Q2849">
            <v>0</v>
          </cell>
          <cell r="R2849">
            <v>0</v>
          </cell>
          <cell r="S2849">
            <v>0</v>
          </cell>
          <cell r="T2849">
            <v>0</v>
          </cell>
          <cell r="U2849" t="e">
            <v>#N/A</v>
          </cell>
        </row>
        <row r="2850">
          <cell r="A2850">
            <v>1008512</v>
          </cell>
          <cell r="B2850" t="str">
            <v>Cinta Demarcacion 2' x 36'</v>
          </cell>
          <cell r="D2850">
            <v>7201</v>
          </cell>
          <cell r="E2850">
            <v>1000</v>
          </cell>
          <cell r="F2850" t="str">
            <v>ZALM</v>
          </cell>
          <cell r="G2850" t="str">
            <v>UN</v>
          </cell>
          <cell r="H2850" t="str">
            <v>DOP</v>
          </cell>
          <cell r="I2850">
            <v>32</v>
          </cell>
          <cell r="J2850">
            <v>68198.350000000006</v>
          </cell>
          <cell r="K2850">
            <v>0</v>
          </cell>
          <cell r="L2850">
            <v>0</v>
          </cell>
          <cell r="M2850">
            <v>0</v>
          </cell>
          <cell r="N2850">
            <v>0</v>
          </cell>
          <cell r="O2850">
            <v>0</v>
          </cell>
          <cell r="P2850">
            <v>0</v>
          </cell>
          <cell r="Q2850">
            <v>0</v>
          </cell>
          <cell r="R2850">
            <v>0</v>
          </cell>
          <cell r="S2850">
            <v>32</v>
          </cell>
          <cell r="T2850">
            <v>68198.350000000006</v>
          </cell>
          <cell r="U2850">
            <v>2131.1984375000002</v>
          </cell>
        </row>
        <row r="2851">
          <cell r="A2851">
            <v>1008513</v>
          </cell>
          <cell r="B2851" t="str">
            <v>Espejo Convexo 30cm</v>
          </cell>
          <cell r="D2851">
            <v>7201</v>
          </cell>
          <cell r="E2851">
            <v>1000</v>
          </cell>
          <cell r="F2851" t="str">
            <v>ZALM</v>
          </cell>
          <cell r="G2851" t="str">
            <v>UN</v>
          </cell>
          <cell r="H2851" t="str">
            <v>DOP</v>
          </cell>
          <cell r="I2851">
            <v>0</v>
          </cell>
          <cell r="J2851">
            <v>0</v>
          </cell>
          <cell r="K2851">
            <v>0</v>
          </cell>
          <cell r="L2851">
            <v>0</v>
          </cell>
          <cell r="M2851">
            <v>0</v>
          </cell>
          <cell r="N2851">
            <v>0</v>
          </cell>
          <cell r="O2851">
            <v>0</v>
          </cell>
          <cell r="P2851">
            <v>0</v>
          </cell>
          <cell r="Q2851">
            <v>0</v>
          </cell>
          <cell r="R2851">
            <v>0</v>
          </cell>
          <cell r="S2851">
            <v>0</v>
          </cell>
          <cell r="T2851">
            <v>0</v>
          </cell>
          <cell r="U2851" t="e">
            <v>#N/A</v>
          </cell>
        </row>
        <row r="2852">
          <cell r="A2852">
            <v>1008514</v>
          </cell>
          <cell r="B2852" t="str">
            <v>Espejo Convexo 40cm</v>
          </cell>
          <cell r="D2852">
            <v>7201</v>
          </cell>
          <cell r="E2852">
            <v>1000</v>
          </cell>
          <cell r="F2852" t="str">
            <v>ZALM</v>
          </cell>
          <cell r="G2852" t="str">
            <v>UN</v>
          </cell>
          <cell r="H2852" t="str">
            <v>DOP</v>
          </cell>
          <cell r="I2852">
            <v>0</v>
          </cell>
          <cell r="J2852">
            <v>0</v>
          </cell>
          <cell r="K2852">
            <v>0</v>
          </cell>
          <cell r="L2852">
            <v>0</v>
          </cell>
          <cell r="M2852">
            <v>0</v>
          </cell>
          <cell r="N2852">
            <v>0</v>
          </cell>
          <cell r="O2852">
            <v>0</v>
          </cell>
          <cell r="P2852">
            <v>0</v>
          </cell>
          <cell r="Q2852">
            <v>0</v>
          </cell>
          <cell r="R2852">
            <v>0</v>
          </cell>
          <cell r="S2852">
            <v>0</v>
          </cell>
          <cell r="T2852">
            <v>0</v>
          </cell>
          <cell r="U2852" t="e">
            <v>#N/A</v>
          </cell>
        </row>
        <row r="2853">
          <cell r="A2853">
            <v>1008516</v>
          </cell>
          <cell r="B2853" t="str">
            <v>Estuche compacto para Arnes</v>
          </cell>
          <cell r="D2853">
            <v>7201</v>
          </cell>
          <cell r="E2853">
            <v>1000</v>
          </cell>
          <cell r="F2853" t="str">
            <v>ZALM</v>
          </cell>
          <cell r="G2853" t="str">
            <v>UN</v>
          </cell>
          <cell r="H2853" t="str">
            <v>DOP</v>
          </cell>
          <cell r="I2853">
            <v>0</v>
          </cell>
          <cell r="J2853">
            <v>0</v>
          </cell>
          <cell r="K2853">
            <v>0</v>
          </cell>
          <cell r="L2853">
            <v>0</v>
          </cell>
          <cell r="M2853">
            <v>0</v>
          </cell>
          <cell r="N2853">
            <v>0</v>
          </cell>
          <cell r="O2853">
            <v>0</v>
          </cell>
          <cell r="P2853">
            <v>0</v>
          </cell>
          <cell r="Q2853">
            <v>0</v>
          </cell>
          <cell r="R2853">
            <v>0</v>
          </cell>
          <cell r="S2853">
            <v>0</v>
          </cell>
          <cell r="T2853">
            <v>0</v>
          </cell>
          <cell r="U2853" t="e">
            <v>#N/A</v>
          </cell>
        </row>
        <row r="2854">
          <cell r="A2854">
            <v>1008517</v>
          </cell>
          <cell r="B2854" t="str">
            <v>Inflador p/ pruebas de guantes dilec.</v>
          </cell>
          <cell r="D2854">
            <v>7201</v>
          </cell>
          <cell r="E2854">
            <v>1000</v>
          </cell>
          <cell r="F2854" t="str">
            <v>ZALM</v>
          </cell>
          <cell r="G2854" t="str">
            <v>UN</v>
          </cell>
          <cell r="H2854" t="str">
            <v>DOP</v>
          </cell>
          <cell r="I2854">
            <v>0</v>
          </cell>
          <cell r="J2854">
            <v>0</v>
          </cell>
          <cell r="K2854">
            <v>0</v>
          </cell>
          <cell r="L2854">
            <v>0</v>
          </cell>
          <cell r="M2854">
            <v>0</v>
          </cell>
          <cell r="N2854">
            <v>0</v>
          </cell>
          <cell r="O2854">
            <v>0</v>
          </cell>
          <cell r="P2854">
            <v>0</v>
          </cell>
          <cell r="Q2854">
            <v>0</v>
          </cell>
          <cell r="R2854">
            <v>0</v>
          </cell>
          <cell r="S2854">
            <v>0</v>
          </cell>
          <cell r="T2854">
            <v>0</v>
          </cell>
          <cell r="U2854" t="e">
            <v>#N/A</v>
          </cell>
        </row>
        <row r="2855">
          <cell r="A2855">
            <v>1008534</v>
          </cell>
          <cell r="B2855" t="str">
            <v>Breaker P/Riel 6 AMPS</v>
          </cell>
          <cell r="D2855">
            <v>6307</v>
          </cell>
          <cell r="E2855">
            <v>1000</v>
          </cell>
          <cell r="F2855" t="str">
            <v>ZALM</v>
          </cell>
          <cell r="G2855" t="str">
            <v>UN</v>
          </cell>
          <cell r="H2855" t="str">
            <v>DOP</v>
          </cell>
          <cell r="I2855">
            <v>0</v>
          </cell>
          <cell r="J2855">
            <v>0</v>
          </cell>
          <cell r="K2855">
            <v>0</v>
          </cell>
          <cell r="L2855">
            <v>0</v>
          </cell>
          <cell r="M2855">
            <v>0</v>
          </cell>
          <cell r="N2855">
            <v>0</v>
          </cell>
          <cell r="O2855">
            <v>0</v>
          </cell>
          <cell r="P2855">
            <v>0</v>
          </cell>
          <cell r="Q2855">
            <v>0</v>
          </cell>
          <cell r="R2855">
            <v>0</v>
          </cell>
          <cell r="S2855">
            <v>0</v>
          </cell>
          <cell r="T2855">
            <v>0</v>
          </cell>
          <cell r="U2855" t="e">
            <v>#N/A</v>
          </cell>
        </row>
        <row r="2856">
          <cell r="A2856">
            <v>1008539</v>
          </cell>
          <cell r="B2856" t="str">
            <v>Antena bahia de  8 elementos  136-174Mhz</v>
          </cell>
          <cell r="D2856">
            <v>5405</v>
          </cell>
          <cell r="E2856">
            <v>1000</v>
          </cell>
          <cell r="F2856" t="str">
            <v>ZALM</v>
          </cell>
          <cell r="G2856" t="str">
            <v>UN</v>
          </cell>
          <cell r="H2856" t="str">
            <v>DOP</v>
          </cell>
          <cell r="I2856">
            <v>0</v>
          </cell>
          <cell r="J2856">
            <v>0</v>
          </cell>
          <cell r="K2856">
            <v>0</v>
          </cell>
          <cell r="L2856">
            <v>0</v>
          </cell>
          <cell r="M2856">
            <v>0</v>
          </cell>
          <cell r="N2856">
            <v>0</v>
          </cell>
          <cell r="O2856">
            <v>0</v>
          </cell>
          <cell r="P2856">
            <v>0</v>
          </cell>
          <cell r="Q2856">
            <v>0</v>
          </cell>
          <cell r="R2856">
            <v>0</v>
          </cell>
          <cell r="S2856">
            <v>0</v>
          </cell>
          <cell r="T2856">
            <v>0</v>
          </cell>
          <cell r="U2856" t="e">
            <v>#N/A</v>
          </cell>
        </row>
        <row r="2857">
          <cell r="A2857">
            <v>1008540</v>
          </cell>
          <cell r="B2857" t="str">
            <v>Kit de antena 1/4 onda NMO 136-174 Mhz</v>
          </cell>
          <cell r="D2857">
            <v>5405</v>
          </cell>
          <cell r="E2857">
            <v>1000</v>
          </cell>
          <cell r="F2857" t="str">
            <v>ZALM</v>
          </cell>
          <cell r="G2857" t="str">
            <v>UN</v>
          </cell>
          <cell r="H2857" t="str">
            <v>DOP</v>
          </cell>
          <cell r="I2857">
            <v>0</v>
          </cell>
          <cell r="J2857">
            <v>0</v>
          </cell>
          <cell r="K2857">
            <v>0</v>
          </cell>
          <cell r="L2857">
            <v>0</v>
          </cell>
          <cell r="M2857">
            <v>0</v>
          </cell>
          <cell r="N2857">
            <v>0</v>
          </cell>
          <cell r="O2857">
            <v>0</v>
          </cell>
          <cell r="P2857">
            <v>0</v>
          </cell>
          <cell r="Q2857">
            <v>0</v>
          </cell>
          <cell r="R2857">
            <v>0</v>
          </cell>
          <cell r="S2857">
            <v>0</v>
          </cell>
          <cell r="T2857">
            <v>0</v>
          </cell>
          <cell r="U2857" t="e">
            <v>#N/A</v>
          </cell>
        </row>
        <row r="2858">
          <cell r="A2858">
            <v>1008541</v>
          </cell>
          <cell r="B2858" t="str">
            <v>Antena Yagui 9 dBi 136-174Mhz</v>
          </cell>
          <cell r="D2858">
            <v>5405</v>
          </cell>
          <cell r="E2858">
            <v>1000</v>
          </cell>
          <cell r="F2858" t="str">
            <v>ZALM</v>
          </cell>
          <cell r="G2858" t="str">
            <v>UN</v>
          </cell>
          <cell r="H2858" t="str">
            <v>DOP</v>
          </cell>
          <cell r="I2858">
            <v>0</v>
          </cell>
          <cell r="J2858">
            <v>0</v>
          </cell>
          <cell r="K2858">
            <v>0</v>
          </cell>
          <cell r="L2858">
            <v>0</v>
          </cell>
          <cell r="M2858">
            <v>0</v>
          </cell>
          <cell r="N2858">
            <v>0</v>
          </cell>
          <cell r="O2858">
            <v>0</v>
          </cell>
          <cell r="P2858">
            <v>0</v>
          </cell>
          <cell r="Q2858">
            <v>0</v>
          </cell>
          <cell r="R2858">
            <v>0</v>
          </cell>
          <cell r="S2858">
            <v>0</v>
          </cell>
          <cell r="T2858">
            <v>0</v>
          </cell>
          <cell r="U2858" t="e">
            <v>#N/A</v>
          </cell>
        </row>
        <row r="2859">
          <cell r="A2859">
            <v>1008543</v>
          </cell>
          <cell r="B2859" t="str">
            <v>Conector N para LMR400</v>
          </cell>
          <cell r="D2859">
            <v>5405</v>
          </cell>
          <cell r="E2859">
            <v>1000</v>
          </cell>
          <cell r="F2859" t="str">
            <v>ZALM</v>
          </cell>
          <cell r="G2859" t="str">
            <v>UN</v>
          </cell>
          <cell r="H2859" t="str">
            <v>DOP</v>
          </cell>
          <cell r="I2859">
            <v>0</v>
          </cell>
          <cell r="J2859">
            <v>0</v>
          </cell>
          <cell r="K2859">
            <v>0</v>
          </cell>
          <cell r="L2859">
            <v>0</v>
          </cell>
          <cell r="M2859">
            <v>0</v>
          </cell>
          <cell r="N2859">
            <v>0</v>
          </cell>
          <cell r="O2859">
            <v>0</v>
          </cell>
          <cell r="P2859">
            <v>0</v>
          </cell>
          <cell r="Q2859">
            <v>0</v>
          </cell>
          <cell r="R2859">
            <v>0</v>
          </cell>
          <cell r="S2859">
            <v>0</v>
          </cell>
          <cell r="T2859">
            <v>0</v>
          </cell>
          <cell r="U2859" t="e">
            <v>#N/A</v>
          </cell>
        </row>
        <row r="2860">
          <cell r="A2860">
            <v>1008544</v>
          </cell>
          <cell r="B2860" t="str">
            <v>Duplexer 4 cavidades</v>
          </cell>
          <cell r="D2860">
            <v>5405</v>
          </cell>
          <cell r="E2860">
            <v>1000</v>
          </cell>
          <cell r="F2860" t="str">
            <v>ZALM</v>
          </cell>
          <cell r="G2860" t="str">
            <v>UN</v>
          </cell>
          <cell r="H2860" t="str">
            <v>DOP</v>
          </cell>
          <cell r="I2860">
            <v>0</v>
          </cell>
          <cell r="J2860">
            <v>0</v>
          </cell>
          <cell r="K2860">
            <v>0</v>
          </cell>
          <cell r="L2860">
            <v>0</v>
          </cell>
          <cell r="M2860">
            <v>0</v>
          </cell>
          <cell r="N2860">
            <v>0</v>
          </cell>
          <cell r="O2860">
            <v>0</v>
          </cell>
          <cell r="P2860">
            <v>0</v>
          </cell>
          <cell r="Q2860">
            <v>0</v>
          </cell>
          <cell r="R2860">
            <v>0</v>
          </cell>
          <cell r="S2860">
            <v>0</v>
          </cell>
          <cell r="T2860">
            <v>0</v>
          </cell>
          <cell r="U2860" t="e">
            <v>#N/A</v>
          </cell>
        </row>
        <row r="2861">
          <cell r="A2861">
            <v>1008545</v>
          </cell>
          <cell r="B2861" t="str">
            <v>Antena para GPS Radio DGM 6100</v>
          </cell>
          <cell r="D2861">
            <v>5405</v>
          </cell>
          <cell r="E2861">
            <v>1000</v>
          </cell>
          <cell r="F2861" t="str">
            <v>ZALM</v>
          </cell>
          <cell r="G2861" t="str">
            <v>UN</v>
          </cell>
          <cell r="H2861" t="str">
            <v>DOP</v>
          </cell>
          <cell r="I2861">
            <v>0</v>
          </cell>
          <cell r="J2861">
            <v>0</v>
          </cell>
          <cell r="K2861">
            <v>0</v>
          </cell>
          <cell r="L2861">
            <v>0</v>
          </cell>
          <cell r="M2861">
            <v>0</v>
          </cell>
          <cell r="N2861">
            <v>0</v>
          </cell>
          <cell r="O2861">
            <v>0</v>
          </cell>
          <cell r="P2861">
            <v>0</v>
          </cell>
          <cell r="Q2861">
            <v>0</v>
          </cell>
          <cell r="R2861">
            <v>0</v>
          </cell>
          <cell r="S2861">
            <v>0</v>
          </cell>
          <cell r="T2861">
            <v>0</v>
          </cell>
          <cell r="U2861" t="e">
            <v>#N/A</v>
          </cell>
        </row>
        <row r="2862">
          <cell r="A2862">
            <v>1008546</v>
          </cell>
          <cell r="B2862" t="str">
            <v>Espejo Convexo 24cm</v>
          </cell>
          <cell r="D2862">
            <v>7201</v>
          </cell>
          <cell r="E2862">
            <v>1000</v>
          </cell>
          <cell r="F2862" t="str">
            <v>ZALM</v>
          </cell>
          <cell r="G2862" t="str">
            <v>UN</v>
          </cell>
          <cell r="H2862" t="str">
            <v>DOP</v>
          </cell>
          <cell r="I2862">
            <v>0</v>
          </cell>
          <cell r="J2862">
            <v>0</v>
          </cell>
          <cell r="K2862">
            <v>0</v>
          </cell>
          <cell r="L2862">
            <v>0</v>
          </cell>
          <cell r="M2862">
            <v>0</v>
          </cell>
          <cell r="N2862">
            <v>0</v>
          </cell>
          <cell r="O2862">
            <v>0</v>
          </cell>
          <cell r="P2862">
            <v>0</v>
          </cell>
          <cell r="Q2862">
            <v>0</v>
          </cell>
          <cell r="R2862">
            <v>0</v>
          </cell>
          <cell r="S2862">
            <v>0</v>
          </cell>
          <cell r="T2862">
            <v>0</v>
          </cell>
          <cell r="U2862" t="e">
            <v>#N/A</v>
          </cell>
        </row>
        <row r="2863">
          <cell r="A2863">
            <v>1008548</v>
          </cell>
          <cell r="B2863" t="str">
            <v>Filtro Multigases para Respiradores</v>
          </cell>
          <cell r="D2863">
            <v>7201</v>
          </cell>
          <cell r="E2863">
            <v>1000</v>
          </cell>
          <cell r="F2863" t="str">
            <v>ZALM</v>
          </cell>
          <cell r="G2863" t="str">
            <v>UN</v>
          </cell>
          <cell r="H2863" t="str">
            <v>DOP</v>
          </cell>
          <cell r="I2863">
            <v>0</v>
          </cell>
          <cell r="J2863">
            <v>0</v>
          </cell>
          <cell r="K2863">
            <v>0</v>
          </cell>
          <cell r="L2863">
            <v>0</v>
          </cell>
          <cell r="M2863">
            <v>0</v>
          </cell>
          <cell r="N2863">
            <v>0</v>
          </cell>
          <cell r="O2863">
            <v>0</v>
          </cell>
          <cell r="P2863">
            <v>0</v>
          </cell>
          <cell r="Q2863">
            <v>0</v>
          </cell>
          <cell r="R2863">
            <v>0</v>
          </cell>
          <cell r="S2863">
            <v>0</v>
          </cell>
          <cell r="T2863">
            <v>0</v>
          </cell>
          <cell r="U2863" t="e">
            <v>#N/A</v>
          </cell>
        </row>
        <row r="2864">
          <cell r="A2864">
            <v>1008550</v>
          </cell>
          <cell r="B2864" t="str">
            <v>Respirador de Media Cara</v>
          </cell>
          <cell r="D2864">
            <v>7201</v>
          </cell>
          <cell r="E2864">
            <v>1000</v>
          </cell>
          <cell r="F2864" t="str">
            <v>ZALM</v>
          </cell>
          <cell r="G2864" t="str">
            <v>UN</v>
          </cell>
          <cell r="H2864" t="str">
            <v>DOP</v>
          </cell>
          <cell r="I2864">
            <v>279</v>
          </cell>
          <cell r="J2864">
            <v>69999.820000000007</v>
          </cell>
          <cell r="K2864">
            <v>0</v>
          </cell>
          <cell r="L2864">
            <v>0</v>
          </cell>
          <cell r="M2864">
            <v>0</v>
          </cell>
          <cell r="N2864">
            <v>0</v>
          </cell>
          <cell r="O2864">
            <v>0</v>
          </cell>
          <cell r="P2864">
            <v>0</v>
          </cell>
          <cell r="Q2864">
            <v>0</v>
          </cell>
          <cell r="R2864">
            <v>0</v>
          </cell>
          <cell r="S2864">
            <v>279</v>
          </cell>
          <cell r="T2864">
            <v>69999.820000000007</v>
          </cell>
          <cell r="U2864">
            <v>250.89541218638001</v>
          </cell>
        </row>
        <row r="2865">
          <cell r="A2865">
            <v>1008551</v>
          </cell>
          <cell r="B2865" t="str">
            <v>Camisa Reflectiva resistente a flama</v>
          </cell>
          <cell r="D2865">
            <v>7201</v>
          </cell>
          <cell r="E2865">
            <v>1000</v>
          </cell>
          <cell r="F2865" t="str">
            <v>ZALM</v>
          </cell>
          <cell r="G2865" t="str">
            <v>UN</v>
          </cell>
          <cell r="H2865" t="str">
            <v>DOP</v>
          </cell>
          <cell r="I2865">
            <v>0</v>
          </cell>
          <cell r="J2865">
            <v>0</v>
          </cell>
          <cell r="K2865">
            <v>0</v>
          </cell>
          <cell r="L2865">
            <v>0</v>
          </cell>
          <cell r="M2865">
            <v>0</v>
          </cell>
          <cell r="N2865">
            <v>0</v>
          </cell>
          <cell r="O2865">
            <v>0</v>
          </cell>
          <cell r="P2865">
            <v>0</v>
          </cell>
          <cell r="Q2865">
            <v>0</v>
          </cell>
          <cell r="R2865">
            <v>0</v>
          </cell>
          <cell r="S2865">
            <v>0</v>
          </cell>
          <cell r="T2865">
            <v>0</v>
          </cell>
          <cell r="U2865" t="e">
            <v>#N/A</v>
          </cell>
        </row>
        <row r="2866">
          <cell r="A2866">
            <v>1008552</v>
          </cell>
          <cell r="B2866" t="str">
            <v>CAMISA NORMAL CON REFLECTIVO</v>
          </cell>
          <cell r="D2866">
            <v>7201</v>
          </cell>
          <cell r="E2866">
            <v>1000</v>
          </cell>
          <cell r="F2866" t="str">
            <v>ZALM</v>
          </cell>
          <cell r="G2866" t="str">
            <v>UN</v>
          </cell>
          <cell r="H2866" t="str">
            <v>DOP</v>
          </cell>
          <cell r="I2866">
            <v>0</v>
          </cell>
          <cell r="J2866">
            <v>0</v>
          </cell>
          <cell r="K2866">
            <v>0</v>
          </cell>
          <cell r="L2866">
            <v>0</v>
          </cell>
          <cell r="M2866">
            <v>0</v>
          </cell>
          <cell r="N2866">
            <v>0</v>
          </cell>
          <cell r="O2866">
            <v>0</v>
          </cell>
          <cell r="P2866">
            <v>0</v>
          </cell>
          <cell r="Q2866">
            <v>0</v>
          </cell>
          <cell r="R2866">
            <v>0</v>
          </cell>
          <cell r="S2866">
            <v>0</v>
          </cell>
          <cell r="T2866">
            <v>0</v>
          </cell>
          <cell r="U2866" t="e">
            <v>#N/A</v>
          </cell>
        </row>
        <row r="2867">
          <cell r="A2867">
            <v>1008553</v>
          </cell>
          <cell r="B2867" t="str">
            <v>CAMISA NORMAL REFLECTIVO  DE TELA</v>
          </cell>
          <cell r="D2867">
            <v>7201</v>
          </cell>
          <cell r="E2867">
            <v>1000</v>
          </cell>
          <cell r="F2867" t="str">
            <v>ZALM</v>
          </cell>
          <cell r="G2867" t="str">
            <v>UN</v>
          </cell>
          <cell r="H2867" t="str">
            <v>DOP</v>
          </cell>
          <cell r="I2867">
            <v>0</v>
          </cell>
          <cell r="J2867">
            <v>0</v>
          </cell>
          <cell r="K2867">
            <v>0</v>
          </cell>
          <cell r="L2867">
            <v>0</v>
          </cell>
          <cell r="M2867">
            <v>0</v>
          </cell>
          <cell r="N2867">
            <v>0</v>
          </cell>
          <cell r="O2867">
            <v>0</v>
          </cell>
          <cell r="P2867">
            <v>0</v>
          </cell>
          <cell r="Q2867">
            <v>0</v>
          </cell>
          <cell r="R2867">
            <v>0</v>
          </cell>
          <cell r="S2867">
            <v>0</v>
          </cell>
          <cell r="T2867">
            <v>0</v>
          </cell>
          <cell r="U2867" t="e">
            <v>#N/A</v>
          </cell>
        </row>
        <row r="2868">
          <cell r="A2868">
            <v>1008554</v>
          </cell>
          <cell r="B2868" t="str">
            <v>PANTALON REFLECTIVO RESISTENTE A FLAMA</v>
          </cell>
          <cell r="D2868">
            <v>7201</v>
          </cell>
          <cell r="E2868">
            <v>1000</v>
          </cell>
          <cell r="F2868" t="str">
            <v>ZALM</v>
          </cell>
          <cell r="G2868" t="str">
            <v>UN</v>
          </cell>
          <cell r="H2868" t="str">
            <v>DOP</v>
          </cell>
          <cell r="I2868">
            <v>0</v>
          </cell>
          <cell r="J2868">
            <v>0</v>
          </cell>
          <cell r="K2868">
            <v>0</v>
          </cell>
          <cell r="L2868">
            <v>0</v>
          </cell>
          <cell r="M2868">
            <v>0</v>
          </cell>
          <cell r="N2868">
            <v>0</v>
          </cell>
          <cell r="O2868">
            <v>0</v>
          </cell>
          <cell r="P2868">
            <v>0</v>
          </cell>
          <cell r="Q2868">
            <v>0</v>
          </cell>
          <cell r="R2868">
            <v>0</v>
          </cell>
          <cell r="S2868">
            <v>0</v>
          </cell>
          <cell r="T2868">
            <v>0</v>
          </cell>
          <cell r="U2868" t="e">
            <v>#N/A</v>
          </cell>
        </row>
        <row r="2869">
          <cell r="A2869">
            <v>1008555</v>
          </cell>
          <cell r="B2869" t="str">
            <v>PANTALON NORMAL  REFLECTIVO  DE TELA</v>
          </cell>
          <cell r="D2869">
            <v>7201</v>
          </cell>
          <cell r="E2869">
            <v>1000</v>
          </cell>
          <cell r="F2869" t="str">
            <v>ZALM</v>
          </cell>
          <cell r="G2869" t="str">
            <v>UN</v>
          </cell>
          <cell r="H2869" t="str">
            <v>DOP</v>
          </cell>
          <cell r="I2869">
            <v>0</v>
          </cell>
          <cell r="J2869">
            <v>0</v>
          </cell>
          <cell r="K2869">
            <v>0</v>
          </cell>
          <cell r="L2869">
            <v>0</v>
          </cell>
          <cell r="M2869">
            <v>0</v>
          </cell>
          <cell r="N2869">
            <v>0</v>
          </cell>
          <cell r="O2869">
            <v>0</v>
          </cell>
          <cell r="P2869">
            <v>0</v>
          </cell>
          <cell r="Q2869">
            <v>0</v>
          </cell>
          <cell r="R2869">
            <v>0</v>
          </cell>
          <cell r="S2869">
            <v>0</v>
          </cell>
          <cell r="T2869">
            <v>0</v>
          </cell>
          <cell r="U2869" t="e">
            <v>#N/A</v>
          </cell>
        </row>
        <row r="2870">
          <cell r="A2870">
            <v>1008556</v>
          </cell>
          <cell r="B2870" t="str">
            <v>Camisa Refl. Resistente a Flama Color</v>
          </cell>
          <cell r="D2870">
            <v>7201</v>
          </cell>
          <cell r="E2870">
            <v>1000</v>
          </cell>
          <cell r="F2870" t="str">
            <v>ZALM</v>
          </cell>
          <cell r="G2870" t="str">
            <v>UN</v>
          </cell>
          <cell r="H2870" t="str">
            <v>DOP</v>
          </cell>
          <cell r="I2870">
            <v>0</v>
          </cell>
          <cell r="J2870">
            <v>0</v>
          </cell>
          <cell r="K2870">
            <v>0</v>
          </cell>
          <cell r="L2870">
            <v>0</v>
          </cell>
          <cell r="M2870">
            <v>0</v>
          </cell>
          <cell r="N2870">
            <v>0</v>
          </cell>
          <cell r="O2870">
            <v>0</v>
          </cell>
          <cell r="P2870">
            <v>0</v>
          </cell>
          <cell r="Q2870">
            <v>0</v>
          </cell>
          <cell r="R2870">
            <v>0</v>
          </cell>
          <cell r="S2870">
            <v>0</v>
          </cell>
          <cell r="T2870">
            <v>0</v>
          </cell>
          <cell r="U2870" t="e">
            <v>#N/A</v>
          </cell>
        </row>
        <row r="2871">
          <cell r="A2871">
            <v>1008668</v>
          </cell>
          <cell r="B2871" t="str">
            <v>Terminal Secundario 50KVA</v>
          </cell>
          <cell r="D2871">
            <v>5110</v>
          </cell>
          <cell r="E2871">
            <v>1000</v>
          </cell>
          <cell r="F2871" t="str">
            <v>ZALM</v>
          </cell>
          <cell r="G2871" t="str">
            <v>UN</v>
          </cell>
          <cell r="H2871" t="str">
            <v>DOP</v>
          </cell>
          <cell r="I2871">
            <v>0</v>
          </cell>
          <cell r="J2871">
            <v>0</v>
          </cell>
          <cell r="K2871">
            <v>0</v>
          </cell>
          <cell r="L2871">
            <v>0</v>
          </cell>
          <cell r="M2871">
            <v>0</v>
          </cell>
          <cell r="N2871">
            <v>0</v>
          </cell>
          <cell r="O2871">
            <v>0</v>
          </cell>
          <cell r="P2871">
            <v>0</v>
          </cell>
          <cell r="Q2871">
            <v>0</v>
          </cell>
          <cell r="R2871">
            <v>0</v>
          </cell>
          <cell r="S2871">
            <v>0</v>
          </cell>
          <cell r="T2871">
            <v>0</v>
          </cell>
          <cell r="U2871" t="e">
            <v>#N/A</v>
          </cell>
        </row>
        <row r="2872">
          <cell r="A2872">
            <v>1008687</v>
          </cell>
          <cell r="B2872" t="str">
            <v>Guantes uso de combustible</v>
          </cell>
          <cell r="D2872">
            <v>7201</v>
          </cell>
          <cell r="E2872">
            <v>1000</v>
          </cell>
          <cell r="F2872" t="str">
            <v>ZALM</v>
          </cell>
          <cell r="G2872" t="str">
            <v>UN</v>
          </cell>
          <cell r="H2872" t="str">
            <v>DOP</v>
          </cell>
          <cell r="I2872">
            <v>144</v>
          </cell>
          <cell r="J2872">
            <v>25632.3</v>
          </cell>
          <cell r="K2872">
            <v>0</v>
          </cell>
          <cell r="L2872">
            <v>0</v>
          </cell>
          <cell r="M2872">
            <v>0</v>
          </cell>
          <cell r="N2872">
            <v>0</v>
          </cell>
          <cell r="O2872">
            <v>0</v>
          </cell>
          <cell r="P2872">
            <v>0</v>
          </cell>
          <cell r="Q2872">
            <v>0</v>
          </cell>
          <cell r="R2872">
            <v>0</v>
          </cell>
          <cell r="S2872">
            <v>144</v>
          </cell>
          <cell r="T2872">
            <v>25632.3</v>
          </cell>
          <cell r="U2872">
            <v>178.00208333333299</v>
          </cell>
        </row>
        <row r="2873">
          <cell r="A2873">
            <v>1008709</v>
          </cell>
          <cell r="B2873" t="str">
            <v>GUANTES DE LIMPIEZA</v>
          </cell>
          <cell r="D2873">
            <v>8403</v>
          </cell>
          <cell r="E2873">
            <v>1000</v>
          </cell>
          <cell r="F2873" t="str">
            <v>ZALM</v>
          </cell>
          <cell r="G2873" t="str">
            <v>UN</v>
          </cell>
          <cell r="H2873" t="str">
            <v>DOP</v>
          </cell>
          <cell r="I2873">
            <v>0</v>
          </cell>
          <cell r="J2873">
            <v>0</v>
          </cell>
          <cell r="K2873">
            <v>0</v>
          </cell>
          <cell r="L2873">
            <v>0</v>
          </cell>
          <cell r="M2873">
            <v>0</v>
          </cell>
          <cell r="N2873">
            <v>0</v>
          </cell>
          <cell r="O2873">
            <v>0</v>
          </cell>
          <cell r="P2873">
            <v>0</v>
          </cell>
          <cell r="Q2873">
            <v>0</v>
          </cell>
          <cell r="R2873">
            <v>0</v>
          </cell>
          <cell r="S2873">
            <v>0</v>
          </cell>
          <cell r="T2873">
            <v>0</v>
          </cell>
          <cell r="U2873" t="e">
            <v>#N/A</v>
          </cell>
        </row>
        <row r="2874">
          <cell r="A2874">
            <v>1008814</v>
          </cell>
          <cell r="B2874" t="str">
            <v>Chaleco Reflec Alta Visib Naranja XL</v>
          </cell>
          <cell r="D2874">
            <v>7201</v>
          </cell>
          <cell r="E2874">
            <v>1000</v>
          </cell>
          <cell r="F2874" t="str">
            <v>ZALM</v>
          </cell>
          <cell r="G2874" t="str">
            <v>UN</v>
          </cell>
          <cell r="H2874" t="str">
            <v>DOP</v>
          </cell>
          <cell r="I2874">
            <v>0</v>
          </cell>
          <cell r="J2874">
            <v>0</v>
          </cell>
          <cell r="K2874">
            <v>0</v>
          </cell>
          <cell r="L2874">
            <v>0</v>
          </cell>
          <cell r="M2874">
            <v>0</v>
          </cell>
          <cell r="N2874">
            <v>0</v>
          </cell>
          <cell r="O2874">
            <v>0</v>
          </cell>
          <cell r="P2874">
            <v>0</v>
          </cell>
          <cell r="Q2874">
            <v>0</v>
          </cell>
          <cell r="R2874">
            <v>0</v>
          </cell>
          <cell r="S2874">
            <v>0</v>
          </cell>
          <cell r="T2874">
            <v>0</v>
          </cell>
          <cell r="U2874" t="e">
            <v>#N/A</v>
          </cell>
        </row>
        <row r="2875">
          <cell r="A2875">
            <v>1008815</v>
          </cell>
          <cell r="B2875" t="str">
            <v>Chaleco Reflec Alta Visib Naranja M</v>
          </cell>
          <cell r="D2875">
            <v>7201</v>
          </cell>
          <cell r="E2875">
            <v>1000</v>
          </cell>
          <cell r="F2875" t="str">
            <v>ZALM</v>
          </cell>
          <cell r="G2875" t="str">
            <v>UN</v>
          </cell>
          <cell r="H2875" t="str">
            <v>DOP</v>
          </cell>
          <cell r="I2875">
            <v>0</v>
          </cell>
          <cell r="J2875">
            <v>0</v>
          </cell>
          <cell r="K2875">
            <v>0</v>
          </cell>
          <cell r="L2875">
            <v>0</v>
          </cell>
          <cell r="M2875">
            <v>0</v>
          </cell>
          <cell r="N2875">
            <v>0</v>
          </cell>
          <cell r="O2875">
            <v>0</v>
          </cell>
          <cell r="P2875">
            <v>0</v>
          </cell>
          <cell r="Q2875">
            <v>0</v>
          </cell>
          <cell r="R2875">
            <v>0</v>
          </cell>
          <cell r="S2875">
            <v>0</v>
          </cell>
          <cell r="T2875">
            <v>0</v>
          </cell>
          <cell r="U2875" t="e">
            <v>#N/A</v>
          </cell>
        </row>
        <row r="2876">
          <cell r="A2876">
            <v>1008840</v>
          </cell>
          <cell r="B2876" t="str">
            <v>Transf M. 37.5kVA 7.2kV 120-240 Reg. 30%</v>
          </cell>
          <cell r="D2876">
            <v>6302</v>
          </cell>
          <cell r="E2876">
            <v>1000</v>
          </cell>
          <cell r="F2876" t="str">
            <v>ZALM</v>
          </cell>
          <cell r="G2876" t="str">
            <v>UN</v>
          </cell>
          <cell r="H2876" t="str">
            <v>DOP</v>
          </cell>
          <cell r="I2876">
            <v>0</v>
          </cell>
          <cell r="J2876">
            <v>0</v>
          </cell>
          <cell r="K2876">
            <v>0</v>
          </cell>
          <cell r="L2876">
            <v>0</v>
          </cell>
          <cell r="M2876">
            <v>0</v>
          </cell>
          <cell r="N2876">
            <v>0</v>
          </cell>
          <cell r="O2876">
            <v>0</v>
          </cell>
          <cell r="P2876">
            <v>0</v>
          </cell>
          <cell r="Q2876">
            <v>0</v>
          </cell>
          <cell r="R2876">
            <v>0</v>
          </cell>
          <cell r="S2876">
            <v>0</v>
          </cell>
          <cell r="T2876">
            <v>0</v>
          </cell>
          <cell r="U2876" t="e">
            <v>#N/A</v>
          </cell>
        </row>
        <row r="2877">
          <cell r="A2877">
            <v>1008841</v>
          </cell>
          <cell r="B2877" t="str">
            <v>Transf M 37.5kVA 4.16kV 120-240V Reg 30%</v>
          </cell>
          <cell r="D2877">
            <v>6302</v>
          </cell>
          <cell r="E2877">
            <v>1000</v>
          </cell>
          <cell r="F2877" t="str">
            <v>ZALM</v>
          </cell>
          <cell r="G2877" t="str">
            <v>UN</v>
          </cell>
          <cell r="H2877" t="str">
            <v>DOP</v>
          </cell>
          <cell r="I2877">
            <v>0</v>
          </cell>
          <cell r="J2877">
            <v>0</v>
          </cell>
          <cell r="K2877">
            <v>0</v>
          </cell>
          <cell r="L2877">
            <v>0</v>
          </cell>
          <cell r="M2877">
            <v>0</v>
          </cell>
          <cell r="N2877">
            <v>0</v>
          </cell>
          <cell r="O2877">
            <v>0</v>
          </cell>
          <cell r="P2877">
            <v>0</v>
          </cell>
          <cell r="Q2877">
            <v>0</v>
          </cell>
          <cell r="R2877">
            <v>0</v>
          </cell>
          <cell r="S2877">
            <v>0</v>
          </cell>
          <cell r="T2877">
            <v>0</v>
          </cell>
          <cell r="U2877" t="e">
            <v>#N/A</v>
          </cell>
        </row>
        <row r="2878">
          <cell r="A2878">
            <v>1008842</v>
          </cell>
          <cell r="B2878" t="str">
            <v>Transf M 50kVA 7.2kV 120-240V Reg 30%</v>
          </cell>
          <cell r="D2878">
            <v>6302</v>
          </cell>
          <cell r="E2878">
            <v>1000</v>
          </cell>
          <cell r="F2878" t="str">
            <v>ZALM</v>
          </cell>
          <cell r="G2878" t="str">
            <v>UN</v>
          </cell>
          <cell r="H2878" t="str">
            <v>DOP</v>
          </cell>
          <cell r="I2878">
            <v>0</v>
          </cell>
          <cell r="J2878">
            <v>0</v>
          </cell>
          <cell r="K2878">
            <v>0</v>
          </cell>
          <cell r="L2878">
            <v>0</v>
          </cell>
          <cell r="M2878">
            <v>0</v>
          </cell>
          <cell r="N2878">
            <v>0</v>
          </cell>
          <cell r="O2878">
            <v>0</v>
          </cell>
          <cell r="P2878">
            <v>0</v>
          </cell>
          <cell r="Q2878">
            <v>0</v>
          </cell>
          <cell r="R2878">
            <v>0</v>
          </cell>
          <cell r="S2878">
            <v>0</v>
          </cell>
          <cell r="T2878">
            <v>0</v>
          </cell>
          <cell r="U2878" t="e">
            <v>#N/A</v>
          </cell>
        </row>
        <row r="2879">
          <cell r="A2879">
            <v>1008843</v>
          </cell>
          <cell r="B2879" t="str">
            <v>Transf M 75kVA 7.2kV 120-240V Reg 30%</v>
          </cell>
          <cell r="D2879">
            <v>6302</v>
          </cell>
          <cell r="E2879">
            <v>1000</v>
          </cell>
          <cell r="F2879" t="str">
            <v>ZALM</v>
          </cell>
          <cell r="G2879" t="str">
            <v>UN</v>
          </cell>
          <cell r="H2879" t="str">
            <v>DOP</v>
          </cell>
          <cell r="I2879">
            <v>0</v>
          </cell>
          <cell r="J2879">
            <v>0</v>
          </cell>
          <cell r="K2879">
            <v>0</v>
          </cell>
          <cell r="L2879">
            <v>0</v>
          </cell>
          <cell r="M2879">
            <v>0</v>
          </cell>
          <cell r="N2879">
            <v>0</v>
          </cell>
          <cell r="O2879">
            <v>0</v>
          </cell>
          <cell r="P2879">
            <v>0</v>
          </cell>
          <cell r="Q2879">
            <v>0</v>
          </cell>
          <cell r="R2879">
            <v>0</v>
          </cell>
          <cell r="S2879">
            <v>0</v>
          </cell>
          <cell r="T2879">
            <v>0</v>
          </cell>
          <cell r="U2879" t="e">
            <v>#N/A</v>
          </cell>
        </row>
        <row r="2880">
          <cell r="A2880">
            <v>1002807</v>
          </cell>
          <cell r="B2880" t="str">
            <v>Transf T-P 37.5kVA 7.2kV 120/240 CSP</v>
          </cell>
        </row>
        <row r="2881">
          <cell r="A2881">
            <v>1009796</v>
          </cell>
          <cell r="B2881" t="str">
            <v>Poste  de acero galvanizado 45´, 8KN</v>
          </cell>
          <cell r="G2881" t="str">
            <v>UN</v>
          </cell>
        </row>
        <row r="2882">
          <cell r="A2882">
            <v>1009352</v>
          </cell>
          <cell r="B2882" t="str">
            <v>soporte /p caja de distribucion 18 toma</v>
          </cell>
          <cell r="G2882" t="str">
            <v>UN</v>
          </cell>
        </row>
        <row r="2883">
          <cell r="A2883">
            <v>1010958</v>
          </cell>
          <cell r="B2883" t="str">
            <v>Cruceta de metal 6"</v>
          </cell>
          <cell r="G2883" t="str">
            <v>UN</v>
          </cell>
        </row>
      </sheetData>
      <sheetData sheetId="1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laudio Carreras" refreshedDate="44603.644274999999" createdVersion="6" refreshedVersion="6" minRefreshableVersion="3" recordCount="2730" xr:uid="{00000000-000A-0000-FFFF-FFFF01000000}">
  <cacheSource type="worksheet">
    <worksheetSource ref="A1:C1048576" sheet="Hoja1"/>
  </cacheSource>
  <cacheFields count="3">
    <cacheField name="SAP" numFmtId="1">
      <sharedItems containsString="0" containsBlank="1" containsNumber="1" containsInteger="1" minValue="1000000" maxValue="5000870" count="2013">
        <n v="1000000"/>
        <n v="1000002"/>
        <n v="1000003"/>
        <n v="1000004"/>
        <n v="1000005"/>
        <n v="1000007"/>
        <n v="1000009"/>
        <n v="1000010"/>
        <n v="1000011"/>
        <n v="1000014"/>
        <n v="1000016"/>
        <n v="1000017"/>
        <n v="1000018"/>
        <n v="1000019"/>
        <n v="1000020"/>
        <n v="1000023"/>
        <n v="1000026"/>
        <n v="1000027"/>
        <n v="1000029"/>
        <n v="1000030"/>
        <n v="1000031"/>
        <n v="1000032"/>
        <n v="1000033"/>
        <n v="1000034"/>
        <n v="1000035"/>
        <n v="1000038"/>
        <n v="1000039"/>
        <n v="1000040"/>
        <n v="1000041"/>
        <n v="1000042"/>
        <n v="1000043"/>
        <n v="1000044"/>
        <n v="1000046"/>
        <n v="1000047"/>
        <n v="1000049"/>
        <n v="1000050"/>
        <n v="1000052"/>
        <n v="1000054"/>
        <n v="1000055"/>
        <n v="1000063"/>
        <n v="1000068"/>
        <n v="1000069"/>
        <n v="1000073"/>
        <n v="1000083"/>
        <n v="1000085"/>
        <n v="1000086"/>
        <n v="1000091"/>
        <n v="1000092"/>
        <n v="1000093"/>
        <n v="1000095"/>
        <n v="1000096"/>
        <n v="1000097"/>
        <n v="1000098"/>
        <n v="1000099"/>
        <n v="1000100"/>
        <n v="1000101"/>
        <n v="1000102"/>
        <n v="1000103"/>
        <n v="1000104"/>
        <n v="1000107"/>
        <n v="1000111"/>
        <n v="1000117"/>
        <n v="1000122"/>
        <n v="1000123"/>
        <n v="1000124"/>
        <n v="1000129"/>
        <n v="1000130"/>
        <n v="1000134"/>
        <n v="1000136"/>
        <n v="1000137"/>
        <n v="1000138"/>
        <n v="1000140"/>
        <n v="1000141"/>
        <n v="1000142"/>
        <n v="1000143"/>
        <n v="1000144"/>
        <n v="1000145"/>
        <n v="1000147"/>
        <n v="1000150"/>
        <n v="1000156"/>
        <n v="1000159"/>
        <n v="1000160"/>
        <n v="1000161"/>
        <n v="1000163"/>
        <n v="1000164"/>
        <n v="1000165"/>
        <n v="1000173"/>
        <n v="1000176"/>
        <n v="1000177"/>
        <n v="1000179"/>
        <n v="1000181"/>
        <n v="1000189"/>
        <n v="1000192"/>
        <n v="1000193"/>
        <n v="1000199"/>
        <n v="1000200"/>
        <n v="1000201"/>
        <n v="1000202"/>
        <n v="1000209"/>
        <n v="1000211"/>
        <n v="1000212"/>
        <n v="1000213"/>
        <n v="1000214"/>
        <n v="1000215"/>
        <n v="1000217"/>
        <n v="1000218"/>
        <n v="1000219"/>
        <n v="1000220"/>
        <n v="1000221"/>
        <n v="1000222"/>
        <n v="1000223"/>
        <n v="1000224"/>
        <n v="1000225"/>
        <n v="1000226"/>
        <n v="1000227"/>
        <n v="1000228"/>
        <n v="1000229"/>
        <n v="1000230"/>
        <n v="1000231"/>
        <n v="1000232"/>
        <n v="1000233"/>
        <n v="1000234"/>
        <n v="1000235"/>
        <n v="1000236"/>
        <n v="1000237"/>
        <n v="1000238"/>
        <n v="1000239"/>
        <n v="1000240"/>
        <n v="1000241"/>
        <n v="1000242"/>
        <n v="1000243"/>
        <n v="1000245"/>
        <n v="1000246"/>
        <n v="1000247"/>
        <n v="1000248"/>
        <n v="1000249"/>
        <n v="1000255"/>
        <n v="1000256"/>
        <n v="1000257"/>
        <n v="1000258"/>
        <n v="1000259"/>
        <n v="1000260"/>
        <n v="1000262"/>
        <n v="1000263"/>
        <n v="1000264"/>
        <n v="1000265"/>
        <n v="1000266"/>
        <n v="1000267"/>
        <n v="1000269"/>
        <n v="1000271"/>
        <n v="1000272"/>
        <n v="1000274"/>
        <n v="1000275"/>
        <n v="1000276"/>
        <n v="1000277"/>
        <n v="1000278"/>
        <n v="1000279"/>
        <n v="1000280"/>
        <n v="1000282"/>
        <n v="1000286"/>
        <n v="1000288"/>
        <n v="1000289"/>
        <n v="1000291"/>
        <n v="1000293"/>
        <n v="1000294"/>
        <n v="1000295"/>
        <n v="1000296"/>
        <n v="1000298"/>
        <n v="1000299"/>
        <n v="1000300"/>
        <n v="1000303"/>
        <n v="1000304"/>
        <n v="1000308"/>
        <n v="1000312"/>
        <n v="1000313"/>
        <n v="1000319"/>
        <n v="1000320"/>
        <n v="1000321"/>
        <n v="1000322"/>
        <n v="1000323"/>
        <n v="1000324"/>
        <n v="1000325"/>
        <n v="1000326"/>
        <n v="1000328"/>
        <n v="1000330"/>
        <n v="1000331"/>
        <n v="1000332"/>
        <n v="1000334"/>
        <n v="1000335"/>
        <n v="1000339"/>
        <n v="1000340"/>
        <n v="1000343"/>
        <n v="1000345"/>
        <n v="1000347"/>
        <n v="1000349"/>
        <n v="1000351"/>
        <n v="1000352"/>
        <n v="1000353"/>
        <n v="1000354"/>
        <n v="1000355"/>
        <n v="1000356"/>
        <n v="1000357"/>
        <n v="1000358"/>
        <n v="1000359"/>
        <n v="1000360"/>
        <n v="1000361"/>
        <n v="1000362"/>
        <n v="1000363"/>
        <n v="1000364"/>
        <n v="1000365"/>
        <n v="1000366"/>
        <n v="1000367"/>
        <n v="1000368"/>
        <n v="1000377"/>
        <n v="1000378"/>
        <n v="1000379"/>
        <n v="1000380"/>
        <n v="1000382"/>
        <n v="1000383"/>
        <n v="1000388"/>
        <n v="1000389"/>
        <n v="1000391"/>
        <n v="1000392"/>
        <n v="1000393"/>
        <n v="1000394"/>
        <n v="1000395"/>
        <n v="1000396"/>
        <n v="1000397"/>
        <n v="1000398"/>
        <n v="1000399"/>
        <n v="1000400"/>
        <n v="1000401"/>
        <n v="1000402"/>
        <n v="1000403"/>
        <n v="1000405"/>
        <n v="1000406"/>
        <n v="1000408"/>
        <n v="1000409"/>
        <n v="1000410"/>
        <n v="1000411"/>
        <n v="1000412"/>
        <n v="1000413"/>
        <n v="1000415"/>
        <n v="1000419"/>
        <n v="1000420"/>
        <n v="1000422"/>
        <n v="1000423"/>
        <n v="1000424"/>
        <n v="1000429"/>
        <n v="1000430"/>
        <n v="1000432"/>
        <n v="1000433"/>
        <n v="1000434"/>
        <n v="1000436"/>
        <n v="1000437"/>
        <n v="1000438"/>
        <n v="1000439"/>
        <n v="1000440"/>
        <n v="1000443"/>
        <n v="1000444"/>
        <n v="1000446"/>
        <n v="1000447"/>
        <n v="1000448"/>
        <n v="1000457"/>
        <n v="1000459"/>
        <n v="1000462"/>
        <n v="1000463"/>
        <n v="1000464"/>
        <n v="1000465"/>
        <n v="1000467"/>
        <n v="1000470"/>
        <n v="1000476"/>
        <n v="1000478"/>
        <n v="1000479"/>
        <n v="1000480"/>
        <n v="1000484"/>
        <n v="1000487"/>
        <n v="1000488"/>
        <n v="1000489"/>
        <n v="1000490"/>
        <n v="1000491"/>
        <n v="1000493"/>
        <n v="1000495"/>
        <n v="1000499"/>
        <n v="1000500"/>
        <n v="1000501"/>
        <n v="1000502"/>
        <n v="1000503"/>
        <n v="1000504"/>
        <n v="1000505"/>
        <n v="1000508"/>
        <n v="1000509"/>
        <n v="1000510"/>
        <n v="1000511"/>
        <n v="1000512"/>
        <n v="1000513"/>
        <n v="1000516"/>
        <n v="1000517"/>
        <n v="1000518"/>
        <n v="1000520"/>
        <n v="1000525"/>
        <n v="1000528"/>
        <n v="1000531"/>
        <n v="1000533"/>
        <n v="1000534"/>
        <n v="1000537"/>
        <n v="1000539"/>
        <n v="1000542"/>
        <n v="1000543"/>
        <n v="1000545"/>
        <n v="1000548"/>
        <n v="1000553"/>
        <n v="1000554"/>
        <n v="1000555"/>
        <n v="1000563"/>
        <n v="1000568"/>
        <n v="1000572"/>
        <n v="1000573"/>
        <n v="1000574"/>
        <n v="1000578"/>
        <n v="1000579"/>
        <n v="1000584"/>
        <n v="1000585"/>
        <n v="1000586"/>
        <n v="1000587"/>
        <n v="1000588"/>
        <n v="1000595"/>
        <n v="1000602"/>
        <n v="1000609"/>
        <n v="1000610"/>
        <n v="1000613"/>
        <n v="1000614"/>
        <n v="1000618"/>
        <n v="1000627"/>
        <n v="1000628"/>
        <n v="1000631"/>
        <n v="1000632"/>
        <n v="1000634"/>
        <n v="1000635"/>
        <n v="1000637"/>
        <n v="1000640"/>
        <n v="1000641"/>
        <n v="1000645"/>
        <n v="1000648"/>
        <n v="1000650"/>
        <n v="1000653"/>
        <n v="1000654"/>
        <n v="1000655"/>
        <n v="1000656"/>
        <n v="1000658"/>
        <n v="1000660"/>
        <n v="1000662"/>
        <n v="1000663"/>
        <n v="1000664"/>
        <n v="1000667"/>
        <n v="1000670"/>
        <n v="1000671"/>
        <n v="1000672"/>
        <n v="1000673"/>
        <n v="1000674"/>
        <n v="1000675"/>
        <n v="1000676"/>
        <n v="1000677"/>
        <n v="1000678"/>
        <n v="1000679"/>
        <n v="1000680"/>
        <n v="1000681"/>
        <n v="1000682"/>
        <n v="1000683"/>
        <n v="1000684"/>
        <n v="1000685"/>
        <n v="1000686"/>
        <n v="1000687"/>
        <n v="1000688"/>
        <n v="1000689"/>
        <n v="1000690"/>
        <n v="1000699"/>
        <n v="1000700"/>
        <n v="1000701"/>
        <n v="1000702"/>
        <n v="1000703"/>
        <n v="1000704"/>
        <n v="1000705"/>
        <n v="1000706"/>
        <n v="1000709"/>
        <n v="1000712"/>
        <n v="1000715"/>
        <n v="1000720"/>
        <n v="1000721"/>
        <n v="1000723"/>
        <n v="1000724"/>
        <n v="1000725"/>
        <n v="1000726"/>
        <n v="1000729"/>
        <n v="1000734"/>
        <n v="1000735"/>
        <n v="1000737"/>
        <n v="1000738"/>
        <n v="1000739"/>
        <n v="1000740"/>
        <n v="1000741"/>
        <n v="1000742"/>
        <n v="1000743"/>
        <n v="1000744"/>
        <n v="1000746"/>
        <n v="1000750"/>
        <n v="1000751"/>
        <n v="1000752"/>
        <n v="1000755"/>
        <n v="1000756"/>
        <n v="1000758"/>
        <n v="1000764"/>
        <n v="1000765"/>
        <n v="1000767"/>
        <n v="1000768"/>
        <n v="1000774"/>
        <n v="1000775"/>
        <n v="1000777"/>
        <n v="1000778"/>
        <n v="1000779"/>
        <n v="1000780"/>
        <n v="1000781"/>
        <n v="1000782"/>
        <n v="1000783"/>
        <n v="1000785"/>
        <n v="1000786"/>
        <n v="1000788"/>
        <n v="1000794"/>
        <n v="1000796"/>
        <n v="1000799"/>
        <n v="1000800"/>
        <n v="1000802"/>
        <n v="1000805"/>
        <n v="1000806"/>
        <n v="1000807"/>
        <n v="1000808"/>
        <n v="1000809"/>
        <n v="1000813"/>
        <n v="1000814"/>
        <n v="1000815"/>
        <n v="1000816"/>
        <n v="1000817"/>
        <n v="1000819"/>
        <n v="1000820"/>
        <n v="1000826"/>
        <n v="1000843"/>
        <n v="1000846"/>
        <n v="1000848"/>
        <n v="1000859"/>
        <n v="1000860"/>
        <n v="1000863"/>
        <n v="1000866"/>
        <n v="1000867"/>
        <n v="1000868"/>
        <n v="1000869"/>
        <n v="1000870"/>
        <n v="1000872"/>
        <n v="1000874"/>
        <n v="1000875"/>
        <n v="1000876"/>
        <n v="1000877"/>
        <n v="1000878"/>
        <n v="1000879"/>
        <n v="1000880"/>
        <n v="1000881"/>
        <n v="1000882"/>
        <n v="1000883"/>
        <n v="1000884"/>
        <n v="1000885"/>
        <n v="1000887"/>
        <n v="1000888"/>
        <n v="1000889"/>
        <n v="1000890"/>
        <n v="1000896"/>
        <n v="1000897"/>
        <n v="1000898"/>
        <n v="1000900"/>
        <n v="1000903"/>
        <n v="1000904"/>
        <n v="1000905"/>
        <n v="1000908"/>
        <n v="1000909"/>
        <n v="1000911"/>
        <n v="1000916"/>
        <n v="1000917"/>
        <n v="1000919"/>
        <n v="1000921"/>
        <n v="1000922"/>
        <n v="1000923"/>
        <n v="1000925"/>
        <n v="1000927"/>
        <n v="1000928"/>
        <n v="1000930"/>
        <n v="1000933"/>
        <n v="1000936"/>
        <n v="1000941"/>
        <n v="1000942"/>
        <n v="1000944"/>
        <n v="1000945"/>
        <n v="1000947"/>
        <n v="1000948"/>
        <n v="1000949"/>
        <n v="1000962"/>
        <n v="1000966"/>
        <n v="1000969"/>
        <n v="1000972"/>
        <n v="1000973"/>
        <n v="1000974"/>
        <n v="1000977"/>
        <n v="1000990"/>
        <n v="1000992"/>
        <n v="1000994"/>
        <n v="1000995"/>
        <n v="1001003"/>
        <n v="1001007"/>
        <n v="1001008"/>
        <n v="1001009"/>
        <n v="1001010"/>
        <n v="1001013"/>
        <n v="1001014"/>
        <n v="1001015"/>
        <n v="1001021"/>
        <n v="1001024"/>
        <n v="1001026"/>
        <n v="1001027"/>
        <n v="1001035"/>
        <n v="1001036"/>
        <n v="1001041"/>
        <n v="1001050"/>
        <n v="1001075"/>
        <n v="1001081"/>
        <n v="1001106"/>
        <n v="1001113"/>
        <n v="1001114"/>
        <n v="1001126"/>
        <n v="1001129"/>
        <n v="1001133"/>
        <n v="1001141"/>
        <n v="1001149"/>
        <n v="1001153"/>
        <n v="1001171"/>
        <n v="1001175"/>
        <n v="1001178"/>
        <n v="1001182"/>
        <n v="1001183"/>
        <n v="1001184"/>
        <n v="1001187"/>
        <n v="1001188"/>
        <n v="1001190"/>
        <n v="1001191"/>
        <n v="1001194"/>
        <n v="1001196"/>
        <n v="1001197"/>
        <n v="1001198"/>
        <n v="1001199"/>
        <n v="1001201"/>
        <n v="1001203"/>
        <n v="1001204"/>
        <n v="1001205"/>
        <n v="1001212"/>
        <n v="1001217"/>
        <n v="1001219"/>
        <n v="1001220"/>
        <n v="1001221"/>
        <n v="1001222"/>
        <n v="1001223"/>
        <n v="1001224"/>
        <n v="1001225"/>
        <n v="1001226"/>
        <n v="1001227"/>
        <n v="1001228"/>
        <n v="1001229"/>
        <n v="1001230"/>
        <n v="1001231"/>
        <n v="1001232"/>
        <n v="1001233"/>
        <n v="1001234"/>
        <n v="1001235"/>
        <n v="1001236"/>
        <n v="1001238"/>
        <n v="1001241"/>
        <n v="1001242"/>
        <n v="1001243"/>
        <n v="1001244"/>
        <n v="1001245"/>
        <n v="1001246"/>
        <n v="1001253"/>
        <n v="1001254"/>
        <n v="1001256"/>
        <n v="1001257"/>
        <n v="1001259"/>
        <n v="1001261"/>
        <n v="1001262"/>
        <n v="1001263"/>
        <n v="1001264"/>
        <n v="1001265"/>
        <n v="1001266"/>
        <n v="1001267"/>
        <n v="1001268"/>
        <n v="1001269"/>
        <n v="1001270"/>
        <n v="1001271"/>
        <n v="1001275"/>
        <n v="1001276"/>
        <n v="1001277"/>
        <n v="1001278"/>
        <n v="1001282"/>
        <n v="1001285"/>
        <n v="1001286"/>
        <n v="1001287"/>
        <n v="1001291"/>
        <n v="1001292"/>
        <n v="1001294"/>
        <n v="1001295"/>
        <n v="1001298"/>
        <n v="1001300"/>
        <n v="1001302"/>
        <n v="1001303"/>
        <n v="1001304"/>
        <n v="1001305"/>
        <n v="1001306"/>
        <n v="1001307"/>
        <n v="1001308"/>
        <n v="1001309"/>
        <n v="1001311"/>
        <n v="1001312"/>
        <n v="1001313"/>
        <n v="1001314"/>
        <n v="1001315"/>
        <n v="1001318"/>
        <n v="1001319"/>
        <n v="1001320"/>
        <n v="1001322"/>
        <n v="1001323"/>
        <n v="1001324"/>
        <n v="1001326"/>
        <n v="1001329"/>
        <n v="1001330"/>
        <n v="1001333"/>
        <n v="1001341"/>
        <n v="1001344"/>
        <n v="1001349"/>
        <n v="1001358"/>
        <n v="1001363"/>
        <n v="1001366"/>
        <n v="1001374"/>
        <n v="1001378"/>
        <n v="1001383"/>
        <n v="1001386"/>
        <n v="1001387"/>
        <n v="1001389"/>
        <n v="1001390"/>
        <n v="1001393"/>
        <n v="1001395"/>
        <n v="1001396"/>
        <n v="1001397"/>
        <n v="1001403"/>
        <n v="1001404"/>
        <n v="1001406"/>
        <n v="1001411"/>
        <n v="1001413"/>
        <n v="1001419"/>
        <n v="1001420"/>
        <n v="1001422"/>
        <n v="1001423"/>
        <n v="1001425"/>
        <n v="1001430"/>
        <n v="1001431"/>
        <n v="1001438"/>
        <n v="1001443"/>
        <n v="1001445"/>
        <n v="1001446"/>
        <n v="1001447"/>
        <n v="1001451"/>
        <n v="1001452"/>
        <n v="1001454"/>
        <n v="1001457"/>
        <n v="1001458"/>
        <n v="1001459"/>
        <n v="1001461"/>
        <n v="1001465"/>
        <n v="1001480"/>
        <n v="1001481"/>
        <n v="1001482"/>
        <n v="1001483"/>
        <n v="1001484"/>
        <n v="1001485"/>
        <n v="1001486"/>
        <n v="1001491"/>
        <n v="1001499"/>
        <n v="1001501"/>
        <n v="1001503"/>
        <n v="1001504"/>
        <n v="1001505"/>
        <n v="1001506"/>
        <n v="1001507"/>
        <n v="1001508"/>
        <n v="1001509"/>
        <n v="1001511"/>
        <n v="1001512"/>
        <n v="1001513"/>
        <n v="1001514"/>
        <n v="1001516"/>
        <n v="1001517"/>
        <n v="1001518"/>
        <n v="1001523"/>
        <n v="1001524"/>
        <n v="1001526"/>
        <n v="1001527"/>
        <n v="1001528"/>
        <n v="1001529"/>
        <n v="1001531"/>
        <n v="1001536"/>
        <n v="1001537"/>
        <n v="1001543"/>
        <n v="1001544"/>
        <n v="1001546"/>
        <n v="1001552"/>
        <n v="1001554"/>
        <n v="1001556"/>
        <n v="1001558"/>
        <n v="1001562"/>
        <n v="1001563"/>
        <n v="1001566"/>
        <n v="1001567"/>
        <n v="1001570"/>
        <n v="1001571"/>
        <n v="1001572"/>
        <n v="1001573"/>
        <n v="1001574"/>
        <n v="1001575"/>
        <n v="1001576"/>
        <n v="1001585"/>
        <n v="1001586"/>
        <n v="1001587"/>
        <n v="1001588"/>
        <n v="1001589"/>
        <n v="1001590"/>
        <n v="1001592"/>
        <n v="1001593"/>
        <n v="1001594"/>
        <n v="1001598"/>
        <n v="1001600"/>
        <n v="1001601"/>
        <n v="1001606"/>
        <n v="1001607"/>
        <n v="1001609"/>
        <n v="1001612"/>
        <n v="1001620"/>
        <n v="1001634"/>
        <n v="1001637"/>
        <n v="1001639"/>
        <n v="1001651"/>
        <n v="1001652"/>
        <n v="1001653"/>
        <n v="1001654"/>
        <n v="1001664"/>
        <n v="1001670"/>
        <n v="1001681"/>
        <n v="1001682"/>
        <n v="1001684"/>
        <n v="1001687"/>
        <n v="1001697"/>
        <n v="1001702"/>
        <n v="1001703"/>
        <n v="1001707"/>
        <n v="1001708"/>
        <n v="1001710"/>
        <n v="1001711"/>
        <n v="1001712"/>
        <n v="1001713"/>
        <n v="1001715"/>
        <n v="1001717"/>
        <n v="1001718"/>
        <n v="1001719"/>
        <n v="1001720"/>
        <n v="1001722"/>
        <n v="1001726"/>
        <n v="1001727"/>
        <n v="1001730"/>
        <n v="1001731"/>
        <n v="1001732"/>
        <n v="1001733"/>
        <n v="1001734"/>
        <n v="1001738"/>
        <n v="1001739"/>
        <n v="1001740"/>
        <n v="1001741"/>
        <n v="1001743"/>
        <n v="1001744"/>
        <n v="1001745"/>
        <n v="1001746"/>
        <n v="1001747"/>
        <n v="1001748"/>
        <n v="1001749"/>
        <n v="1001750"/>
        <n v="1001753"/>
        <n v="1001754"/>
        <n v="1001755"/>
        <n v="1001756"/>
        <n v="1001757"/>
        <n v="1001758"/>
        <n v="1001759"/>
        <n v="1001760"/>
        <n v="1001761"/>
        <n v="1001762"/>
        <n v="1001763"/>
        <n v="1001764"/>
        <n v="1001765"/>
        <n v="1001766"/>
        <n v="1001767"/>
        <n v="1001768"/>
        <n v="1001771"/>
        <n v="1001772"/>
        <n v="1001777"/>
        <n v="1001778"/>
        <n v="1001780"/>
        <n v="1001781"/>
        <n v="1001786"/>
        <n v="1001787"/>
        <n v="1001789"/>
        <n v="1001791"/>
        <n v="1001794"/>
        <n v="1001795"/>
        <n v="1001800"/>
        <n v="1001804"/>
        <n v="1001806"/>
        <n v="1001807"/>
        <n v="1001817"/>
        <n v="1001818"/>
        <n v="1001821"/>
        <n v="1001831"/>
        <n v="1001832"/>
        <n v="1001834"/>
        <n v="1001835"/>
        <n v="1001836"/>
        <n v="1001837"/>
        <n v="1001840"/>
        <n v="1001845"/>
        <n v="1001847"/>
        <n v="1001848"/>
        <n v="1001849"/>
        <n v="1001850"/>
        <n v="1001851"/>
        <n v="1001854"/>
        <n v="1001856"/>
        <n v="1001865"/>
        <n v="1001867"/>
        <n v="1001871"/>
        <n v="1001873"/>
        <n v="1001875"/>
        <n v="1001883"/>
        <n v="1001884"/>
        <n v="1001889"/>
        <n v="1001891"/>
        <n v="1001892"/>
        <n v="1001894"/>
        <n v="1001899"/>
        <n v="1001901"/>
        <n v="1001902"/>
        <n v="1001903"/>
        <n v="1001904"/>
        <n v="1001906"/>
        <n v="1001907"/>
        <n v="1001908"/>
        <n v="1001909"/>
        <n v="1001910"/>
        <n v="1001911"/>
        <n v="1001912"/>
        <n v="1001913"/>
        <n v="1001914"/>
        <n v="1001915"/>
        <n v="1001916"/>
        <n v="1001917"/>
        <n v="1001919"/>
        <n v="1001921"/>
        <n v="1001922"/>
        <n v="1001925"/>
        <n v="1001926"/>
        <n v="1001927"/>
        <n v="1001928"/>
        <n v="1001930"/>
        <n v="1001933"/>
        <n v="1001934"/>
        <n v="1001936"/>
        <n v="1001937"/>
        <n v="1001938"/>
        <n v="1001939"/>
        <n v="1001940"/>
        <n v="1001941"/>
        <n v="1001942"/>
        <n v="1001943"/>
        <n v="1001945"/>
        <n v="1001948"/>
        <n v="1001949"/>
        <n v="1001950"/>
        <n v="1001952"/>
        <n v="1001953"/>
        <n v="1001955"/>
        <n v="1001956"/>
        <n v="1001959"/>
        <n v="1001960"/>
        <n v="1001964"/>
        <n v="1001966"/>
        <n v="1001967"/>
        <n v="1001968"/>
        <n v="1001970"/>
        <n v="1001971"/>
        <n v="1001972"/>
        <n v="1001973"/>
        <n v="1001975"/>
        <n v="1001976"/>
        <n v="1001977"/>
        <n v="1001978"/>
        <n v="1001982"/>
        <n v="1001986"/>
        <n v="1001989"/>
        <n v="1001990"/>
        <n v="1001994"/>
        <n v="1001998"/>
        <n v="1001999"/>
        <n v="1002003"/>
        <n v="1002008"/>
        <n v="1002010"/>
        <n v="1002012"/>
        <n v="1002013"/>
        <n v="1002015"/>
        <n v="1002016"/>
        <n v="1002019"/>
        <n v="1002020"/>
        <n v="1002021"/>
        <n v="1002022"/>
        <n v="1002023"/>
        <n v="1002024"/>
        <n v="1002028"/>
        <n v="1002029"/>
        <n v="1002038"/>
        <n v="1002039"/>
        <n v="1002040"/>
        <n v="1002048"/>
        <n v="1002049"/>
        <n v="1002050"/>
        <n v="1002051"/>
        <n v="1002052"/>
        <n v="1002053"/>
        <n v="1002068"/>
        <n v="1002069"/>
        <n v="1002073"/>
        <n v="1002074"/>
        <n v="1002075"/>
        <n v="1002076"/>
        <n v="1002077"/>
        <n v="1002079"/>
        <n v="1002080"/>
        <n v="1002082"/>
        <n v="1002083"/>
        <n v="1002084"/>
        <n v="1002085"/>
        <n v="1002087"/>
        <n v="1002088"/>
        <n v="1002089"/>
        <n v="1002095"/>
        <n v="1002097"/>
        <n v="1002098"/>
        <n v="1002099"/>
        <n v="1002100"/>
        <n v="1002101"/>
        <n v="1002102"/>
        <n v="1002103"/>
        <n v="1002104"/>
        <n v="1002105"/>
        <n v="1002106"/>
        <n v="1002107"/>
        <n v="1002108"/>
        <n v="1002109"/>
        <n v="1002110"/>
        <n v="1002111"/>
        <n v="1002112"/>
        <n v="1002113"/>
        <n v="1002116"/>
        <n v="1002117"/>
        <n v="1002118"/>
        <n v="1002119"/>
        <n v="1002120"/>
        <n v="1002121"/>
        <n v="1002122"/>
        <n v="1002124"/>
        <n v="1002127"/>
        <n v="1002129"/>
        <n v="1002130"/>
        <n v="1002131"/>
        <n v="1002132"/>
        <n v="1002137"/>
        <n v="1002140"/>
        <n v="1002147"/>
        <n v="1002148"/>
        <n v="1002149"/>
        <n v="1002150"/>
        <n v="1002155"/>
        <n v="1002156"/>
        <n v="1002158"/>
        <n v="1002159"/>
        <n v="1002171"/>
        <n v="1002172"/>
        <n v="1002174"/>
        <n v="1002183"/>
        <n v="1002184"/>
        <n v="1002185"/>
        <n v="1002186"/>
        <n v="1002187"/>
        <n v="1002190"/>
        <n v="1002191"/>
        <n v="1002192"/>
        <n v="1002194"/>
        <n v="1002195"/>
        <n v="1002196"/>
        <n v="1002197"/>
        <n v="1002198"/>
        <n v="1002199"/>
        <n v="1002200"/>
        <n v="1002201"/>
        <n v="1002203"/>
        <n v="1002204"/>
        <n v="1002205"/>
        <n v="1002207"/>
        <n v="1002209"/>
        <n v="1002216"/>
        <n v="1002217"/>
        <n v="1002218"/>
        <n v="1002222"/>
        <n v="1002223"/>
        <n v="1002224"/>
        <n v="1002225"/>
        <n v="1002228"/>
        <n v="1002229"/>
        <n v="1002230"/>
        <n v="1002231"/>
        <n v="1002232"/>
        <n v="1002233"/>
        <n v="1002235"/>
        <n v="1002236"/>
        <n v="1002237"/>
        <n v="1002238"/>
        <n v="1002239"/>
        <n v="1002241"/>
        <n v="1002243"/>
        <n v="1002247"/>
        <n v="1002250"/>
        <n v="1002251"/>
        <n v="1002257"/>
        <n v="1002258"/>
        <n v="1002262"/>
        <n v="1002265"/>
        <n v="1002267"/>
        <n v="1002269"/>
        <n v="1002270"/>
        <n v="1002271"/>
        <n v="1002272"/>
        <n v="1002274"/>
        <n v="1002275"/>
        <n v="1002276"/>
        <n v="1002282"/>
        <n v="1002283"/>
        <n v="1002284"/>
        <n v="1002285"/>
        <n v="1002286"/>
        <n v="1002287"/>
        <n v="1002288"/>
        <n v="1002290"/>
        <n v="1002291"/>
        <n v="1002294"/>
        <n v="1002295"/>
        <n v="1002298"/>
        <n v="1002299"/>
        <n v="1002300"/>
        <n v="1002301"/>
        <n v="1002303"/>
        <n v="1002305"/>
        <n v="1002306"/>
        <n v="1002307"/>
        <n v="1002308"/>
        <n v="1002310"/>
        <n v="1002311"/>
        <n v="1002313"/>
        <n v="1002314"/>
        <n v="1002317"/>
        <n v="1002318"/>
        <n v="1002319"/>
        <n v="1002321"/>
        <n v="1002322"/>
        <n v="1002325"/>
        <n v="1002327"/>
        <n v="1002328"/>
        <n v="1002329"/>
        <n v="1002330"/>
        <n v="1002331"/>
        <n v="1002332"/>
        <n v="1002333"/>
        <n v="1002334"/>
        <n v="1002336"/>
        <n v="1002338"/>
        <n v="1002341"/>
        <n v="1002343"/>
        <n v="1002344"/>
        <n v="1002346"/>
        <n v="1002347"/>
        <n v="1002348"/>
        <n v="1002349"/>
        <n v="1002350"/>
        <n v="1002355"/>
        <n v="1002372"/>
        <n v="1002373"/>
        <n v="1002375"/>
        <n v="1002377"/>
        <n v="1002383"/>
        <n v="1002387"/>
        <n v="1002388"/>
        <n v="1002390"/>
        <n v="1002391"/>
        <n v="1002392"/>
        <n v="1002393"/>
        <n v="1002394"/>
        <n v="1002395"/>
        <n v="1002396"/>
        <n v="1002397"/>
        <n v="1002398"/>
        <n v="1002400"/>
        <n v="1002401"/>
        <n v="1002402"/>
        <n v="1002404"/>
        <n v="1002405"/>
        <n v="1002413"/>
        <n v="1002419"/>
        <n v="1002421"/>
        <n v="1002422"/>
        <n v="1002423"/>
        <n v="1002424"/>
        <n v="1002426"/>
        <n v="1002427"/>
        <n v="1002428"/>
        <n v="1002431"/>
        <n v="1002432"/>
        <n v="1002433"/>
        <n v="1002434"/>
        <n v="1002435"/>
        <n v="1002436"/>
        <n v="1002437"/>
        <n v="1002438"/>
        <n v="1002439"/>
        <n v="1002440"/>
        <n v="1002442"/>
        <n v="1002443"/>
        <n v="1002444"/>
        <n v="1002445"/>
        <n v="1002447"/>
        <n v="1002448"/>
        <n v="1002449"/>
        <n v="1002450"/>
        <n v="1002451"/>
        <n v="1002452"/>
        <n v="1002453"/>
        <n v="1002454"/>
        <n v="1002455"/>
        <n v="1002456"/>
        <n v="1002457"/>
        <n v="1002459"/>
        <n v="1002461"/>
        <n v="1002463"/>
        <n v="1002466"/>
        <n v="1002467"/>
        <n v="1002472"/>
        <n v="1002473"/>
        <n v="1002475"/>
        <n v="1002477"/>
        <n v="1002479"/>
        <n v="1002480"/>
        <n v="1002483"/>
        <n v="1002484"/>
        <n v="1002485"/>
        <n v="1002486"/>
        <n v="1002487"/>
        <n v="1002488"/>
        <n v="1002489"/>
        <n v="1002490"/>
        <n v="1002491"/>
        <n v="1002492"/>
        <n v="1002494"/>
        <n v="1002498"/>
        <n v="1002502"/>
        <n v="1002503"/>
        <n v="1002505"/>
        <n v="1002506"/>
        <n v="1002507"/>
        <n v="1002510"/>
        <n v="1002511"/>
        <n v="1002512"/>
        <n v="1002513"/>
        <n v="1002514"/>
        <n v="1002516"/>
        <n v="1002522"/>
        <n v="1002523"/>
        <n v="1002524"/>
        <n v="1002525"/>
        <n v="1002532"/>
        <n v="1002533"/>
        <n v="1002534"/>
        <n v="1002542"/>
        <n v="1002545"/>
        <n v="1002561"/>
        <n v="1002562"/>
        <n v="1002563"/>
        <n v="1002564"/>
        <n v="1002565"/>
        <n v="1002568"/>
        <n v="1002569"/>
        <n v="1002571"/>
        <n v="1002572"/>
        <n v="1002576"/>
        <n v="1002577"/>
        <n v="1002585"/>
        <n v="1002586"/>
        <n v="1002589"/>
        <n v="1002591"/>
        <n v="1002592"/>
        <n v="1002594"/>
        <n v="1002595"/>
        <n v="1002596"/>
        <n v="1002597"/>
        <n v="1002598"/>
        <n v="1002602"/>
        <n v="1002604"/>
        <n v="1002605"/>
        <n v="1002606"/>
        <n v="1002609"/>
        <n v="1002610"/>
        <n v="1002612"/>
        <n v="1002616"/>
        <n v="1002617"/>
        <n v="1002618"/>
        <n v="1002619"/>
        <n v="1002623"/>
        <n v="1002624"/>
        <n v="1002625"/>
        <n v="1002628"/>
        <n v="1002632"/>
        <n v="1002633"/>
        <n v="1002634"/>
        <n v="1002635"/>
        <n v="1002636"/>
        <n v="1002637"/>
        <n v="1002639"/>
        <n v="1002641"/>
        <n v="1002642"/>
        <n v="1002643"/>
        <n v="1002645"/>
        <n v="1002649"/>
        <n v="1002650"/>
        <n v="1002652"/>
        <n v="1002653"/>
        <n v="1002654"/>
        <n v="1002655"/>
        <n v="1002656"/>
        <n v="1002662"/>
        <n v="1002663"/>
        <n v="1002664"/>
        <n v="1002665"/>
        <n v="1002666"/>
        <n v="1002671"/>
        <n v="1002672"/>
        <n v="1002677"/>
        <n v="1002678"/>
        <n v="1002681"/>
        <n v="1002683"/>
        <n v="1002684"/>
        <n v="1002685"/>
        <n v="1002687"/>
        <n v="1002688"/>
        <n v="1002689"/>
        <n v="1002690"/>
        <n v="1002693"/>
        <n v="1002694"/>
        <n v="1002695"/>
        <n v="1002696"/>
        <n v="1002697"/>
        <n v="1002698"/>
        <n v="1002700"/>
        <n v="1002703"/>
        <n v="1002704"/>
        <n v="1002706"/>
        <n v="1002707"/>
        <n v="1002708"/>
        <n v="1002709"/>
        <n v="1002710"/>
        <n v="1002711"/>
        <n v="1002712"/>
        <n v="1002713"/>
        <n v="1002714"/>
        <n v="1002715"/>
        <n v="1002717"/>
        <n v="1002718"/>
        <n v="1002719"/>
        <n v="1002720"/>
        <n v="1002721"/>
        <n v="1002722"/>
        <n v="1002723"/>
        <n v="1002724"/>
        <n v="1002725"/>
        <n v="1002726"/>
        <n v="1002727"/>
        <n v="1002728"/>
        <n v="1002729"/>
        <n v="1002730"/>
        <n v="1002731"/>
        <n v="1002732"/>
        <n v="1002733"/>
        <n v="1002736"/>
        <n v="1002737"/>
        <n v="1002739"/>
        <n v="1002740"/>
        <n v="1002741"/>
        <n v="1002742"/>
        <n v="1002744"/>
        <n v="1002751"/>
        <n v="1002754"/>
        <n v="1002755"/>
        <n v="1002756"/>
        <n v="1002758"/>
        <n v="1002760"/>
        <n v="1002763"/>
        <n v="1002770"/>
        <n v="1002773"/>
        <n v="1002774"/>
        <n v="1002777"/>
        <n v="1002779"/>
        <n v="1002782"/>
        <n v="1002787"/>
        <n v="1002790"/>
        <n v="1002793"/>
        <n v="1002794"/>
        <n v="1002796"/>
        <n v="1002797"/>
        <n v="1002800"/>
        <n v="1002801"/>
        <n v="1002802"/>
        <n v="1002803"/>
        <n v="1002804"/>
        <n v="1002805"/>
        <n v="1002806"/>
        <n v="1002807"/>
        <n v="1002809"/>
        <n v="1002810"/>
        <n v="1002812"/>
        <n v="1002814"/>
        <n v="1002817"/>
        <n v="1002818"/>
        <n v="1002839"/>
        <n v="1002883"/>
        <n v="1002987"/>
        <n v="1002996"/>
        <n v="1003071"/>
        <n v="1003156"/>
        <n v="1003372"/>
        <n v="1003703"/>
        <n v="1003956"/>
        <n v="1003960"/>
        <n v="1003961"/>
        <n v="1004097"/>
        <n v="1004402"/>
        <n v="1004587"/>
        <n v="1004654"/>
        <n v="1004656"/>
        <n v="1004657"/>
        <n v="1004658"/>
        <n v="1004659"/>
        <n v="1004660"/>
        <n v="1004661"/>
        <n v="1004662"/>
        <n v="1004663"/>
        <n v="1004664"/>
        <n v="1004667"/>
        <n v="1004672"/>
        <n v="1004673"/>
        <n v="1004674"/>
        <n v="1004675"/>
        <n v="1004680"/>
        <n v="1004681"/>
        <n v="1004682"/>
        <n v="1004683"/>
        <n v="1004684"/>
        <n v="1004685"/>
        <n v="1004686"/>
        <n v="1004687"/>
        <n v="1004688"/>
        <n v="1004689"/>
        <n v="1004690"/>
        <n v="1004691"/>
        <n v="1004692"/>
        <n v="1004693"/>
        <n v="1004694"/>
        <n v="1004695"/>
        <n v="1004696"/>
        <n v="1004697"/>
        <n v="1004698"/>
        <n v="1004699"/>
        <n v="1004700"/>
        <n v="1004701"/>
        <n v="1004702"/>
        <n v="1004703"/>
        <n v="1004704"/>
        <n v="1004708"/>
        <n v="1004709"/>
        <n v="1004752"/>
        <n v="1004753"/>
        <n v="1004754"/>
        <n v="1004797"/>
        <n v="1004798"/>
        <n v="1004807"/>
        <n v="1004813"/>
        <n v="1004814"/>
        <n v="1004818"/>
        <n v="1004822"/>
        <n v="1004827"/>
        <n v="1004830"/>
        <n v="1004836"/>
        <n v="1004837"/>
        <n v="1004839"/>
        <n v="1004850"/>
        <n v="1004857"/>
        <n v="1004863"/>
        <n v="1004865"/>
        <n v="1004868"/>
        <n v="1004883"/>
        <n v="1004894"/>
        <n v="1004915"/>
        <n v="1004916"/>
        <n v="1004918"/>
        <n v="1004921"/>
        <n v="1004928"/>
        <n v="1004932"/>
        <n v="1004933"/>
        <n v="1005041"/>
        <n v="1005050"/>
        <n v="1005092"/>
        <n v="1005093"/>
        <n v="1005094"/>
        <n v="1005096"/>
        <n v="1005097"/>
        <n v="1005099"/>
        <n v="1005100"/>
        <n v="1005110"/>
        <n v="1005142"/>
        <n v="1005230"/>
        <n v="1005421"/>
        <n v="1005555"/>
        <n v="1005663"/>
        <n v="1005668"/>
        <n v="1005804"/>
        <n v="1005835"/>
        <n v="1005838"/>
        <n v="1005942"/>
        <n v="1006027"/>
        <n v="1006051"/>
        <n v="1006090"/>
        <n v="1006192"/>
        <n v="1006368"/>
        <n v="1006740"/>
        <n v="1006760"/>
        <n v="1006818"/>
        <n v="1006874"/>
        <n v="1006892"/>
        <n v="1007237"/>
        <n v="1007404"/>
        <n v="1007546"/>
        <n v="1007762"/>
        <n v="1007893"/>
        <n v="1007966"/>
        <n v="1007995"/>
        <n v="1008102"/>
        <n v="1008139"/>
        <n v="1008194"/>
        <n v="1008202"/>
        <n v="1008203"/>
        <n v="1008245"/>
        <n v="1008247"/>
        <n v="1008248"/>
        <n v="1008279"/>
        <n v="1008280"/>
        <n v="1008282"/>
        <n v="1008283"/>
        <n v="1008306"/>
        <n v="1008321"/>
        <n v="1008327"/>
        <n v="1008330"/>
        <n v="1008340"/>
        <n v="1008344"/>
        <n v="1008345"/>
        <n v="1008346"/>
        <n v="1008349"/>
        <n v="1008350"/>
        <n v="1008351"/>
        <n v="1008353"/>
        <n v="1008420"/>
        <n v="1008435"/>
        <n v="1008451"/>
        <n v="1008504"/>
        <n v="1008505"/>
        <n v="1008506"/>
        <n v="1008508"/>
        <n v="1008509"/>
        <n v="1008512"/>
        <n v="1008517"/>
        <n v="1008534"/>
        <n v="1008539"/>
        <n v="1008540"/>
        <n v="1008541"/>
        <n v="1008543"/>
        <n v="1008544"/>
        <n v="1008545"/>
        <n v="1008546"/>
        <n v="1008550"/>
        <n v="1008552"/>
        <n v="1008553"/>
        <n v="1008554"/>
        <n v="1008555"/>
        <n v="1008668"/>
        <n v="1008687"/>
        <n v="1008701"/>
        <n v="1008814"/>
        <n v="1008815"/>
        <n v="1008840"/>
        <n v="1008841"/>
        <n v="1008842"/>
        <n v="1008843"/>
        <n v="1008879"/>
        <n v="1008884"/>
        <n v="1008900"/>
        <n v="1008901"/>
        <n v="1008902"/>
        <n v="1008973"/>
        <n v="1008975"/>
        <n v="1008976"/>
        <n v="1008977"/>
        <n v="1008982"/>
        <n v="1009010"/>
        <n v="1009014"/>
        <n v="1009015"/>
        <n v="1009027"/>
        <n v="1009028"/>
        <n v="1009029"/>
        <n v="1009036"/>
        <n v="1009037"/>
        <n v="1009063"/>
        <n v="1009069"/>
        <n v="1009070"/>
        <n v="1009071"/>
        <n v="1009079"/>
        <n v="1009192"/>
        <n v="1009197"/>
        <n v="1009198"/>
        <n v="1009200"/>
        <n v="1009201"/>
        <n v="1009202"/>
        <n v="1009203"/>
        <n v="1009204"/>
        <n v="1009205"/>
        <n v="1009209"/>
        <n v="1009211"/>
        <n v="1009215"/>
        <n v="1009216"/>
        <n v="1009217"/>
        <n v="1009218"/>
        <n v="1009223"/>
        <n v="1009224"/>
        <n v="1009225"/>
        <n v="1009229"/>
        <n v="1009292"/>
        <n v="1009294"/>
        <n v="1009297"/>
        <n v="1009300"/>
        <n v="1009301"/>
        <n v="1009302"/>
        <n v="1009303"/>
        <n v="1009304"/>
        <n v="1009305"/>
        <n v="1009306"/>
        <n v="1009307"/>
        <n v="1009308"/>
        <n v="1009327"/>
        <n v="1009329"/>
        <n v="1009330"/>
        <n v="1009331"/>
        <n v="1009338"/>
        <n v="1009339"/>
        <n v="1009340"/>
        <n v="1009341"/>
        <n v="1009342"/>
        <n v="1009343"/>
        <n v="1009344"/>
        <n v="1009345"/>
        <n v="1009346"/>
        <n v="1009347"/>
        <n v="1009348"/>
        <n v="1009349"/>
        <n v="1009352"/>
        <n v="1009353"/>
        <n v="1009355"/>
        <n v="1009356"/>
        <n v="1009357"/>
        <n v="1009358"/>
        <n v="1009359"/>
        <n v="1009360"/>
        <n v="1009361"/>
        <n v="1009364"/>
        <n v="1009382"/>
        <n v="1009400"/>
        <n v="1009401"/>
        <n v="1009402"/>
        <n v="1009437"/>
        <n v="1009438"/>
        <n v="1009573"/>
        <n v="1009574"/>
        <n v="1009576"/>
        <n v="1009578"/>
        <n v="1009580"/>
        <n v="1009584"/>
        <n v="1009585"/>
        <n v="1009587"/>
        <n v="1009588"/>
        <n v="1009589"/>
        <n v="1009591"/>
        <n v="1009592"/>
        <n v="1009593"/>
        <n v="1009594"/>
        <n v="1009595"/>
        <n v="1009596"/>
        <n v="1009597"/>
        <n v="1009598"/>
        <n v="1009599"/>
        <n v="1009631"/>
        <n v="1009664"/>
        <n v="1009670"/>
        <n v="1009706"/>
        <n v="1009715"/>
        <n v="1009734"/>
        <n v="1009736"/>
        <n v="1009737"/>
        <n v="1009739"/>
        <n v="1009741"/>
        <n v="1009742"/>
        <n v="1009743"/>
        <n v="1009745"/>
        <n v="1009746"/>
        <n v="1009747"/>
        <n v="1009748"/>
        <n v="1009749"/>
        <n v="1009750"/>
        <n v="1009751"/>
        <n v="1009752"/>
        <n v="1009754"/>
        <n v="1009779"/>
        <n v="1009781"/>
        <n v="1009782"/>
        <n v="1009784"/>
        <n v="1009787"/>
        <n v="1009789"/>
        <n v="1009790"/>
        <n v="1009796"/>
        <n v="1009798"/>
        <n v="1009800"/>
        <n v="1009801"/>
        <n v="1009804"/>
        <n v="1009805"/>
        <n v="1009811"/>
        <n v="1009812"/>
        <n v="1009813"/>
        <n v="1009821"/>
        <n v="1009853"/>
        <n v="1009854"/>
        <n v="1009873"/>
        <n v="1009878"/>
        <n v="1009879"/>
        <n v="1009881"/>
        <n v="1009886"/>
        <n v="1009890"/>
        <n v="1009893"/>
        <n v="1009894"/>
        <n v="1009896"/>
        <n v="1009901"/>
        <n v="1009902"/>
        <n v="1009903"/>
        <n v="1009904"/>
        <n v="1009909"/>
        <n v="1009910"/>
        <n v="1009912"/>
        <n v="1009919"/>
        <n v="1009920"/>
        <n v="1009921"/>
        <n v="1009923"/>
        <n v="1009924"/>
        <n v="1009925"/>
        <n v="1009928"/>
        <n v="1009931"/>
        <n v="1009937"/>
        <n v="1009938"/>
        <n v="1009939"/>
        <n v="1009963"/>
        <n v="1009964"/>
        <n v="1010991"/>
        <n v="1009980"/>
        <n v="1009982"/>
        <n v="1009988"/>
        <n v="1009792"/>
        <n v="1009999"/>
        <n v="1010958"/>
        <n v="1000190"/>
        <n v="1005070"/>
        <n v="1001793"/>
        <n v="1000094"/>
        <n v="1002324"/>
        <n v="1012144"/>
        <n v="1001301"/>
        <n v="1002125"/>
        <n v="1002339"/>
        <n v="1012143"/>
        <n v="1009926"/>
        <n v="1000486"/>
        <n v="1000639"/>
        <n v="1000649"/>
        <n v="1000745"/>
        <n v="1000795"/>
        <n v="1001111"/>
        <n v="1001206"/>
        <n v="1001280"/>
        <n v="1001293"/>
        <n v="1001462"/>
        <n v="1001599"/>
        <n v="1001769"/>
        <n v="1001980"/>
        <n v="1001985"/>
        <n v="1001987"/>
        <n v="1002031"/>
        <n v="1002182"/>
        <n v="1002399"/>
        <n v="1002611"/>
        <n v="1002626"/>
        <n v="1002840"/>
        <n v="1004213"/>
        <n v="1006266"/>
        <n v="1006654"/>
        <n v="1006659"/>
        <n v="1009328"/>
        <n v="1009448"/>
        <n v="1009783"/>
        <n v="1009791"/>
        <n v="1009793"/>
        <n v="1009807"/>
        <n v="1009808"/>
        <n v="1009810"/>
        <n v="1009907"/>
        <n v="1009955"/>
        <n v="1009992"/>
        <n v="1010004"/>
        <n v="1010022"/>
        <n v="1010023"/>
        <n v="1010024"/>
        <n v="1010030"/>
        <n v="1010239"/>
        <n v="1010240"/>
        <n v="1010241"/>
        <n v="1010262"/>
        <n v="1010299"/>
        <n v="1010304"/>
        <n v="1010307"/>
        <n v="1010308"/>
        <n v="1010319"/>
        <n v="1010320"/>
        <n v="1010340"/>
        <n v="1010358"/>
        <n v="1010360"/>
        <n v="1010367"/>
        <n v="1010382"/>
        <n v="1010400"/>
        <n v="1010401"/>
        <n v="1010402"/>
        <n v="1010412"/>
        <n v="1010421"/>
        <n v="1010428"/>
        <n v="1010432"/>
        <n v="1010447"/>
        <n v="1010558"/>
        <n v="1010570"/>
        <n v="1010588"/>
        <n v="1010594"/>
        <n v="1010601"/>
        <n v="1010603"/>
        <n v="1010605"/>
        <n v="1010613"/>
        <n v="1010615"/>
        <n v="1010627"/>
        <n v="1010634"/>
        <n v="1010646"/>
        <n v="1010653"/>
        <n v="1010680"/>
        <n v="1010696"/>
        <n v="1010697"/>
        <n v="1010700"/>
        <n v="1010709"/>
        <n v="1010779"/>
        <n v="1010781"/>
        <n v="1010783"/>
        <n v="1010786"/>
        <n v="1010890"/>
        <n v="1010930"/>
        <n v="1011044"/>
        <n v="1011045"/>
        <n v="1011047"/>
        <n v="1011048"/>
        <n v="1011049"/>
        <n v="1011079"/>
        <n v="1011100"/>
        <n v="1011115"/>
        <n v="1011118"/>
        <n v="1011159"/>
        <n v="1011160"/>
        <n v="1011161"/>
        <n v="1011162"/>
        <n v="1011163"/>
        <n v="1011165"/>
        <n v="1011166"/>
        <n v="1011167"/>
        <n v="1011176"/>
        <n v="1011178"/>
        <n v="1011180"/>
        <n v="1011182"/>
        <n v="1011183"/>
        <n v="1011185"/>
        <n v="1011186"/>
        <n v="1011187"/>
        <n v="1011188"/>
        <n v="1011190"/>
        <n v="1011193"/>
        <n v="1011194"/>
        <n v="1011195"/>
        <n v="1011196"/>
        <n v="1011197"/>
        <n v="1011199"/>
        <n v="1011200"/>
        <n v="1011201"/>
        <n v="1011202"/>
        <n v="1011203"/>
        <n v="1011206"/>
        <n v="1011207"/>
        <n v="1011208"/>
        <n v="1011215"/>
        <n v="1011247"/>
        <n v="1011248"/>
        <n v="1011305"/>
        <n v="1011306"/>
        <n v="1011319"/>
        <n v="1011330"/>
        <n v="1011331"/>
        <n v="1011334"/>
        <n v="1011355"/>
        <n v="1011373"/>
        <n v="1011378"/>
        <n v="1011380"/>
        <n v="1011391"/>
        <n v="1011392"/>
        <n v="1011393"/>
        <n v="1011396"/>
        <n v="1011403"/>
        <n v="1011407"/>
        <n v="1011408"/>
        <n v="1011420"/>
        <n v="1011544"/>
        <n v="1011549"/>
        <n v="1011550"/>
        <n v="1011557"/>
        <n v="1011562"/>
        <n v="1011563"/>
        <n v="1011567"/>
        <n v="1011585"/>
        <n v="1011590"/>
        <n v="1011644"/>
        <n v="1011647"/>
        <n v="1011676"/>
        <n v="1011709"/>
        <n v="1011710"/>
        <n v="1011712"/>
        <n v="1011713"/>
        <n v="1011769"/>
        <n v="1011772"/>
        <n v="1011779"/>
        <n v="1011780"/>
        <n v="1011781"/>
        <n v="1011783"/>
        <n v="1011784"/>
        <n v="1011785"/>
        <n v="1011786"/>
        <n v="1011787"/>
        <n v="1011788"/>
        <n v="1011820"/>
        <n v="1011841"/>
        <n v="1011842"/>
        <n v="1011843"/>
        <n v="1011845"/>
        <n v="1011848"/>
        <n v="1011849"/>
        <n v="1011850"/>
        <n v="1011853"/>
        <n v="1011854"/>
        <n v="1011855"/>
        <n v="1011964"/>
        <n v="1012080"/>
        <n v="1012128"/>
        <n v="1012129"/>
        <n v="1012130"/>
        <n v="1012131"/>
        <n v="1012132"/>
        <n v="1012134"/>
        <n v="1012145"/>
        <n v="1012164"/>
        <n v="1012187"/>
        <n v="1012203"/>
        <n v="1012248"/>
        <n v="1012249"/>
        <n v="1012252"/>
        <n v="1012260"/>
        <n v="1012262"/>
        <n v="1012341"/>
        <n v="1012346"/>
        <n v="1012347"/>
        <n v="1012379"/>
        <n v="1012380"/>
        <n v="1012381"/>
        <n v="1012382"/>
        <n v="1012383"/>
        <n v="1012384"/>
        <n v="1012385"/>
        <n v="1012397"/>
        <n v="1012439"/>
        <n v="1012441"/>
        <n v="1012442"/>
        <n v="1012470"/>
        <n v="1012642"/>
        <n v="1012650"/>
        <n v="1012669"/>
        <n v="1012837"/>
        <n v="1012875"/>
        <n v="1012876"/>
        <n v="1012878"/>
        <n v="1012879"/>
        <n v="1012883"/>
        <n v="1012892"/>
        <n v="1012897"/>
        <n v="1012945"/>
        <n v="1012973"/>
        <n v="1012974"/>
        <n v="1012975"/>
        <n v="1012977"/>
        <n v="1012978"/>
        <n v="1012980"/>
        <n v="1012982"/>
        <n v="1012984"/>
        <n v="1013167"/>
        <n v="1013168"/>
        <n v="1013169"/>
        <n v="1013170"/>
        <n v="1013171"/>
        <n v="1013442"/>
        <n v="1013484"/>
        <n v="1013521"/>
        <n v="1013603"/>
        <n v="1013618"/>
        <n v="1013640"/>
        <n v="1013641"/>
        <n v="1013664"/>
        <n v="1013666"/>
        <n v="1013810"/>
        <n v="1013813"/>
        <n v="1013845"/>
        <n v="1013870"/>
        <n v="1013954"/>
        <n v="1014067"/>
        <n v="1014068"/>
        <n v="1014072"/>
        <n v="1014212"/>
        <n v="1014276"/>
        <n v="1014432"/>
        <n v="1014463"/>
        <n v="1014485"/>
        <n v="1014487"/>
        <n v="1014528"/>
        <n v="1014549"/>
        <n v="2001226"/>
        <n v="2004181"/>
        <n v="2004381"/>
        <n v="2005912"/>
        <n v="2008659"/>
        <n v="2008803"/>
        <n v="2009993"/>
        <n v="2010037"/>
        <n v="2010039"/>
        <n v="2010644"/>
        <n v="2011177"/>
        <n v="2011178"/>
        <n v="2011179"/>
        <n v="2011260"/>
        <n v="2011376"/>
        <n v="2011377"/>
        <n v="2012333"/>
        <n v="5000870"/>
        <m/>
      </sharedItems>
    </cacheField>
    <cacheField name="Descripción" numFmtId="0">
      <sharedItems containsBlank="1" count="2006">
        <s v="Aislad T/Carr 3x3-1/8 76x80mm 11/16 53-2"/>
        <s v="Aislador Ríg P/ Sist 34.5kV T/ Sub Polim"/>
        <s v="Aislador Ríg P/ Sist 72.5kV T/ Sub Polim"/>
        <s v="Aislador Ríg T/ Esp 57-1 C/ Esp y Tuerca"/>
        <s v="Aislador Susp 12.5kV Polimérico"/>
        <s v="Aislador Susp 35kV Polimérico"/>
        <s v="Aislador Susp 7.2-7.5kV MT Clevis Porcel"/>
        <s v="Aislador Susp CL52-1 T/ Clevis 12.47kV"/>
        <s v="Aislador Susp P/ Sist 72.5kV Polimérico"/>
        <s v="Aislador T/ Carr 2 1/8&quot;x2 1/4&quot; 53-1"/>
        <s v="Aislador T/ Esp PIN CL55-3 1&quot; 13.2kV"/>
        <s v="Aislador T/ Esp PIN CL55-5 1&quot;"/>
        <s v="Aislador T/ Esp PIN CL56-3 1 3/8&quot; 34.5kV"/>
        <s v="Aislador T/ Estación Vert 145kV Porcel"/>
        <s v="Aislador T/ Pin 55-2 1&quot; P/ Neutro"/>
        <s v="Aislador T/ Pin Polim 15kV"/>
        <s v="Barra Aisl Fib Vid 3/4&quot;x54&quot; P/Viento Aer"/>
        <s v="Barra Aisl Fib Vid C/ Guard Cab 7/8&quot;x78&quot;"/>
        <s v="Caja Aisl P/ Conector Compresión 2 1/2&quot;"/>
        <s v="Caja Aisl P/ Conector Compresión 2 3/4&quot;"/>
        <s v="Caja Aisl P/ Conector Compresión 2&quot;"/>
        <s v="Caja Aisl P/ Conector Compresión 3 1/2&quot;"/>
        <s v="Caja Aisl P/ Conector Compresion 5 3/16&quot;"/>
        <s v="Caja Aisl P/ Conector Compresión 5&quot;"/>
        <s v="Caja Aisl P/ Conector Compresión 5/8x2&quot;"/>
        <s v="Cinta P/ Impresora Caja Mod ERC-30P"/>
        <s v="Cinta P/ Impresora Caja Mod ERC-32B"/>
        <s v="Papel P/ Impresora Caja 2P 3&quot; Rollo"/>
        <s v="Papel Térmico P/ Impr TSP600 3.15&quot; Rollo"/>
        <s v="Papel Térmico P/ Verip 2 1/4&quot;x120' Rollo"/>
        <s v="Resma Papel Bond 20 8 1/2&quot;x11&quot;"/>
        <s v="Resma Papel Bond 20 8 1/2&quot;x14&quot;"/>
        <s v="Ticket P/ Turn-O-Matic"/>
        <s v="Alambre #1/0 THHN AWG Cobre"/>
        <s v="Alambre #2/0 THHN AWG Cobre"/>
        <s v="Alambre #4 AWG-SDO Al P/ Ligadura"/>
        <s v="Alambre Advanced THHN ST No.10 Negro"/>
        <s v="Alambre Advanced THHN ST No.6 Blanco"/>
        <s v="Alambre Advanced THHN ST No.6 Rojo"/>
        <s v="Alambre Desn Trenz 4/0 Cu Semid P/Sist T"/>
        <s v="Alambre Multifibras AWG 1/0"/>
        <s v="Alambre Multifibras AWG 2/0"/>
        <s v="Alambre THHN ST No.6 105 G 600V Amarillo"/>
        <s v="Cable Aisl 15kV 1000MCM Al PVC Neutr Cu"/>
        <s v="Cable Aluminio Recub 2/0 AWG 7 Aisl XLPE"/>
        <s v="Cable Aluminio Recub 4/0 AWG 7 Aisl XLPE"/>
        <s v="Cable Cobre Estañado #2 AWG Desnudo"/>
        <s v="Cable Cobre Flex Trenz 600V 4 Cond #12"/>
        <s v="Cable Cobre Multip Flex 7 x 14 AWG"/>
        <s v="Cable Cobre Trenzado 4/0 Semiduro"/>
        <s v="Cable Cobre URD #2 Aisl P/ 15kV"/>
        <s v="CABLE COBRE URD #2/0 AISL P/ 15kV"/>
        <s v="Cable Cobre URD #4/0 Aisl P/ 15kV"/>
        <s v="Cable Concéntr 2 Cond Señal 1x8+8+2 #22"/>
        <s v="Cable Concéntrico 1x8+8 Al Bip AWG #8"/>
        <s v="Cable Concéntrico 1x8+8 Cu Bip AWG #8"/>
        <s v="Cable Concéntrico 2x6+6 Al Trip AWG #6"/>
        <s v="Cable Concéntrico 2x6+6 Cu Trip AWG #6"/>
        <s v="Cable Conex Dob Ref 5'Conect T/Banan 4mm"/>
        <s v="Cable Cu 630mm2 Aisl 12/20kV XLPE ó AWG"/>
        <s v="Cable de Acometida SEU Tipo SE R, 2 #8"/>
        <s v="Cable de Cobre Estañado 2/0 AWG, Desnudo"/>
        <s v="Cable de Control Flex 16h AWG #14, 600V"/>
        <s v="Cable de Control Flex 24h AWG #24, 600V"/>
        <s v="Cable de Control Flex 4h AWG #10"/>
        <s v="Cable de Viento 5/16'' 44 KN"/>
        <s v="Cable de Viento 7/16&quot; 76 KN"/>
        <s v="Cable Electrico Redondo de Goma 10-2h"/>
        <s v="Cable Flex Calib #12 AWG 12h Aisl PVC"/>
        <s v="Cable Flex Calib #12 AWG 4h Aisl PVC"/>
        <s v="Cable Flex Calib #12 AWG 7h Aisl PVC"/>
        <s v="Cable Heliax 1/2&quot;"/>
        <s v="Cable Multipolar Flex 1.5mm #14"/>
        <s v="Cable Multipolar Flex 4h #14 AWG"/>
        <s v="Cable Multipolar Flex 5h #12 AWG"/>
        <s v="Cable Multipolar Flex 5h #14 AWG"/>
        <s v="Cable Multipolar Flex 7h #12 AWG"/>
        <s v="Cable No.12 TW"/>
        <s v="Cable P/ P Tierra Desn Trenz No.4 AWG"/>
        <s v="Cable RG58 Para Comunicaciones"/>
        <s v="Cable Tripl 2 #4 AAC Neutro #4 ACSR Aisl"/>
        <s v="Cable Tripl Aisl XLPE Cond 2/0 Al Cond N"/>
        <s v="Cable Tripl Aisl XLPE Cond 4/0 Al Cond N"/>
        <s v="Conductor Aluminio 155.4 MCM 2/0 AAAC 7h"/>
        <s v="Conductor Aluminio 246.8 MCM 4/0 AAAC 7h"/>
        <s v="Conductor Aluminio 465.4 MCM AAAC 19h"/>
        <s v="Batería AA de 3.6V Li"/>
        <s v="Batería de 12 Voltios 150Amp/Hora"/>
        <s v="Batería de 12 Voltios 8Amp/Hora"/>
        <s v="Batería de 3.6 Voltios Lithium Battery"/>
        <s v="Batería Estacionaria 2V 200A/H Pb-Acido"/>
        <s v="Batería P/ Subestaciones 6V 225A/H"/>
        <s v="Pila Cuadrada de 9V Alcalina"/>
        <s v="Pilas de 1.5 Voltios (Grande)"/>
        <s v="Arnés Corporal de Posicionamiento"/>
        <s v="Arnés Protec Caída y Lumbar 5 Ptos Ancl"/>
        <s v="Botas Antiest Punt Antid Antip Size 38"/>
        <s v="Botas Antiest Punt Antid Antip Size 39"/>
        <s v="Botas Antiest Punt Antid Antip Size 46"/>
        <s v="Botas de Goma Size 39"/>
        <s v="Botas de Goma Size 40"/>
        <s v="Botas de Goma Size 41"/>
        <s v="Botas de Goma Size 42"/>
        <s v="Botas Dieléct Punt Antid Antip Size 34"/>
        <s v="Botas Dieléct Punt Antid Antip Size 37"/>
        <s v="Botas Dieléct Punt Antid Antip Size 38"/>
        <s v="Botas Dieléct Punt Antid Antip Size 39"/>
        <s v="Botas Dieléct Punt Antid Antip Size 40"/>
        <s v="Botas Dieléct Punt Antid Antip Size 41"/>
        <s v="Botas Dieléct Punt Antid Antip Size 42"/>
        <s v="Botas Dieléct Punt Antid Antip Size 43"/>
        <s v="Botas Dieléct Punt Antid Antip Size 44"/>
        <s v="Botas Dieléct Punt Antid Antip Size 45"/>
        <s v="Botas Dieléct Punt Antid Antip Size 46"/>
        <s v="Botas Dieléct Punt Antid Antip Size 47"/>
        <s v="Botiquín Primeros Auxilios P/ Automovil"/>
        <s v="Camisa Azul Osc M/L Log EDEEste Size XXL"/>
        <s v="Camisa Azul Osc M/L Logo EDEEste Size L"/>
        <s v="Camisa Azul Osc M/L Logo EDEEste Size M"/>
        <s v="Camisa Azul Osc M/L Logo EDEEste Size S"/>
        <s v="Camisa Azul Osc M/L Logo EDEEste Size XL"/>
        <s v="Camisa Azul P/ Lectores Size L"/>
        <s v="Camisa Azul P/ Lectores Size M"/>
        <s v="Camisa Azul P/ Lectores Size S"/>
        <s v="Camisa Azul P/ Lectores Size XL"/>
        <s v="Camisa Azul P/ Lectores Size XXL"/>
        <s v="Camisa Blca M/C Logo EDEEste Size L"/>
        <s v="Camisa Blca M/C Logo EDEEste Size M"/>
        <s v="Camisa Blca M/C Logo EDEEste Size S"/>
        <s v="Camisa Blca M/C Logo EDEEste Size XL"/>
        <s v="Camisa Blca M/C Logo EDEEste Size XXL"/>
        <s v="Camisa Trabajo 100% Alg Kaki Size L"/>
        <s v="Camisa Trabajo 100% Alg Kaki Size M"/>
        <s v="Camisa Trabajo 100% Alg Kaki Size S"/>
        <s v="Camisa Trabajo 100% Alg Kaki Size XL"/>
        <s v="Camisa Trabajo 100% Alg Kaki Size XXL"/>
        <s v="Capa P/ Agua Amarillo Size L Cam/ Pant"/>
        <s v="Capa P/ Agua Amarillo Size M Cam/ Pant"/>
        <s v="Capa P/ Agua Amarillo Size S Cam/ Pant"/>
        <s v="Capa P/ Agua Amarillo Size XL Cam/ Pant"/>
        <s v="Capa P/ Agua Amarillo Size XXL Cam/ Pant"/>
        <s v="Casco Diel Cl E&amp;G MSA C/ Susp F-Trac II"/>
        <s v="Chaleco Reflec Alta Visib Amar Cl III L"/>
        <s v="Chaleco Reflec Alta Visib Amar Cl III M"/>
        <s v="Chaleco Reflec Alta Visib Amar Cl III S"/>
        <s v="Chaleco Reflec Alta Visib Amar Cl III XL"/>
        <s v="Cinta Seg Indic Peligro 3&quot;x1000' Amar"/>
        <s v="Cinta Seg Indic Peligro 3&quot;x1000' Rojo"/>
        <s v="Cinta Tubular REATA de Nylon 100%"/>
        <s v="Cono de Señalización Vial Grande 28&quot;"/>
        <s v="Cono de Señalización Vial Pequeño 18&quot;"/>
        <s v="Eslinga Cable Acero P/ Postes y Transf"/>
        <s v="Eslinga Detención de Caídas 13mm Diam"/>
        <s v="Eslinga Nylon 1 3/4&quot; Ancho x 5' Largo"/>
        <s v="Eslinga Nylon 2&quot;x6.60Mtr P/ Amarr Transf"/>
        <s v="Eslinga Posicionamiento Recubr Caucho"/>
        <s v="Eslinga Protección Personal"/>
        <s v="Espuela Acero P/ Linieros Klein CN1907AR"/>
        <s v="Estinguidor 20 Lbs Mod. A17T"/>
        <s v="Extinguidor ABC 2.5 Lib"/>
        <s v="Extintor ABC 10 Lib"/>
        <s v="Extintor ABC 125 Lib"/>
        <s v="Extintor ABC 20 Lib"/>
        <s v="Extintor CO2 10 Lib"/>
        <s v="Extintor CO2 15 Lib"/>
        <s v="Extintor CO2 20 Lib"/>
        <s v="Extintor CO2 5 Lib"/>
        <s v="Extintor Halotron 11 Lib"/>
        <s v="Extintor Halotron 5 Lib"/>
        <s v="Faja Contra Esfuerzo de Seguridad"/>
        <s v="Gafa Protec Personal Antiray Amarillo"/>
        <s v="Gorra P/ Lectores-Distribuidores de Fact"/>
        <s v="Guantes Aislado P/ 27kV C/ Protector"/>
        <s v="Guantes Dieléc Cl 0 1000V Kit Size 10H"/>
        <s v="Guantes Dieléc Cl 0 1000V Kit Size 9"/>
        <s v="Guantes Dieléc Goma Cl 0 1000V Size 10"/>
        <s v="Guantes Dieléc Goma Cl 0 1000V Size 10H"/>
        <s v="Guantes Dieléc Goma Cl 0 1000V Size 9"/>
        <s v="Guantes Dieléc Goma Cl 0 1000V Size 9H"/>
        <s v="Guantes Dieléc Goma Cl 2 17000V Size 10"/>
        <s v="Guantes Dieléc Goma Cl 2 17000V Size 10H"/>
        <s v="Guantes Dieléc Goma Cl 2 17000V Size 9"/>
        <s v="Guantes Dieléc Goma Cl 2 17000V Size 9H"/>
        <s v="Guantes Neopreno 18&quot;"/>
        <s v="Guantes Rústico Flor Piel Cabra 12&quot;"/>
        <s v="Guantes SOL-VEX 13&quot; 37-145 Size 9 Nitr"/>
        <s v="Guantes SOL-VEX"/>
        <s v="Guantillas de Algodón"/>
        <s v="Lámpara P/ Cascos Dieléctricos"/>
        <s v="Lentes Seg Anti-Impac C/ Prot Lat Claro"/>
        <s v="Lentes Seg Anti-Impac C/ Prot Lat Gris"/>
        <s v="Línea Restricción Plana Ajust de 3' a 6'"/>
        <s v="Mascarilla P/ Particulado N95"/>
        <s v="Mochila P/ Lectores"/>
        <s v="Mosquetón Acer C/ Seg Resist Min 22.2 KN"/>
        <s v="Pantalón Largo Kaki P/ Liniero Size 42"/>
        <s v="Pantalón Largo Kaki P/ Liniero Size 44"/>
        <s v="Pantalón Trabajo 100% Alg Kaki Size 30"/>
        <s v="Pantalón Trabajo 100% Alg Kaki Size 32"/>
        <s v="Pantalón Trabajo 100% Alg Kaki Size 33"/>
        <s v="Pantalón Trabajo 100% Alg Kaki Size 34"/>
        <s v="Pantalón Trabajo 100% Alg Kaki Size 36"/>
        <s v="Pantalón Trabajo 100% Alg Kaki Size 38"/>
        <s v="Pantalón Trabajo 100% Alg Kaki Size 40"/>
        <s v="Pantalón Trabajo Azul P/ Lect Size 30"/>
        <s v="Pantalón Trabajo Azul P/ Lect Size 32"/>
        <s v="Pantalón Trabajo Azul P/ Lect Size 33"/>
        <s v="Pantalón Trabajo Azul P/ Lect Size 34"/>
        <s v="Pantalón Trabajo Azul P/ Lect Size 36"/>
        <s v="Pantalón Trabajo Azul P/ Lect Size 38"/>
        <s v="Pantalón Trabajo Azul P/ Lect Size 40"/>
        <s v="Pantalón Trabajo Azul P/ Lect Size 42"/>
        <s v="Pantalón Trabajo Azul P/ Lect Size 44"/>
        <s v="Protección Mec P/ Guant Cl 2 Size 10-10H"/>
        <s v="Protección Mec P/ Guantes Cl 0 Size 10"/>
        <s v="Protección Mec P/ Guantes Cl 0 Size 10H"/>
        <s v="Protección Mec P/ Guantes Cl 0 Size 9"/>
        <s v="Protección Mec P/ Guantes Cl 2 Size 10H"/>
        <s v="Protección Mec P/ Guantes Cl 2 Size 9-9H"/>
        <s v="Rollo Cinta Reflect 2&quot;x 150' Red/ Silver"/>
        <s v="Suspensión P/ Cascos MSA Fast Trac II"/>
        <s v="Tenis P/ Lectores Size 10"/>
        <s v="Tenis P/ Lectores Size 10.5"/>
        <s v="Tenis P/ Lectores Size 11"/>
        <s v="Tenis P/ Lectores Size 11.5"/>
        <s v="Tenis P/ Lectores Size 12"/>
        <s v="Tenis P/ Lectores Size 12.5"/>
        <s v="Tenis P/ Lectores Size 7"/>
        <s v="Tenis P/ Lectores Size 7.5"/>
        <s v="Tenis P/ Lectores Size 8"/>
        <s v="Tenis P/ Lectores Size 8.5"/>
        <s v="Tenis P/ Lectores Size 9"/>
        <s v="Tenis P/ Lectores Size 9.5"/>
        <s v="Traje Desechable"/>
        <s v="Visor de Policarbonato UV 4&quot;x4&quot;"/>
        <s v="Arrancador P/ Lámp Alum OCV QT5432"/>
        <s v="Bombilla Metal Halide1500W"/>
        <s v="Bombilla Sodio Alta Pres 150W 55V HPS"/>
        <s v="Bombilla Sodio Alta Pres 250W 100V HPS"/>
        <s v="Bombilla Sodio Alta Pres 400W 100V HPS"/>
        <s v="Brazo P/ Lámpara Tipo Cobra de 12'"/>
        <s v="Brazo P/ Lámpara Tipo Cobra de 6'"/>
        <s v="Contactores Magn P/ Control Conj Lumin"/>
        <s v="Fotocelda 105-305V Multir Norm Cl F-On"/>
        <s v="Fotocelda 105-305V Multir Norm Op F-Off"/>
        <s v="Fotocelda P/ Luminarias 240V 1000W"/>
        <s v="Fotocelda P/ Luminarias 480V 100W"/>
        <s v="Fotocontrol Contac Magn P/Conj Lumin 95A"/>
        <s v="Luminaria Power Spot 1500W Metal MV C/BO"/>
        <s v="Luminaria Reflec 400W Met MV C/B Base P"/>
        <s v="Luminaria T/ Cobra HPS 150W 55V 250V"/>
        <s v="LUMINARIA T/ COBRA HPS 250W 100V 250V"/>
        <s v="Luminaria T/ Cobra HPS 400W"/>
        <s v="Apartarrayo 27kV T/ Est MCOV 22kV Porc"/>
        <s v="Apartarrayo 39kV T/ Est MCOV 22kV Porc"/>
        <s v="Apartarrayo 3kV T/ Est MCOV 2.55kV"/>
        <s v="Apartarrayo 60kV T/ Est MCOV 48kV"/>
        <s v="Apartarrayo 9KV T/ Est MCOV 7.65kV Porc"/>
        <s v="Armario Polyest P/ Medic Pto Compr Energ"/>
        <s v="Armario Protección de Medidores"/>
        <s v="Arnés P/ Manga Dieléctr Cl 2 C/ Botones"/>
        <s v="Aro Seguridad P/ Caja Socket C/ Cil Ext"/>
        <s v="Aro Sellado Atornillado P/ Caja T Socket"/>
        <s v="Base Instal P/ Medidor Monof 4 Term 125A"/>
        <s v="Base Instal P/Med Monof Circ Sal 1 1/4"/>
        <s v="Base P/ Medidor 5 Clips Monof 240V"/>
        <s v="Base P/ Medidor 7 Clips Trif 240V"/>
        <s v="Base P/ Medidor Digital 13 Clip 240V"/>
        <s v="Base P/ Medidor Electrónico 8 ClipsV"/>
        <s v="Base P/ Relay Auxiliar de 8 PIN"/>
        <s v="Base Rect P/ Medidor Trif Cl 200 7 Clips"/>
        <s v="Bloques de Contactos (12NA+12NC)"/>
        <s v="Bobina de Cierre"/>
        <s v="Bobina de Conexion y Desconexion 125 VDC"/>
        <s v="Bobina de Disparo"/>
        <s v="Bornera de corriente"/>
        <s v="Brazo Mecánico, Tubo, Abrazadera y Grapa"/>
        <s v="Breaker 32 Amp P/ Caja Botton"/>
        <s v="Breaker 40 Amp P/ Caja Botton"/>
        <s v="Breaker 50 Amp P/ Caja Bottom"/>
        <s v="Breaker 63 Amp P/ Caja Bottom"/>
        <s v="Breaker Bifásico 2 Amp"/>
        <s v="Breaker GE Doble 100 Amp"/>
        <s v="Breaker GE Doble 60 Amp"/>
        <s v="Breaker Monopolar 1 Amp"/>
        <s v="Breaker Monopolar 2 Amp"/>
        <s v="Breaker Protección Tripolar 1 Amp"/>
        <s v="Breaker Trifásico 0.5 Amp"/>
        <s v="Breaker Trifasico 3 Amp  P/ Riel MEDEX"/>
        <s v="Breaker Tripolar 3 Amp"/>
        <s v="Breakers de 100/2 Amp"/>
        <s v="Breakers de 150 Amp 2 Polos"/>
        <s v="Breakers de 16/2 Amp"/>
        <s v="Breakers de 175 Amp 2 Polos"/>
        <s v="Breakers de 20/2 Amp"/>
        <s v="Breakers de 200/2 Amp"/>
        <s v="Breakers de 30/2 Amp"/>
        <s v="Breakers de 40/2 Amp"/>
        <s v="Breakers de 50/2 Amp"/>
        <s v="Breakers de 60/2 Amp"/>
        <s v="Caja Control CL-6 P/ Regul Monof 32 Posc"/>
        <s v="Caja de Breaker Un Circuitos Luminex"/>
        <s v="Caja Distribución Grde 3 Born 30 Tomas"/>
        <s v="Caja Distribución Peq 3 Born 15 Tomas"/>
        <s v="Caja Distribución PVC 3 Born 18 Tomas"/>
        <s v="Caja P/ CTS Grde 800/5A 3/32 Cuerp 1/8"/>
        <s v="Caja P/ CTS Med 400/5A 3/32 Cuerp 1/18"/>
        <s v="Caja Policarb P/ Med 1ø T/ Dual SOCKET"/>
        <s v="Caja Policarb P/ Med 2ø T/ Dual"/>
        <s v="CAJA POLICAB P/MED RES ELECTRO BOTTON"/>
        <s v="Caja Rectangular 2x4 P/ Tomacorrientes"/>
        <s v="Capacitor Monof T-P 100kVAR 19.92/34.5kV"/>
        <s v="Capacitor Monof T-P 100KVAR 2.4/4.16kV"/>
        <s v="Capacitor Monof T-P 100kVAR 7.2/12.5kV"/>
        <s v="Cast Aluminum Junction Box With Cover"/>
        <s v="Cobertor de Líneas MT 12.5kV MVLC 4/0"/>
        <s v="Cobertura  P/ Cruceta"/>
        <s v="Cobertura Conductor"/>
        <s v="Cobertura P/ Aislador"/>
        <s v="Collar Amarre P/ 1Haz Acom 25mm C/ Tarug"/>
        <s v="Collar Amarre P/ 2haz Acom 25mm C/ Tarug"/>
        <s v="Concentrador de Poste Telesupervision"/>
        <s v="Condulet Galvanizado de 2&quot;"/>
        <s v="Condulet Galv de 2&quot;"/>
        <s v="Condulet Galv de 1&quot;"/>
        <s v="Condulet Galv de 3&quot;"/>
        <s v="Contactor 50A 3 Polos 240V"/>
        <s v="Control Swich Type SB-1 MOD."/>
        <s v="Cut-Out 100A 7.8/15kV 95kV BIL Polimeric"/>
        <s v="Cut-Out 100A 7.8/15kV 95kV BIL Porcelana"/>
        <s v="Cut-Out 200A 7.8/15kV 95kV BIL Porcelana"/>
        <s v="Cut-Out 34.5kV 100A 170kV Pocelana"/>
        <s v="Cut-Out Tipo L 200A 34.5 KV"/>
        <s v="Fusible 100A (10/24kV) 442mm"/>
        <s v="Fusible 10A (10/24kV) 442mm"/>
        <s v="Fusible 15A (69kV) Tipo PM"/>
        <s v="Fusible 160A (10/24kV) 442mm"/>
        <s v="Fusible 200A (10/24kV) 442mm"/>
        <s v="Fusible 20A (10/24kV) 442mm"/>
        <s v="Fusible 31.5A (10/24kV) 442mm"/>
        <s v="Fusible 4A"/>
        <s v="Fusible 50A (10/24kV) 442mm"/>
        <s v="Fusible 80A (10/17.5kV) 442mm"/>
        <s v="Fusible de Expulsión Tipo D de 10A"/>
        <s v="Fusible de Expulsión Tipo D de 7A"/>
        <s v="Fusible Kits P/ 34.5kV 20A Tipo PM"/>
        <s v="Fusible Kits P/ 34.5kV 30A"/>
        <s v="Fusible Kits P/ 34.5kV 50A Tipo PM"/>
        <s v="Fusible Kits P/ 34.5kV 75A Tipo PM"/>
        <s v="Fusible Kits P/ 69kV 10A"/>
        <s v="Fusible Kits P/ 69kV 20A"/>
        <s v="Fusible Kits P/ 69kV 60A"/>
        <s v="Fusible Neozep Capacidad 10A"/>
        <s v="Fusible Neozep Capacidad 63A"/>
        <s v="Fusible Tipo HHC-In 63A"/>
        <s v="Fusible Tipo K Fijado en Cartucho 100A"/>
        <s v="Fusible Tipo K Fijado en Cartucho 10A"/>
        <s v="Fusible Tipo K Fijado en Cartucho 12A"/>
        <s v="Fusible Tipo K Fijado en Cartucho 140A"/>
        <s v="Fusible Tipo K Fijado en Cartucho 15A"/>
        <s v="Fusible Tipo K Fijado en Cartucho 1A"/>
        <s v="Fusible Tipo K Fijado en Cartucho 200A"/>
        <s v="Fusible Tipo K Fijado en Cartucho 20A"/>
        <s v="Fusible Tipo K Fijado en Cartucho 25A"/>
        <s v="Fusible Tipo K Fijado en Cartucho 2A"/>
        <s v="Fusible Tipo K Fijado en Cartucho 30A"/>
        <s v="Fusible Tipo K Fijado en Cartucho 3A"/>
        <s v="Fusible Tipo K Fijado en Cartucho 40A"/>
        <s v="Fusible Tipo K Fijado en Cartucho 50A"/>
        <s v="Fusible Tipo K Fijado en Cartucho 5A"/>
        <s v="Fusible Tipo K Fijado en Cartucho 60A"/>
        <s v="Fusible Tipo K Fijado en Cartucho 65A"/>
        <s v="Fusible Tipo K Fijado en Cartucho 6A"/>
        <s v="Fusible Tipo K Fijado en Cartucho 7A"/>
        <s v="Fusible Tipo K Fijado en Cartucho 80A"/>
        <s v="Fusible Tipo K Fijado en Cartucho 8A"/>
        <s v="Fusible Tipo T 10A"/>
        <s v="Fusible Tipo T 12A"/>
        <s v="Fusible Tipo T 15A"/>
        <s v="Fusible Tipo T 20A"/>
        <s v="Fusible Tipo T 40A"/>
        <s v="Fusible Tipo T 5A"/>
        <s v="Fusible Tipo T 5A 34.5kV"/>
        <s v="Fusible Tipo T 60A"/>
        <s v="Fusible Tipo T 8A"/>
        <s v="Fusible Tipo U 20A"/>
        <s v="Gabinete Medición P/ 2 Med S/ Breaker"/>
        <s v="Gabinete P/ Contador 42 Zocalos"/>
        <s v="Gabinete P/ Doce (12) Medidores"/>
        <s v="Gabinete P/ Ocho (8) Medidores"/>
        <s v="Gabinete P/ Seis (6) Medidores"/>
        <s v="Gabinete Policarb P/ 12 Medidores BOTTON"/>
        <s v="Gabinete Policarb P/ 8 Medidores BOTTON"/>
        <s v="Grapa (Pinza) de Retención 5/8&quot;-1 1/8&quot;"/>
        <s v="Grapa de Deriv 6 a 400MCM-6 a 2/0AWG"/>
        <s v="Grapa de Deriv 6 a 400MCM-6 a 4/0AWG"/>
        <s v="Grapa de Fijación Condutor Long 2&quot; 5/8&quot;"/>
        <s v="Grapa de Retenc Acero Galv Cond 4/0 Al"/>
        <s v="Grapa de Retención P/ Cable de Viento"/>
        <s v="Grapa de Retención Term 2/0-4 Al-ACSR"/>
        <s v="Grapa de Retención Term 2-1/0 Al-ACSR"/>
        <s v="Grapa de Retención Term 4/0-1/0 Al-ACSR"/>
        <s v="Grapa de Suspensión T/ Zapatico 500MCM"/>
        <s v="Grapa de Suspensión Tipo (Zapatico) 2/0"/>
        <s v="Grapa Fijac Cond Tierra 2/0-8 Perf 3/8&quot;"/>
        <s v="Grapa P/ Tierra Cobre"/>
        <s v="Grapa Suspensión Tipo (Zapatico) 4/0"/>
        <s v="Grapa Terminal para 465-500 MCM"/>
        <s v="Indicador Corr Cortocirc T/ Electrostat"/>
        <s v="Indicadores C/ Módulo Comunicación"/>
        <s v="Jumper Quebrador de Carga"/>
        <s v="Kit Portafus P/Transf de Pot 34.5KV 200A"/>
        <s v="Kit Retenc Doble a Poste P/ LAP BT KR04"/>
        <s v="Limpiador Cable de Tierra"/>
        <s v="Limpiador de Molde Cat No. 91368"/>
        <s v="Manga Dieléctrica Cl 2 Size L"/>
        <s v="Manga Dieléctrica Cl 2 Size R"/>
        <s v="Manta Aisl Caucho Vulcanizado Abierta"/>
        <s v="Manta Aisl Caucho Vulcanizado Cerrada"/>
        <s v="Manta Con Velero Orange 18&quot;x3&quot;"/>
        <s v="Manto Termocontráctil Protec de Bushing"/>
        <s v="Ménsula Ojal de Acomet C/ Torn-Taco Fij"/>
        <s v="Modulo 25 Socalos 300A 1f 3h 120/240"/>
        <s v="Modulo Comunicación (Cuarto M)"/>
        <s v="Módulo Med 12 Zoc 400A 3Trif 120/208V"/>
        <s v="Modulo Med 13 Zoc 300A 1Mon 120/240V"/>
        <s v="Modulo Med 30 Zoc Main Breaker 400/2A"/>
        <s v="Modulo Rectificador P/ Bobinas y Motor"/>
        <s v="Moldura de Plástico, 1/2&quot;x96&quot;"/>
        <s v="Apart 120 KV T/Estación MCOV 98KV 5.6KJ"/>
        <s v="Pararrayo Polimérico de 39 KV"/>
        <s v="Pararrayo 3kV Mov T/ Intermed CL2 IEC"/>
        <s v="Pararrayo Baja Tensión de Oxido de Metal"/>
        <s v="Pararrayo de 3 KV Clase I para Redes"/>
        <s v="Pararrayo de Distribución 9-10kV"/>
        <s v="Pararrayo Polim 9-10kA Corte Desc Brazo"/>
        <s v="PARARRAYO POLIMERICO 27- 34.5 KV"/>
        <s v="Pin-To-Pin Cable Assembly 20 Inc"/>
        <s v="Pinza de Retención para LBAT Prensacable"/>
        <s v="Pinza de Suspensión P/ LABT Prensacable"/>
        <s v="Pinza Derivadora"/>
        <s v="Polyphaser Surge Prot IS-50NX-C2 1000Mhz"/>
        <s v="Porta Fus Aéreo en Cap P/ Fus Neozep 63A"/>
        <s v="Portafusible"/>
        <s v="Protec Cable Acero C/ Cono 5´0&quot; 4 1/2&quot;"/>
        <s v="PROCESADOR DE COM. Y SISTEMA SCADA"/>
        <s v="RELE DE PROT. PARA ALIMENTADORES(FEEDER)"/>
        <s v="RELE DE PROT. PARA TRANSFORMADORES POT."/>
        <s v="Relay Protección Digital 40-70Hz"/>
        <s v="Relay Protección Multilinea 515 28 Salid"/>
        <s v="Relay Protección Trifás SIEMENS 7SJ6221"/>
        <s v="Repuestos Compuesto P/ 3AP1 FG-72.5kV"/>
        <s v="Resistencia P/ CT'S de 12.5VA/5A"/>
        <s v="Resistencia P/ CT'S de 7.5VA/5A"/>
        <s v="Resistencia P/ PT'S de 12.5VA/115V"/>
        <s v="Resistencia P/ PT'S de 12.5VA/120V"/>
        <s v="Resistencia P/ PT'S de 7.5VA/120V"/>
        <s v="Seccionad Monof Bypass 7.2kV 900A"/>
        <s v="Seccionad Trip 138kV"/>
        <s v="Seccionad Vert 600A Reg Volt Bypa"/>
        <s v="Sello de Seguridad de Plomo"/>
        <s v="Sello de Seguridad Enduro Seal Azul"/>
        <s v="Sello de Seguridad Inserto Marip Azul"/>
        <s v="Sello de Seguridad Inserto Marip Rojo"/>
        <s v="Sello de Seguridad Inserto Marip Verde"/>
        <s v="Sello de Seguridad PSW97"/>
        <s v="Sello de Seguridad Roto-Seal Color Azul"/>
        <s v="Sello de Seguridad Roto-Seal Color Gris"/>
        <s v="Sello de Seguridad Spring Lock Seal Azul"/>
        <s v="Sello P/ Puerto Opti Medidor Electronico"/>
        <s v="Sello Pull-Fly Seal Color Naranja"/>
        <s v="Sello Pull-Fly Seal Color Rojo"/>
        <s v="Sello Seguridad Inserto Marip Amarillo"/>
        <s v="Sujetador de Cable (Tight Wrap)"/>
        <s v="Sujetador de Cable (Tight Wrap) 12&quot;"/>
        <s v="Sujetador de Cable (Tight -Wrap) 15&quot;"/>
        <s v="Sujetador de Cable (Tight Wrap) 18&quot;"/>
        <s v="Sujetador de Cable (Tight Wrap) 8&quot;"/>
        <s v="Sujetador de Cable (Tight-Wrap) 6&quot;"/>
        <s v="Sujetador de Cable Haz de Hilo 3/16-4&quot;"/>
        <s v="Supresor de Pico en Línea Data DLP-4.71"/>
        <s v="Supresor de Pico Industr120V 60Hz 15A"/>
        <s v="Tapa Ciega Circular para Base de Medidor"/>
        <s v="Tapa P/ Caja Polic Med Electron A200 2h"/>
        <s v="Tapa P/ Caja Policarb Med 1ø T/ Dual"/>
        <s v="Tapa Troqueladas P/ Baquelitas M-3"/>
        <s v="Tape Catrige 3M 3480 de 575&quot;"/>
        <s v="Tape Eléctrico 3/4&quot; x 30' Goma"/>
        <s v="Tape Eléctrico 3/4&quot; x 66' Vinyl"/>
        <s v="Tape Semiconductivo de 30mm"/>
        <s v="Tarjeta 6A00364502 Act Recl NOVA FM6"/>
        <s v="Tarjeta Control Local I/O Modul NTU-7550"/>
        <s v="Antena cuarto de onda tipo NMO"/>
        <s v="Antena Direcc Yagui 5 Elem 441-447MHz"/>
        <s v="Antena Radio PRO-5150 Rango 146-17MHz"/>
        <s v="Base P/ Antena NMO"/>
        <s v="Base T/ L Antena Marconi 1/4 Long Onda"/>
        <s v="Batería para Radio EP-450"/>
        <s v="Batería para Radio Motorola PRO-5150"/>
        <s v="Bocina"/>
        <s v="Bombillo P/ Luz Piloto 130V 20MA"/>
        <s v="Cable Assembly, Reference # 400272-4I"/>
        <s v="Captor Opti Unicom Probe III Puert USB"/>
        <s v="Cargador P/ Radio Motorola PRO-5150"/>
        <s v="Cristal de Frecuencia Intermedia 44.645"/>
        <s v="Digital Cable Assembly 101269-20I"/>
        <s v="Digital Input Modul 070536 Rev.2 P/ 7550"/>
        <s v="Digital Input Modul 075068 Rev.6 P/ 7560"/>
        <s v="Diodo T/ Led ET-16 125V Luz de Colores"/>
        <s v="IRIG-B Time Cod Reader Ass Amplit Mod IF"/>
        <s v="Kit Cable RG-58 Base Rosca Fina C/ Cond"/>
        <s v="Luz Piloto 22mm Roja 110V (ZBV-6)"/>
        <s v="Luz Piloto 22mm Verde 110V (ZBV-6)"/>
        <s v="Módem GSM/GPRS/EDGE"/>
        <s v="Panel de Alarma 16 Señales Luminosa Prog"/>
        <s v="PLC SR1 A101 FU (ZELIO)"/>
        <s v="PLC SR1 A201 FU (ZELIO)"/>
        <s v="Plug Entr Antena Chasis P/ Radio GM 300"/>
        <s v="Power Cable Assembly Ref #401010-201"/>
        <s v="Power Cable Assembly Ref #401011-301"/>
        <s v="Power Cable Assembly Ref #401012-301"/>
        <s v="Protector Plástico para Cable de Viento"/>
        <s v="Radio Base DGM-6100"/>
        <s v="Radio Base EM400 VHF 146-174MHz MOT"/>
        <s v="Radio Base MOTOROLA PRO-5100"/>
        <s v="Radio Portátil DGP-6150"/>
        <s v="Radio Portátil DGP-6150 con GPS"/>
        <s v="Repetidor MOT GR-1225 146-176MHz"/>
        <s v="Tarjeta Interf PCB P/Radio MDS 4790/970"/>
        <s v="Unidad Comunic Telef MODEM Cel Trib GSM"/>
        <s v="Bimetalic Transition Plate Catálogo TP-C"/>
        <s v="Juego Puesta Tierra P/ Distribucion"/>
        <s v="Lector de Memoria"/>
        <s v="Manguera P/ Compresor de Aire 50'"/>
        <s v="Motor 125V DC para 15kV"/>
        <s v="Motosierra de 20 Cuchilla 5.5Hp"/>
        <s v="Pistola P/ Soldar Varilla Tierra Mechero"/>
        <s v="Podadora de Arboles"/>
        <s v="Prensa Hidr P/ Compr Conector Burd Y-35"/>
        <s v="Prensa P/ Sellos Roto-Seal Con Dados"/>
        <s v="Spot Light 1000 Candle PWR Bean 12V"/>
        <s v="Taladro Roto Martillo 5/8&quot; Mod TE-6S"/>
        <s v="Transductor Corr 3F 125VDC M100-AA3PG"/>
        <s v="Abrazadera Acer Galv Doble 5 1/2-6&quot;"/>
        <s v="Abrazadera Acer Galv Doble 6-7&quot;"/>
        <s v="Abrazadera Acer Galv Doble 7-8&quot;"/>
        <s v="Abrazadera Acer Galv Doble 9-10&quot;"/>
        <s v="Abrazadera Acer Galv Simple 5 1/2-6&quot;"/>
        <s v="Abrazadera Acer Galv Simple 7-8&quot;"/>
        <s v="Abrazadera Acer Galv Simple 8-9&quot;"/>
        <s v="Abrazadera Contra Presión P/ Tubo 2&quot;"/>
        <s v="Abrazadera Galv 1&quot;"/>
        <s v="Abrazadera Galv 1/2&quot; EMT"/>
        <s v="Abrazadera Galv 2&quot;"/>
        <s v="Abrazadera Galv 3&quot;"/>
        <s v="Abrazadera Galv OMEGA P/ Tubo 2 1/2&quot;"/>
        <s v="Abrazadera P/ Cable Tipo Platillo"/>
        <s v="Abrazadera P/ Perno T/ Clv 5/8&quot; 16mm"/>
        <s v="Abrazadera P/ Tubo"/>
        <s v="Barrena de Metal 3/32&quot;"/>
        <s v="Cinta Plast P/ Hebillas TB Heavy Duty"/>
        <s v="Curva Galv 1''"/>
        <s v="Eslabón en Ocho"/>
        <s v="Espiga Acero 3/4&quot;x12.5&quot; P/ Cruc Madera"/>
        <s v="Espiga Acero 3/4&quot;x15&quot; Cab 1-3/8&quot; 34.5kV"/>
        <s v="Espiga Acero 3/4&quot;x7 3/4&quot;"/>
        <s v="Espiga Acero 5/8&quot;x 6.5&quot;"/>
        <s v="Espiga Acero Galv P/Cruc Mad 8 7/8&quot;x3/4&quot;"/>
        <s v="Espiga Manguito C/ Adapt P/ Torn 5/8&quot;"/>
        <s v="Espiga Manguito C/ Torn 5/8&quot; S/ Adapt"/>
        <s v="Espiga P/ Aisl Cab Poste 15&quot;x1&quot;"/>
        <s v="Espiga P/ Aisl Cab Poste 18&quot;x1&quot;"/>
        <s v="Espiga P/ Aisl Cab Poste 20&quot;x1&quot;"/>
        <s v="Espiga P/ Aisl Cab Poste 24&quot;1-3/8&quot;34.5kV"/>
        <s v="Espiga P/ Aisl Cab Poste 24&quot;x1&quot;"/>
        <s v="Estructura Metálica Montaje Regulador"/>
        <s v="Fleje Acero Galv Diagonal 120&quot;"/>
        <s v="Fleje Acero Galv Diagonal 84&quot;"/>
        <s v="Fleje Acero Inox 0.7 x 20mm"/>
        <s v="Fleje Diag AcerGalv1 3/4x1 3/4x3/16&quot;x60&quot;"/>
        <s v="Fleje Galv 1-7/32&quot;x7/32&quot;x28&quot;"/>
        <s v="Fleje Plancha Acero 1 1/4x1/4&quot;x28&quot;"/>
        <s v="Fleje Vert Acer Galv Perfíl L-75&quot; (1.9m)"/>
        <s v="Fleje Vertical 54&quot; 51 Entre Orif"/>
        <s v="Fleje Vertical Acer Galv 39&quot; 1½x1½x3/16&quot;"/>
        <s v="Fleje Vertical Acer Galv Perfil L-120&quot;"/>
        <s v="Kit Retención P/ Fijación C/ Zuncho KR03"/>
        <s v="Kit Suspensión LABT Prensacable KS1"/>
        <s v="Llavín P/ Panel Blind Torp (Strap Lock)"/>
        <s v="Ojal Cerrada C/ Agujero Roscado 5/8&quot;"/>
        <s v="Planchuela Acer Galv 4x1/2&quot;x24&quot; Barr7/8&quot;"/>
        <s v="Planchuela Cuadrada 4 Aguj Bimet"/>
        <s v="Porta Aisl T/ Carrete"/>
        <s v="Porta Aisl U:1 1/2x1/2&quot;x1/8&quot; Orif 11/16&quot;"/>
        <s v="Porta Aisl U:2 1/2x2 1/4&quot;x3/16'' Codillo"/>
        <s v="Porta Aisl U:3/16x3/4&quot; Orif 11/16&quot; Abier"/>
        <s v="Soporte Aisl P/ Cab y Tub T/ ASR-200-3"/>
        <s v="Soporte Aisl P/ Cables T/ ACS-14"/>
        <s v="Soporte Banco Capacitor Ac. Galv. 75-95"/>
        <s v="Soporte de Cable Monof P/ Cable URD"/>
        <s v="Soporte de Cable Trif P/ Cable URD"/>
        <s v="Soporte de Doble Unidad con 2 Pernos ½&quot;"/>
        <s v="Soporte de Sujección de Esquinas"/>
        <s v="Soporte de Transf P/ Banco 15-45kVA 12&quot;"/>
        <s v="Soporte de Transf P/ Banco 5-75 kVA 24&quot;"/>
        <s v="Soporte en  L P/ Pararrayo"/>
        <s v="Soporte P/ Breaker QC"/>
        <s v="Soporte P/ Tubo de Anclaje (2 1/2&quot; Ø)"/>
        <s v="Soporte P/ Tubo de Anclaje (2'' Ø)"/>
        <s v="Soporte Poste Simple Perno 1/2&quot;x1 1/2&quot;"/>
        <s v="Tilla Retenc Ojal Cerrado 5/8&quot; DTR"/>
        <s v="Tilla Suspens Ojal Espiralado 5/8&quot; DTS"/>
        <s v="Tuberia Liquid Tight de 1/2&quot;"/>
        <s v="Tuberia Liquid Tight de 3&quot;"/>
        <s v="Tubo Anclaje 2&quot;x10' Sched 80"/>
        <s v="Tubo Cuadr Acer Galv 1&quot;x1&quot;x1/16&quot; 20'"/>
        <s v="Tubo EMT 4&quot;"/>
        <s v="Tubo Galv 1&quot;x10'"/>
        <s v="Tubo Galv 1&quot;x20'"/>
        <s v="Tubo Galv 2&quot;x20'"/>
        <s v="Tubo Galv 3&quot;x20'"/>
        <s v="Tubo Hierro Galv 2 1/2&quot;x20'"/>
        <s v="Tubo Liquid Tight 1&quot;"/>
        <s v="Tubo Liquid Tight 2&quot;"/>
        <s v="Varilla de Anclaje Doble Ojo 3/4&quot;x8'"/>
        <s v="Varilla de Anclaje Un Ojo 5/8&quot;x8'"/>
        <s v="Varilla de Aterrizaje 5/8&quot;x6'"/>
        <s v="Varilla de Aterrizaje Cobre 5/8&quot;x8'"/>
        <s v="Varilla de Puesta Tierra 3/4&quot;x8'"/>
        <s v="Varilla Puesta Tierra de Cobre 1/2&quot;x6'"/>
        <s v="Varilla Puesta Tierra de Cobre 5/8&quot;x8'"/>
        <s v="Varilla Puesta Tierra Galv 1/2&quot;x 6'"/>
        <s v="Alicate 9 1/4&quot; 235mm Univ Aisl 1000V"/>
        <s v="Alicate Boca Plana Aisl 1000V MO-66302"/>
        <s v="Alicate Boca Plana Aislada (1000V)"/>
        <s v="Alicate Corte Diag Aisl 1000V MO-67103"/>
        <s v="Alicate de 9&quot; Aislado a 1000 Voltios"/>
        <s v="Alicate de Presión"/>
        <s v="Alicate Mecánico 10&quot;"/>
        <s v="Barrena 1/2&quot; Cobalto Estándar P/ Metal"/>
        <s v="Barrena 1/4&quot; Cobalto Estándar P/ Metal"/>
        <s v="Barrena 3/8&quot; Cobalto Estándar P/ Metal"/>
        <s v="Barrena Salomónica 3/4&quot;x14&quot; P/ Poste Mad"/>
        <s v="Binocular P/ Lectura de Medidores"/>
        <s v="Bolsa P/ Herramientas"/>
        <s v="Bulto Porta Herramientas P/ Linieros"/>
        <s v="Cadena 1/2&quot; de Diámetro"/>
        <s v="Caja Porta Herramienta Vacía"/>
        <s v="Candado 40mm 110 YALE"/>
        <s v="Candado 50mm 110.50 YALE"/>
        <s v="Candado CISA 70mm Anti-Cizallas"/>
        <s v="Cepillo Acer C/ Mango Mad Std 4&quot;x15&quot;"/>
        <s v="Chipero (Ignitores)"/>
        <s v="Cincel de Punta Estandar 5/8&quot;x8&quot;"/>
        <s v="Cincel Plano Estándar 5/8&quot;x12&quot;"/>
        <s v="Cinta Métrica Estándar 8 Metros/26'"/>
        <s v="CIZALLA CORTE 18&quot; C/ MANGO AISL 1000V"/>
        <s v="Cizalla Corte Cable ACSR 36&quot; Aisl 1000V"/>
        <s v="Cizalla de Corte 36&quot;"/>
        <s v="Cubeta de Lona 12&quot;x48&quot;"/>
        <s v="Cubeta Lona Porta Herramientas 12&quot;x16&quot;"/>
        <s v="Cuchilla Pela Cable Aisl 1000V 180-220mm"/>
        <s v="Cuchilla Pela Cable"/>
        <s v="Dado para MD-6 #4/0"/>
        <s v="Dados de Reemplazo P/ Prensa Roto-Seal"/>
        <s v="Destornillador Plano 1/4"/>
        <s v="Destornillador Estría 8&quot; Aisl 1000V"/>
        <s v="Destornillador No.3 152mm Aisl 1000V Phi"/>
        <s v="Empalmador Hidraulico Y-35"/>
        <s v="Escalera T/ Extensión Fibra Vidrio 16'"/>
        <s v="Escalera T/ Extensión Fibra Vidrio 32'"/>
        <s v="Escalera T/ Extensión Fibra Vidrio 40'"/>
        <s v="Escalera T/ Tijera Fibra Vidrio 6'"/>
        <s v="Extensión Industrial Electrica 100'"/>
        <s v="Foco a Prueba de Agua"/>
        <s v="Funda P/ Guante de Alta Tensión"/>
        <s v="Gato Hidráulico 10 Ton"/>
        <s v="Grillete Acero Galv 1/2&quot;"/>
        <s v="Hacha"/>
        <s v="Herramienta P/Conect T/Cuña Cab Grde-Peq"/>
        <s v="Hojas de Seguetas"/>
        <s v="Juego de Llaves ALLEN"/>
        <s v="Juego de Llaves ALLEN Aislada 1000V"/>
        <s v="Juego de Llaves ALLEN de 2 a 10 mm"/>
        <s v="Juego de Llaves Allen de 3/16&quot;-3/8&quot;"/>
        <s v="Juego de Llaves Combinadas 6mm a 19mm"/>
        <s v="LLave Mecanica"/>
        <s v="Juego de Nock Out Mecánico"/>
        <s v="Juego Destornillador Aisl 1000V Estria"/>
        <s v="Lima Plana 12&quot;"/>
        <s v="Lima Triangular"/>
        <s v="Llave Aislador P/ Contador 13 mm"/>
        <s v="LLave Ajustable #10"/>
        <s v="LLave Ajustable #8 AC-18"/>
        <s v="Llave Ajustable 10&quot; Aisl 1000V"/>
        <s v="Llave Ajustable 12&quot;"/>
        <s v="Llave Ajustable 15&quot;"/>
        <s v="Llave Ajustable Aislada a 1000V"/>
        <s v="Llave Anti-Rot P/ Pernos Comb EDE-01"/>
        <s v="Llave Anti-Rot P/ Pernos Comb EDE-02"/>
        <s v="Llave Anti-Rot P/ Pernos Comb EDE-03"/>
        <s v="Llave Boca F 1/2&quot;-9/16&quot; Españ Aisl 1000V"/>
        <s v="Llave Boca F 3/8&quot;-7/16&quot; Españ Aisl 1000V"/>
        <s v="Llave Boca F 5/8&quot;-11/16&quot;Españ Aisl 1000V"/>
        <s v="Llave Coloc y Extrac Tornillo Magnético"/>
        <s v="Llave P/ Liniero 330mm Españ Aisl 1000V"/>
        <s v="Llave P/ Liniero Std 13&quot; P/ Herraje 5/8&quot;"/>
        <s v="Llave para Pernos Series E-1"/>
        <s v="Llave para Pernos Series E-2"/>
        <s v="Llave para Pernos Series E-3"/>
        <s v="Llave para Pernos Series E-4"/>
        <s v="Llave para Tornillo Mac Gard"/>
        <s v="Llave Steelson 24&quot;"/>
        <s v="Llave Térmica P/ Base Medidor Botton"/>
        <s v="Llaves Combinadas de 3/4&quot;"/>
        <s v="Machete"/>
        <s v="Malacate de Cadena 1.5 Ton"/>
        <s v="Máquina Flejadora P/ Fleje Acero 1&quot;"/>
        <s v="Marco de Segueta Fija 43301/012"/>
        <s v="Martillo de Bola"/>
        <s v="Martillos Tipo Carpintero"/>
        <s v="Moldaza P/ Cable 2/0 a 4/0 4500 Lib"/>
        <s v="Moldaza P/ Cable 4/0 a 477  8000 Lib"/>
        <s v="Molde Cadweld GTC162G"/>
        <s v="Molde Cadweld TAC2G2G"/>
        <s v="Nivel Aluminio 24&quot;"/>
        <s v="Nivel Aluminio Estándar 36&quot;"/>
        <s v="Ala Corazón de Cabo Largo"/>
        <s v="Pala Cuadrada de Cabo Largo"/>
        <s v="Palanca P/ Poste (Sujetador de Poste)"/>
        <s v="Pata de Cabra"/>
        <s v="Peladora Cable de Control"/>
        <s v="Pico Standard de 5 Lib"/>
        <s v="Pinza Apertura Múltiple Aisl 1000V"/>
        <s v="Pinza Corte Diagonal"/>
        <s v="Pinza Corta Cable Mango Aisl 1000V"/>
        <s v="Pinza Peladora"/>
        <s v="Pinza de P/Tierra"/>
        <s v="Pinza P/ Sujetar Molde Clamp Holder"/>
        <s v="Pinza para Pelar Cable"/>
        <s v="Pinza Pico de Loro 10&quot; Aisl 1000V"/>
        <s v="Rana 3/0"/>
        <s v="Rana 477"/>
        <s v="Repuesto P/ Polea RCP/RP Plástica"/>
        <s v="Sección No.2 P/ Vara Telescópica 35'"/>
        <s v="Sección No.3 P/ Vara Telescópica 35'"/>
        <s v="Sellador Tolpedo P/ Sello Pb"/>
        <s v="Silicon C/ Pistola"/>
        <s v="Tijera de Corte"/>
        <s v="Vara Telescópica 35'"/>
        <s v="Amperimetro 3000 A.1 (Medicion)"/>
        <s v="Amperímetro 1000A ACD-6 TRM"/>
        <s v="Detector Voltaje Unipolar P/ AT 69-138kV"/>
        <s v="Detector Voltaje Unipolar P/ MT 10-35kV"/>
        <s v="Detector Voltaje Unipolar P/ MT 2-6kV"/>
        <s v="Detector Voltaje Unipolar P/ MT 35-69kV"/>
        <s v="Localizador Fallas Cables Subterr C/ Bat"/>
        <s v="Medidor Esc Rotativ Amprobe Analg C/ Est"/>
        <s v="Multi-Tester Digital Fluke Serie 83 III"/>
        <s v="Odometro"/>
        <s v="Odómetro Móvil P/ Medición Dist Lineales"/>
        <s v="Pinza Electrica"/>
        <s v="Rectificador Bat SCR 120-240AC/125DC 30A"/>
        <s v="Sensor de Corriente Mod SR634"/>
        <s v="Test Switch"/>
        <s v="Adapt Al-Cu Cond 477Al-ACSR Filam 4/0 Cu"/>
        <s v="Adapt Al-Cu P/Cond 4/0Al-ACSR 1/0 Cu"/>
        <s v="Adaptador Cu P/ Soldadura Cu-Al"/>
        <s v="Adaptador Liquid Tight 1&quot; Macho"/>
        <s v="Adaptador Liquid Tight 1/2&quot; Macho"/>
        <s v="Adaptador Liquid Tight 2&quot; Curvo"/>
        <s v="Aluminium Stud to Flat ADSF-11-1-D-41124"/>
        <s v="Aluminum Compr Term VAUL500-12BN Bim"/>
        <s v="Aluminum Horiz Bus SuportCabl Aisl ASR-3"/>
        <s v="Aluminum Straight Tee Tubing-Flat"/>
        <s v="Aluminum Strait Tee  Main-Tap"/>
        <s v="Baquelita P/ Base de Medidor 7 Clips"/>
        <s v="Barra Coneccion P/ Neutro 7 Sal #2"/>
        <s v="Barra Coneccion P/ Neutro 9 Sal #2"/>
        <s v="Cartucho Amarillo P/ Ampact 465.4 MCM"/>
        <s v="Cartucho Azul P/ Ampact Menor 465.4 MCM"/>
        <s v="Cartucho Rojo P/ Ampact Menor 2/0 MCM"/>
        <s v="Condulet Galv de 4&quot;"/>
        <s v="Conect Aterrizaje Ground Clamp"/>
        <s v="Conect Borna Cable T/ 7431-2020 Bimet"/>
        <s v="Conect Comp 4/0-2/0 477 ACSR YHN550"/>
        <s v="Conect Comp 4/0-3/0 a 4/0-3/0 AWG #7 H"/>
        <s v="Conect Comp Cu 10-8 STR YC8C8"/>
        <s v="Conect Comp P/ Cond 1-6 1-6 AWG 4, 6 Cu"/>
        <s v="Conect Comp P/ Cond 2/0-1/0 AWG Al-Cu"/>
        <s v="Conect Comp P/ Cond 2/0-2 6-14 AWG"/>
        <s v="Conect Comp P/ Cond 2-6 a 2-6 AWG 46 Cu"/>
        <s v="Conect Comp P/ Cond 3/0-1/0 AWG Al-Cu"/>
        <s v="Conect Comp P/ Cond 4/0-3/0a1-6AWG Al-Cu"/>
        <s v="Conect Comp P/ Cond 477 ACSR-250 STR 2"/>
        <s v="Conect Comp P/Cond 4/0-1/0 a 8/10-12/14"/>
        <s v="Conect Cu P/ Varilla Tierra 5/8&quot;-1/2&quot;"/>
        <s v="Conect Cu P/ Varilla Tierra 5/8&quot;-3/4&quot;"/>
        <s v="Conect Cuña C/ Estr 4/0-2/0 Estr 2/0"/>
        <s v="Conect Cuña C/Estr 477 o Cair Estr 2/0"/>
        <s v="Conect Cuña P/ Cond 4/0 Deriv 4/0-3/0"/>
        <s v="Conect Cuña P/ Cond 4/0-1/0 Der2/0-1/0"/>
        <s v="Conect Cuña P/ Cond 4/0-1/0 Der2/0-2/0"/>
        <s v="Conect Cuña P/ Cond 477 Cair 3/0-2/0"/>
        <s v="Conect Cuña P/ Cond 477 Cair Der 1/0"/>
        <s v="Conect Cuña P/ Cond 477 Cair Der 477"/>
        <s v="Conect Cuña P/ Cond 477 Cairo 4/0-3/0"/>
        <s v="Conect Cuña P/ Cond 477 MCM #2 AWG"/>
        <s v="Conect Cuña P/ Puesta Tierra 5/8&quot;-3/4&quot;"/>
        <s v="Conect Dent 25/150-25/150 mm² 4-1/0 AWG"/>
        <s v="Conect Dent 25/150-25/150mm² 3-300 AWG"/>
        <s v="Conect Dent Doble P/Cond 50/150-50/150mm"/>
        <s v="Conect Mec Paral C/Estr Bim P/ 2/0 #2"/>
        <s v="Conect Mec Paral C/Estr Bim P/ 4/0-2/0"/>
        <s v="Conect Perno Part Bronce Split Bolt 4/0"/>
        <s v="Conect Perno Part P/ Cabl No.2 al 2/0 Cu"/>
        <s v="Conect Perno Part P/ Cable No.2 al 2/0"/>
        <s v="Conect Perno Part P/ Cable No.8 al 2"/>
        <s v="Conect Prueb Agua Cabl SEU 2 No.8"/>
        <s v="Conect Prueb Agua Cabl SEU 3 No.6"/>
        <s v="Conect Simp Dent P/ Cabl Desn 1/0-300AWG"/>
        <s v="Conect Simp Dent P/Cabl Aisl16-954-35mm²"/>
        <s v="Conector Acodado P/ Cable URD #2"/>
        <s v="Conector Acodado P/ Cable URD #2/0"/>
        <s v="Conector Apernado AL-465-465"/>
        <s v="Conector Comp 4/0-3/0 a 2/0-1 AWG #6"/>
        <s v="Conector Comp Cu 6-4 StrYc4c8"/>
        <s v="Conector Comp Ojo P/ Pararray Bim 2/0 #2"/>
        <s v="Conector Curvo Liquid Tight 1&quot;"/>
        <s v="Conector Curvo Liquid Tight 2&quot;"/>
        <s v="Conector de Aluminio ADST-1420-90-12"/>
        <s v="Conector Galv P/Varilla Tierra 1/2&quot;-5/8&quot;"/>
        <s v="Conector Galv P/Varilla Tierra 5/8&quot;-3/4&quot;"/>
        <s v="Conector Mec 1/0-14 MCM Cu-Al T/ Sillita"/>
        <s v="Conector Mec 250 MCM Cu-Al T/ Sillita"/>
        <s v="Conector Mec 4-14 MCM Cu-Al T/ Sillita"/>
        <s v="Conector Mec 500 MCM Cu-Al T/ Sillita"/>
        <s v="Conector Neutro 2 Vias Perno"/>
        <s v="Conector P/ Liquid Tight 1/2&quot;"/>
        <s v="Conector P/ Tubería Liquid Tight 2&quot;"/>
        <s v="Conector Paralel Bronze Split Bolt C-500"/>
        <s v="Conector Paralel Bronze-Al Cat. ASB-500"/>
        <s v="Conector Paralelo 336.4 954 MCM"/>
        <s v="Conector paralelo 477 MCM AL"/>
        <s v="Conector Perno partido 250-500 MCM"/>
        <s v="Conector Plata &quot;N&quot; Macho P/ Cable RG-213"/>
        <s v="Conector T/ Perno Partido 500 MCM"/>
        <s v="Conector T/ Planch 4 Agu 350 a 600 MCM"/>
        <s v="Conector T/ Planchuela 4 Sal Secund Al"/>
        <s v="Conector T/ T 556.5-795/600-900 MCM"/>
        <s v="Conector T/ T L 250-400 MCM"/>
        <s v="Copling P/ Tubos EMT 1 1/2''"/>
        <s v="Derivador Plást P/ Cond Concéntrico"/>
        <s v="Empalme P/ Cables Aislado 15kV 1000 Al"/>
        <s v="Estribos #2  P/ Conector Tipo Cuña"/>
        <s v="Grapa P/ Fijacion Cond Tierra 2/0-8 1/4&quot;"/>
        <s v="Hebilla Acero Inox 1.80mm / Fleje 20mm"/>
        <s v="Kit de Empalme para Cable URD # 4/0"/>
        <s v="Kit Empalme Cabl URD 1000MCM Aisl 35kV"/>
        <s v="Manga Aut Plena Tensión P/ Cond 1/0-1/0"/>
        <s v="MANGA AUT PLENA TENSIÓN P/COND 397- 477"/>
        <s v="Manga Aut Plena Tensión P/ Cond 4/0-4/0"/>
        <s v="Manga Burdy Y C S 4 R 4 ACSR 3/8"/>
        <s v="Manga Aut Pl Tens AAAC 4/0 Cu-Al"/>
        <s v="Manga Compr Aut Pl Tens P/AAAC 1/0-2/0Al"/>
        <s v="Manga Compr Aut Pl Tens P/AAAC 1/0-2/0Cu"/>
        <s v="Manga Compr Full Tens P/ Cond 1/0 AAC"/>
        <s v="Manga Compr Full Tens P/ Cond 2/0 AAAC"/>
        <s v="Manga Compr Full Tens P/ Cond 2/0 AAC"/>
        <s v="Manga Compr Full Tens P/ Cond 4/0 AAAC"/>
        <s v="Manga Compr Full Tens P/ Cond 4/0 AAC"/>
        <s v="Manga Compr Full Tens P/ Cond 4/0-397,5"/>
        <s v="Manga Compr Full Tens P/Cond 2/0 ACSR Al"/>
        <s v="Manga Empal Cable Al-Cu 1000 MCM 132mm"/>
        <s v="Manga Empalme Cable Scotch 4/0 Al-Cu"/>
        <s v="Manga Full Tension 500 MCM Al"/>
        <s v="Manga Full Tension 556-5 Al (Larga)"/>
        <s v="Manguito Compr 1/0 Cu"/>
        <s v="Manguito Compr 1/2 Cu 556-5 Al"/>
        <s v="Manguito Compr 2 Cu"/>
        <s v="Manguito Compr 2/0-Al-Alloy Anahem Cu-Al"/>
        <s v="Manguito Compr 4/0 ACSR 6-1 4/0 AAAC"/>
        <s v="Manguito Compr Aisl P/Cable 2/0-2/0 Al"/>
        <s v="Manguito Compr Cobre Aisl P/ 1/0 1/0 Al"/>
        <s v="Manguito Compr Cu-Al  P/ URD #2/0"/>
        <s v="Manguito Compr Cu-Al 1 1/4&quot; P/ URD #2"/>
        <s v="Manguito Compr Cu-Al P/ URD #4/0"/>
        <s v="Manguito Compr P/ Cond 1/0 Al-Cu 53mm"/>
        <s v="Manguito Compr P/ Cond 4/0 Al 100mm"/>
        <s v="Manguito Compr P/ Cond 4/0 Al-Cu 55mm"/>
        <s v="Manguito Preaislado P/ Cable #8 AWG"/>
        <s v="Ménsula Suspensión C/ Ojal Espirado DM"/>
        <s v="Reducción 1 1/4&quot;-1&quot; P/ Conect Prueb Agua"/>
        <s v="Termin Abier T/ Tenedor 12-10 D-01-1103K"/>
        <s v="Termin Comp Al 4/0 T/ Planch 2 Aguj Bim"/>
        <s v="Termin Ext 15kV P/Cabl Aisl 500-1000MCM"/>
        <s v="Termin Int Goma 15kV Cond Aisl 1250-2000"/>
        <s v="Termin Int Goma 15kV Cond Aisl 500-100"/>
        <s v="Termin T/PIN Bimet 2 Aguj P/ Conect 4/0"/>
        <s v="Terminal 2 Aguj P/ 465 Secc P/AMPAC 900A"/>
        <s v="Terminal Bim Compr P/ Cond Aisl 4/0"/>
        <s v="Terminal Bim P/ Cond Aisl 1000MCM Al-Cu"/>
        <s v="Terminal Bronze para cable cat. TLS-62L"/>
        <s v="Terminal Compr 4 Aguj 477 Al-19"/>
        <s v="Terminal Compr Al 2 Aguj Al-Cu 1250 MCM"/>
        <s v="Terminal Compr Al 2/0 NEMA1 Ojo Bimet"/>
        <s v="Terminal Compr Al 4/0 T/ Planch"/>
        <s v="Terminal Compr Al VAUL1000-12BN Al-Cu"/>
        <s v="Terminal Compr Bim P/ Cable Aisl 485MCM"/>
        <s v="Terminal Compr Bim P/ Cond Aisl 2/0 Nem2"/>
        <s v="Terminal Compr Cu P/ Cond #2 AWG"/>
        <s v="Terminal Compr P/ Cable #4/0 Al Aguj"/>
        <s v="Terminal Compr SAM-1250-2N Al-Cu"/>
        <s v="Terminal Compr SAM-1250-4N Al-Cu"/>
        <s v="Terminal Cu Comp Aisl P/ Cable #8 AWG"/>
        <s v="Terminal de Ojo 14-16"/>
        <s v="Terminal de Punta No.12"/>
        <s v="Terminal de Punta No.14"/>
        <s v="Terminal Ext Contr P/ Cond 2/0 15kV"/>
        <s v="Terminal Exterior P/ URD No.2"/>
        <s v="Terminal Exterior P/ URD No.4/0"/>
        <s v="Terminal Interior P/ URD No.2"/>
        <s v="Terminal Ojo Cerrado Amarillo 10-12 3M"/>
        <s v="Terminal de ojo para bushing de baja, ¾&quot;"/>
        <s v="Terminal P/ Planch Cu 4 Aguj 3/8&quot; x12&quot;"/>
        <s v="Terminal P/ Tubo Aluminio 1220-90R"/>
        <s v="Terminal Pin Tipo Compresión #2"/>
        <s v="Terminal Pin Tipo Compresión #2/0"/>
        <s v="Terminal Preformado 5/16&quot;"/>
        <s v="Terminal Preformado 7/16&quot;"/>
        <s v="Terminal SAM 1000-2N 2 Aguj Cu-Al"/>
        <s v="Terminal SAM 1000-4N 4 Aguj Cu-Al"/>
        <s v="Terminal SAM 250-4N 4 Aguj Cu-Al"/>
        <s v="Terminal SAM 500-2N 2 Aguj Cu-Al"/>
        <s v="Terminal T/ PIN Bimet Compr P/ Cond 4/0"/>
        <s v="Terminal T/ Planch Cu 4 Aguj 2/0-500 MCM"/>
        <s v="Terminal Termocontraible P/ URD #2/0"/>
        <s v="Terminal Termocontraible URD Ext 2/0"/>
        <s v="Tope Bornera de 6mm"/>
        <s v="Bornera EB-1 de 2 Polos"/>
        <s v="Bornera EB-1 de 4 Polos"/>
        <s v="Bornera EB-1B 6mm Cuadrados Ref. 39062"/>
        <s v="Bornera EB-26"/>
        <s v="Bornera EB-27"/>
        <s v="Computadora y Acces P/ Medidores"/>
        <s v="Tarjeta Módem P/ Med Elster A3 Dial-Up"/>
        <s v="Tarjeta Módem P/ Med Elster A3 RS-232"/>
        <s v="Tarjeta Módem P/ Med Landis RXRS4 RS-232"/>
        <s v="Tarjeta Módem P/ Med Q1000 Firmw 3.03"/>
        <s v="Tarjeta Módem P/ Med Q1000 Firmw 5.x"/>
        <s v="Cono Anclar Concreto 15&quot;x6''x8''"/>
        <s v="Cono Anclar Concreto 18&quot;x6&quot;x8&quot;"/>
        <s v="Cruceta Acer 3&quot;x3&quot;x1/4&quot; 45° Perf L 5'-7&quot;"/>
        <s v="Cruceta Acer 3&quot;x3&quot;x1/4&quot; 45° Perf L 8'-0&quot;"/>
        <s v="Cruceta Acer 3&quot;x3&quot;x1/4&quot; Perf L 5'-7&quot;"/>
        <s v="Cruceta Acer 3&quot;x3&quot;x1/4&quot; Perf L 8'-0&quot;"/>
        <s v="Cruceta Acer 4&quot;x4&quot;x3/8&quot; Perf L 20'-0&quot;"/>
        <s v="Cruceta Mad 3 3/4&quot;x3 3/4&quot; 8'"/>
        <s v="Cruceta Mad 3 3/4&quot;x4 3/4'' 8'"/>
        <s v="Cruceta Mad 3 3/4&quot;x4 3/4&quot; 10'"/>
        <s v="Cruceta Mad 3 3/4&quot;x4 3/4&quot; 6'"/>
        <s v="Poste de Acero Galvanizado 25' 2.5 KN"/>
        <s v="Poste de Acero Galvanizado 30' 3.0 KN"/>
        <s v="Poste de Acero Galvanizado 30' 4.0 KN"/>
        <s v="Poste de Acero Galvanizado 35' 4.0 KN"/>
        <s v="Poste de Acero Galvanizado 35' 5.0 KN"/>
        <s v="Poste de Acero Galvanizado 40' 5.0 KN"/>
        <s v="Poste de Acero Galvanizado 40' 6.0 KN"/>
        <s v="Poste de Acero Galvanizado 45' 6.0 KN"/>
        <s v="Poste de Acero Galvanizado 45' 7.0 KN"/>
        <s v="Poste de Concreto Hormigón Armado 30'"/>
        <s v="Poste de Concreto Pretensado 25' 2.5 KN"/>
        <s v="Poste de Concreto Pretensado 30' 3 KN"/>
        <s v="Poste de Concreto Pretensado 35' 4 KN"/>
        <s v="Poste de Concreto Pretensado 35' 5.0 KN"/>
        <s v="Poste de Concreto Pretensado 40' 5 KN"/>
        <s v="Poste de Concreto Pretensado 40' 6 KN"/>
        <s v="Poste de Concreto Pretensado 45' 8 KN"/>
        <s v="Poste de Concreto Vibrado 30' 3 KN"/>
        <s v="Poste de Madera 25' Clase 3"/>
        <s v="Poste de Madera 25' Clase 5"/>
        <s v="Poste de Madera 30' Clase 3"/>
        <s v="Poste de Madera 30' Clase 5"/>
        <s v="Poste de Madera 35' Clase 3"/>
        <s v="Poste de Madera 35' Clase 4"/>
        <s v="Poste de Madera 40' Clase 3"/>
        <s v="Poste de Madera 45' Clase 3"/>
        <s v="Poste de Madera 60' Clase 3"/>
        <s v="115 VAC/125VDC Power Supply P/ NTU-7550A"/>
        <s v="125 VDC Input Power Supply P/ NTU-7575"/>
        <s v="Broche Plástico P/ Manta"/>
        <s v="Camara Apagachisp P/ Seccionador APR630"/>
        <s v="Cilindro Gas SF6 P/ Interrupt Potencia"/>
        <s v="Fundente Colweld #90"/>
        <s v="Repuestos Compuesto P/ 3AP1  FG-72.5kV"/>
        <s v="Seccionad 15.5kV 600A"/>
        <s v="Seccionad 15.5kV 900A"/>
        <s v="Seccionad 35kV 600A"/>
        <s v="Seccionad Monop 15kV 1200A T/ Estac"/>
        <s v="Seccionad Monop Cuchi Vert 630A 34.5kV"/>
        <s v="Seccionad Trip 72.2kV 1200A"/>
        <s v="Seccionad Trip 72.2kV 1200A KPF"/>
        <s v="Seccionad Unip Automat 7.8-12.47kV"/>
        <s v="Seccionad Unip NH 630C"/>
        <s v="Seccionad Vert 630A 12.47kV Aisl 95kV"/>
        <s v="Arandela Cuad 2x2&quot; P/ Tornillo 1/2&quot;"/>
        <s v="Arandela Cuad 2x2&quot; P/ Tornillo 5/8&quot;"/>
        <s v="Arandela Cuad 3x3&quot; P/ Tornillo 5/8&quot;-3/4&quot;"/>
        <s v="Arandela Cuad 4x4&quot; P/ Tornillo 1&quot;"/>
        <s v="Arandela Cuad Plana 3x3x1/4 Aguj13/16"/>
        <s v="Arandela Cuad Pln 2 1/4&quot;x2 1/4&quot; 5/8-3/4&quot;"/>
        <s v="Arandela Cuad Pln 2x2&quot;x1/4 Aguj 5/8-3/4&quot;"/>
        <s v="Arandela Cuad Pln 4x4&quot;x3/16&quot; Aguj 11/16&quot;"/>
        <s v="Arandela Curva 2&quot;x2&quot; P/Tornillo 5/8''"/>
        <s v="Arandela Curva 3&quot;x3&quot; P/Tornillo 5/8&quot;"/>
        <s v="Arandela Plana 1/2&quot;"/>
        <s v="Arandela Plana 5/16&quot;"/>
        <s v="Arandela Plana Inox 1/2&quot;"/>
        <s v="Arandela Presion 1/2&quot; Niquelad"/>
        <s v="Arandela Presión Inox 1/2&quot; Cat. HFS-500"/>
        <s v="Arandela Presión P/ Tornillo 1/2''"/>
        <s v="Arandela Presión P/ Tornillo 3/4&quot;"/>
        <s v="Arandela Presión P/ Tornillo 3/8&quot;"/>
        <s v="Arandela Presión P/ Tornillo 5/8''"/>
        <s v="Arandela Redonda P/ Tornillo 1/2&quot;"/>
        <s v="Buje Adaptador de W 1/4&quot; a W 3/8&quot;"/>
        <s v="Grapa Galv P/ Alambre de Púa"/>
        <s v="Perno Guardac P/Retenida 3/4&quot; Tuerc Cuad"/>
        <s v="Perno Guardac P/Retenida 5/8&quot;x12  T Cuad"/>
        <s v="Perno Seguridad Carbon Steel Serie E1"/>
        <s v="Perno Seguridad Carbon Steel Serie E2"/>
        <s v="Perno Seguridad Carbon Steel Serie E3"/>
        <s v="Perno Seguridad Carbon Steel Serie E4"/>
        <s v="Tarugo C/ Perno Para Ménsula"/>
        <s v="Tarugo Perno 1/2&quot;x3 3/4&quot; Galv T/ HILTI"/>
        <s v="Tarugo Perno 1/2&quot;x4&quot; Galv T/ HILTI"/>
        <s v="Tarugo Perno 1/4&quot;x1 3/4&quot; Galv T/ HILTI"/>
        <s v="Tarugo Perno 3/8&quot;x2 1/4&quot; Galv T/ HILTI"/>
        <s v="Tarugo Perno Acer Recub Zn 5/8-1/2x3.75"/>
        <s v="Tarugo Plást 35mm"/>
        <s v="Tarugo Plást C/ Torn Cab Hex 9/32&quot;x1&quot;"/>
        <s v="Tarugo Plast Cab Hex 1&quot;"/>
        <s v="Tarugo Plast Cab Hex 1/4&quot;x1&quot;"/>
        <s v="Tarugo Plast Mamey 3/8&quot;x2&quot;"/>
        <s v="Tarugo Plomo 1/4&quot;x1/2&quot;"/>
        <s v="Tarugo Plomo 3/8&quot;x1 3/4&quot;"/>
        <s v="Tornillo 1/2&quot;x2 1/2&quot;Acer Inox Rosc Corr"/>
        <s v="TORNILLO ACERO INOX 1/2&quot; X 2 1/2&quot;"/>
        <s v="Tornillo Activ de Energía Atrav Reseteo"/>
        <s v="Tornillo Autoperf Cab Hex Zn1/4&quot;x1 3/16&quot;"/>
        <s v="Tornillo Cab Estria 2x12mm"/>
        <s v="Tornillo Cab Hex 1/2&quot;x1&quot;"/>
        <s v="Tornillo Cab Hex 3/8&quot;x1&quot;"/>
        <s v="Tornillo Cab Hex Ace Inox 1/2&quot;x2&quot; Rosc C"/>
        <s v="Tornillo Cab Hong Cuello Cuad 3/8x2 1/2&quot;"/>
        <s v="Tornillo Cab Hong Cuello Cuad 3/8x3 1/2&quot;"/>
        <s v="Tornillo Cab Hong Cuello Cuad 3/8x4 1/2&quot;"/>
        <s v="Tornillo Cab Hong Cuello Cuad 3/8x5 1/2&quot;"/>
        <s v="Tornillo Cab Hongo Cuello Cuad 3/8x7&quot;"/>
        <s v="Tornillo Carruaje de 1/2&quot;x2 1/2&quot;"/>
        <s v="Tornillo Carruaje de 5/8&quot;x2 1/2&quot;"/>
        <s v="Tornillo Esp 4 Tuerc Cuad 5/8&quot;x10&quot;"/>
        <s v="Tornillo Esp 4 Tuerc Cuad 5/8&quot;x12&quot;"/>
        <s v="Tornillo Esp 4 Tuerc Cuad 5/8&quot;x14&quot;"/>
        <s v="Tornillo Esp 4 Tuerc Cuad 5/8&quot;x16&quot;"/>
        <s v="Tornillo Esp 4 Tuerc Cuad 5/8&quot;x18&quot;"/>
        <s v="Tornillo Esp 4 Tuerc Cuad 5/8&quot;x20&quot;"/>
        <s v="Tornillo Esp 4 Tuerc Cuad 5/8&quot;x22&quot;"/>
        <s v="Tornillo Esp 4 Tuerc Cuad 5/8&quot;x8&quot;"/>
        <s v="Tornillo Guardacabo Curvo 3/4&quot;x12&quot;"/>
        <s v="Tornillo Guardacabo Curvo 5/8&quot;x12&quot;"/>
        <s v="Tornillo Guardacabo Curvo 5/8&quot;x14&quot;"/>
        <s v="Tornillo Guardacabo Recto 3/4&quot;x10&quot;"/>
        <s v="Tornillo Guardacabo Recto 3/4&quot;x12&quot;"/>
        <s v="Tornillo Guardacabo Recto 3/4&quot;x14&quot;"/>
        <s v="Tornillo Guardacabo Recto 5/8&quot;x12&quot;"/>
        <s v="Tornillo cabeza hex Ac. Inox. 1/2&quot;x3&quot;"/>
        <s v="Tornillo Mac Gard P/ Caja Policarb"/>
        <s v="Tornillo Magnético Aluminio Rosca 1/4&quot;"/>
        <s v="Tornillo Máq Cab Cuad 1/2&quot;x10&quot;"/>
        <s v="Tornillo Máq Cab Cuad 1/2&quot;x12&quot;"/>
        <s v="Tornillo Máq Cab Cuad 1/2&quot;x2 1/2&quot;"/>
        <s v="Tornillo Máq Cab Cuad 1/2&quot;x2&quot; Acer Galv"/>
        <s v="Tornillo Máq Cab Cuad 1/2&quot;x6&quot;"/>
        <s v="Tornillo Máq Cab Cuad 1/2&quot;x8&quot;"/>
        <s v="Tornillo Máq Cab Cuad 3/4&quot;x10&quot;"/>
        <s v="Tornillo Máq Cab Cuad 3/4&quot;x12&quot;"/>
        <s v="Tornillo Máq Cab Cuad 3/4&quot;x14&quot;"/>
        <s v="Tornillo Máq Cab Cuad 3/4&quot;x18&quot;"/>
        <s v="Tornillo Maq Cab Cuad 3/4&quot;x20&quot;"/>
        <s v="Tornillo Máq Cab Cuad 3/8&quot;x2&quot;"/>
        <s v="Tornillo Máq Cab Cuad 3/8&quot;x4 1/2&quot;"/>
        <s v="Tornillo Máq Cab Cuad 3/8&quot;x5&quot;"/>
        <s v="Tornillo Máq Cab Cuad 5/8&quot;x10&quot;"/>
        <s v="Tornillo Máq Cab Cuad 5/8&quot;x12&quot;"/>
        <s v="Tornillo Máq Cab Cuad 5/8&quot;x14&quot;"/>
        <s v="Tornillo Máq Cab Cuad 5/8&quot;x16&quot;"/>
        <s v="Tornillo Máq Cab Cuad 5/8&quot;x18&quot;"/>
        <s v="Tornillo Máq Cab Cuad 5/8&quot;x20&quot;"/>
        <s v="Tornillo Máq Cab Cuad 5/8&quot;x8&quot;"/>
        <s v="Tornillo Máq Cab Hex 1/2&quot;x2 1/2&quot;"/>
        <s v="Tornillo Máq Cab Hex 3/4&quot;x2 1/2&quot;"/>
        <s v="Tornillo Máq Cab Hex 5/8&quot;x2&quot;"/>
        <s v="Tornillo Máq Cab Hongo 1/2&quot;x2&quot;"/>
        <s v="Tornillo P/ Aislador T/ Carrete 5/8&quot;x10&quot;"/>
        <s v="Tornillo P/ Aislador T/ Carrete 5/8&quot;x12&quot;"/>
        <s v="Tornillo P/ Aislador T/ Carrete 5/8&quot;x14&quot;"/>
        <s v="Tornillo P/ Aislador T/ Carrete 5/8&quot;x16&quot;"/>
        <s v="Tornillo P/ Aislador T/ Carrete 5/8&quot;x18&quot;"/>
        <s v="Tornillo Pasante Guardac Recto 5/8&quot;x12&quot;"/>
        <s v="Tornillo Tiraf Ace Galv 1 1/2&quot;x1/4&quot;"/>
        <s v="Tornillo Tiraf Ace Galv 1/2&quot;x2&quot;"/>
        <s v="Tornillo Tiraf Ace Galv 3/8x3&quot;"/>
        <s v="Tornillo Tiraf Ace Galv Cab C 1/4x2 1/2&quot;"/>
        <s v="Tornillo Tiraf Ace Galv Cab Hex 1/4&quot;x1&quot;"/>
        <s v="Tuerca 1/2&quot;"/>
        <s v="Tuerca de Ojo (OVAL) P/ Tornillo 1/2&quot;"/>
        <s v="Tuerca de Ojo (OVAL) P/ Tornillo 5/8&quot;"/>
        <s v="Tuerca de Ojo Tornillo 5/8&quot;"/>
        <s v="Tuerca Eléctrica 2&quot;"/>
        <s v="Tuerca Niquelada P/ Tornillo 1/2&quot;"/>
        <s v="Tuerca Ojo Guardac Incl 45º P/ Torn 3/4&quot;"/>
        <s v="Tuerca Ojo Guardac Incl 45º P/ Torn 5/8&quot;"/>
        <s v="Tuerca Ojo Guardac Recto 3/4&quot; 55.6kN"/>
        <s v="Tuerca Ojo Guardac Recto 5/8&quot; 2 Guias"/>
        <s v="Tuerca Ojo Guardac Recto 5/8&quot; 55.6kN"/>
        <s v="Bobina P/ Totaliz T/ Donut 200/5A Cl0.5%"/>
        <s v="Bobina P/ Totaliz T/ Donut 300/5A Cl0.5%"/>
        <s v="Bobina P/ Totaliz T/ Donut 400/5A Cl0.5%"/>
        <s v="Bobina P/ Totaliz T/ Donut 600/5A Cl0.5%"/>
        <s v="Bushing 1200A 15 kV"/>
        <s v="Kit de Plato"/>
        <s v="Resistor Compensación 5 Ohm 12.5W 5A"/>
        <s v="Silicagel P/ Conserv Transf de Potencia"/>
        <s v="Tanque Aceite Dielect 55 Gl C/ Inhibidor"/>
        <s v="Transf Corriente (CT) 15kV 5-5A"/>
        <s v="Transf Corriente (CT) 15kV-10.5A"/>
        <s v="Transf Corriente (CT) 15kV-20.5A"/>
        <s v="Transf Corriente (CT) 15kV-25.5A"/>
        <s v="Transf Corriente (CT) 15kV-30/5A"/>
        <s v="Transf Corriente (CT) 15kV-45.5A"/>
        <s v="Transf Corriente 1000/5A 600V"/>
        <s v="Transf Corriente 100-200/5A 12.5kV"/>
        <s v="Transf Corriente 100-200/5A 17.5/38/110V"/>
        <s v="Transf Corriente 100-200A 145-275-650kV"/>
        <s v="Transf Corriente 10-20/5A 12.5kV"/>
        <s v="Transf Corriente 1200/5-5A 12.5kV"/>
        <s v="Transf Corriente 1200/5-5A 34.5kV"/>
        <s v="Transf Corriente 1200/5A 600V"/>
        <s v="Transf Corriente 150-300/5A 12.5kV"/>
        <s v="Transf Corriente 2000/5A 600V"/>
        <s v="Transf Corriente 200-400/5A 12.5kV"/>
        <s v="Transf Corriente 20-40/5A 12.5kV"/>
        <s v="Transf Corriente 20-40/5A 34.5kV"/>
        <s v="Transf Corriente 300/5A 600V"/>
        <s v="Transf Corriente 300-600/5A 12.5kV"/>
        <s v="Transf Corriente 30-60/5A 12.5kV"/>
        <s v="Transf Corriente 400/5A 600V"/>
        <s v="Transf Corriente 400-800/5A 12.5kV"/>
        <s v="Transf Corriente 500-1000/5A 12.5kV"/>
        <s v="Transf Corriente 50-100/5A 12.5kV"/>
        <s v="Transf Corriente 50-100/5A 34.5kV"/>
        <s v="Transf Corriente 50-100/5A 600V"/>
        <s v="Transf Corriente 5-10/5A 12.5kV"/>
        <s v="Transf Corriente 5-10/5A 34.5kV"/>
        <s v="Transf Corriente 600/5A 600V"/>
        <s v="Transf Corriente 75-150/5A 12.5kV"/>
        <s v="Transf Corriente 800/5A 600V"/>
        <s v="Transf Corriente CT'S 1500/5A"/>
        <s v="Transf Corriente CT'S 1600/5A"/>
        <s v="Transf Corriente CT'S 800/5A BT"/>
        <s v="Transf Corriente CT'S Ko-11 1200/5A 10kV"/>
        <s v="Transf Volt VT'S VOZ-15H 34.5/4A 150kV"/>
        <s v="Transf Voltaje Ext T/ Post C/Break y Acc"/>
        <s v="Ventil P/Transf Pot 1/3hp Monof 206-230V"/>
        <s v="Ventil P/Transf Pot 1/3hp Trif 206-230V"/>
        <s v="Abrazadera Plástica"/>
        <s v="Adaptador PVC Hembra 1''"/>
        <s v="Adaptador PVC Hembra 1/2&quot;"/>
        <s v="Adaptador PVC Hembra 2&quot; Rosca Presion"/>
        <s v="Adaptador PVC Macho 1''"/>
        <s v="Adaptador PVC Macho 1/2&quot;"/>
        <s v="Adaptador PVC Macho 2''"/>
        <s v="Canaleta  60 x 60 2 Mtr"/>
        <s v="Canaleta  80 x 80 2 Mtr"/>
        <s v="Canaleta 2&quot;X3&quot; Perforada"/>
        <s v="Canaleta 60 x 120mm"/>
        <s v="Cemento PVC"/>
        <s v="Coupling de Unión PVC P/ Tubos de 1''"/>
        <s v="Curva PVC 1''"/>
        <s v="Curva PVC 2&quot;"/>
        <s v="Curva PVC 3&quot;"/>
        <s v="Curva Semi-Presión 4&quot;"/>
        <s v="Tubo 1&quot;x20' SDR-26 PVC"/>
        <s v="Tubo 1/2&quot;x20' SDR-26 PVC"/>
        <s v="Tubo 2&quot;x20' SDR-26 PVC"/>
        <s v="Tubo  3&quot; X 19 ' SDR 26 PVC"/>
        <s v="Tubo 3&quot; SDR-26 PVC"/>
        <s v="Tubo 4&quot;x20' SDR-26 PVC"/>
        <s v="Med Centron C1S Cl100 120V 2h FM 1S"/>
        <s v="Med Centron C1S Cl20 240V 3h FM 4S"/>
        <s v="Med Centron C1S Cl200 120V 3h FM 12S"/>
        <s v="Med Centron C1S Cl200 240V 3h FM 2S"/>
        <s v="Med Cl20 120/480V 3h FM 45/5A C/ Adpt"/>
        <s v="Med Cl20 120/480V 4h FM 9/8S"/>
        <s v="Med Cl20 120/480V 4h FM 9/8S C/Modem"/>
        <s v="Med Cl200 240V 3h"/>
        <s v="Med Cl200 A3 RLN-X 120/480 VKH 21.6"/>
        <s v="Med Electróni Cl100 120V LCD Sal Repet"/>
        <s v="Med Electróni Cl20 120/480V 3h"/>
        <s v="Med Electróni Cl20 57/277V 4h FM 9S"/>
        <s v="Med Electróni Cl200 120/208/240V 3h"/>
        <s v="Med Electroni Cl200 120/480V 4h FM 16S"/>
        <s v="Med Elster A3 Alpha Cl20 4h FM 4/5S Tarj"/>
        <s v="Med Elster A3 Alpha Cl20 4h FM 9S Puerto"/>
        <s v="Med Elster A3 Alpha Cl200 3h FM 12S TWAC"/>
        <s v="Med Elster A3 Alpha Cl200 4h FM 16S TWAC"/>
        <s v="Med Itron Sentinel Cl200 3h FM 12S Modem"/>
        <s v="Med Itron Sentinel Cl200 4h FM 16S Modem"/>
        <s v="Med Prepago 120/240V 3h 60Hz"/>
        <s v="Med Prepago 120V 2h 60Hz"/>
        <s v="Med Q1000 Cl20 120V 4h FM 9S Modem"/>
        <s v="Med Q1000 Cl20 69V 4h FM 9S Modem"/>
        <s v="Med Q1000 Cl20 69V 4h FM 9S RS-485"/>
        <s v="Med Resid Electróni 120V 2h Bottom"/>
        <s v="Med Resid Electróni 120V 2h Socket"/>
        <s v="Med Resid Electróni 240V 3h Socket"/>
        <s v="Med Resid Electróni 240V Bottom"/>
        <s v="Repetidor Elect P/ Med C/ Contador Cicl"/>
        <s v="Celda de Llegada a la Barra BT Transf"/>
        <s v="Celda de Salida P/ Circuitos de Distr"/>
        <s v="Celda de Seccionamiento C/ Fusible"/>
        <s v="Celda Modul Compact T/ E C/ Interrup Aut"/>
        <s v="Celda Modul Compacta Secc Bajo Carg Aisl"/>
        <s v="Herramienta Secc de Carga Loadbuster"/>
        <s v="Interruptor de Reserva P/ Celdas de Lleg"/>
        <s v="Interruptor Potencia 69 KV Tanque Vivo"/>
        <s v="Interruptor Pot Vacío 15kV 40kA 3150A"/>
        <s v="Interruptor Pot Vacío 69kV 31.5kA 1250A"/>
        <s v="Interruptor Pot Vacío T/ 3AH3166-4AZ90"/>
        <s v="Network Terminal Unit NTU-7560A"/>
        <s v="NTU-7515 130VDC/12Vdc Power Mod 50W"/>
        <s v="Radio Equip Instal Kit NTU RemTerm Unit"/>
        <s v="Reconect Monof T/ Poste 7.2kV 400A"/>
        <s v="Reconect Trip T/ Estac 15kV 800A"/>
        <s v="Reconect Trip T/ Estac 34.5kV 800A"/>
        <s v="Reconect Trip T/ Poste 15.5kV 630A"/>
        <s v="Reconect Trip T/ Poste 15.5kV 800A"/>
        <s v="CT's de A.T. 138kV 100-200/1-1-1-5-5-5A"/>
        <s v="CT's de A.T. 138kV 150-300/1-1-1-5-5-5A"/>
        <s v="CT's de A.T. 138kV 50-100-200/1-1-1-5-5A"/>
        <s v="CT's de A.T. 69kV 100-200-400/5-5-5-5A"/>
        <s v="CT's de A.T. 69kV 150-300/5-5-5-5-5A"/>
        <s v="CT's de A.T. 69kV 15-30/5-5-5-5A"/>
        <s v="CT's de A.T. 69kV 20-40/5-5-5-5A"/>
        <s v="CT's de A.T. 69kV 75-150/5-5-5-5-5A"/>
        <s v="CT's de A.T.138kV 100-200-400/1-1-1-5-5A"/>
        <s v="PT'S de A.T. 138kV/1.732/0.115kV"/>
        <s v="PT'S de A.T. 69kV/1.732/0.12kV"/>
        <s v="REGULADOR BAJO C MONOF 7620-7200V 167kV"/>
        <s v="Regulador Bajo C Monof 7620-7200V 416kV"/>
        <s v="Regulador Bajo C Monof 7620-7200V 500kV"/>
        <s v="Transf 1MVA 69kV 7.2-2.4kV"/>
        <s v="Transf 230-480/115-50 VA"/>
        <s v="Transf 25kV 7.2kV 240-480V"/>
        <s v="Transf 37.5kV 7.2-2.4kV 120-240V"/>
        <s v="Transf 50kV T/BOOSTER 12470V 20% Reg."/>
        <s v="Transf Corr 2500/5-5-5-5A 12.47-17.5kV"/>
        <s v="Transf Corr 600/5-5-5A 12.47-17.5kV"/>
        <s v="Transf Corr Ko 20/5-5-5-5A 69kV"/>
        <s v="Transf Corr Ko 200/5-5-5 APU-72.5 69kV"/>
        <s v="Transf Corr Ko 50/5-5-5-5A 69kV"/>
        <s v="Transf Corr Toroi 2500/5-1-1A12.5-17.5kV"/>
        <s v="Transf Corriente Int 2000/5-5-5A 12.5kV"/>
        <s v="Transf 250kV T/Booster 12470V 30% Reg."/>
        <s v="Transf Monof 100kVA 2.4kV 120-240V"/>
        <s v="Transf Monof 100kVA 34.5kV 120-240V"/>
        <s v="Transf Monof 100kVA 7.2kV 120-240V"/>
        <s v="Transf Monof 10kVA 7.2kV 120-240V"/>
        <s v="Transf Monof 15kVA 7.2kV 120-240V"/>
        <s v="Transf Monof 167kVA 2.4kVA 120-240V"/>
        <s v="Transf Monof 167kVA 34.5kV 120-240V"/>
        <s v="Transf Monof 167kVA 7.2-2.4kV"/>
        <s v="Transf Monof 167kVA 7.2kV 120-240V"/>
        <s v="Transf Monof 167kVA 7.2kV 120-240V Pltf"/>
        <s v="Transf Monof 250kVA 2.4kV"/>
        <s v="Transf Monof 250kVA 34.5kV 120-240V"/>
        <s v="Transf Monof 250kVA 7.2kV 120-240V"/>
        <s v="Transf Monof 25kVA 2.4kV 120-240V"/>
        <s v="Transf Monof 25kVA 34.5kV 120-240V"/>
        <s v="Transf Monof 25kVA 7.2-2.4kV 120-240V"/>
        <s v="Transf Monof 25kVA 7.2kV 120-240V"/>
        <s v="Transf Monof 25kVA 7.2kV 120-240V CSP"/>
        <s v="Transf Monof 37.5kVA 1800kV 120-240V"/>
        <s v="Transf Monof 37.5kVA 2.4kV 120-240V"/>
        <s v="Transf Monof 37.5kVA 35.5kV 120-240V"/>
        <s v="Transf Monof 37.5kVA 4.16kV 120-240V"/>
        <s v="Transf Monof 37.5kVA 7.2kV 120-240V"/>
        <s v="Transf Monof 37.5kVA 7.2kV 120-240V CSP"/>
        <s v="Transf Monof 37.5kVA 7.2kV 240-480V"/>
        <s v="Transf Monof 50kV 7.2kV 240-480V1.7% Ipd"/>
        <s v="Transf Monof 50kVA 12.47-7.2kV 240-480V"/>
        <s v="Transf Monof 50kVA 2.4kV 120-240V"/>
        <s v="Transf Monof 50kVA 34.5kV 120-240V"/>
        <s v="Transf Monof 50kVA 7.2-2.4kV 120-240V"/>
        <s v="Transf Monof 50kVA 7.2kV 120-240V"/>
        <s v="Transf Monof 50kVA 7.2kV 120-240V CPS"/>
        <s v="Transf Monof 50kVA 7.2kV 240-480V"/>
        <s v="Transf Monof 5kVA 2.4kV 120-240V"/>
        <s v="Transf Monof 5kVA 7.2kV 120-240V"/>
        <s v="Transf Monof 75kVA 12,000kV 120-240V"/>
        <s v="Transf Monof 75kVA 2.4kV 120-240V"/>
        <s v="Transf Monof 75kVA 34.5kV 120-240V"/>
        <s v="Transf Monof 75kVA 7.2-2.4kV 120-240V"/>
        <s v="Transf Monof 75kVA 7.2kV 120-240V"/>
        <s v="Transf P-M 100kVA 7.2kV 120-240V"/>
        <s v="Transf P-M 112.5kVA 277-480/120-208V"/>
        <s v="Transf P-M 112.5kVA 7.2kV 120-208V"/>
        <s v="Transf P-M 112.5kVA 7.2kV 120-240V"/>
        <s v="Transf P-M 150kVA 12.5/7.2kV 120-208V"/>
        <s v="Transf P-M 150kVA 12.5kV 120-208V"/>
        <s v="Transf P-M 150kVA 277-480/120-208V"/>
        <s v="Transf P-M 225kVA 12.47/7.2kV 120-208V"/>
        <s v="Transf P-M 25kVA 2.4kV 120-240V"/>
        <s v="Transf P-M 25kVA 7.2kV 120-240V"/>
        <s v="Transf P-M 25kVA 7.2kV 120-480V"/>
        <s v="Transf P-M 300kVA 12.47/7.2kV 480-277V"/>
        <s v="Transf P-M 300kVA 7.2kV 120-208V"/>
        <s v="Transf P-M 37.5kVA 7.2kV 120-240V"/>
        <s v="Transf P-M 45kVA 12.47kV 240-480V 3Ø"/>
        <s v="Transf P-M 500kVA 12.5/7.2kV 120-208V"/>
        <s v="Transf P-M 500kVA 12.5kV 277-480V"/>
        <s v="Transf P-M 50kVA 7.2kV 120-240V"/>
        <s v="Transf P-M 75kVA 7.2kV 120-240V CSP"/>
        <s v="Transf Potencia (PT) 15kV/150V 60.1A"/>
        <s v="Transf T/ Booter 25kVA 120-240V"/>
        <s v="Transf Tens P/Medic 7.2/12.4 70kV 60/1"/>
        <s v="Transf Tens TAIT 2,4/1,73-0 12kV 150kV"/>
        <s v="Transf Tens TAIT 34,571,73-0,12kV 150kV"/>
        <s v="Transf Tensión 12.47/1.732-0.120V 60Hz"/>
        <s v="Transf Tensión 4,16/1,73-0 5kV 60Hz"/>
        <s v="Transf T-P 100kVA 34.5kV 240V"/>
        <s v="Transf T-P 100kVA 7.2kV 120/240 CSP"/>
        <s v="Transf T-P 10kVA 7.2kV 120/240V CSP"/>
        <s v="Transf T-P 15kVA 7.2kV 120/240V CSP"/>
        <s v="Transf T-P 15kVA 7.2kV 240-480V"/>
        <s v="Transf T-P 25KV 7.2kV 240-480V"/>
        <s v="Transf T-P 25kVA 7.2kV 120/240V CSP"/>
        <s v="Transf T-P 37.5kVA 7.2kV 120/240 CSP"/>
        <s v="Transf T-P 5kVA 7.2kV 120/240V CSP"/>
        <s v="Transf T-P 75kVA 7.2kV 120/240V CPS"/>
        <s v="Transf Trif 28-40MVA 138-69/34.5-12.5kV"/>
        <s v="Transf Trif 63kVA 7.2kV 120-240V"/>
        <s v="Transf Trif Red 28-40MVA 138/12.5kV 60Hz"/>
        <s v="Transf Trif Red 40-50MVA 138/12.5kV 60Hz"/>
        <s v="CRUCETA DE ACERO GALV 6'-0&quot; 3&quot;X3&quot;X1/4&quot;"/>
        <s v="DIFERENCIAL MANUAL DE 1  1/5 TN, 1.5M"/>
        <s v="CALIBRADOR  PIE DE REY"/>
        <s v="LIMPIADOR DE POLOS DE BATERIA"/>
        <s v="CONJUNTO DE TERRAJA 3/8&quot; A 2&quot;"/>
        <s v="TORNILLO P-AISLADORES LINE POST3-4,3-4x3"/>
        <s v="PINTURA GRIS PERLA"/>
        <s v="TUERCA HEXAGONAL ACERO INOXIDABLE DE 1/2"/>
        <s v="ALICATE PICO DE COTORRA"/>
        <s v="FUSIBLE BUSSMANN LPSRK400SP-DUAL ELEMENT"/>
        <s v="FUSIBLE BUSSMANN LPSRK200SP-DUAL ELEMENT"/>
        <s v="TARUGO PLASTICO P/TORNILLO 5/16’’ X 3’’"/>
        <s v="Fusible Limitador de Corriente T. NX, 12"/>
        <s v="CONECTOR DE PERFOR 1 SALIDA 336.4-2/0-#2"/>
        <s v="Med Monof REX2 FM 2S 3h ZFCW40000000"/>
        <s v="Med Bif REX2 FM 12S 3h ZF5W2000000"/>
        <s v="Med Monof REX2 FM 4S 3h ZFA24000000"/>
        <s v="Med A3 Alpha Trif FM 9S Col ZD3200QD0L9"/>
        <s v="Med A3 Alpha Trif FM 9S Nod ZD3200P00L9"/>
        <s v="Med A3 Alpha Trif FM 16S Nod ZD3300P00L9"/>
        <s v="Fusible BT (LVFDS) UL CL RK1 400A 600V"/>
        <s v="Fusible BT (LVFDS) UL CL RK1 200A 600V"/>
        <s v="Tenis P/ Lectores Size 6"/>
        <s v="Tenis P/ Lectores Size 6 1/2"/>
        <s v="Med Monof REX2 FM 1S 2h ZFA32000000"/>
        <s v="Convertidor de norma  RS-232 a RS-422/48"/>
        <s v="Cable Helian LMR-400"/>
        <s v="Conector BNC"/>
        <s v="Conector tipo N macho"/>
        <s v="5.4 GHz Solid parabolic Antenna 28 dbi"/>
        <s v="Alvarion BreezeNetb 14 datached, 5.4 GHz"/>
        <s v="Antena Vara de 10 DBI"/>
        <s v="Conectores Heliax 1/2 N macho"/>
        <s v="Cable Heliax de 1/2"/>
        <s v="Convertidor N-N Hembra"/>
        <s v="Enlace Punto a Punto Inalambrico"/>
        <s v="Fuentes de 12 VDC Output / Input 125 VAC"/>
        <s v="Fuentes de 24 VDC Output / Input 125 VAC"/>
        <s v="Poliphaser"/>
        <s v="Radio MDS 4790 UHF"/>
        <s v="Radio MDS SD4 UHF"/>
        <s v="Torre Metalica Autosoportada con cables"/>
        <s v="Z Galvanizada"/>
        <s v="Cable duplo numero 12 de alimentacion 12"/>
        <s v="Conectores DB9"/>
        <s v="Conectores DB25"/>
        <s v="Cable RG213"/>
        <s v="Conectores Miniuhf"/>
        <s v="Conector N Hembra"/>
        <s v="Conectorer PL 259"/>
        <s v="Union PL Hembra"/>
        <s v="Union N Hembra"/>
        <s v="Union de Miniuhf hembra a PL 259"/>
        <s v="Power conector 12 con porta fusible"/>
        <s v="Caja para Transf. Reduc. Aislados a 600V"/>
        <s v="Transf Tension Red 480/120V Aisl. a 600V"/>
        <s v="Conector elástico tipo cuña 4/0 - 2 CU"/>
        <s v="Conector elástico tipo cuña 2 – 2 Cu AW"/>
        <s v="Conector elástico T/ cuña 2/0 - 2/0 AWG"/>
        <s v="Cable concentrico 2 x Nº 10 cobre"/>
        <s v="Cable concentrico 3 x Nº 8 cobre"/>
        <s v="AISLADOR T/ ESP PIN CL 57-1 3/4&quot; 12.47KV"/>
        <s v="Cruceta Acero Galvanizado 10'"/>
        <s v="Porta-aislador en U para cruceta 6-1/4&quot;"/>
        <s v="Arandela redonda de 1 3/4&quot; x 1/4&quot;"/>
        <s v="Soporte de acero para aislador rígido"/>
        <s v="Tubo  Condulet EMT 2&quot; X 10&quot;"/>
        <s v="Tuerca cuadrada para tornillo 5/8&quot;"/>
        <s v="Tarugo de plomo 5/16 X 3&quot;"/>
        <s v="Cruceta de acero galvanizado 6.0'"/>
        <s v="Toma Corriente Superficie"/>
        <s v="TRANSF P-M 500 KVA 7.2-12.47KV 120-208V"/>
        <s v="Base Rectangular Dual 4 Clips 120/240 V"/>
        <s v="Soporte de acero para aislador rigido"/>
        <s v="Caja Derivadora P/Acometidas 30 tomas"/>
        <s v="Toma corriente doble 120V polarizado"/>
        <s v="PINZA DE RETENCION PARA ACOMETIDAS"/>
        <s v="Juego de Juntas y Empaques para Transf."/>
        <s v="Casco Tipo Sombrero"/>
        <s v="BARBUIQUEJO AJUSTABLE"/>
        <s v="KIT CAMILLA INMOVILIZADORA ANTITRAUMA"/>
        <s v="KIT DE REEMPLAZO LUMINARIA 400 W HPS"/>
        <s v="Kit de Blindaje Eléctrico Armorcast"/>
        <s v="Terminal condulet para tubo de 3&quot;"/>
        <s v="Poste de Hormigon Pretensado 35' 5KN"/>
        <s v="BOCINA SELLADA SK P PRO"/>
        <s v="Transf Monof 167KVA 12.5/7.2kv 120/208"/>
        <s v="Transf M. 75kVA 2.4kV 120-240V Reg. 30%"/>
        <s v="PUENTE CAPTA CARGA"/>
        <s v="COBERTURA P/ POSTES"/>
        <s v="TRANSF M. 50KVA 2.4KV 120-240V REG. 30%"/>
        <s v="Tornillo Cab Hex 3/8&quot;x2"/>
        <s v="Regulador Aut. Volt. 114.4 KVA a 7.2 KV"/>
        <s v="Regulador Aut. Volt. 76.2 KVA a 7.2 KV"/>
        <s v="Conector Tipo N Macho para RG58"/>
        <s v="Banco de Baterías de 24 unidades"/>
        <s v="DETECTOR TENSION D/1 A 138KV"/>
        <s v="PULIDORA"/>
        <s v="VOLTIAMPERIMETRO DE GANCHO"/>
        <s v="Dinamómetro digital de tracción 50kN"/>
        <s v="TALADRO D/PEDESTAL"/>
        <s v="EQUIPO ANALIZADOR PCB's"/>
        <s v="CALIBRADOR DIGITAL"/>
        <s v="PISTOLA PRESION P/PINTAR"/>
        <s v="MÓDULO TWACS UMT 9S"/>
        <s v="DISOLVENTE (THINNER)"/>
        <s v="VARILLA D/PLATA"/>
        <s v="SILICON"/>
        <s v="TERMO P/AGUA D/5 GALONES (NEVERITA)"/>
        <s v="CEPILLO D/ALAMBRE"/>
        <s v="JUEGO EXTRACTORES"/>
        <s v="LIMA"/>
        <s v="MARCO D/SEGUETA"/>
        <s v="PORTA ELECTRODO 500 AMP"/>
        <s v="REMACHADORA"/>
        <s v="PISTOLA P/PINTAR"/>
        <s v="CONTACTOR - 32A  220V 50/6"/>
        <s v="TIJERA PODADORA D/RAMA"/>
        <s v="TUBO PVC SDR-26-4&quot;"/>
        <s v="TIJERA D/AVIACION IZQ."/>
        <s v="PENETRANTE"/>
        <s v="Transf M. 250KVA 7.2 KV/ 240-480V P/Plat"/>
        <s v="Med ION 8650 Cl20 57/277V 4h FM 9S Pr0.2"/>
        <s v="CORTADOR P/CABLE DE MANO"/>
        <s v="BATERIA 6V"/>
        <s v="Detector Tensión Multirango 240V/275 K"/>
        <s v="Papel 2¼ para sumadora"/>
        <s v="Transf. Trif. P/M 750KVA 12475 120/208V"/>
        <s v="Alcoholimetro"/>
        <s v="Lentes de seguridad in door / out door"/>
        <s v="Arnés Tipo Tiras P/Mangas Dieléct, Cl 2"/>
        <s v="Batería NP7-12 de 12 VDC  7AH"/>
        <s v="Guantes para Laboratorio"/>
        <s v="Cinta anti resbalante"/>
        <s v="Accesorios para Equipo"/>
        <s v="BATA DE LABORATORIO CON LOGO"/>
        <s v="Esmeriladora de Banco 6&quot;"/>
        <s v="Medidor GYR E23A 240V 3 Hilos Bottom"/>
        <s v="TERMINAL TIPO T"/>
        <s v="Luminarias Led SAT 48S"/>
        <s v="Luminarias Led SAT 72M"/>
        <s v="Luminarias Led SAT 96M"/>
        <s v="Batería de 12 Voltios Tipo AGM"/>
        <s v="Transf P-M 150kVA 7.2 /12.47kV 120-240V"/>
        <s v="TALADRO ROTOMARTILLO"/>
        <s v="Perno Seguridad Carbon Steel Serie E5"/>
        <s v="Perno Seguridad Acero Inox Comb DDI"/>
        <s v="Medidor Elec. FM12S Cl 200 3H 120/480V"/>
        <s v="Capa P/ Agua Amarillo Size XXXL"/>
        <s v="Linterna de Xenon"/>
        <s v="Tanque Señalizacion"/>
        <s v="Base Traiboss"/>
        <s v="Chaleco Reflec Alta Visib Naranja L"/>
        <s v="BULTO DE HERRAMIENTAS"/>
        <s v="Cinta Demarcacion 2' x 36'"/>
        <s v="Inflador p/ pruebas de guantes dilec."/>
        <s v="Breaker P/Riel 6 AMPS"/>
        <s v="Antena bahia de  8 elementos  136-174Mhz"/>
        <s v="Kit de antena 1/4 onda NMO 136-174 Mhz"/>
        <s v="Antena Yagui 9 dBi 136-174Mhz"/>
        <s v="Conector N para LMR400"/>
        <s v="Duplexer 4 cavidades"/>
        <s v="Antena para GPS Radio DGM 6100"/>
        <s v="Espejo Convexo 24cm"/>
        <s v="Respirador de Media Cara"/>
        <s v="CAMISA NORMAL CON REFLECTIVO"/>
        <s v="CAMISA NORMAL REFLECTIVO  DE TELA"/>
        <s v="PANTALON REFLECTIVO RESISTENTE A FLAMA"/>
        <s v="PANTALON NORMAL  REFLECTIVO  DE TELA"/>
        <s v="Terminal Secundario 50KVA"/>
        <s v="Guantes uso de combustible"/>
        <s v="BASE P/TELEVISOR LED 55''"/>
        <s v="Chaleco Reflec Alta Visib Naranja XL"/>
        <s v="Chaleco Reflec Alta Visib Naranja M"/>
        <s v="Transf M. 37.5kVA 7.2kV 120-240 Reg. 30%"/>
        <s v="Transf M 37.5kVA 4.16kV 120-240V Reg 30%"/>
        <s v="Transf M 50kVA 7.2kV 120-240V Reg 30%"/>
        <s v="Transf M 75kVA 7.2kV 120-240V Reg 30%"/>
        <s v="SWITCH GRADO INDUSTRIAL"/>
        <s v="Tenis P/ Lectores Size 5.5"/>
        <s v="Resistencia comp. de PT's 75W 66V 75ohms"/>
        <s v="Resistencia comp. PT's  50W 120V 3Kohms"/>
        <s v="Resistencia comp. CT's 50W 120V 10ohms"/>
        <s v="Destornillador aislado a 1000V Estría 10"/>
        <s v="Destornillador aislados a 1000V Plano 10"/>
        <s v="Destornillador aislados a 1000 V Plano 8"/>
        <s v="Martillo aislado a 1000V"/>
        <s v="Chichara aislado a 1000V"/>
        <s v="Zafacon Ambientales Tres Bocas"/>
        <s v="Proteccion facial para TCT"/>
        <s v="Termo Portatil para Lectores"/>
        <s v="Botas anti fatiga ergonomicas para salud"/>
        <s v="Botas para uso de Taller Transformadores"/>
        <s v="Envase deteccion aut. pruebas antidrogas"/>
        <s v="PLANTA ELECTRICA 6.5 KW"/>
        <s v="CHALECO REFLEC ALTA VISIB NARANJA XXL"/>
        <s v="Saco de proteccion para dormir"/>
        <s v="Sello seguridad inserto mariposa Gris"/>
        <s v="Capa P/ Agua Naranja Size L"/>
        <s v="Capa P/ Agua Naranja Size XL"/>
        <s v="Transf 50kVA 7.2-2.4kV 120-240V Reg.20%"/>
        <s v="Chaquetas Impermeables"/>
        <s v="Kit de derrame"/>
        <s v="Cinta amarilla para delimitar areas"/>
        <s v="Botas de Goma Size 43"/>
        <s v="Botas de Goma Size 44"/>
        <s v="Botas de Goma Size 45"/>
        <s v="Botas de Goma Size 46"/>
        <s v="Pitos para llamado en caso de emergencia"/>
        <s v="Bidones para transporte de combustible"/>
        <s v="Pilotillo Azul con Reflectivo Seg. Vial"/>
        <s v="Esquinero Amarillo Negro de Seg. (Hule)"/>
        <s v="Estándar seg ESTACIONAMIENTO EN REVERSA"/>
        <s v="Estándar de seguridad ZONA LIBRE DE HUMO"/>
        <s v="Estándar seg para pared de Subestacion"/>
        <s v="Estándar seg INGRESO A SUBESTACION"/>
        <s v="Luz anticolisión p/ camion y montacarga"/>
        <s v="Guante de Kevlar en alta visibilidad"/>
        <s v="Megafono"/>
        <s v="Cable Aluminio Aislado 300 MCM 600V"/>
        <s v="Cubeta metálica C/aterrizaje de electr."/>
        <s v="Embudo metálico para manejo combustible"/>
        <s v="Cinta reflectiva tipo diamante amarilla"/>
        <s v="Termómetro ambiental pared c/ higrometro"/>
        <s v="AccuFlow rojo p/ trasiego de combustible"/>
        <s v="Lavaojos de emergencia de botella"/>
        <s v="Estación lavaojos portátil"/>
        <s v="Lanyard desabrochable  Seg. porta carnet"/>
        <s v="Caja de Herramientas 5 Gavetas"/>
        <s v="Estandar Seg. p/señalización de extintor"/>
        <s v="Estandar Seg p/ instruccion uso extintor"/>
        <s v="Poste de Acero Galvanizado 25' 1.5 KN"/>
        <s v="Caja para reciclaje de papel sello azul"/>
        <s v="Botas Aisladas para TCT"/>
        <s v="Cobertizo para transp. Trafos con PCB"/>
        <s v="Brazalete porta Carnet de seguridad"/>
        <s v="Abrazadera Metal P/ Poste"/>
        <s v="Adapt Al-Cu P/Cond  #2 ACSR"/>
        <s v="Angular P/ Poste 4&quot;x 1 1/2&quot;x1 1/2&quot;Aguj 1"/>
        <s v="Angular P/ Poste 4&quot;x 1 1/2&quot;x1 1/2&quot;Aguj 5"/>
        <s v="Arandela Redonda 1 3/4&quot;x1/4&quot;P/ Torn 5/8&quot;"/>
        <s v="Arandela Redonda Plana P/ Torn 5/8&quot;"/>
        <s v="Caja Distribución Peq 2 Born 12 Tomas"/>
        <s v="Conector Elást Cuña 4/0-1/0 AWG"/>
        <s v="Conector Elást Cuña 4/0-2/0 AWG"/>
        <s v="Conector Elást Cuña 465-465 AWG"/>
        <s v="Cruceta Tubul Cuadr Acer Galv 3&quot;x3&quot;x 8'"/>
        <s v="Difusor P/ Luminaria"/>
        <s v="Soporte P/ Caja Distribución 17 Tomas"/>
        <s v="Tapa Cubre Bornas P/ Transf 25kVA"/>
        <s v="Tapa Cubre Bornas P/ Transf 37.5kVA"/>
        <s v="Tapa Cubre Bornas P/ Transf 50kVA"/>
        <s v="Tapa Cubre Bornas P/ Transf 75kVA"/>
        <s v="Terminal Compr Al 2 Aguj 477MCM"/>
        <s v="Tornillo Máq Cab Cuad 5/8&quot;x1&quot;"/>
        <s v="Tornillo Máq Cab Cuad 5/8&quot;x2&quot; C/ Tuerca"/>
        <s v="Tornillo Tiraf Con Ojo 5/16&quot;x4&quot;"/>
        <s v="Orejera para casco tipo sombrero"/>
        <s v="Tarugo Plast Azul 1/4&quot;x1 1/2&quot;"/>
        <s v="Seccionadora Tipo Gabinete 12470/7200V"/>
        <s v="Fusible Limitador de Corriente T. NX, 32"/>
        <s v="Aisladores Rígidos de Porcelana 15kV"/>
        <s v="Fusible Limitador de Corriente T. NX, 50"/>
        <s v="Fusible Limitador de Corriente T. NX, 20"/>
        <s v="TORNILLO  TIRAF 1/4 X 3/8 PARA FIJ. MED"/>
        <s v="TORNILLO MÁQ CAB HEX 1/4&quot;X3 1/2&quot;"/>
        <s v="Tornillo 2 x 1/4"/>
        <s v="Med 120V FM 12S Cl200 3H con TWACS"/>
        <s v="Med 240V FM 2S Cl200 3H con TWACS"/>
        <s v="BOOSTER  DE 100 kVA, 12.47/4.16 kV"/>
        <s v="BOOSTER DE  333 kVA, 12.47/4.16 kV"/>
        <s v="CONECTOR T/CUÑA #4-#4 P/COND. COBRE"/>
        <s v="TERMINAL BIMET AL-CU PARA CABLE 300 MCM"/>
        <s v="Transf Trif Red 28 MVA 69/12.5kV YNYNO"/>
        <s v="Transf Potencia 28 MVA 138/12.5 kV"/>
        <s v="Transf Potencia 28 MVA 69/34.5 kV"/>
        <s v="Seccionad Unipolar 400 A, 15 KV"/>
        <s v="Transf Corr. TAIT 200-400/5A 34.5kV 60Hz"/>
        <s v="CONECTOR T/CUÑA A PRESIÓN #2 A #2 CU"/>
        <s v="Transf M 25kVA 7.2kV 120-240V CSP AF"/>
        <s v="Transf M 37.5kVA 7.2kV 120-240V CSP AF"/>
        <s v="Transf M 50kVA 7.2kV 120-240V CSP AF"/>
        <s v="Transf M 75kVA 7.2kV 120-240V CSP AF"/>
        <s v="REGULADOR TENSIÓN M. 114.3 KV 7.2KV"/>
        <s v="REGLETA ELECTRICA P/GABINETE"/>
        <s v="BAQUELITA CL-100 MEDIDIOR 120V/240V/208V"/>
        <s v="PERNO CORTO AC. GALV. 3/4&quot;- 3/4&quot; X 3&quot;"/>
        <s v="Repetidor Medidor 240V 3h Socket"/>
        <s v="Transf Corriente 15-30/5A 34.5KV"/>
        <s v="PT'S DE A.T. 34.5KV 19,920/120"/>
        <s v="Transf Compacto (CT y PT) 5-10/5A 4.16KV"/>
        <s v="Transf Compacto(CT y PT) 15-30/5A 4.16KV"/>
        <s v="REGULADOR TENSIÓN M 250 KVA 7.2KV"/>
        <s v="REGULADOR TENSIÓN M 500 KVA 7.2KV"/>
        <s v="Bateria ES 9-12 9 AMP 12 Voltio"/>
        <s v="Copling P/ Tubos EMT 2&quot;"/>
        <s v="Copling P/ Tubos IMC 2&quot;"/>
        <s v="Copling P/ Tubos EMT 3&quot;"/>
        <s v="Curva EMT 2&quot;"/>
        <s v="Curva EMT 3&quot;"/>
        <s v="Soporte Chanel P/Tub 3/4"/>
        <s v="CABLE DE COBRE AISLADO THHN,3/0 AWG"/>
        <s v="Espiga Acero 3/4&quot;x 7 3/4&quot; p/Cruceta Ac."/>
        <s v="CABLE DE COBRE AISLADO THHN,300 MCM"/>
        <s v="CABLE DE ACERO COBREADO DESNUDO #2 AWG"/>
        <s v="TERMINAL BIM.PIN COMP. P/CAB 3/0 AWG"/>
        <s v="CONECTOR CUÑA PUESTA A TIERRA 1/2&quot; BIM"/>
        <s v="GRAPA CONEXIÓN DOBLE CAB TIERRA SIN TORN"/>
        <s v="CONECTOR PERF. UNA SALIDA DE 336.4-2/0"/>
        <s v="POSTE DE ACERO GALVANIZADO 45', 8KN"/>
        <s v="TRANSF. C. T/DONUT 150/5 A,CL 0.5%  600V"/>
        <s v="TRANSF. C. T/DONUT 250/5 A,CL 0.5%  600V"/>
        <s v="TRANSF. C. T/DONUT 350/5 A,CL 0.5%  600V"/>
        <s v="Caja de Policarbonato, A 4 Borneras, 40"/>
        <s v="CAJA POLICARB. MED. BOTTOM 120V 2H CL100"/>
        <s v="GRAPA DERIV. #8 A 2/0 AWG - #8 A 2/0 AWG"/>
        <s v="POSTE HORMIGÓN PRETENSADO DE 40' - 8kN"/>
        <s v="POSTE HORMIGÓN PRETENSADO DE 45'- 8 kN"/>
        <s v="Tubo PVC 1&quot;"/>
        <s v="Med Resid Electróni 120V 2h Bottom (proy"/>
        <s v="Med Resid Electróni 240V Bottom (proyect"/>
        <s v="TUBO IMC DE 3&quot;X10"/>
        <s v="LUMINARIAS LED DE 120 WATTS, MODELO NYXI"/>
        <s v="LUMINARIAS LED DE 75 WATTS, MODELO OUZIR"/>
        <s v="POSTE METÁLICO GALVANIZADO EN CALIENTE D"/>
        <s v="TUBO METALICO IMC 1&quot; X 10'"/>
        <s v="ANILLA CUARTEADA"/>
        <s v="TARUGO PLÁSTICO 5/16'' X  2'' AZUL"/>
        <s v="PLACA DE COBRE PARA PUESTA A TIERRA"/>
        <s v="ABRAZADERA EMT DE 1''"/>
        <s v="CONECTOR TIPO H No.3"/>
        <s v="CONECTOR TIPO H 1/0-2/0"/>
        <s v="CONECTOR TIPO CUÑA 2/0 CON ESTRIBO"/>
        <s v="PARARRAYOS PARA TRANSF. TIPO PAD-MOUNTED"/>
        <s v="CONECTOR BUSHING DE 3 PULG"/>
        <s v="AISLADOR DE SUSPENSIÓN PARA 34,5KV , POL"/>
        <s v="DETECTOR DE FALLA"/>
        <s v="CRUCETA DE FIBRA DE VIDRIO CON SOPORTE M"/>
        <s v="TERMINAL INTERIOR PARA URD No.2 AISL. PA"/>
        <s v="CONECTOR PARA EMPALME PARA CABLE No.4"/>
        <s v="BORNERA DE ALUMINIO 7 TOMAS"/>
        <s v="BORNERA DE ALUMINIO 9 TOMAS"/>
        <s v="MANGA DE EMPALME"/>
        <s v="Tubo EMT 3&quot;"/>
        <s v="Tuberia LT 2&quot;"/>
        <s v="Transformador Pad Mounted 225kVA 12.47/7"/>
        <s v="Grasa en Spray Sintética HSS 2000 500 ml"/>
        <s v="Conjunto Zebra de Carraca de 1/2&quot; 23 pie"/>
        <s v="CONECTOR ELÁSTICO TIPO CUÑA 2/0 A #2 AL"/>
        <s v="FUSIBLE TIPO D FIJADO  EN CARTUCHO 3.5 A"/>
        <s v="Cable de Cobre #4 THHN"/>
        <s v="FUNDA TRANSPORTADORA DE MEDIDOR"/>
        <s v="Angular Al 1 1/4&quot;x 3/16&quot;"/>
        <s v="Poste de Acero Galvanizado 55' -12 KN"/>
        <s v="Soporte Simple Para Caja Derivadora"/>
        <s v="Disco de Corte 115 x 2.0 x 22.2"/>
        <s v="Cruceta de metal 6&quot;"/>
        <s v="Capacitor de Desacople 200 µF"/>
        <s v="TORNILLO CABEZA  HEXAGONAL   3/8&quot;X 2&quot;"/>
        <s v="Conect Sop P/Cab Aisl Dobl Torn 3-3 1/2&quot;"/>
        <s v="Cable Cobre ST #8 THHN AWG 600V Rojo"/>
        <s v="Tornillo Maq Cab Cuad 3/8&quot;x18&quot;"/>
        <s v="Poste hormigón armado vibrado 12m-5kN"/>
        <s v="Tubo EMT 1 1/2&quot;x10'"/>
        <s v="Poste de Madera 50' Clase 3"/>
        <s v="Tornillo Máq Cab Hex 1/2&quot;x2&quot;"/>
        <s v="Poste hormigón armado vibrado 10.5m-5k"/>
        <s v="Caja Derivadora 3 Borneras"/>
        <s v="Brakers GE.Doble 50 Amp"/>
        <s v="Fusible 40A (10/24kV) 442mm"/>
        <s v="Fusible de Expulsión Tipo D de 5A"/>
        <s v="Grapa Fijac Cond Tierra 2/0 Perf 1/4&quot;"/>
        <s v="Moldura de Plástico 1/2&quot;x8&quot;"/>
        <s v="Kit de Limpieza para Equipos Aislados"/>
        <s v="Abrazadera UNITRI 1&quot;"/>
        <s v="Soporte en T Aluminio P/ Eléctrica"/>
        <s v="Tuberia Galvanizada de 4&quot;"/>
        <s v="Herramientas AMPACT con Cabezal Pequeño"/>
        <s v="Rana 4/0"/>
        <s v="Conect Elbow T/ Codo P/Cable 4/0 15kV"/>
        <s v="Condulet Galv de 2 1/2&quot;"/>
        <s v="Terminal de Ojo 10-12 Macho"/>
        <s v="Terminal de Ojo Cerrado P/ Cable 14"/>
        <s v="Terminal T/ Planchula P/ Tubo 2&quot;"/>
        <s v="Arandela Cuad 2 1/4x2 1/4x3/16 Aguj11/16"/>
        <s v="Tarugo pern Ac.inox  ancla exp 5/8x3 3/4"/>
        <s v="Bobina P/ Totaliz T/ Donut 100/5A Cl0.5%"/>
        <s v="Interruptor Potencia 145 KV Tanque Vivo"/>
        <s v="Recloser Monof T/ Poste 15kV 400A"/>
        <s v="CRUCETA DE ACERO GALV 8-0&quot; 3&quot;X3&quot;X1/4&quot;"/>
        <s v="Tarugo Plastico con Tornillo 5/16’’ X 3’"/>
        <s v="CABLE DE ACERO COBREADO #6 AWG 3 HILOS"/>
        <s v="Conector elástico tipo cuña 4/0 - 2 AWG"/>
        <s v="Conector elástico tipo cuña 2 – 2 CU AWG"/>
        <s v="ARO D/SEGURIDAD P/MEDIDOR TIPO SOCKET"/>
        <s v="FUSIBLE EXPULSIÓN 3.5 A TIPO D"/>
        <s v="FUSIBLE EXPULSIÓN 5.2 A TIPO D"/>
        <s v="Podometro Digital"/>
        <s v="Espiga acero 3/4&quot;x9-5/8&quot;CAB 1 3/8 34.5kv"/>
        <s v="TERMINAL PIN  AL-CU PARA CABLE 300 MCM"/>
        <s v="SOPORTE P/INST.DE DOS CAJAS DERIVADORAS"/>
        <s v="SOPORTE L GABINETE MEDICION CONC. ALT."/>
        <s v="GAB. CAJA CONT P/TELEM.12 MED 120/240V"/>
        <s v="GAB. CAJA CONT P/TELEM.18 MED 120/240V"/>
        <s v="TAPON HEMBRA PVC PARA TUBO DE 4&quot;"/>
        <s v="PARARRAYOS 9KV DE DISTRIBUCIÓN"/>
        <s v="CAJA DERIVADORA DE 3 BORNERAS, 30 TOMAS"/>
        <s v="REGISTRO DE POLIPROPILENO 35 x 35 x 40 C"/>
        <s v="MANGA AUT PLENA T. COND 2/0 - 2/0 AWG AL"/>
        <s v="Electrodo Revestido 3/32&quot; x 14"/>
        <s v="Tornillo Exagonal 1/4&quot; x 1½&quot; con Tuerca"/>
        <s v="Tornillo Exagonal 1/4&quot; x 2&quot; Con Tuerca"/>
        <s v="Tornillo Exagonal 1/4&quot; x 4½&quot; Con Tuerca"/>
        <s v="MANGA AUT PLENA T. COND 465-465 MCM AL"/>
        <s v="TORNILLO MAQ. CAB. HEX. 1/4&quot; X 2 1/2&quot;"/>
        <s v="TORNILLO MAQ. CAB. HEX. 1/4&quot; X 4 1/2&quot;"/>
        <s v="Cable Cobre URD #2 Aisl Neutro 33% 15KV"/>
        <s v="Cable Alum URD 300 mcm Ais P/15 KV"/>
        <s v="WACS MCA SPECTRUM SIM 120V TIPO BOTTOM"/>
        <s v="Cable Alum URD 500 mcm Ais HEPRZ 15KV"/>
        <s v="Unidad recole entrada (IPU) com TWACS"/>
        <s v="Unidad Modul salida (OMU) com TWACS"/>
        <s v="Hand Held GPRS"/>
        <s v="Rutedador Digi Edge DC- WAN GE10A"/>
        <s v="Rollo de Papel 30 x 500  ( Plotter Xerox"/>
        <s v="Display p/Medid.prepag 120v/240v Twacs"/>
        <s v="Gabinete Medición Altur p/12 Medid.TWACS"/>
        <s v="Montaje Fuente Alimentación(Y86907-7-P)."/>
        <s v="Ndaptador DB25 PARA Supresor (Y86978-1)."/>
        <s v="Medidor Modular Prepago 120VAC (GPRS)."/>
        <s v="Pantalla repet. consumo SMCA 120/240V"/>
        <s v="Base para TV"/>
        <s v="Gabinete de pared de 20U"/>
        <s v="CINTA P/MAQUINA SUMADORA"/>
        <s v="Barra UNISTRO de 1 5/8&quot;x1 5/8&quot;x10&quot;"/>
        <s v="Conector Recto Tipo HUB p/Tubo de 3&quot;"/>
        <s v="Registro Metal de 18&quot;x18&quot;x6&quot;Orif 2&quot;N3R"/>
        <s v="Fuente de Modem DIGI"/>
        <s v="Panel 3Ø T/Socket, 8 zoc,main brk 100A"/>
        <s v="Panel 3Ø T/Socket, 16 zoc,main brk 250A"/>
        <s v="Panel 3Ø T/Socket, 20 zoc,main brk 200A"/>
        <s v="Panel 3Ø T/Socket, 25 zoc,main brk 250A"/>
        <s v="Tab Dist 3Ø, 4H, Mbrk 500A, 4BRK+3Disp-A"/>
        <s v="Tab Dist 3Ø, 4H, MBRK 400A, 2BRK+3DISP-C"/>
        <s v="TR Eco 3Ø 112.5KVA 12.47/7.2KV-120/208V"/>
        <s v="TR Eco 3Ø 225KVA 12.47/7.2KV-120/208V"/>
        <s v="Trans Monof 10kv 7.2/12.47kv-480/240v"/>
        <s v="Interruptor Horario digital 240V P/lumin"/>
        <s v="Celda M,Int Aut/3P,CT30-60/5A ,PT,12.5kV"/>
        <s v="Tomacorriente de superficie 125V, 2 sal"/>
        <s v="Tubo Metálico IMC 4&quot;x 10'"/>
        <s v="Remanuf Transf M. 37,5kva 2,4kv 120-240V"/>
        <s v="Booster de 100kva 7,2/2,4kv"/>
        <s v="Booster de 333kva 7,2/2,4kv"/>
        <s v="Cable CCA conc 2x8 AWG,7h aisl XLPE 600V"/>
        <s v="Curva  Ac. Galv. p/tubo IMC 2&quot;"/>
        <s v="Medidor PLC 240V,3h,CL200,FM2S, Socket"/>
        <s v="Med Electrónico 120V,2h FM 1S c/Mod PLC"/>
        <s v="Med Elec 120V,2h FM 1S c/Mod PLC y desc"/>
        <s v="Cable de Cobre # 4/0 AWG  Aisl en THHN"/>
        <s v="TRANSF PM3Ø 1000KVA 12.5KVA 277/480V D-Y"/>
        <s v="Botas Dielectricas de Seguridad"/>
        <s v="Botas Ergonomicas"/>
        <s v="Tenis para Lectores"/>
        <s v="Sistema  Lava Ojos"/>
        <s v="Soga de Nylon"/>
        <s v="Termometro digital infrarojo"/>
        <s v="Estacion de Acopio"/>
        <s v="Cable concéntrico 3x95/95mm2 CU"/>
        <s v="Muro Tipo Jersey"/>
        <s v="Espuela Acero P/ Linieros"/>
        <s v="Guantes Dieléc Aislado a 1000 V"/>
        <s v="Guantes Rústico para trabajo Gral"/>
        <s v="Manga Dieléctrica Cl 2"/>
        <s v="Llave Exagonal Aislada"/>
        <s v="Linterna para casco"/>
        <s v="Cinta anti Deslizante"/>
        <s v="Destornillador aislados a 1000V"/>
        <s v="SEÑALETICAS INTERNAS"/>
        <s v="Botiquin de Primeros Auxilios"/>
        <s v="Proctores Auditivos"/>
        <s v="Botas de Goma"/>
        <s v="Capa Para Agua"/>
        <s v="Sección  P/ Vara Telescópica 35'"/>
        <s v="Chaleco Reflectivo"/>
        <s v="Pitos Aviso de Emergencia"/>
        <s v="Filtro Multigases para Respiradores"/>
        <s v="Boquilla para Alcoholimetro"/>
        <s v="LETREROS"/>
        <s v="Bandeja Recicladora de Papel"/>
        <s v="Pastilla Purificadora baños"/>
        <s v="Lentes de Seguridad"/>
        <s v="Malacate de Cadena"/>
        <s v="Embudo p/combustible"/>
        <s v="kit Contra Derrames Portatiles"/>
        <s v="Arnes para mangas"/>
        <s v="Cinta Amarilla/Negra"/>
        <s v="Cinta Amarilla"/>
        <s v="Llave T Aislada"/>
        <s v="Fusible de expulsión tipo D, 20A"/>
        <s v="Bota de Goma Aislada a 69000 V"/>
        <s v="Protector Auditivo para casco"/>
        <s v="Conector Simpl t/sillita,#6-350MCM AL-CU"/>
        <s v="Conector doble t/sillita,#6-350MCM AL-CU"/>
        <s v="Luminaria tipo LED 200 W"/>
        <s v="Kit Anti Derrame Tipo Tanque"/>
        <s v="Cinta Tubular Reata de Nylon"/>
        <s v="Comprimidor MD-6"/>
        <s v="Pertiga Vira Poste"/>
        <s v="Módulo de medición SMCA P/12 medidores"/>
        <s v="Kit para Bloqueo y Etiquietado"/>
        <s v="Detector de Gases Multiples"/>
        <s v="Contenedor hidrocarburos y aceites"/>
        <s v="Reductores de Velocidad Redondos"/>
        <s v="Reductores de Velocidad Tipo tope"/>
        <s v="Traje para arco electrico de 50 cal/Cm2"/>
        <s v="Tubo Portafusible de 15kV,100A"/>
        <s v="Transf PM 1000KVA 12.5KVA 120/208V Y-Y"/>
        <s v="Poste de madera de 60 Pies Clase 2"/>
        <s v="Fundas negras 15 Gal. para zafacon"/>
        <s v="Manitas Limpias"/>
        <s v="Limpia Cristal"/>
        <s v="Papel Higienico Fardo"/>
        <s v="Jabon Liquido sin Fragancia"/>
        <s v="Detergente en Polvo"/>
        <s v="Removedor de Piso"/>
        <s v="LLavin para Puerta Comercial"/>
        <s v="Plafones Comercial 2x4"/>
        <s v="Jabon Liquido con Fragancia"/>
        <s v="Espejo Para Inspeccion Vehicular"/>
        <s v="Concentrador de prepago 240V CL20,3hilos"/>
        <s v="Grasa de contacto eléctrico con petróleo"/>
        <s v="Cable cobre aislado XLPE 500MCM, 1kV"/>
        <s v="Celdas p/Interconexión de Barra a 17.5kV"/>
        <s v="Celdas p/Subida de Barra a 17.5kV"/>
        <s v="Aislador T/Carrete Polietileno HD C.53-2"/>
        <s v="Fusible Limitador de Corriente NX, 100A"/>
        <s v="Fusible para codo portafusibe 6A"/>
        <s v="Fusible para codo portafusibe 8A"/>
        <s v="Fusible para codo portafusibe 10A"/>
        <s v="Fusible para codo portafusibe 12A"/>
        <s v="Fusible para codo portafusibe 18A"/>
        <s v="Fusible para codo portafusibe 20A"/>
        <s v="Fusible para codo portafusibe 25A"/>
        <s v="Fusible para codo portafusibe 30A"/>
        <s v="Fusible para codo portafusibe 40A"/>
        <s v="Desfibrilador ventricular"/>
        <s v="Repetidor 120V-2H de medidor en altura"/>
        <s v="Repetidor 240V-2H de medidor en altura"/>
        <s v="Medidor Modular 120V-2H Telem.en altura"/>
        <s v="Medidor Modular 240V-3H Telem.en altura"/>
        <s v="Mod. Transf CT-PT 100-200/5A,7.2/0.12kV"/>
        <s v="Mod. Transf CT-PT 150-300/5A,7.2/0.12kV"/>
        <s v="Mod. Transf CT-PT 200-400/5A,7.2/0.12kV"/>
        <s v="Cable CU Flex 3Cond #12AWG aisl PVC 600V"/>
        <s v="Varilla de anclaje un ojo 3/4'' X 8'"/>
        <s v="Tornillo Maquina Cabeza Hex. 5/8&quot; X 3&quot;"/>
        <s v="Base Circular P/Medidor CL200 240V-FM2S"/>
        <s v="Tapa Protectora de Carga a 15kv, 200A"/>
        <s v="Celda 34.5kV P/salida de circuitos dist."/>
        <s v="Celda 34.5kV P/Circuitos auxiliares"/>
        <s v="Celda 34.5kV llegada/interconexión barra"/>
        <s v="Luminaria t/Cobra HPS 400W-480V/100V"/>
        <s v="Medidor CL20,120/480V,3H FM35A RS232"/>
        <s v="Base de 10 Clips para Medidor FM9S"/>
        <s v="Poste hormigón armado vibrado 14m-8kN"/>
        <s v="Abrazadera Ac Galv Omega P/Moldura de ½&quot;"/>
        <s v="Cable Conc CU 3x120mm2, Aisl XLPE 600V"/>
        <s v="Panel 3Ø T/Socket, 10 zoc, main brk 150A"/>
        <s v="Kit de supervivencia"/>
        <s v="Sistema de lava ojos portátiles"/>
        <s v="Sonómetro digital 31Hz-8kHz"/>
        <s v="Triángulos de señalización piso húmedo"/>
        <s v="Malla Limitatoria plástica color naranja"/>
        <s v="Poste Acero Galvanizado 9m-3kN"/>
        <s v="Poste Acero Galvanizado 12m-6kN"/>
        <s v="Poste Acero Galvanizado 12m-8kN"/>
        <s v="MTU 150kVA,4.16/2.4kV,480/277V,±2%,Y-Y"/>
        <s v="MTU 150kVA,12.47/7.2kV,480/277V,±2%,Y-Y"/>
        <s v="MTU 225kVA,12.47/7.2kV,480/277V,±2%,Y-Y"/>
        <s v="MTU 300kVA,12.47/7.2kV,480/277V,±2%,Y-Y"/>
        <s v="MTU 500kVA,12.47/7.2kV,480/277V,±2%,Y-Y"/>
        <s v="CRU, Acero Inox, 1 Mira, 120VAC, 60HZ,3H"/>
        <s v="Transf 1ø,100kVA,7.2kV,480Y/277V,Reg-25%"/>
        <s v="Conector porta fusible T/Codo 4/0, 15kV"/>
        <s v="Conector porta fusible T/Codo 2/0, 15kV"/>
        <s v="Coupling Ac Galv. P/Tubo IMC 2 1/2&quot;"/>
        <s v="Seccionador trip T/Estación 1200A, 15kV"/>
        <s v="Adaptador inserto doble p/transf PM,15KV"/>
        <s v="ANGULAR AC GALV PERFIL L, DE 2x2x1/4&quot;x5’"/>
        <s v="Breakers Termag fino P/Barra, 60A, 1polo"/>
        <s v="Tanque presurizado fibra vidrio 60 gal"/>
        <s v="Cinta reflectiva adhesiva verde 3mx50mm"/>
        <s v="Cinta antideslizante reflectiva 3mx50mm"/>
        <s v="Protector auditivo inalámbrico comuni 4P"/>
        <s v="Bomba manual rotativa C/Contador de gal"/>
        <s v="Traje antisalpicadura blanco talla L"/>
        <s v="Antena Omni UHF 450-470MHz 12.1dB"/>
        <s v="Antena Omni VHF 138-174MHz 8dB 4 Dipolo"/>
        <s v="IPU P/CONEXION EN CIRCUITO 1A SECUNDARIO"/>
        <s v="IPU P/CONEXION EN CIRCUITO 5A SECUNDARIO"/>
        <s v="Medidor Modular 240V 3H en altura GPRS"/>
        <s v="Gabinete 18 Medidores 120/240V GPRS"/>
        <s v="Repetidor 240V 2H GPRS"/>
        <s v="Repetidor 120V 2H GPRS"/>
        <s v="MTU 112.5kVA 12.47/7.2kV 480/277V ±2%Y-Y"/>
        <s v="Kit Unidad Modulación de salida OMU"/>
        <s v="Tarugo de plomo P/Tornillo 5/16 X 1’’ ½"/>
        <s v="Kit empalme P/Cable URD #2/0AWG 15kV"/>
        <s v="Registro 3Ø Fibra vidrio T/Ped 54x58x25&quot;"/>
        <s v="Kit empalme P/Cable URD #4/0AWG 15kV"/>
        <s v="Regleta EPDM P/Derv Soter 2Bor 15kV-200A"/>
        <s v="Regleta EPDM P/Derv Soter 4Bor 15kV-200A"/>
        <s v="Buzon P/Denuncia acrilico azul 7x11x8½&quot;"/>
        <s v="Formulario desembolso definitivo C/Chica"/>
        <s v="Transf Monof 10kVA 7.2/12.5kV, 240-480V"/>
        <s v="Sello de Seguridad Enduro Azul duplicado"/>
        <s v="Adaptador DB9 Macho a RJ11"/>
        <s v="Ignitor 400W 100V P/Luminaria HPS"/>
        <s v="Ignitor 150-250 100V P/Luminaria HPS"/>
        <s v="Galon D/Ambientador Liquido Concentrado"/>
        <s v="Paño absorvente de microfibra P/limpieza"/>
        <s v="Abrazadera Unistrut para barra 1 5/8&quot;"/>
        <s v="Riel barra Unistrut 1 3/4&quot; X 1 3/4&quot;"/>
        <s v="Tornillo Maquina Cabeza Hex. 5/8&quot; X 10&quot;"/>
        <s v="Colector de datos P/Módulo SMCA 120/240V"/>
        <s v="MTU 45kVA, 4.16/2.4kV,480/277V,±2%,Y-Y"/>
        <s v="MTU 75kVA, 4.16/2.4kV,480/277V,±2%,Y-Y"/>
        <s v="Tornillo P/ aislador T/carrete 5/8 x8”."/>
        <s v="Terminal Bimetalico #2, 2 agujeros"/>
        <s v="Medidor UMTS,240V,3h,CL20,F4S,SOCK"/>
        <s v="Breaker  Doble 63 Amp"/>
        <s v="Tornillo tiraf Galv 1 1/2&quot;x1/4&quot; Cab. cua"/>
        <s v="Conector Bim P/ Varilla Tierra 5/8&quot;-3/4&quot;"/>
        <s v="Sello de Seguridad Doble Ancla Azul"/>
        <s v="Luminaria Led 150W, 240V-P/Techo"/>
        <s v="MASCARILLA"/>
        <s v="Sticker de Cambio de Medidor"/>
        <s v="Espejo Retrovisor"/>
        <s v="ANILLO COUPLING PVC 3&quot;"/>
        <s v="CLAVO HILTI"/>
        <s v="Impresión de Formularios IDP"/>
        <s v="Repetidor 240v, 2H Prep desc. GPRS"/>
        <s v="Gabinete de 18 Medidores con GPRS"/>
        <s v="Medidor Modular 240V, 3H GPRS"/>
        <s v="Juego de Puesta Tierra"/>
        <s v="Block de 50 Formularios promesa de contr"/>
        <s v="Block de 50 Formularios para norm. GC"/>
        <s v="Block de 50 Form. OT control materiales"/>
        <s v="Guante para Laboratorio (Nitrilo)"/>
        <m/>
      </sharedItems>
    </cacheField>
    <cacheField name="Precios" numFmtId="4">
      <sharedItems containsBlank="1" containsMixedTypes="1" containsNumber="1" minValue="0" maxValue="54804593.78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730">
  <r>
    <x v="0"/>
    <x v="0"/>
    <n v="26.390533252230334"/>
  </r>
  <r>
    <x v="1"/>
    <x v="1"/>
    <n v="6077.2897501105699"/>
  </r>
  <r>
    <x v="2"/>
    <x v="2"/>
    <n v="15675.6737962963"/>
  </r>
  <r>
    <x v="3"/>
    <x v="3"/>
    <n v="401.46499999999997"/>
  </r>
  <r>
    <x v="4"/>
    <x v="4"/>
    <n v="568.14119117266603"/>
  </r>
  <r>
    <x v="5"/>
    <x v="5"/>
    <n v="910.82350877192982"/>
  </r>
  <r>
    <x v="6"/>
    <x v="6"/>
    <n v="105.5"/>
  </r>
  <r>
    <x v="7"/>
    <x v="7"/>
    <n v="583.28"/>
  </r>
  <r>
    <x v="8"/>
    <x v="8"/>
    <n v="4234"/>
  </r>
  <r>
    <x v="9"/>
    <x v="9"/>
    <n v="22.558"/>
  </r>
  <r>
    <x v="10"/>
    <x v="10"/>
    <n v="170.83057953255101"/>
  </r>
  <r>
    <x v="11"/>
    <x v="11"/>
    <n v="151.65857142857143"/>
  </r>
  <r>
    <x v="12"/>
    <x v="12"/>
    <n v="821.58674074074077"/>
  </r>
  <r>
    <x v="13"/>
    <x v="13"/>
    <n v="34196.400000000001"/>
  </r>
  <r>
    <x v="14"/>
    <x v="14"/>
    <n v="28"/>
  </r>
  <r>
    <x v="15"/>
    <x v="15"/>
    <n v="7481.3243999999995"/>
  </r>
  <r>
    <x v="16"/>
    <x v="16"/>
    <n v="2431.25"/>
  </r>
  <r>
    <x v="17"/>
    <x v="17"/>
    <n v="1914.6761111111109"/>
  </r>
  <r>
    <x v="18"/>
    <x v="18"/>
    <n v="3.98571428571428"/>
  </r>
  <r>
    <x v="19"/>
    <x v="19"/>
    <n v="1"/>
  </r>
  <r>
    <x v="20"/>
    <x v="20"/>
    <n v="0.71428571428571397"/>
  </r>
  <r>
    <x v="21"/>
    <x v="21"/>
    <n v="3.9668136853397602"/>
  </r>
  <r>
    <x v="22"/>
    <x v="22"/>
    <n v="4.32"/>
  </r>
  <r>
    <x v="23"/>
    <x v="23"/>
    <n v="3.8652631578947401"/>
  </r>
  <r>
    <x v="24"/>
    <x v="24"/>
    <n v="0.71428571428571397"/>
  </r>
  <r>
    <x v="25"/>
    <x v="25"/>
    <n v="41.513796714566801"/>
  </r>
  <r>
    <x v="26"/>
    <x v="26"/>
    <n v="10.60008"/>
  </r>
  <r>
    <x v="27"/>
    <x v="27"/>
    <n v="28.110040256305499"/>
  </r>
  <r>
    <x v="28"/>
    <x v="28"/>
    <n v="34.313737339619301"/>
  </r>
  <r>
    <x v="29"/>
    <x v="29"/>
    <n v="15"/>
  </r>
  <r>
    <x v="30"/>
    <x v="30"/>
    <n v="152.22000000000099"/>
  </r>
  <r>
    <x v="31"/>
    <x v="31"/>
    <n v="285.56"/>
  </r>
  <r>
    <x v="32"/>
    <x v="32"/>
    <n v="205.53583927090301"/>
  </r>
  <r>
    <x v="33"/>
    <x v="33"/>
    <n v="563.98098591549297"/>
  </r>
  <r>
    <x v="34"/>
    <x v="34"/>
    <n v="554.25779999999997"/>
  </r>
  <r>
    <x v="35"/>
    <x v="35"/>
    <n v="32.814295652173918"/>
  </r>
  <r>
    <x v="36"/>
    <x v="36"/>
    <n v="37.144260444809497"/>
  </r>
  <r>
    <x v="37"/>
    <x v="37"/>
    <n v="80.485441846934506"/>
  </r>
  <r>
    <x v="38"/>
    <x v="38"/>
    <n v="82.376756613262302"/>
  </r>
  <r>
    <x v="39"/>
    <x v="39"/>
    <n v="1622.5"/>
  </r>
  <r>
    <x v="40"/>
    <x v="40"/>
    <n v="126.44"/>
  </r>
  <r>
    <x v="41"/>
    <x v="41"/>
    <n v="639.77001312335904"/>
  </r>
  <r>
    <x v="42"/>
    <x v="42"/>
    <n v="49.101423665777403"/>
  </r>
  <r>
    <x v="43"/>
    <x v="43"/>
    <n v="1986.9659541226099"/>
  </r>
  <r>
    <x v="44"/>
    <x v="44"/>
    <n v="0"/>
  </r>
  <r>
    <x v="45"/>
    <x v="45"/>
    <n v="386.92874999999998"/>
  </r>
  <r>
    <x v="46"/>
    <x v="46"/>
    <n v="238.02338446491899"/>
  </r>
  <r>
    <x v="47"/>
    <x v="47"/>
    <n v="0"/>
  </r>
  <r>
    <x v="48"/>
    <x v="48"/>
    <n v="160.90289923027501"/>
  </r>
  <r>
    <x v="49"/>
    <x v="49"/>
    <n v="568.94880000000001"/>
  </r>
  <r>
    <x v="50"/>
    <x v="50"/>
    <n v="1250.93"/>
  </r>
  <r>
    <x v="51"/>
    <x v="51"/>
    <n v="1378.4759334417899"/>
  </r>
  <r>
    <x v="52"/>
    <x v="52"/>
    <n v="1850.3575278588601"/>
  </r>
  <r>
    <x v="53"/>
    <x v="53"/>
    <n v="24.1175"/>
  </r>
  <r>
    <x v="54"/>
    <x v="54"/>
    <n v="70.22"/>
  </r>
  <r>
    <x v="55"/>
    <x v="55"/>
    <n v="135.06290042997099"/>
  </r>
  <r>
    <x v="56"/>
    <x v="56"/>
    <n v="392.960046262258"/>
  </r>
  <r>
    <x v="57"/>
    <x v="57"/>
    <n v="378.43493315340601"/>
  </r>
  <r>
    <x v="58"/>
    <x v="58"/>
    <n v="2717.3232499999999"/>
  </r>
  <r>
    <x v="59"/>
    <x v="59"/>
    <n v="8372.0645999999997"/>
  </r>
  <r>
    <x v="60"/>
    <x v="60"/>
    <n v="0"/>
  </r>
  <r>
    <x v="61"/>
    <x v="61"/>
    <n v="571.67876960033504"/>
  </r>
  <r>
    <x v="62"/>
    <x v="62"/>
    <n v="0"/>
  </r>
  <r>
    <x v="63"/>
    <x v="63"/>
    <n v="0"/>
  </r>
  <r>
    <x v="64"/>
    <x v="64"/>
    <n v="224.01710021750799"/>
  </r>
  <r>
    <x v="65"/>
    <x v="65"/>
    <n v="50.742841923076924"/>
  </r>
  <r>
    <x v="66"/>
    <x v="66"/>
    <n v="65.326665180144801"/>
  </r>
  <r>
    <x v="67"/>
    <x v="67"/>
    <n v="19.72"/>
  </r>
  <r>
    <x v="68"/>
    <x v="68"/>
    <n v="368.34518573017698"/>
  </r>
  <r>
    <x v="69"/>
    <x v="69"/>
    <n v="97.338791801510197"/>
  </r>
  <r>
    <x v="70"/>
    <x v="70"/>
    <n v="345.524789473684"/>
  </r>
  <r>
    <x v="71"/>
    <x v="71"/>
    <n v="172.84"/>
  </r>
  <r>
    <x v="72"/>
    <x v="72"/>
    <n v="1290.9829315340201"/>
  </r>
  <r>
    <x v="73"/>
    <x v="73"/>
    <n v="70.965220330224497"/>
  </r>
  <r>
    <x v="74"/>
    <x v="74"/>
    <n v="0"/>
  </r>
  <r>
    <x v="75"/>
    <x v="75"/>
    <n v="75.667866666666697"/>
  </r>
  <r>
    <x v="76"/>
    <x v="76"/>
    <n v="290.044355277992"/>
  </r>
  <r>
    <x v="77"/>
    <x v="77"/>
    <n v="7.4340000000000002"/>
  </r>
  <r>
    <x v="78"/>
    <x v="78"/>
    <n v="170.49877729257642"/>
  </r>
  <r>
    <x v="79"/>
    <x v="79"/>
    <n v="21.491568888888899"/>
  </r>
  <r>
    <x v="80"/>
    <x v="80"/>
    <n v="98.155553385930602"/>
  </r>
  <r>
    <x v="81"/>
    <x v="81"/>
    <n v="231.80974842664901"/>
  </r>
  <r>
    <x v="82"/>
    <x v="82"/>
    <n v="291.30156211546199"/>
  </r>
  <r>
    <x v="83"/>
    <x v="83"/>
    <n v="68.137354555495804"/>
  </r>
  <r>
    <x v="84"/>
    <x v="84"/>
    <n v="109.447206716696"/>
  </r>
  <r>
    <x v="85"/>
    <x v="85"/>
    <n v="122.75055986218777"/>
  </r>
  <r>
    <x v="86"/>
    <x v="86"/>
    <n v="410.86283080856498"/>
  </r>
  <r>
    <x v="87"/>
    <x v="87"/>
    <n v="5141.0529999999999"/>
  </r>
  <r>
    <x v="88"/>
    <x v="88"/>
    <n v="800.00584760101003"/>
  </r>
  <r>
    <x v="89"/>
    <x v="89"/>
    <n v="229.341360818288"/>
  </r>
  <r>
    <x v="90"/>
    <x v="90"/>
    <n v="13705.836744856"/>
  </r>
  <r>
    <x v="91"/>
    <x v="91"/>
    <n v="173029.650339482"/>
  </r>
  <r>
    <x v="92"/>
    <x v="92"/>
    <n v="165.2"/>
  </r>
  <r>
    <x v="93"/>
    <x v="93"/>
    <n v="0"/>
  </r>
  <r>
    <x v="94"/>
    <x v="94"/>
    <n v="723.82158536585302"/>
  </r>
  <r>
    <x v="95"/>
    <x v="95"/>
    <n v="6391.1991489361699"/>
  </r>
  <r>
    <x v="96"/>
    <x v="96"/>
    <n v="2070.6"/>
  </r>
  <r>
    <x v="97"/>
    <x v="97"/>
    <n v="0"/>
  </r>
  <r>
    <x v="98"/>
    <x v="98"/>
    <n v="2338.2600000000002"/>
  </r>
  <r>
    <x v="99"/>
    <x v="99"/>
    <n v="281.01"/>
  </r>
  <r>
    <x v="100"/>
    <x v="100"/>
    <n v="890.45173913043504"/>
  </r>
  <r>
    <x v="101"/>
    <x v="101"/>
    <n v="890.45184285714299"/>
  </r>
  <r>
    <x v="102"/>
    <x v="102"/>
    <n v="890.45173913043504"/>
  </r>
  <r>
    <x v="103"/>
    <x v="103"/>
    <n v="1914"/>
  </r>
  <r>
    <x v="104"/>
    <x v="104"/>
    <n v="1856"/>
  </r>
  <r>
    <x v="105"/>
    <x v="105"/>
    <n v="3480.64672759942"/>
  </r>
  <r>
    <x v="106"/>
    <x v="106"/>
    <n v="3731.4668724110902"/>
  </r>
  <r>
    <x v="107"/>
    <x v="107"/>
    <n v="3773.1989406071698"/>
  </r>
  <r>
    <x v="108"/>
    <x v="108"/>
    <n v="3446.8197272120801"/>
  </r>
  <r>
    <x v="109"/>
    <x v="109"/>
    <n v="3468.47059942735"/>
  </r>
  <r>
    <x v="110"/>
    <x v="110"/>
    <n v="3396.8832351585202"/>
  </r>
  <r>
    <x v="111"/>
    <x v="111"/>
    <n v="2654.9447265065301"/>
  </r>
  <r>
    <x v="112"/>
    <x v="112"/>
    <n v="3122.5606955471799"/>
  </r>
  <r>
    <x v="113"/>
    <x v="113"/>
    <n v="2903.4975250965299"/>
  </r>
  <r>
    <x v="114"/>
    <x v="114"/>
    <n v="2638.39618922306"/>
  </r>
  <r>
    <x v="115"/>
    <x v="115"/>
    <n v="360.73680000000002"/>
  </r>
  <r>
    <x v="116"/>
    <x v="116"/>
    <n v="487.2"/>
  </r>
  <r>
    <x v="117"/>
    <x v="117"/>
    <n v="487.2"/>
  </r>
  <r>
    <x v="118"/>
    <x v="118"/>
    <n v="487.2"/>
  </r>
  <r>
    <x v="119"/>
    <x v="119"/>
    <n v="487.2"/>
  </r>
  <r>
    <x v="120"/>
    <x v="120"/>
    <n v="487.2"/>
  </r>
  <r>
    <x v="121"/>
    <x v="121"/>
    <n v="504.6"/>
  </r>
  <r>
    <x v="122"/>
    <x v="122"/>
    <n v="493.25217391304301"/>
  </r>
  <r>
    <x v="123"/>
    <x v="123"/>
    <n v="504.34903846153799"/>
  </r>
  <r>
    <x v="124"/>
    <x v="124"/>
    <n v="469.8"/>
  </r>
  <r>
    <x v="125"/>
    <x v="125"/>
    <n v="460.01249999999999"/>
  </r>
  <r>
    <x v="126"/>
    <x v="126"/>
    <n v="481.4"/>
  </r>
  <r>
    <x v="127"/>
    <x v="127"/>
    <n v="481.4"/>
  </r>
  <r>
    <x v="128"/>
    <x v="128"/>
    <n v="481.4"/>
  </r>
  <r>
    <x v="129"/>
    <x v="129"/>
    <n v="481.4"/>
  </r>
  <r>
    <x v="130"/>
    <x v="130"/>
    <n v="481.4"/>
  </r>
  <r>
    <x v="131"/>
    <x v="131"/>
    <n v="592.75450236966606"/>
  </r>
  <r>
    <x v="132"/>
    <x v="132"/>
    <n v="555.57894736842002"/>
  </r>
  <r>
    <x v="133"/>
    <x v="133"/>
    <n v="592.33153153153"/>
  </r>
  <r>
    <x v="134"/>
    <x v="134"/>
    <n v="603.19999999999902"/>
  </r>
  <r>
    <x v="135"/>
    <x v="135"/>
    <n v="575.90588235294103"/>
  </r>
  <r>
    <x v="136"/>
    <x v="136"/>
    <n v="527.15503903904198"/>
  </r>
  <r>
    <x v="137"/>
    <x v="137"/>
    <n v="489.78862348702398"/>
  </r>
  <r>
    <x v="138"/>
    <x v="138"/>
    <n v="453.70502459615801"/>
  </r>
  <r>
    <x v="139"/>
    <x v="139"/>
    <n v="469.74334142533502"/>
  </r>
  <r>
    <x v="140"/>
    <x v="140"/>
    <n v="394.33435774534098"/>
  </r>
  <r>
    <x v="141"/>
    <x v="141"/>
    <n v="351.68941179737197"/>
  </r>
  <r>
    <x v="142"/>
    <x v="142"/>
    <n v="497.20193487190198"/>
  </r>
  <r>
    <x v="143"/>
    <x v="143"/>
    <n v="493.56368306878301"/>
  </r>
  <r>
    <x v="144"/>
    <x v="144"/>
    <n v="451.24"/>
  </r>
  <r>
    <x v="145"/>
    <x v="145"/>
    <n v="1248.1071666666701"/>
  </r>
  <r>
    <x v="146"/>
    <x v="146"/>
    <n v="486.28560036891201"/>
  </r>
  <r>
    <x v="147"/>
    <x v="147"/>
    <n v="419.59076057636702"/>
  </r>
  <r>
    <x v="148"/>
    <x v="148"/>
    <n v="363.599285714286"/>
  </r>
  <r>
    <x v="149"/>
    <x v="149"/>
    <n v="758.44522649030205"/>
  </r>
  <r>
    <x v="150"/>
    <x v="150"/>
    <n v="356.26"/>
  </r>
  <r>
    <x v="151"/>
    <x v="151"/>
    <n v="4710.76"/>
  </r>
  <r>
    <x v="152"/>
    <x v="152"/>
    <n v="3853.9549999999999"/>
  </r>
  <r>
    <x v="153"/>
    <x v="153"/>
    <n v="2010.9749190705099"/>
  </r>
  <r>
    <x v="154"/>
    <x v="154"/>
    <n v="1734.2"/>
  </r>
  <r>
    <x v="155"/>
    <x v="155"/>
    <n v="3746.5921739130399"/>
  </r>
  <r>
    <x v="156"/>
    <x v="156"/>
    <n v="1734.2"/>
  </r>
  <r>
    <x v="157"/>
    <x v="157"/>
    <n v="2545.7142857142899"/>
  </r>
  <r>
    <x v="158"/>
    <x v="158"/>
    <n v="350"/>
  </r>
  <r>
    <x v="159"/>
    <x v="159"/>
    <n v="1276"/>
  </r>
  <r>
    <x v="160"/>
    <x v="160"/>
    <n v="2320"/>
  </r>
  <r>
    <x v="161"/>
    <x v="161"/>
    <n v="17205"/>
  </r>
  <r>
    <x v="162"/>
    <x v="162"/>
    <n v="3224"/>
  </r>
  <r>
    <x v="163"/>
    <x v="163"/>
    <n v="4464"/>
  </r>
  <r>
    <x v="164"/>
    <x v="164"/>
    <n v="7308"/>
  </r>
  <r>
    <x v="165"/>
    <x v="165"/>
    <n v="6045"/>
  </r>
  <r>
    <x v="166"/>
    <x v="166"/>
    <n v="2830.2233333333302"/>
  </r>
  <r>
    <x v="167"/>
    <x v="167"/>
    <n v="12196.5714285714"/>
  </r>
  <r>
    <x v="168"/>
    <x v="168"/>
    <n v="4464"/>
  </r>
  <r>
    <x v="169"/>
    <x v="169"/>
    <n v="680.29032258064501"/>
  </r>
  <r>
    <x v="170"/>
    <x v="170"/>
    <n v="118.380675294002"/>
  </r>
  <r>
    <x v="171"/>
    <x v="171"/>
    <n v="190.32352941176501"/>
  </r>
  <r>
    <x v="172"/>
    <x v="172"/>
    <n v="1453.73"/>
  </r>
  <r>
    <x v="173"/>
    <x v="173"/>
    <n v="4243.57"/>
  </r>
  <r>
    <x v="174"/>
    <x v="174"/>
    <n v="4828.9250000000002"/>
  </r>
  <r>
    <x v="175"/>
    <x v="175"/>
    <n v="3306.8954046259701"/>
  </r>
  <r>
    <x v="176"/>
    <x v="176"/>
    <n v="3274.1039794527201"/>
  </r>
  <r>
    <x v="177"/>
    <x v="177"/>
    <n v="3435.0194372365499"/>
  </r>
  <r>
    <x v="178"/>
    <x v="178"/>
    <n v="3730.0773782051301"/>
  </r>
  <r>
    <x v="179"/>
    <x v="179"/>
    <n v="6599.97615703474"/>
  </r>
  <r>
    <x v="180"/>
    <x v="180"/>
    <n v="6179.8838093779405"/>
  </r>
  <r>
    <x v="181"/>
    <x v="181"/>
    <n v="7240.3239891987396"/>
  </r>
  <r>
    <x v="182"/>
    <x v="182"/>
    <n v="5146.6319485148597"/>
  </r>
  <r>
    <x v="183"/>
    <x v="183"/>
    <n v="869.04538387023797"/>
  </r>
  <r>
    <x v="184"/>
    <x v="184"/>
    <n v="246.13400190229501"/>
  </r>
  <r>
    <x v="185"/>
    <x v="185"/>
    <n v="189.18222244898001"/>
  </r>
  <r>
    <x v="186"/>
    <x v="186"/>
    <n v="189.184047463768"/>
  </r>
  <r>
    <x v="187"/>
    <x v="187"/>
    <n v="134.43998474116299"/>
  </r>
  <r>
    <x v="188"/>
    <x v="188"/>
    <n v="1970.38535832463"/>
  </r>
  <r>
    <x v="189"/>
    <x v="189"/>
    <n v="116.19319237375301"/>
  </r>
  <r>
    <x v="190"/>
    <x v="190"/>
    <n v="132.41989485699401"/>
  </r>
  <r>
    <x v="191"/>
    <x v="191"/>
    <n v="1345.6"/>
  </r>
  <r>
    <x v="192"/>
    <x v="192"/>
    <n v="352.84615471930903"/>
  </r>
  <r>
    <x v="193"/>
    <x v="193"/>
    <n v="542.03"/>
  </r>
  <r>
    <x v="194"/>
    <x v="194"/>
    <n v="1782.5773429951701"/>
  </r>
  <r>
    <x v="195"/>
    <x v="195"/>
    <n v="604.98461538461504"/>
  </r>
  <r>
    <x v="196"/>
    <x v="196"/>
    <n v="626.4"/>
  </r>
  <r>
    <x v="197"/>
    <x v="197"/>
    <n v="621.63134549689505"/>
  </r>
  <r>
    <x v="198"/>
    <x v="198"/>
    <n v="626.400000000001"/>
  </r>
  <r>
    <x v="199"/>
    <x v="199"/>
    <n v="626.39999999999895"/>
  </r>
  <r>
    <x v="200"/>
    <x v="200"/>
    <n v="610.668493150686"/>
  </r>
  <r>
    <x v="201"/>
    <x v="201"/>
    <n v="590.875"/>
  </r>
  <r>
    <x v="202"/>
    <x v="202"/>
    <n v="544.93148148148202"/>
  </r>
  <r>
    <x v="203"/>
    <x v="203"/>
    <n v="591.6"/>
  </r>
  <r>
    <x v="204"/>
    <x v="204"/>
    <n v="468.135185185186"/>
  </r>
  <r>
    <x v="205"/>
    <x v="205"/>
    <n v="481.39999999999901"/>
  </r>
  <r>
    <x v="206"/>
    <x v="206"/>
    <n v="424.76470588235298"/>
  </r>
  <r>
    <x v="207"/>
    <x v="207"/>
    <n v="481.39999999999799"/>
  </r>
  <r>
    <x v="208"/>
    <x v="208"/>
    <n v="481.400000000001"/>
  </r>
  <r>
    <x v="209"/>
    <x v="209"/>
    <n v="481.400000000001"/>
  </r>
  <r>
    <x v="210"/>
    <x v="210"/>
    <n v="481.4"/>
  </r>
  <r>
    <x v="211"/>
    <x v="211"/>
    <n v="481.4"/>
  </r>
  <r>
    <x v="212"/>
    <x v="212"/>
    <n v="481.4"/>
  </r>
  <r>
    <x v="213"/>
    <x v="213"/>
    <n v="1059.2714513440901"/>
  </r>
  <r>
    <x v="214"/>
    <x v="214"/>
    <n v="985.30935420516505"/>
  </r>
  <r>
    <x v="215"/>
    <x v="215"/>
    <n v="582.37721212121198"/>
  </r>
  <r>
    <x v="216"/>
    <x v="216"/>
    <n v="1184.1075356116901"/>
  </r>
  <r>
    <x v="217"/>
    <x v="217"/>
    <n v="1797.85197222222"/>
  </r>
  <r>
    <x v="218"/>
    <x v="218"/>
    <n v="968.93226942628905"/>
  </r>
  <r>
    <x v="219"/>
    <x v="219"/>
    <n v="4969.5934565281696"/>
  </r>
  <r>
    <x v="220"/>
    <x v="220"/>
    <n v="348.14647697618801"/>
  </r>
  <r>
    <x v="221"/>
    <x v="221"/>
    <n v="4122.5411316169202"/>
  </r>
  <r>
    <x v="222"/>
    <x v="222"/>
    <n v="3873.5675048076901"/>
  </r>
  <r>
    <x v="223"/>
    <x v="223"/>
    <n v="3987.0193777777799"/>
  </r>
  <r>
    <x v="224"/>
    <x v="224"/>
    <n v="3941.2412454212499"/>
  </r>
  <r>
    <x v="225"/>
    <x v="225"/>
    <n v="3865.01166666667"/>
  </r>
  <r>
    <x v="226"/>
    <x v="226"/>
    <n v="4119.0836363636399"/>
  </r>
  <r>
    <x v="227"/>
    <x v="227"/>
    <n v="4160.6660507246297"/>
  </r>
  <r>
    <x v="228"/>
    <x v="228"/>
    <n v="4163.3921139971098"/>
  </r>
  <r>
    <x v="229"/>
    <x v="229"/>
    <n v="3929.8493255649701"/>
  </r>
  <r>
    <x v="230"/>
    <x v="230"/>
    <n v="4038.8831111111099"/>
  </r>
  <r>
    <x v="231"/>
    <x v="231"/>
    <n v="3844.19545532245"/>
  </r>
  <r>
    <x v="232"/>
    <x v="232"/>
    <n v="3764.5716197377501"/>
  </r>
  <r>
    <x v="233"/>
    <x v="233"/>
    <n v="64.900000000000006"/>
  </r>
  <r>
    <x v="234"/>
    <x v="234"/>
    <n v="129.53370493991989"/>
  </r>
  <r>
    <x v="235"/>
    <x v="235"/>
    <n v="368.8"/>
  </r>
  <r>
    <x v="236"/>
    <x v="236"/>
    <n v="1239.4785201793723"/>
  </r>
  <r>
    <x v="237"/>
    <x v="237"/>
    <n v="186.82064444444444"/>
  </r>
  <r>
    <x v="238"/>
    <x v="238"/>
    <n v="361.04863771053999"/>
  </r>
  <r>
    <x v="239"/>
    <x v="239"/>
    <n v="560.08127373737398"/>
  </r>
  <r>
    <x v="240"/>
    <x v="240"/>
    <n v="2106.1637948717898"/>
  </r>
  <r>
    <x v="241"/>
    <x v="241"/>
    <n v="1652.3400973960099"/>
  </r>
  <r>
    <x v="242"/>
    <x v="242"/>
    <n v="6993.9246569280103"/>
  </r>
  <r>
    <x v="243"/>
    <x v="243"/>
    <n v="214.6"/>
  </r>
  <r>
    <x v="244"/>
    <x v="244"/>
    <n v="303.24693393473598"/>
  </r>
  <r>
    <x v="245"/>
    <x v="245"/>
    <n v="13.845161290322601"/>
  </r>
  <r>
    <x v="246"/>
    <x v="246"/>
    <n v="285.21477679629101"/>
  </r>
  <r>
    <x v="247"/>
    <x v="247"/>
    <n v="28208.934644021701"/>
  </r>
  <r>
    <x v="248"/>
    <x v="248"/>
    <n v="17677.392500000002"/>
  </r>
  <r>
    <x v="249"/>
    <x v="249"/>
    <n v="7670"/>
  </r>
  <r>
    <x v="250"/>
    <x v="250"/>
    <n v="3695.6448987461099"/>
  </r>
  <r>
    <x v="251"/>
    <x v="251"/>
    <n v="4762.2087191254104"/>
  </r>
  <r>
    <x v="252"/>
    <x v="252"/>
    <n v="6398.8016137094901"/>
  </r>
  <r>
    <x v="253"/>
    <x v="253"/>
    <n v="21110.047500000001"/>
  </r>
  <r>
    <x v="254"/>
    <x v="254"/>
    <n v="29975.784242424201"/>
  </r>
  <r>
    <x v="255"/>
    <x v="255"/>
    <n v="10998.31"/>
  </r>
  <r>
    <x v="256"/>
    <x v="256"/>
    <n v="89005.416666666672"/>
  </r>
  <r>
    <x v="257"/>
    <x v="257"/>
    <n v="37462.132400000002"/>
  </r>
  <r>
    <x v="258"/>
    <x v="258"/>
    <n v="24271.132857142857"/>
  </r>
  <r>
    <x v="259"/>
    <x v="259"/>
    <n v="17841.867375578702"/>
  </r>
  <r>
    <x v="260"/>
    <x v="260"/>
    <n v="814.58561590608497"/>
  </r>
  <r>
    <x v="261"/>
    <x v="261"/>
    <n v="82.6"/>
  </r>
  <r>
    <x v="262"/>
    <x v="262"/>
    <n v="0"/>
  </r>
  <r>
    <x v="263"/>
    <x v="263"/>
    <n v="0"/>
  </r>
  <r>
    <x v="264"/>
    <x v="264"/>
    <n v="0"/>
  </r>
  <r>
    <x v="265"/>
    <x v="265"/>
    <n v="5415.2982259955397"/>
  </r>
  <r>
    <x v="266"/>
    <x v="266"/>
    <n v="3480"/>
  </r>
  <r>
    <x v="267"/>
    <x v="267"/>
    <n v="4215.4087052716504"/>
  </r>
  <r>
    <x v="268"/>
    <x v="268"/>
    <n v="2842.8178278688529"/>
  </r>
  <r>
    <x v="269"/>
    <x v="269"/>
    <n v="70.180000000000007"/>
  </r>
  <r>
    <x v="270"/>
    <x v="270"/>
    <n v="2531.61881011981"/>
  </r>
  <r>
    <x v="271"/>
    <x v="271"/>
    <n v="4857.5640000000003"/>
  </r>
  <r>
    <x v="272"/>
    <x v="272"/>
    <n v="7572.2849999999999"/>
  </r>
  <r>
    <x v="273"/>
    <x v="273"/>
    <n v="8826.7099999999991"/>
  </r>
  <r>
    <x v="274"/>
    <x v="274"/>
    <n v="7572.2852307692301"/>
  </r>
  <r>
    <x v="275"/>
    <x v="275"/>
    <n v="1174.69"/>
  </r>
  <r>
    <x v="276"/>
    <x v="276"/>
    <n v="22529.065684210502"/>
  </r>
  <r>
    <x v="277"/>
    <x v="277"/>
    <n v="47.160000000000004"/>
  </r>
  <r>
    <x v="278"/>
    <x v="278"/>
    <n v="50"/>
  </r>
  <r>
    <x v="279"/>
    <x v="279"/>
    <n v="103.99458931419457"/>
  </r>
  <r>
    <x v="280"/>
    <x v="280"/>
    <n v="77.368946674218535"/>
  </r>
  <r>
    <x v="281"/>
    <x v="281"/>
    <n v="564.46059232853895"/>
  </r>
  <r>
    <x v="282"/>
    <x v="282"/>
    <n v="0"/>
  </r>
  <r>
    <x v="283"/>
    <x v="283"/>
    <n v="0"/>
  </r>
  <r>
    <x v="284"/>
    <x v="284"/>
    <n v="187.57003069715901"/>
  </r>
  <r>
    <x v="285"/>
    <x v="285"/>
    <n v="115.976666666667"/>
  </r>
  <r>
    <x v="286"/>
    <x v="286"/>
    <n v="1388.1439766170799"/>
  </r>
  <r>
    <x v="287"/>
    <x v="287"/>
    <n v="1274.3999999999999"/>
  </r>
  <r>
    <x v="288"/>
    <x v="288"/>
    <n v="288.77"/>
  </r>
  <r>
    <x v="289"/>
    <x v="289"/>
    <n v="179.8"/>
  </r>
  <r>
    <x v="290"/>
    <x v="290"/>
    <n v="660.80612977349824"/>
  </r>
  <r>
    <x v="291"/>
    <x v="291"/>
    <n v="650"/>
  </r>
  <r>
    <x v="292"/>
    <x v="292"/>
    <n v="367.68"/>
  </r>
  <r>
    <x v="293"/>
    <x v="293"/>
    <n v="862.5"/>
  </r>
  <r>
    <x v="294"/>
    <x v="294"/>
    <n v="230"/>
  </r>
  <r>
    <x v="295"/>
    <x v="295"/>
    <n v="1890"/>
  </r>
  <r>
    <x v="296"/>
    <x v="296"/>
    <n v="164.28571428571399"/>
  </r>
  <r>
    <x v="297"/>
    <x v="297"/>
    <n v="230"/>
  </r>
  <r>
    <x v="298"/>
    <x v="298"/>
    <n v="224"/>
  </r>
  <r>
    <x v="299"/>
    <x v="299"/>
    <n v="104.914285714286"/>
  </r>
  <r>
    <x v="300"/>
    <x v="300"/>
    <n v="121570.84"/>
  </r>
  <r>
    <x v="301"/>
    <x v="301"/>
    <n v="730.8"/>
  </r>
  <r>
    <x v="302"/>
    <x v="302"/>
    <n v="4247.3754360713701"/>
  </r>
  <r>
    <x v="303"/>
    <x v="303"/>
    <n v="2329.63278573854"/>
  </r>
  <r>
    <x v="304"/>
    <x v="304"/>
    <n v="2814.7921264367819"/>
  </r>
  <r>
    <x v="305"/>
    <x v="305"/>
    <n v="2913.3758666666668"/>
  </r>
  <r>
    <x v="306"/>
    <x v="306"/>
    <n v="6342.2656767676772"/>
  </r>
  <r>
    <x v="307"/>
    <x v="307"/>
    <n v="2015.7680558943"/>
  </r>
  <r>
    <x v="308"/>
    <x v="308"/>
    <n v="0"/>
  </r>
  <r>
    <x v="309"/>
    <x v="309"/>
    <n v="800.35197343402297"/>
  </r>
  <r>
    <x v="310"/>
    <x v="310"/>
    <n v="11.02"/>
  </r>
  <r>
    <x v="311"/>
    <x v="311"/>
    <n v="50307.94933333333"/>
  </r>
  <r>
    <x v="312"/>
    <x v="312"/>
    <n v="55826.872424242429"/>
  </r>
  <r>
    <x v="313"/>
    <x v="313"/>
    <n v="57462.170000000006"/>
  </r>
  <r>
    <x v="314"/>
    <x v="314"/>
    <n v="312.37200000000001"/>
  </r>
  <r>
    <x v="315"/>
    <x v="315"/>
    <n v="16225"/>
  </r>
  <r>
    <x v="316"/>
    <x v="316"/>
    <n v="7448.0290648148102"/>
  </r>
  <r>
    <x v="317"/>
    <x v="317"/>
    <n v="7942.2495833333296"/>
  </r>
  <r>
    <x v="318"/>
    <x v="318"/>
    <n v="4393.2036296296301"/>
  </r>
  <r>
    <x v="319"/>
    <x v="319"/>
    <n v="3.6"/>
  </r>
  <r>
    <x v="320"/>
    <x v="320"/>
    <n v="4.63"/>
  </r>
  <r>
    <x v="321"/>
    <x v="321"/>
    <n v="12582.594999999999"/>
  </r>
  <r>
    <x v="322"/>
    <x v="322"/>
    <n v="985.35666414332582"/>
  </r>
  <r>
    <x v="323"/>
    <x v="323"/>
    <n v="234.89999999999998"/>
  </r>
  <r>
    <x v="324"/>
    <x v="324"/>
    <n v="49.394666666666701"/>
  </r>
  <r>
    <x v="325"/>
    <x v="325"/>
    <n v="2014.15238898148"/>
  </r>
  <r>
    <x v="326"/>
    <x v="326"/>
    <n v="3817.5727272727299"/>
  </r>
  <r>
    <x v="327"/>
    <x v="327"/>
    <n v="4370.28"/>
  </r>
  <r>
    <x v="328"/>
    <x v="328"/>
    <n v="2565.5380425993999"/>
  </r>
  <r>
    <x v="329"/>
    <x v="329"/>
    <n v="3226.2361666843499"/>
  </r>
  <r>
    <x v="330"/>
    <x v="330"/>
    <n v="4033.5533248246902"/>
  </r>
  <r>
    <x v="331"/>
    <x v="331"/>
    <n v="6398.79"/>
  </r>
  <r>
    <x v="332"/>
    <x v="332"/>
    <n v="1796.5725"/>
  </r>
  <r>
    <x v="333"/>
    <x v="333"/>
    <n v="8476.2417698412701"/>
  </r>
  <r>
    <x v="334"/>
    <x v="334"/>
    <n v="4626.5252930194802"/>
  </r>
  <r>
    <x v="335"/>
    <x v="335"/>
    <n v="9896.7382619047603"/>
  </r>
  <r>
    <x v="336"/>
    <x v="336"/>
    <n v="10607.318962584999"/>
  </r>
  <r>
    <x v="337"/>
    <x v="337"/>
    <n v="10979.7045969388"/>
  </r>
  <r>
    <x v="338"/>
    <x v="338"/>
    <n v="4443.8647849702402"/>
  </r>
  <r>
    <x v="339"/>
    <x v="339"/>
    <n v="7123.5461590476198"/>
  </r>
  <r>
    <x v="340"/>
    <x v="340"/>
    <n v="0"/>
  </r>
  <r>
    <x v="341"/>
    <x v="341"/>
    <n v="10732.273583333301"/>
  </r>
  <r>
    <x v="342"/>
    <x v="342"/>
    <n v="8459.8647104700794"/>
  </r>
  <r>
    <x v="343"/>
    <x v="343"/>
    <n v="73.576428571428593"/>
  </r>
  <r>
    <x v="344"/>
    <x v="344"/>
    <n v="0"/>
  </r>
  <r>
    <x v="345"/>
    <x v="345"/>
    <n v="0"/>
  </r>
  <r>
    <x v="346"/>
    <x v="346"/>
    <n v="4053.64"/>
  </r>
  <r>
    <x v="347"/>
    <x v="347"/>
    <n v="5778.1511764705883"/>
  </r>
  <r>
    <x v="348"/>
    <x v="348"/>
    <n v="0"/>
  </r>
  <r>
    <x v="349"/>
    <x v="349"/>
    <n v="3630.13"/>
  </r>
  <r>
    <x v="350"/>
    <x v="350"/>
    <n v="6375.1682619047597"/>
  </r>
  <r>
    <x v="351"/>
    <x v="351"/>
    <n v="4370.8100000000004"/>
  </r>
  <r>
    <x v="352"/>
    <x v="352"/>
    <n v="0"/>
  </r>
  <r>
    <x v="353"/>
    <x v="353"/>
    <n v="3.1785714285714302"/>
  </r>
  <r>
    <x v="354"/>
    <x v="354"/>
    <n v="1409.50714285714"/>
  </r>
  <r>
    <x v="355"/>
    <x v="355"/>
    <n v="201.30450618112999"/>
  </r>
  <r>
    <x v="356"/>
    <x v="356"/>
    <n v="104.328429454324"/>
  </r>
  <r>
    <x v="357"/>
    <x v="357"/>
    <n v="77.766479872335694"/>
  </r>
  <r>
    <x v="358"/>
    <x v="358"/>
    <n v="987.64833333333343"/>
  </r>
  <r>
    <x v="359"/>
    <x v="359"/>
    <n v="86.607163449497605"/>
  </r>
  <r>
    <x v="360"/>
    <x v="360"/>
    <n v="90.370918432723499"/>
  </r>
  <r>
    <x v="361"/>
    <x v="361"/>
    <n v="648.38540276550702"/>
  </r>
  <r>
    <x v="362"/>
    <x v="362"/>
    <n v="96.347589928726094"/>
  </r>
  <r>
    <x v="363"/>
    <x v="363"/>
    <n v="98.763587005295406"/>
  </r>
  <r>
    <x v="364"/>
    <x v="364"/>
    <n v="49.979964170961999"/>
  </r>
  <r>
    <x v="365"/>
    <x v="365"/>
    <n v="119.41614379084966"/>
  </r>
  <r>
    <x v="366"/>
    <x v="366"/>
    <n v="81.846841649904903"/>
  </r>
  <r>
    <x v="367"/>
    <x v="367"/>
    <n v="120.23098196895801"/>
  </r>
  <r>
    <x v="368"/>
    <x v="368"/>
    <n v="118.11062199976401"/>
  </r>
  <r>
    <x v="369"/>
    <x v="369"/>
    <n v="81.048333333333304"/>
  </r>
  <r>
    <x v="370"/>
    <x v="370"/>
    <n v="155.32926736262101"/>
  </r>
  <r>
    <x v="371"/>
    <x v="371"/>
    <n v="201.50213333333332"/>
  </r>
  <r>
    <x v="372"/>
    <x v="372"/>
    <n v="96.8850665343099"/>
  </r>
  <r>
    <x v="373"/>
    <x v="373"/>
    <n v="114.957666666667"/>
  </r>
  <r>
    <x v="374"/>
    <x v="374"/>
    <n v="195.40256294796299"/>
  </r>
  <r>
    <x v="375"/>
    <x v="375"/>
    <n v="89.468060336924395"/>
  </r>
  <r>
    <x v="376"/>
    <x v="376"/>
    <n v="106.2"/>
  </r>
  <r>
    <x v="377"/>
    <x v="377"/>
    <n v="354.05260869565222"/>
  </r>
  <r>
    <x v="378"/>
    <x v="378"/>
    <n v="355.44798165137615"/>
  </r>
  <r>
    <x v="379"/>
    <x v="379"/>
    <n v="252.52"/>
  </r>
  <r>
    <x v="380"/>
    <x v="380"/>
    <n v="368.39868041237111"/>
  </r>
  <r>
    <x v="381"/>
    <x v="381"/>
    <n v="74.858900321475701"/>
  </r>
  <r>
    <x v="382"/>
    <x v="382"/>
    <n v="126.07"/>
  </r>
  <r>
    <x v="383"/>
    <x v="383"/>
    <n v="220.4"/>
  </r>
  <r>
    <x v="384"/>
    <x v="384"/>
    <n v="147.65"/>
  </r>
  <r>
    <x v="385"/>
    <x v="385"/>
    <n v="6.8091428571428603"/>
  </r>
  <r>
    <x v="386"/>
    <x v="386"/>
    <n v="1806.2700000000002"/>
  </r>
  <r>
    <x v="387"/>
    <x v="387"/>
    <n v="1"/>
  </r>
  <r>
    <x v="388"/>
    <x v="388"/>
    <n v="14495.092500000001"/>
  </r>
  <r>
    <x v="389"/>
    <x v="389"/>
    <n v="10790.784"/>
  </r>
  <r>
    <x v="390"/>
    <x v="390"/>
    <n v="8623.2333333333299"/>
  </r>
  <r>
    <x v="391"/>
    <x v="391"/>
    <n v="4248.0914464285697"/>
  </r>
  <r>
    <x v="392"/>
    <x v="392"/>
    <n v="3211.7356529445401"/>
  </r>
  <r>
    <x v="393"/>
    <x v="393"/>
    <n v="173.93075462350399"/>
  </r>
  <r>
    <x v="394"/>
    <x v="394"/>
    <n v="1238.8"/>
  </r>
  <r>
    <x v="395"/>
    <x v="395"/>
    <n v="942.82"/>
  </r>
  <r>
    <x v="396"/>
    <x v="396"/>
    <n v="162.909709856874"/>
  </r>
  <r>
    <x v="397"/>
    <x v="397"/>
    <n v="553.85043522989713"/>
  </r>
  <r>
    <x v="398"/>
    <x v="398"/>
    <n v="299.22000000000003"/>
  </r>
  <r>
    <x v="399"/>
    <x v="399"/>
    <n v="466.06667761956913"/>
  </r>
  <r>
    <x v="400"/>
    <x v="400"/>
    <n v="444.99971428571399"/>
  </r>
  <r>
    <x v="401"/>
    <x v="401"/>
    <n v="523.90494213493196"/>
  </r>
  <r>
    <x v="402"/>
    <x v="402"/>
    <n v="206.21999999999997"/>
  </r>
  <r>
    <x v="403"/>
    <x v="403"/>
    <n v="154.81"/>
  </r>
  <r>
    <x v="404"/>
    <x v="404"/>
    <n v="321.61494708343588"/>
  </r>
  <r>
    <x v="405"/>
    <x v="405"/>
    <n v="1.5714285714285701"/>
  </r>
  <r>
    <x v="406"/>
    <x v="406"/>
    <n v="254.71920436817473"/>
  </r>
  <r>
    <x v="407"/>
    <x v="407"/>
    <n v="727.15166666666698"/>
  </r>
  <r>
    <x v="408"/>
    <x v="408"/>
    <n v="3388.1645834859601"/>
  </r>
  <r>
    <x v="409"/>
    <x v="409"/>
    <n v="7864.1750000000002"/>
  </r>
  <r>
    <x v="410"/>
    <x v="410"/>
    <n v="14162.95"/>
  </r>
  <r>
    <x v="411"/>
    <x v="411"/>
    <n v="10603.662857142899"/>
  </r>
  <r>
    <x v="412"/>
    <x v="412"/>
    <n v="169.42383233532934"/>
  </r>
  <r>
    <x v="413"/>
    <x v="413"/>
    <n v="46.44"/>
  </r>
  <r>
    <x v="414"/>
    <x v="414"/>
    <n v="46.44"/>
  </r>
  <r>
    <x v="415"/>
    <x v="415"/>
    <n v="19762.249266666699"/>
  </r>
  <r>
    <x v="416"/>
    <x v="416"/>
    <n v="13424.697761904799"/>
  </r>
  <r>
    <x v="417"/>
    <x v="417"/>
    <n v="9914.1390909090915"/>
  </r>
  <r>
    <x v="418"/>
    <x v="418"/>
    <n v="8706.9500000000007"/>
  </r>
  <r>
    <x v="419"/>
    <x v="419"/>
    <n v="1799.54"/>
  </r>
  <r>
    <x v="420"/>
    <x v="420"/>
    <n v="3141.3427955065108"/>
  </r>
  <r>
    <x v="421"/>
    <x v="421"/>
    <n v="14.9666194860812"/>
  </r>
  <r>
    <x v="422"/>
    <x v="422"/>
    <n v="11981.68"/>
  </r>
  <r>
    <x v="423"/>
    <x v="423"/>
    <n v="1"/>
  </r>
  <r>
    <x v="424"/>
    <x v="424"/>
    <n v="19929"/>
  </r>
  <r>
    <x v="425"/>
    <x v="425"/>
    <n v="10666.666666666701"/>
  </r>
  <r>
    <x v="426"/>
    <x v="426"/>
    <n v="16308.8"/>
  </r>
  <r>
    <x v="427"/>
    <x v="427"/>
    <n v="3182.02"/>
  </r>
  <r>
    <x v="428"/>
    <x v="428"/>
    <n v="72.199905664856502"/>
  </r>
  <r>
    <x v="429"/>
    <x v="429"/>
    <n v="74614.69"/>
  </r>
  <r>
    <x v="430"/>
    <x v="430"/>
    <n v="16788.216256410255"/>
  </r>
  <r>
    <x v="431"/>
    <x v="431"/>
    <n v="38668.6"/>
  </r>
  <r>
    <x v="432"/>
    <x v="432"/>
    <n v="1164"/>
  </r>
  <r>
    <x v="433"/>
    <x v="433"/>
    <n v="1608.1431271477663"/>
  </r>
  <r>
    <x v="434"/>
    <x v="434"/>
    <n v="2004.1779933049299"/>
  </r>
  <r>
    <x v="435"/>
    <x v="435"/>
    <n v="0"/>
  </r>
  <r>
    <x v="436"/>
    <x v="436"/>
    <n v="1033.6531558185404"/>
  </r>
  <r>
    <x v="437"/>
    <x v="437"/>
    <n v="2520.61333333333"/>
  </r>
  <r>
    <x v="438"/>
    <x v="438"/>
    <n v="62.554186046511603"/>
  </r>
  <r>
    <x v="439"/>
    <x v="439"/>
    <n v="17.584944979367261"/>
  </r>
  <r>
    <x v="440"/>
    <x v="440"/>
    <n v="43.643751272080898"/>
  </r>
  <r>
    <x v="441"/>
    <x v="441"/>
    <n v="3072.7533749999998"/>
  </r>
  <r>
    <x v="442"/>
    <x v="442"/>
    <n v="16.422774086378737"/>
  </r>
  <r>
    <x v="443"/>
    <x v="443"/>
    <n v="0"/>
  </r>
  <r>
    <x v="444"/>
    <x v="444"/>
    <n v="0.66666666666666696"/>
  </r>
  <r>
    <x v="445"/>
    <x v="445"/>
    <n v="104184.107058824"/>
  </r>
  <r>
    <x v="446"/>
    <x v="446"/>
    <n v="142570.00483913801"/>
  </r>
  <r>
    <x v="447"/>
    <x v="447"/>
    <n v="224425.75718333299"/>
  </r>
  <r>
    <x v="448"/>
    <x v="448"/>
    <n v="164008.106111111"/>
  </r>
  <r>
    <x v="449"/>
    <x v="449"/>
    <n v="4670.93"/>
  </r>
  <r>
    <x v="450"/>
    <x v="450"/>
    <n v="0"/>
  </r>
  <r>
    <x v="451"/>
    <x v="451"/>
    <n v="28436.18"/>
  </r>
  <r>
    <x v="452"/>
    <x v="452"/>
    <n v="2782.6906296296302"/>
  </r>
  <r>
    <x v="453"/>
    <x v="453"/>
    <n v="2551.1102042327998"/>
  </r>
  <r>
    <x v="454"/>
    <x v="454"/>
    <n v="2551.1106249999998"/>
  </r>
  <r>
    <x v="455"/>
    <x v="455"/>
    <n v="2551.1048148148102"/>
  </r>
  <r>
    <x v="456"/>
    <x v="456"/>
    <n v="2551.11055555556"/>
  </r>
  <r>
    <x v="457"/>
    <x v="457"/>
    <n v="46521.244525640999"/>
  </r>
  <r>
    <x v="458"/>
    <x v="458"/>
    <n v="639757.96"/>
  </r>
  <r>
    <x v="459"/>
    <x v="459"/>
    <n v="39446.740592863702"/>
  </r>
  <r>
    <x v="460"/>
    <x v="460"/>
    <n v="4.78"/>
  </r>
  <r>
    <x v="461"/>
    <x v="461"/>
    <n v="7.2268950222753903"/>
  </r>
  <r>
    <x v="462"/>
    <x v="462"/>
    <n v="12.4854777788335"/>
  </r>
  <r>
    <x v="463"/>
    <x v="463"/>
    <n v="9.9789117531743496"/>
  </r>
  <r>
    <x v="464"/>
    <x v="464"/>
    <n v="10.876763493027999"/>
  </r>
  <r>
    <x v="465"/>
    <x v="465"/>
    <n v="2.1666666666666701"/>
  </r>
  <r>
    <x v="466"/>
    <x v="466"/>
    <n v="9.86"/>
  </r>
  <r>
    <x v="467"/>
    <x v="467"/>
    <n v="10.8834603472457"/>
  </r>
  <r>
    <x v="468"/>
    <x v="468"/>
    <n v="3.7281860465116199"/>
  </r>
  <r>
    <x v="469"/>
    <x v="469"/>
    <n v="109.62"/>
  </r>
  <r>
    <x v="470"/>
    <x v="470"/>
    <n v="3.9386648935734918"/>
  </r>
  <r>
    <x v="471"/>
    <x v="471"/>
    <n v="15.805"/>
  </r>
  <r>
    <x v="472"/>
    <x v="472"/>
    <n v="10.9510179611189"/>
  </r>
  <r>
    <x v="473"/>
    <x v="473"/>
    <n v="534.26091666666696"/>
  </r>
  <r>
    <x v="474"/>
    <x v="474"/>
    <n v="10.7056357595892"/>
  </r>
  <r>
    <x v="475"/>
    <x v="475"/>
    <n v="10.5980673625505"/>
  </r>
  <r>
    <x v="476"/>
    <x v="476"/>
    <n v="10.4979996423733"/>
  </r>
  <r>
    <x v="477"/>
    <x v="477"/>
    <n v="17.451978864688101"/>
  </r>
  <r>
    <x v="478"/>
    <x v="478"/>
    <n v="0.48197465253234301"/>
  </r>
  <r>
    <x v="479"/>
    <x v="479"/>
    <n v="3.0291094076705498"/>
  </r>
  <r>
    <x v="480"/>
    <x v="480"/>
    <n v="2126.80303125"/>
  </r>
  <r>
    <x v="481"/>
    <x v="481"/>
    <n v="1889.55"/>
  </r>
  <r>
    <x v="482"/>
    <x v="482"/>
    <n v="25.445995082908802"/>
  </r>
  <r>
    <x v="483"/>
    <x v="483"/>
    <n v="398.99"/>
  </r>
  <r>
    <x v="484"/>
    <x v="484"/>
    <n v="485.99785353453302"/>
  </r>
  <r>
    <x v="485"/>
    <x v="485"/>
    <n v="54"/>
  </r>
  <r>
    <x v="486"/>
    <x v="486"/>
    <n v="125"/>
  </r>
  <r>
    <x v="487"/>
    <x v="487"/>
    <n v="218.07993396921299"/>
  </r>
  <r>
    <x v="488"/>
    <x v="488"/>
    <n v="86.146901293109295"/>
  </r>
  <r>
    <x v="489"/>
    <x v="489"/>
    <n v="365.00557849802402"/>
  </r>
  <r>
    <x v="490"/>
    <x v="490"/>
    <n v="34630.949999999997"/>
  </r>
  <r>
    <x v="491"/>
    <x v="491"/>
    <n v="42791.5"/>
  </r>
  <r>
    <x v="492"/>
    <x v="492"/>
    <n v="1348.5"/>
  </r>
  <r>
    <x v="493"/>
    <x v="493"/>
    <n v="9920.0877777777805"/>
  </r>
  <r>
    <x v="494"/>
    <x v="494"/>
    <n v="725.79316666666705"/>
  </r>
  <r>
    <x v="495"/>
    <x v="495"/>
    <n v="32489.0655555556"/>
  </r>
  <r>
    <x v="496"/>
    <x v="496"/>
    <n v="87"/>
  </r>
  <r>
    <x v="497"/>
    <x v="497"/>
    <n v="2176.0279999999998"/>
  </r>
  <r>
    <x v="498"/>
    <x v="498"/>
    <n v="2147.02766666667"/>
  </r>
  <r>
    <x v="499"/>
    <x v="499"/>
    <n v="1913.1718000000001"/>
  </r>
  <r>
    <x v="500"/>
    <x v="500"/>
    <n v="64.031999999999996"/>
  </r>
  <r>
    <x v="501"/>
    <x v="501"/>
    <n v="2210.4066666666699"/>
  </r>
  <r>
    <x v="502"/>
    <x v="502"/>
    <n v="24468.966340659299"/>
  </r>
  <r>
    <x v="503"/>
    <x v="503"/>
    <n v="2262"/>
  </r>
  <r>
    <x v="504"/>
    <x v="504"/>
    <n v="1220.0218749999999"/>
  </r>
  <r>
    <x v="505"/>
    <x v="505"/>
    <n v="2520.61333333333"/>
  </r>
  <r>
    <x v="506"/>
    <x v="506"/>
    <n v="39205.120000000003"/>
  </r>
  <r>
    <x v="507"/>
    <x v="507"/>
    <n v="25865.314999999999"/>
  </r>
  <r>
    <x v="508"/>
    <x v="508"/>
    <n v="512.5"/>
  </r>
  <r>
    <x v="509"/>
    <x v="509"/>
    <n v="16093.26"/>
  </r>
  <r>
    <x v="510"/>
    <x v="510"/>
    <n v="565.88841538461497"/>
  </r>
  <r>
    <x v="511"/>
    <x v="511"/>
    <n v="174.905"/>
  </r>
  <r>
    <x v="512"/>
    <x v="512"/>
    <n v="174.905"/>
  </r>
  <r>
    <x v="513"/>
    <x v="513"/>
    <n v="13243.7771769462"/>
  </r>
  <r>
    <x v="514"/>
    <x v="514"/>
    <n v="37529.71"/>
  </r>
  <r>
    <x v="515"/>
    <x v="515"/>
    <n v="2290.9266666666699"/>
  </r>
  <r>
    <x v="516"/>
    <x v="516"/>
    <n v="3225.7066666666701"/>
  </r>
  <r>
    <x v="517"/>
    <x v="517"/>
    <n v="286.346"/>
  </r>
  <r>
    <x v="518"/>
    <x v="518"/>
    <n v="2520.61333333333"/>
  </r>
  <r>
    <x v="519"/>
    <x v="519"/>
    <n v="2520.61333333333"/>
  </r>
  <r>
    <x v="520"/>
    <x v="520"/>
    <n v="2520.61333333333"/>
  </r>
  <r>
    <x v="521"/>
    <x v="521"/>
    <n v="282.51731665640818"/>
  </r>
  <r>
    <x v="522"/>
    <x v="522"/>
    <n v="29551"/>
  </r>
  <r>
    <x v="523"/>
    <x v="523"/>
    <n v="62085.52"/>
  </r>
  <r>
    <x v="524"/>
    <x v="524"/>
    <n v="32224.799999999999"/>
  </r>
  <r>
    <x v="525"/>
    <x v="525"/>
    <n v="21248.622222222199"/>
  </r>
  <r>
    <x v="526"/>
    <x v="526"/>
    <n v="22828.799999999999"/>
  </r>
  <r>
    <x v="527"/>
    <x v="527"/>
    <n v="85724"/>
  </r>
  <r>
    <x v="528"/>
    <x v="528"/>
    <n v="0"/>
  </r>
  <r>
    <x v="529"/>
    <x v="529"/>
    <n v="17525.88"/>
  </r>
  <r>
    <x v="530"/>
    <x v="530"/>
    <n v="247.29023809523801"/>
  </r>
  <r>
    <x v="531"/>
    <x v="531"/>
    <n v="51533.292396109202"/>
  </r>
  <r>
    <x v="532"/>
    <x v="532"/>
    <n v="34202.300000000003"/>
  </r>
  <r>
    <x v="533"/>
    <x v="533"/>
    <n v="777.2"/>
  </r>
  <r>
    <x v="534"/>
    <x v="534"/>
    <n v="13059.736000000001"/>
  </r>
  <r>
    <x v="535"/>
    <x v="535"/>
    <n v="8534.5"/>
  </r>
  <r>
    <x v="536"/>
    <x v="536"/>
    <n v="1534"/>
  </r>
  <r>
    <x v="537"/>
    <x v="537"/>
    <n v="21960.54"/>
  </r>
  <r>
    <x v="538"/>
    <x v="538"/>
    <n v="26606.388571428601"/>
  </r>
  <r>
    <x v="539"/>
    <x v="539"/>
    <n v="15341"/>
  </r>
  <r>
    <x v="540"/>
    <x v="540"/>
    <n v="3974.9103448275901"/>
  </r>
  <r>
    <x v="541"/>
    <x v="541"/>
    <n v="25734.6"/>
  </r>
  <r>
    <x v="542"/>
    <x v="542"/>
    <n v="6410.75"/>
  </r>
  <r>
    <x v="543"/>
    <x v="543"/>
    <n v="755.16"/>
  </r>
  <r>
    <x v="544"/>
    <x v="544"/>
    <n v="644.28"/>
  </r>
  <r>
    <x v="545"/>
    <x v="545"/>
    <n v="710.36"/>
  </r>
  <r>
    <x v="546"/>
    <x v="546"/>
    <n v="812.09957894736851"/>
  </r>
  <r>
    <x v="547"/>
    <x v="547"/>
    <n v="38.0085714285714"/>
  </r>
  <r>
    <x v="548"/>
    <x v="548"/>
    <n v="81.064999999999998"/>
  </r>
  <r>
    <x v="549"/>
    <x v="549"/>
    <n v="178.76"/>
  </r>
  <r>
    <x v="550"/>
    <x v="550"/>
    <n v="790.26432487468674"/>
  </r>
  <r>
    <x v="551"/>
    <x v="551"/>
    <n v="5.0032034294621974"/>
  </r>
  <r>
    <x v="552"/>
    <x v="552"/>
    <n v="1.9100000000000001"/>
  </r>
  <r>
    <x v="553"/>
    <x v="553"/>
    <n v="20.5750045517395"/>
  </r>
  <r>
    <x v="554"/>
    <x v="554"/>
    <n v="51.315151515151513"/>
  </r>
  <r>
    <x v="555"/>
    <x v="555"/>
    <n v="7.89"/>
  </r>
  <r>
    <x v="556"/>
    <x v="556"/>
    <n v="1"/>
  </r>
  <r>
    <x v="557"/>
    <x v="557"/>
    <n v="355.66065049614116"/>
  </r>
  <r>
    <x v="558"/>
    <x v="558"/>
    <n v="0.71428571428571397"/>
  </r>
  <r>
    <x v="559"/>
    <x v="559"/>
    <n v="0"/>
  </r>
  <r>
    <x v="560"/>
    <x v="560"/>
    <n v="242.84"/>
  </r>
  <r>
    <x v="561"/>
    <x v="561"/>
    <n v="5.45"/>
  </r>
  <r>
    <x v="562"/>
    <x v="562"/>
    <n v="69.25"/>
  </r>
  <r>
    <x v="563"/>
    <x v="563"/>
    <n v="468.66836339550002"/>
  </r>
  <r>
    <x v="564"/>
    <x v="564"/>
    <n v="1597.8093962264149"/>
  </r>
  <r>
    <x v="565"/>
    <x v="565"/>
    <n v="261.72356810381808"/>
  </r>
  <r>
    <x v="566"/>
    <x v="566"/>
    <n v="657.52820699708457"/>
  </r>
  <r>
    <x v="567"/>
    <x v="567"/>
    <n v="666.99500470366877"/>
  </r>
  <r>
    <x v="568"/>
    <x v="568"/>
    <n v="296.54381909547737"/>
  </r>
  <r>
    <x v="569"/>
    <x v="569"/>
    <n v="41.727272727272698"/>
  </r>
  <r>
    <x v="570"/>
    <x v="570"/>
    <n v="0"/>
  </r>
  <r>
    <x v="571"/>
    <x v="571"/>
    <n v="467.766152330735"/>
  </r>
  <r>
    <x v="572"/>
    <x v="572"/>
    <n v="330.25"/>
  </r>
  <r>
    <x v="573"/>
    <x v="573"/>
    <n v="851.28790216915399"/>
  </r>
  <r>
    <x v="574"/>
    <x v="574"/>
    <n v="747.82194492460496"/>
  </r>
  <r>
    <x v="575"/>
    <x v="575"/>
    <n v="9084.73"/>
  </r>
  <r>
    <x v="576"/>
    <x v="576"/>
    <n v="1809.5647360248447"/>
  </r>
  <r>
    <x v="577"/>
    <x v="577"/>
    <n v="1623.7043604645201"/>
  </r>
  <r>
    <x v="578"/>
    <x v="578"/>
    <n v="56.9217719527838"/>
  </r>
  <r>
    <x v="579"/>
    <x v="579"/>
    <n v="1354.48046689431"/>
  </r>
  <r>
    <x v="580"/>
    <x v="580"/>
    <n v="156.48322415660601"/>
  </r>
  <r>
    <x v="581"/>
    <x v="581"/>
    <n v="169.254149622048"/>
  </r>
  <r>
    <x v="582"/>
    <x v="582"/>
    <n v="1328.2"/>
  </r>
  <r>
    <x v="583"/>
    <x v="583"/>
    <n v="1642.9874902988245"/>
  </r>
  <r>
    <x v="584"/>
    <x v="584"/>
    <n v="688.43478260869597"/>
  </r>
  <r>
    <x v="585"/>
    <x v="585"/>
    <n v="3055.44"/>
  </r>
  <r>
    <x v="586"/>
    <x v="586"/>
    <n v="103.06"/>
  </r>
  <r>
    <x v="587"/>
    <x v="587"/>
    <n v="47.693999515720897"/>
  </r>
  <r>
    <x v="588"/>
    <x v="588"/>
    <n v="524.61339026470102"/>
  </r>
  <r>
    <x v="589"/>
    <x v="589"/>
    <n v="21.153241958036698"/>
  </r>
  <r>
    <x v="590"/>
    <x v="590"/>
    <n v="1450"/>
  </r>
  <r>
    <x v="591"/>
    <x v="591"/>
    <n v="865.33333333333303"/>
  </r>
  <r>
    <x v="592"/>
    <x v="592"/>
    <n v="0"/>
  </r>
  <r>
    <x v="593"/>
    <x v="593"/>
    <n v="234.20223149757999"/>
  </r>
  <r>
    <x v="594"/>
    <x v="594"/>
    <n v="116"/>
  </r>
  <r>
    <x v="595"/>
    <x v="595"/>
    <n v="101.430769230769"/>
  </r>
  <r>
    <x v="596"/>
    <x v="596"/>
    <n v="2335.7933333333299"/>
  </r>
  <r>
    <x v="597"/>
    <x v="597"/>
    <n v="2437.8760000000002"/>
  </r>
  <r>
    <x v="598"/>
    <x v="598"/>
    <n v="8958.0499999999902"/>
  </r>
  <r>
    <x v="599"/>
    <x v="599"/>
    <n v="441.1"/>
  </r>
  <r>
    <x v="600"/>
    <x v="600"/>
    <n v="1067.93"/>
  </r>
  <r>
    <x v="601"/>
    <x v="601"/>
    <n v="76.242905669915402"/>
  </r>
  <r>
    <x v="602"/>
    <x v="602"/>
    <n v="9001"/>
  </r>
  <r>
    <x v="603"/>
    <x v="603"/>
    <n v="2090.4123076923102"/>
  </r>
  <r>
    <x v="604"/>
    <x v="604"/>
    <n v="1082.99"/>
  </r>
  <r>
    <x v="605"/>
    <x v="605"/>
    <n v="230.929459746182"/>
  </r>
  <r>
    <x v="606"/>
    <x v="606"/>
    <n v="250"/>
  </r>
  <r>
    <x v="607"/>
    <x v="607"/>
    <n v="200"/>
  </r>
  <r>
    <x v="608"/>
    <x v="608"/>
    <n v="1025.0348582089553"/>
  </r>
  <r>
    <x v="609"/>
    <x v="609"/>
    <n v="429.63946106929899"/>
  </r>
  <r>
    <x v="610"/>
    <x v="610"/>
    <n v="35.036129032258067"/>
  </r>
  <r>
    <x v="611"/>
    <x v="611"/>
    <n v="35.865369915369918"/>
  </r>
  <r>
    <x v="612"/>
    <x v="612"/>
    <n v="71.345885032003906"/>
  </r>
  <r>
    <x v="613"/>
    <x v="613"/>
    <n v="2360"/>
  </r>
  <r>
    <x v="614"/>
    <x v="614"/>
    <n v="542.23"/>
  </r>
  <r>
    <x v="615"/>
    <x v="615"/>
    <n v="1183.9884"/>
  </r>
  <r>
    <x v="616"/>
    <x v="616"/>
    <n v="1276"/>
  </r>
  <r>
    <x v="617"/>
    <x v="617"/>
    <n v="12.1"/>
  </r>
  <r>
    <x v="618"/>
    <x v="618"/>
    <n v="0"/>
  </r>
  <r>
    <x v="619"/>
    <x v="619"/>
    <n v="643.76720725108203"/>
  </r>
  <r>
    <x v="620"/>
    <x v="620"/>
    <n v="2598.4"/>
  </r>
  <r>
    <x v="621"/>
    <x v="621"/>
    <n v="7670"/>
  </r>
  <r>
    <x v="622"/>
    <x v="622"/>
    <n v="118.15458758353708"/>
  </r>
  <r>
    <x v="623"/>
    <x v="623"/>
    <n v="88.633564532104401"/>
  </r>
  <r>
    <x v="624"/>
    <x v="624"/>
    <n v="890.59676791958304"/>
  </r>
  <r>
    <x v="625"/>
    <x v="625"/>
    <n v="694.19279041094796"/>
  </r>
  <r>
    <x v="626"/>
    <x v="626"/>
    <n v="48.388571428571403"/>
  </r>
  <r>
    <x v="627"/>
    <x v="627"/>
    <n v="635.83299763467392"/>
  </r>
  <r>
    <x v="628"/>
    <x v="628"/>
    <n v="353.28999999999996"/>
  </r>
  <r>
    <x v="629"/>
    <x v="629"/>
    <n v="52.031084138876203"/>
  </r>
  <r>
    <x v="630"/>
    <x v="630"/>
    <n v="564.31656250000003"/>
  </r>
  <r>
    <x v="631"/>
    <x v="631"/>
    <n v="257.88156091370558"/>
  </r>
  <r>
    <x v="632"/>
    <x v="632"/>
    <n v="3979.6497981103598"/>
  </r>
  <r>
    <x v="633"/>
    <x v="633"/>
    <n v="2546.1821800708499"/>
  </r>
  <r>
    <x v="634"/>
    <x v="634"/>
    <n v="1306.0386547385599"/>
  </r>
  <r>
    <x v="635"/>
    <x v="635"/>
    <n v="1541.54198468254"/>
  </r>
  <r>
    <x v="636"/>
    <x v="636"/>
    <n v="3884.8742434061701"/>
  </r>
  <r>
    <x v="637"/>
    <x v="637"/>
    <n v="440.8"/>
  </r>
  <r>
    <x v="638"/>
    <x v="638"/>
    <n v="626.82962962962995"/>
  </r>
  <r>
    <x v="639"/>
    <x v="639"/>
    <n v="323.142857142857"/>
  </r>
  <r>
    <x v="640"/>
    <x v="640"/>
    <n v="100.3"/>
  </r>
  <r>
    <x v="641"/>
    <x v="641"/>
    <n v="81.2"/>
  </r>
  <r>
    <x v="642"/>
    <x v="642"/>
    <n v="86.05"/>
  </r>
  <r>
    <x v="643"/>
    <x v="643"/>
    <n v="2081.94333333333"/>
  </r>
  <r>
    <x v="644"/>
    <x v="644"/>
    <n v="1484.84"/>
  </r>
  <r>
    <x v="645"/>
    <x v="645"/>
    <n v="1066.65429861194"/>
  </r>
  <r>
    <x v="646"/>
    <x v="646"/>
    <n v="63.8"/>
  </r>
  <r>
    <x v="647"/>
    <x v="647"/>
    <n v="610.00999999999897"/>
  </r>
  <r>
    <x v="648"/>
    <x v="648"/>
    <n v="647.22857142857094"/>
  </r>
  <r>
    <x v="649"/>
    <x v="649"/>
    <n v="584.1"/>
  </r>
  <r>
    <x v="650"/>
    <x v="650"/>
    <n v="503.44"/>
  </r>
  <r>
    <x v="651"/>
    <x v="651"/>
    <n v="66.099999999999994"/>
  </r>
  <r>
    <x v="652"/>
    <x v="652"/>
    <n v="4.3499999999999996"/>
  </r>
  <r>
    <x v="653"/>
    <x v="653"/>
    <n v="0"/>
  </r>
  <r>
    <x v="654"/>
    <x v="654"/>
    <n v="46.4"/>
  </r>
  <r>
    <x v="655"/>
    <x v="655"/>
    <n v="220.008088235294"/>
  </r>
  <r>
    <x v="656"/>
    <x v="656"/>
    <n v="27865.295019345202"/>
  </r>
  <r>
    <x v="657"/>
    <x v="657"/>
    <n v="52033.773111904797"/>
  </r>
  <r>
    <x v="658"/>
    <x v="658"/>
    <n v="1681.5"/>
  </r>
  <r>
    <x v="659"/>
    <x v="659"/>
    <n v="0"/>
  </r>
  <r>
    <x v="660"/>
    <x v="660"/>
    <n v="4096.5614863334804"/>
  </r>
  <r>
    <x v="661"/>
    <x v="661"/>
    <n v="2471.2369205146701"/>
  </r>
  <r>
    <x v="662"/>
    <x v="662"/>
    <n v="652.37142857142896"/>
  </r>
  <r>
    <x v="663"/>
    <x v="663"/>
    <n v="10889.51081632653"/>
  </r>
  <r>
    <x v="664"/>
    <x v="664"/>
    <n v="2966.5883065610901"/>
  </r>
  <r>
    <x v="665"/>
    <x v="665"/>
    <n v="990.02"/>
  </r>
  <r>
    <x v="666"/>
    <x v="666"/>
    <n v="931.32513711975798"/>
  </r>
  <r>
    <x v="667"/>
    <x v="667"/>
    <n v="378.16"/>
  </r>
  <r>
    <x v="668"/>
    <x v="668"/>
    <n v="0"/>
  </r>
  <r>
    <x v="669"/>
    <x v="669"/>
    <n v="5933.6743103448298"/>
  </r>
  <r>
    <x v="670"/>
    <x v="670"/>
    <n v="13233.901707524899"/>
  </r>
  <r>
    <x v="671"/>
    <x v="671"/>
    <n v="18968.5"/>
  </r>
  <r>
    <x v="672"/>
    <x v="672"/>
    <n v="4289.4475000000002"/>
  </r>
  <r>
    <x v="673"/>
    <x v="673"/>
    <n v="800.00852272727298"/>
  </r>
  <r>
    <x v="674"/>
    <x v="674"/>
    <n v="1883.84"/>
  </r>
  <r>
    <x v="675"/>
    <x v="675"/>
    <n v="363.38"/>
  </r>
  <r>
    <x v="676"/>
    <x v="676"/>
    <n v="14117.25"/>
  </r>
  <r>
    <x v="677"/>
    <x v="677"/>
    <n v="213.44"/>
  </r>
  <r>
    <x v="678"/>
    <x v="678"/>
    <n v="340.36322727272699"/>
  </r>
  <r>
    <x v="679"/>
    <x v="679"/>
    <n v="56028"/>
  </r>
  <r>
    <x v="680"/>
    <x v="680"/>
    <n v="40.0665897553869"/>
  </r>
  <r>
    <x v="681"/>
    <x v="681"/>
    <n v="139.24"/>
  </r>
  <r>
    <x v="682"/>
    <x v="682"/>
    <n v="1844.4"/>
  </r>
  <r>
    <x v="683"/>
    <x v="683"/>
    <n v="232"/>
  </r>
  <r>
    <x v="684"/>
    <x v="684"/>
    <n v="0"/>
  </r>
  <r>
    <x v="685"/>
    <x v="685"/>
    <n v="1268.5"/>
  </r>
  <r>
    <x v="686"/>
    <x v="686"/>
    <n v="247.8"/>
  </r>
  <r>
    <x v="687"/>
    <x v="687"/>
    <n v="19163.2"/>
  </r>
  <r>
    <x v="688"/>
    <x v="688"/>
    <n v="1183.2"/>
  </r>
  <r>
    <x v="689"/>
    <x v="689"/>
    <n v="145"/>
  </r>
  <r>
    <x v="690"/>
    <x v="690"/>
    <n v="177"/>
  </r>
  <r>
    <x v="691"/>
    <x v="691"/>
    <n v="213.84"/>
  </r>
  <r>
    <x v="692"/>
    <x v="692"/>
    <n v="66.866666666666703"/>
  </r>
  <r>
    <x v="693"/>
    <x v="693"/>
    <n v="394.4"/>
  </r>
  <r>
    <x v="694"/>
    <x v="694"/>
    <n v="2068.41303377741"/>
  </r>
  <r>
    <x v="695"/>
    <x v="695"/>
    <n v="616.69206896551702"/>
  </r>
  <r>
    <x v="696"/>
    <x v="696"/>
    <n v="920.4"/>
  </r>
  <r>
    <x v="697"/>
    <x v="697"/>
    <n v="0"/>
  </r>
  <r>
    <x v="698"/>
    <x v="698"/>
    <n v="1809.4288095238101"/>
  </r>
  <r>
    <x v="699"/>
    <x v="699"/>
    <n v="2241.8815454545502"/>
  </r>
  <r>
    <x v="700"/>
    <x v="700"/>
    <n v="2432.3174957483002"/>
  </r>
  <r>
    <x v="701"/>
    <x v="701"/>
    <n v="800.4"/>
  </r>
  <r>
    <x v="702"/>
    <x v="702"/>
    <n v="730.8"/>
  </r>
  <r>
    <x v="703"/>
    <x v="703"/>
    <n v="881.6"/>
  </r>
  <r>
    <x v="704"/>
    <x v="704"/>
    <n v="2145.9201373675801"/>
  </r>
  <r>
    <x v="705"/>
    <x v="705"/>
    <n v="7316"/>
  </r>
  <r>
    <x v="706"/>
    <x v="706"/>
    <n v="3426.9751777777801"/>
  </r>
  <r>
    <x v="707"/>
    <x v="707"/>
    <n v="2342.9326666666698"/>
  </r>
  <r>
    <x v="708"/>
    <x v="708"/>
    <n v="1794.1386155555599"/>
  </r>
  <r>
    <x v="709"/>
    <x v="709"/>
    <n v="2342.9288571428601"/>
  </r>
  <r>
    <x v="710"/>
    <x v="710"/>
    <n v="2126.33559254183"/>
  </r>
  <r>
    <x v="711"/>
    <x v="711"/>
    <n v="282.06"/>
  </r>
  <r>
    <x v="712"/>
    <x v="712"/>
    <n v="846.8"/>
  </r>
  <r>
    <x v="713"/>
    <x v="713"/>
    <n v="173.34"/>
  </r>
  <r>
    <x v="714"/>
    <x v="714"/>
    <n v="126.9"/>
  </r>
  <r>
    <x v="715"/>
    <x v="715"/>
    <n v="242.921781257487"/>
  </r>
  <r>
    <x v="716"/>
    <x v="716"/>
    <n v="18073.76152777778"/>
  </r>
  <r>
    <x v="717"/>
    <x v="717"/>
    <n v="7177.5"/>
  </r>
  <r>
    <x v="718"/>
    <x v="718"/>
    <n v="3986.7469206349201"/>
  </r>
  <r>
    <x v="719"/>
    <x v="719"/>
    <n v="268.998260869565"/>
  </r>
  <r>
    <x v="720"/>
    <x v="720"/>
    <n v="145"/>
  </r>
  <r>
    <x v="721"/>
    <x v="721"/>
    <n v="0"/>
  </r>
  <r>
    <x v="722"/>
    <x v="722"/>
    <n v="3639.2912704365099"/>
  </r>
  <r>
    <x v="723"/>
    <x v="723"/>
    <n v="494.1"/>
  </r>
  <r>
    <x v="724"/>
    <x v="724"/>
    <n v="628.85454545454502"/>
  </r>
  <r>
    <x v="725"/>
    <x v="725"/>
    <n v="121.8"/>
  </r>
  <r>
    <x v="726"/>
    <x v="726"/>
    <n v="201.04223404255299"/>
  </r>
  <r>
    <x v="727"/>
    <x v="727"/>
    <n v="266.8"/>
  </r>
  <r>
    <x v="728"/>
    <x v="728"/>
    <n v="211.826086956522"/>
  </r>
  <r>
    <x v="729"/>
    <x v="729"/>
    <n v="3000"/>
  </r>
  <r>
    <x v="730"/>
    <x v="730"/>
    <n v="122.96"/>
  </r>
  <r>
    <x v="731"/>
    <x v="731"/>
    <n v="0"/>
  </r>
  <r>
    <x v="732"/>
    <x v="732"/>
    <n v="398.79030092592598"/>
  </r>
  <r>
    <x v="733"/>
    <x v="733"/>
    <n v="309.31"/>
  </r>
  <r>
    <x v="734"/>
    <x v="734"/>
    <n v="320.81333333333299"/>
  </r>
  <r>
    <x v="735"/>
    <x v="735"/>
    <n v="2076.4"/>
  </r>
  <r>
    <x v="736"/>
    <x v="736"/>
    <n v="1003"/>
  </r>
  <r>
    <x v="737"/>
    <x v="737"/>
    <n v="423.32499999999999"/>
  </r>
  <r>
    <x v="738"/>
    <x v="738"/>
    <n v="888.83999999999992"/>
  </r>
  <r>
    <x v="739"/>
    <x v="739"/>
    <n v="136.88"/>
  </r>
  <r>
    <x v="740"/>
    <x v="740"/>
    <n v="1125.2"/>
  </r>
  <r>
    <x v="741"/>
    <x v="741"/>
    <n v="9842.6"/>
  </r>
  <r>
    <x v="742"/>
    <x v="742"/>
    <n v="12876"/>
  </r>
  <r>
    <x v="743"/>
    <x v="743"/>
    <n v="89.433333333333294"/>
  </r>
  <r>
    <x v="744"/>
    <x v="744"/>
    <n v="2536.8490000000002"/>
  </r>
  <r>
    <x v="745"/>
    <x v="745"/>
    <n v="2939.386"/>
  </r>
  <r>
    <x v="746"/>
    <x v="746"/>
    <n v="350"/>
  </r>
  <r>
    <x v="747"/>
    <x v="747"/>
    <n v="141.6"/>
  </r>
  <r>
    <x v="748"/>
    <x v="748"/>
    <n v="767"/>
  </r>
  <r>
    <x v="749"/>
    <x v="749"/>
    <n v="25379.063516741098"/>
  </r>
  <r>
    <x v="750"/>
    <x v="750"/>
    <n v="8700"/>
  </r>
  <r>
    <x v="751"/>
    <x v="751"/>
    <n v="22626.7862916667"/>
  </r>
  <r>
    <x v="752"/>
    <x v="752"/>
    <n v="22562.1771068376"/>
  </r>
  <r>
    <x v="753"/>
    <x v="753"/>
    <n v="25871.6333752137"/>
  </r>
  <r>
    <x v="754"/>
    <x v="754"/>
    <n v="21617.124700309501"/>
  </r>
  <r>
    <x v="755"/>
    <x v="755"/>
    <n v="12959.509681818199"/>
  </r>
  <r>
    <x v="756"/>
    <x v="756"/>
    <n v="64730.414285714302"/>
  </r>
  <r>
    <x v="757"/>
    <x v="757"/>
    <n v="1"/>
  </r>
  <r>
    <x v="758"/>
    <x v="758"/>
    <n v="17215.656275113099"/>
  </r>
  <r>
    <x v="759"/>
    <x v="759"/>
    <n v="4560.81606584362"/>
  </r>
  <r>
    <x v="760"/>
    <x v="760"/>
    <n v="3196.7280000000001"/>
  </r>
  <r>
    <x v="761"/>
    <x v="761"/>
    <n v="590"/>
  </r>
  <r>
    <x v="762"/>
    <x v="762"/>
    <n v="245067.25907894701"/>
  </r>
  <r>
    <x v="763"/>
    <x v="763"/>
    <n v="12552.708124999999"/>
  </r>
  <r>
    <x v="764"/>
    <x v="764"/>
    <n v="6558"/>
  </r>
  <r>
    <x v="765"/>
    <x v="765"/>
    <n v="661.19999999999993"/>
  </r>
  <r>
    <x v="766"/>
    <x v="766"/>
    <n v="672.76324312575002"/>
  </r>
  <r>
    <x v="767"/>
    <x v="767"/>
    <n v="2.4312499999999999"/>
  </r>
  <r>
    <x v="768"/>
    <x v="768"/>
    <n v="63.683080030721968"/>
  </r>
  <r>
    <x v="769"/>
    <x v="769"/>
    <n v="24.65"/>
  </r>
  <r>
    <x v="770"/>
    <x v="770"/>
    <n v="345.49"/>
  </r>
  <r>
    <x v="771"/>
    <x v="771"/>
    <n v="2073.4066666666699"/>
  </r>
  <r>
    <x v="772"/>
    <x v="772"/>
    <n v="384.75080000000003"/>
  </r>
  <r>
    <x v="773"/>
    <x v="773"/>
    <n v="2027.4567460317501"/>
  </r>
  <r>
    <x v="774"/>
    <x v="774"/>
    <n v="1180.92857142857"/>
  </r>
  <r>
    <x v="775"/>
    <x v="775"/>
    <n v="1110.9114736363399"/>
  </r>
  <r>
    <x v="776"/>
    <x v="776"/>
    <n v="1529.2442901371301"/>
  </r>
  <r>
    <x v="777"/>
    <x v="777"/>
    <n v="37.799999999999997"/>
  </r>
  <r>
    <x v="778"/>
    <x v="778"/>
    <n v="350"/>
  </r>
  <r>
    <x v="779"/>
    <x v="779"/>
    <n v="61.280116190476186"/>
  </r>
  <r>
    <x v="780"/>
    <x v="780"/>
    <n v="50.931855910887535"/>
  </r>
  <r>
    <x v="781"/>
    <x v="781"/>
    <n v="58.184102838778792"/>
  </r>
  <r>
    <x v="782"/>
    <x v="782"/>
    <n v="3712.9701886792454"/>
  </r>
  <r>
    <x v="783"/>
    <x v="783"/>
    <n v="96.08"/>
  </r>
  <r>
    <x v="784"/>
    <x v="784"/>
    <n v="2766.6"/>
  </r>
  <r>
    <x v="785"/>
    <x v="785"/>
    <n v="40.050584098951298"/>
  </r>
  <r>
    <x v="786"/>
    <x v="786"/>
    <n v="34.745706901622299"/>
  </r>
  <r>
    <x v="787"/>
    <x v="787"/>
    <n v="22.1428571428571"/>
  </r>
  <r>
    <x v="788"/>
    <x v="788"/>
    <n v="8.625"/>
  </r>
  <r>
    <x v="789"/>
    <x v="789"/>
    <n v="11.26667746209333"/>
  </r>
  <r>
    <x v="790"/>
    <x v="790"/>
    <n v="21.84"/>
  </r>
  <r>
    <x v="791"/>
    <x v="791"/>
    <n v="35.96"/>
  </r>
  <r>
    <x v="792"/>
    <x v="792"/>
    <n v="45.280642935935703"/>
  </r>
  <r>
    <x v="793"/>
    <x v="793"/>
    <n v="8.92"/>
  </r>
  <r>
    <x v="794"/>
    <x v="794"/>
    <n v="20.254999999999999"/>
  </r>
  <r>
    <x v="795"/>
    <x v="795"/>
    <n v="4.9874866045831103"/>
  </r>
  <r>
    <x v="796"/>
    <x v="796"/>
    <n v="65.613540762767443"/>
  </r>
  <r>
    <x v="797"/>
    <x v="797"/>
    <n v="80.995915419166394"/>
  </r>
  <r>
    <x v="798"/>
    <x v="798"/>
    <n v="224.20000000000002"/>
  </r>
  <r>
    <x v="799"/>
    <x v="799"/>
    <n v="995.92590909090904"/>
  </r>
  <r>
    <x v="800"/>
    <x v="800"/>
    <n v="0"/>
  </r>
  <r>
    <x v="801"/>
    <x v="801"/>
    <n v="98.955961538461537"/>
  </r>
  <r>
    <x v="802"/>
    <x v="802"/>
    <n v="0"/>
  </r>
  <r>
    <x v="803"/>
    <x v="803"/>
    <n v="212.4"/>
  </r>
  <r>
    <x v="804"/>
    <x v="804"/>
    <n v="0"/>
  </r>
  <r>
    <x v="805"/>
    <x v="805"/>
    <n v="313.41000000000003"/>
  </r>
  <r>
    <x v="806"/>
    <x v="806"/>
    <n v="621.99904608456291"/>
  </r>
  <r>
    <x v="807"/>
    <x v="807"/>
    <n v="27.387203389830511"/>
  </r>
  <r>
    <x v="808"/>
    <x v="808"/>
    <n v="1.6815672722652777"/>
  </r>
  <r>
    <x v="809"/>
    <x v="809"/>
    <n v="0"/>
  </r>
  <r>
    <x v="810"/>
    <x v="810"/>
    <n v="0"/>
  </r>
  <r>
    <x v="811"/>
    <x v="811"/>
    <n v="0"/>
  </r>
  <r>
    <x v="812"/>
    <x v="812"/>
    <n v="333.74383859074146"/>
  </r>
  <r>
    <x v="813"/>
    <x v="813"/>
    <n v="670.27581205866375"/>
  </r>
  <r>
    <x v="814"/>
    <x v="814"/>
    <n v="0"/>
  </r>
  <r>
    <x v="815"/>
    <x v="815"/>
    <n v="201.10813559322034"/>
  </r>
  <r>
    <x v="816"/>
    <x v="816"/>
    <n v="139.66867924528302"/>
  </r>
  <r>
    <x v="817"/>
    <x v="817"/>
    <n v="94.690767160161514"/>
  </r>
  <r>
    <x v="818"/>
    <x v="818"/>
    <n v="0"/>
  </r>
  <r>
    <x v="819"/>
    <x v="819"/>
    <n v="45.541428394603294"/>
  </r>
  <r>
    <x v="820"/>
    <x v="820"/>
    <n v="0"/>
  </r>
  <r>
    <x v="821"/>
    <x v="821"/>
    <n v="65.490000000000009"/>
  </r>
  <r>
    <x v="822"/>
    <x v="822"/>
    <n v="0"/>
  </r>
  <r>
    <x v="823"/>
    <x v="823"/>
    <n v="0"/>
  </r>
  <r>
    <x v="824"/>
    <x v="824"/>
    <n v="0"/>
  </r>
  <r>
    <x v="825"/>
    <x v="825"/>
    <n v="0"/>
  </r>
  <r>
    <x v="826"/>
    <x v="826"/>
    <n v="6.46"/>
  </r>
  <r>
    <x v="827"/>
    <x v="827"/>
    <n v="0"/>
  </r>
  <r>
    <x v="828"/>
    <x v="828"/>
    <n v="70.220679718125808"/>
  </r>
  <r>
    <x v="829"/>
    <x v="829"/>
    <n v="140.10876212023271"/>
  </r>
  <r>
    <x v="830"/>
    <x v="830"/>
    <n v="0"/>
  </r>
  <r>
    <x v="831"/>
    <x v="831"/>
    <n v="64.960000000000008"/>
  </r>
  <r>
    <x v="832"/>
    <x v="832"/>
    <n v="87"/>
  </r>
  <r>
    <x v="833"/>
    <x v="833"/>
    <n v="1"/>
  </r>
  <r>
    <x v="834"/>
    <x v="834"/>
    <n v="0"/>
  </r>
  <r>
    <x v="835"/>
    <x v="835"/>
    <n v="0"/>
  </r>
  <r>
    <x v="836"/>
    <x v="836"/>
    <n v="0"/>
  </r>
  <r>
    <x v="837"/>
    <x v="837"/>
    <n v="158.45635574018127"/>
  </r>
  <r>
    <x v="838"/>
    <x v="838"/>
    <n v="0"/>
  </r>
  <r>
    <x v="839"/>
    <x v="839"/>
    <n v="153.73688545688546"/>
  </r>
  <r>
    <x v="840"/>
    <x v="840"/>
    <n v="0"/>
  </r>
  <r>
    <x v="841"/>
    <x v="841"/>
    <n v="0"/>
  </r>
  <r>
    <x v="842"/>
    <x v="842"/>
    <n v="1"/>
  </r>
  <r>
    <x v="843"/>
    <x v="843"/>
    <n v="1038.2"/>
  </r>
  <r>
    <x v="844"/>
    <x v="844"/>
    <n v="0"/>
  </r>
  <r>
    <x v="845"/>
    <x v="845"/>
    <n v="0"/>
  </r>
  <r>
    <x v="846"/>
    <x v="846"/>
    <n v="0"/>
  </r>
  <r>
    <x v="847"/>
    <x v="847"/>
    <n v="0"/>
  </r>
  <r>
    <x v="848"/>
    <x v="848"/>
    <n v="0"/>
  </r>
  <r>
    <x v="849"/>
    <x v="849"/>
    <n v="0"/>
  </r>
  <r>
    <x v="850"/>
    <x v="850"/>
    <n v="0"/>
  </r>
  <r>
    <x v="851"/>
    <x v="851"/>
    <n v="0"/>
  </r>
  <r>
    <x v="852"/>
    <x v="852"/>
    <n v="15.430357826688292"/>
  </r>
  <r>
    <x v="853"/>
    <x v="853"/>
    <n v="0"/>
  </r>
  <r>
    <x v="854"/>
    <x v="854"/>
    <n v="184.39650023663037"/>
  </r>
  <r>
    <x v="855"/>
    <x v="855"/>
    <n v="279.63047211407684"/>
  </r>
  <r>
    <x v="856"/>
    <x v="856"/>
    <n v="7.218231971867807"/>
  </r>
  <r>
    <x v="857"/>
    <x v="857"/>
    <n v="0"/>
  </r>
  <r>
    <x v="858"/>
    <x v="858"/>
    <n v="0"/>
  </r>
  <r>
    <x v="859"/>
    <x v="859"/>
    <n v="0"/>
  </r>
  <r>
    <x v="860"/>
    <x v="860"/>
    <n v="2805.6116347826087"/>
  </r>
  <r>
    <x v="861"/>
    <x v="861"/>
    <n v="1086.7612783171521"/>
  </r>
  <r>
    <x v="862"/>
    <x v="862"/>
    <n v="1"/>
  </r>
  <r>
    <x v="863"/>
    <x v="863"/>
    <n v="1953.61331300813"/>
  </r>
  <r>
    <x v="864"/>
    <x v="864"/>
    <n v="1990.482303030303"/>
  </r>
  <r>
    <x v="865"/>
    <x v="865"/>
    <n v="0"/>
  </r>
  <r>
    <x v="866"/>
    <x v="866"/>
    <n v="65.88"/>
  </r>
  <r>
    <x v="867"/>
    <x v="867"/>
    <n v="87.48"/>
  </r>
  <r>
    <x v="868"/>
    <x v="868"/>
    <n v="64.599999999999994"/>
  </r>
  <r>
    <x v="869"/>
    <x v="869"/>
    <n v="299.05454545454501"/>
  </r>
  <r>
    <x v="870"/>
    <x v="870"/>
    <n v="45.4"/>
  </r>
  <r>
    <x v="871"/>
    <x v="871"/>
    <n v="45.4"/>
  </r>
  <r>
    <x v="872"/>
    <x v="872"/>
    <n v="1"/>
  </r>
  <r>
    <x v="873"/>
    <x v="873"/>
    <n v="898"/>
  </r>
  <r>
    <x v="874"/>
    <x v="874"/>
    <n v="0"/>
  </r>
  <r>
    <x v="875"/>
    <x v="875"/>
    <n v="124.33999999999999"/>
  </r>
  <r>
    <x v="876"/>
    <x v="876"/>
    <n v="212.28000000000003"/>
  </r>
  <r>
    <x v="877"/>
    <x v="877"/>
    <n v="23.3333333333333"/>
  </r>
  <r>
    <x v="878"/>
    <x v="878"/>
    <n v="30"/>
  </r>
  <r>
    <x v="879"/>
    <x v="879"/>
    <n v="26"/>
  </r>
  <r>
    <x v="880"/>
    <x v="880"/>
    <n v="260.98265362318801"/>
  </r>
  <r>
    <x v="881"/>
    <x v="881"/>
    <n v="1267.4970712316201"/>
  </r>
  <r>
    <x v="882"/>
    <x v="882"/>
    <n v="378.1074553571429"/>
  </r>
  <r>
    <x v="883"/>
    <x v="883"/>
    <n v="22.1428571428571"/>
  </r>
  <r>
    <x v="884"/>
    <x v="884"/>
    <n v="580.35950769230794"/>
  </r>
  <r>
    <x v="885"/>
    <x v="885"/>
    <n v="51.300981818181803"/>
  </r>
  <r>
    <x v="886"/>
    <x v="886"/>
    <n v="301.608"/>
  </r>
  <r>
    <x v="887"/>
    <x v="887"/>
    <n v="1091.5487796735899"/>
  </r>
  <r>
    <x v="888"/>
    <x v="888"/>
    <n v="410.32309999999995"/>
  </r>
  <r>
    <x v="889"/>
    <x v="889"/>
    <n v="50"/>
  </r>
  <r>
    <x v="890"/>
    <x v="890"/>
    <n v="4.96428571428571"/>
  </r>
  <r>
    <x v="891"/>
    <x v="891"/>
    <n v="25.066398465446628"/>
  </r>
  <r>
    <x v="892"/>
    <x v="892"/>
    <n v="12.6421129069151"/>
  </r>
  <r>
    <x v="893"/>
    <x v="893"/>
    <n v="2.259245068823613"/>
  </r>
  <r>
    <x v="894"/>
    <x v="894"/>
    <n v="234.76"/>
  </r>
  <r>
    <x v="895"/>
    <x v="895"/>
    <n v="3588.5833333333298"/>
  </r>
  <r>
    <x v="896"/>
    <x v="896"/>
    <n v="2600.3255072463767"/>
  </r>
  <r>
    <x v="897"/>
    <x v="897"/>
    <n v="105.02"/>
  </r>
  <r>
    <x v="898"/>
    <x v="898"/>
    <n v="1365.9771369980499"/>
  </r>
  <r>
    <x v="899"/>
    <x v="899"/>
    <n v="1348.8893163570201"/>
  </r>
  <r>
    <x v="900"/>
    <x v="900"/>
    <n v="119.48"/>
  </r>
  <r>
    <x v="901"/>
    <x v="901"/>
    <n v="1342.00545454545"/>
  </r>
  <r>
    <x v="902"/>
    <x v="902"/>
    <n v="0"/>
  </r>
  <r>
    <x v="903"/>
    <x v="903"/>
    <n v="4248"/>
  </r>
  <r>
    <x v="904"/>
    <x v="904"/>
    <n v="1152.1924071856299"/>
  </r>
  <r>
    <x v="905"/>
    <x v="905"/>
    <n v="103.032353367618"/>
  </r>
  <r>
    <x v="906"/>
    <x v="906"/>
    <n v="442.34666666666698"/>
  </r>
  <r>
    <x v="907"/>
    <x v="907"/>
    <n v="1572.36"/>
  </r>
  <r>
    <x v="908"/>
    <x v="908"/>
    <n v="812.86916264687704"/>
  </r>
  <r>
    <x v="909"/>
    <x v="909"/>
    <n v="106.2"/>
  </r>
  <r>
    <x v="910"/>
    <x v="910"/>
    <n v="40.802744144940348"/>
  </r>
  <r>
    <x v="911"/>
    <x v="911"/>
    <n v="765.30738773686005"/>
  </r>
  <r>
    <x v="912"/>
    <x v="912"/>
    <n v="1358.9214285714299"/>
  </r>
  <r>
    <x v="913"/>
    <x v="913"/>
    <n v="1591.4178947368421"/>
  </r>
  <r>
    <x v="914"/>
    <x v="914"/>
    <n v="335.97623327044101"/>
  </r>
  <r>
    <x v="915"/>
    <x v="915"/>
    <n v="1.46"/>
  </r>
  <r>
    <x v="916"/>
    <x v="916"/>
    <n v="4.5725950978025596"/>
  </r>
  <r>
    <x v="917"/>
    <x v="917"/>
    <n v="3.1152000000000002"/>
  </r>
  <r>
    <x v="918"/>
    <x v="918"/>
    <n v="5083.77264731589"/>
  </r>
  <r>
    <x v="919"/>
    <x v="919"/>
    <n v="1664.7447358003401"/>
  </r>
  <r>
    <x v="920"/>
    <x v="920"/>
    <n v="1090.5999999999999"/>
  </r>
  <r>
    <x v="921"/>
    <x v="921"/>
    <n v="313.95891764705902"/>
  </r>
  <r>
    <x v="922"/>
    <x v="922"/>
    <n v="3.1151039501039501"/>
  </r>
  <r>
    <x v="923"/>
    <x v="923"/>
    <n v="1627.6351368599801"/>
  </r>
  <r>
    <x v="924"/>
    <x v="924"/>
    <n v="1"/>
  </r>
  <r>
    <x v="925"/>
    <x v="925"/>
    <n v="0.77777777777777801"/>
  </r>
  <r>
    <x v="926"/>
    <x v="926"/>
    <n v="94.05"/>
  </r>
  <r>
    <x v="927"/>
    <x v="927"/>
    <n v="544.24357138269397"/>
  </r>
  <r>
    <x v="928"/>
    <x v="928"/>
    <n v="146.96724427083333"/>
  </r>
  <r>
    <x v="929"/>
    <x v="929"/>
    <n v="301.183280966361"/>
  </r>
  <r>
    <x v="930"/>
    <x v="930"/>
    <n v="1562.7605997855001"/>
  </r>
  <r>
    <x v="931"/>
    <x v="931"/>
    <n v="2205.30125"/>
  </r>
  <r>
    <x v="932"/>
    <x v="932"/>
    <n v="478.72"/>
  </r>
  <r>
    <x v="933"/>
    <x v="933"/>
    <n v="720.71627185548596"/>
  </r>
  <r>
    <x v="934"/>
    <x v="934"/>
    <n v="1146.9314179273699"/>
  </r>
  <r>
    <x v="935"/>
    <x v="935"/>
    <n v="0.77777777777777801"/>
  </r>
  <r>
    <x v="936"/>
    <x v="936"/>
    <n v="1482.29"/>
  </r>
  <r>
    <x v="937"/>
    <x v="937"/>
    <n v="1169.0261540959"/>
  </r>
  <r>
    <x v="938"/>
    <x v="938"/>
    <n v="26.431999999999999"/>
  </r>
  <r>
    <x v="939"/>
    <x v="939"/>
    <n v="0"/>
  </r>
  <r>
    <x v="940"/>
    <x v="940"/>
    <n v="991.69999999999993"/>
  </r>
  <r>
    <x v="941"/>
    <x v="941"/>
    <n v="44.538133333333299"/>
  </r>
  <r>
    <x v="942"/>
    <x v="942"/>
    <n v="135.24"/>
  </r>
  <r>
    <x v="943"/>
    <x v="943"/>
    <n v="963.58465517241382"/>
  </r>
  <r>
    <x v="944"/>
    <x v="944"/>
    <n v="30452.81"/>
  </r>
  <r>
    <x v="945"/>
    <x v="945"/>
    <n v="5758.73"/>
  </r>
  <r>
    <x v="946"/>
    <x v="946"/>
    <n v="5313.2940812013303"/>
  </r>
  <r>
    <x v="947"/>
    <x v="947"/>
    <n v="5583.89"/>
  </r>
  <r>
    <x v="948"/>
    <x v="948"/>
    <n v="10996.97"/>
  </r>
  <r>
    <x v="949"/>
    <x v="949"/>
    <n v="10996.97"/>
  </r>
  <r>
    <x v="950"/>
    <x v="950"/>
    <n v="147.918662222222"/>
  </r>
  <r>
    <x v="951"/>
    <x v="951"/>
    <n v="502.677970767555"/>
  </r>
  <r>
    <x v="952"/>
    <x v="952"/>
    <n v="0"/>
  </r>
  <r>
    <x v="953"/>
    <x v="953"/>
    <n v="1909.42035087719"/>
  </r>
  <r>
    <x v="954"/>
    <x v="954"/>
    <n v="1659.91264428107"/>
  </r>
  <r>
    <x v="955"/>
    <x v="955"/>
    <n v="2361.6746982230002"/>
  </r>
  <r>
    <x v="956"/>
    <x v="956"/>
    <n v="30560.880937499998"/>
  </r>
  <r>
    <x v="957"/>
    <x v="957"/>
    <n v="2265.50073385013"/>
  </r>
  <r>
    <x v="958"/>
    <x v="958"/>
    <n v="1272.5381463378701"/>
  </r>
  <r>
    <x v="959"/>
    <x v="959"/>
    <n v="5774.8357203672804"/>
  </r>
  <r>
    <x v="960"/>
    <x v="960"/>
    <n v="1937.9574207297001"/>
  </r>
  <r>
    <x v="961"/>
    <x v="961"/>
    <n v="10281.369999999999"/>
  </r>
  <r>
    <x v="962"/>
    <x v="962"/>
    <n v="15254.4743041208"/>
  </r>
  <r>
    <x v="963"/>
    <x v="963"/>
    <n v="21266.626139494801"/>
  </r>
  <r>
    <x v="964"/>
    <x v="964"/>
    <n v="38599.595833333296"/>
  </r>
  <r>
    <x v="965"/>
    <x v="965"/>
    <n v="27564.3"/>
  </r>
  <r>
    <x v="966"/>
    <x v="966"/>
    <n v="35203.22"/>
  </r>
  <r>
    <x v="967"/>
    <x v="967"/>
    <n v="33611.491072069897"/>
  </r>
  <r>
    <x v="968"/>
    <x v="968"/>
    <n v="37886.506886415402"/>
  </r>
  <r>
    <x v="969"/>
    <x v="969"/>
    <n v="40997.8014422263"/>
  </r>
  <r>
    <x v="970"/>
    <x v="970"/>
    <n v="0"/>
  </r>
  <r>
    <x v="971"/>
    <x v="971"/>
    <n v="0"/>
  </r>
  <r>
    <x v="972"/>
    <x v="972"/>
    <n v="15304.02"/>
  </r>
  <r>
    <x v="973"/>
    <x v="973"/>
    <n v="18500.519710775101"/>
  </r>
  <r>
    <x v="974"/>
    <x v="974"/>
    <n v="24531.732743447701"/>
  </r>
  <r>
    <x v="975"/>
    <x v="975"/>
    <n v="26889.285357917572"/>
  </r>
  <r>
    <x v="976"/>
    <x v="976"/>
    <n v="0"/>
  </r>
  <r>
    <x v="977"/>
    <x v="977"/>
    <n v="33950.442644721399"/>
  </r>
  <r>
    <x v="978"/>
    <x v="978"/>
    <n v="0"/>
  </r>
  <r>
    <x v="979"/>
    <x v="979"/>
    <n v="0"/>
  </r>
  <r>
    <x v="980"/>
    <x v="980"/>
    <n v="0"/>
  </r>
  <r>
    <x v="981"/>
    <x v="981"/>
    <n v="0"/>
  </r>
  <r>
    <x v="982"/>
    <x v="982"/>
    <n v="0"/>
  </r>
  <r>
    <x v="983"/>
    <x v="983"/>
    <n v="0"/>
  </r>
  <r>
    <x v="984"/>
    <x v="984"/>
    <n v="0"/>
  </r>
  <r>
    <x v="985"/>
    <x v="985"/>
    <n v="0"/>
  </r>
  <r>
    <x v="986"/>
    <x v="986"/>
    <n v="0"/>
  </r>
  <r>
    <x v="987"/>
    <x v="987"/>
    <n v="34810"/>
  </r>
  <r>
    <x v="988"/>
    <x v="988"/>
    <n v="60921.05"/>
  </r>
  <r>
    <x v="989"/>
    <x v="989"/>
    <n v="5129.8222222222203"/>
  </r>
  <r>
    <x v="990"/>
    <x v="990"/>
    <n v="540.47507683982701"/>
  </r>
  <r>
    <x v="991"/>
    <x v="991"/>
    <n v="69.143193717277484"/>
  </r>
  <r>
    <x v="992"/>
    <x v="992"/>
    <n v="158099.85775"/>
  </r>
  <r>
    <x v="993"/>
    <x v="993"/>
    <n v="63.839999999999996"/>
  </r>
  <r>
    <x v="994"/>
    <x v="994"/>
    <n v="28436.18"/>
  </r>
  <r>
    <x v="995"/>
    <x v="995"/>
    <n v="7576.6789644073397"/>
  </r>
  <r>
    <x v="996"/>
    <x v="996"/>
    <n v="7931.8999415296103"/>
  </r>
  <r>
    <x v="997"/>
    <x v="997"/>
    <n v="9076.7635486302297"/>
  </r>
  <r>
    <x v="998"/>
    <x v="998"/>
    <n v="21761.919510815402"/>
  </r>
  <r>
    <x v="999"/>
    <x v="999"/>
    <n v="13518.28"/>
  </r>
  <r>
    <x v="1000"/>
    <x v="1000"/>
    <n v="537202.07999999996"/>
  </r>
  <r>
    <x v="1001"/>
    <x v="1001"/>
    <n v="112949.79"/>
  </r>
  <r>
    <x v="1002"/>
    <x v="1002"/>
    <n v="15114.5053691021"/>
  </r>
  <r>
    <x v="1003"/>
    <x v="1003"/>
    <n v="884.98517500000003"/>
  </r>
  <r>
    <x v="1004"/>
    <x v="1004"/>
    <n v="15156.2755"/>
  </r>
  <r>
    <x v="1005"/>
    <x v="1005"/>
    <n v="11.139454028558299"/>
  </r>
  <r>
    <x v="1006"/>
    <x v="1006"/>
    <n v="14.6468214285714"/>
  </r>
  <r>
    <x v="1007"/>
    <x v="1007"/>
    <n v="62.407627356026602"/>
  </r>
  <r>
    <x v="1008"/>
    <x v="1008"/>
    <n v="325.80137483476199"/>
  </r>
  <r>
    <x v="1009"/>
    <x v="1009"/>
    <n v="33.002001640689095"/>
  </r>
  <r>
    <x v="1010"/>
    <x v="1010"/>
    <n v="22.093587310021192"/>
  </r>
  <r>
    <x v="1011"/>
    <x v="1011"/>
    <n v="15.0759493794506"/>
  </r>
  <r>
    <x v="1012"/>
    <x v="1012"/>
    <n v="247.8"/>
  </r>
  <r>
    <x v="1013"/>
    <x v="1013"/>
    <n v="13.077598752598799"/>
  </r>
  <r>
    <x v="1014"/>
    <x v="1014"/>
    <n v="0"/>
  </r>
  <r>
    <x v="1015"/>
    <x v="1015"/>
    <n v="3.6830460304110302"/>
  </r>
  <r>
    <x v="1016"/>
    <x v="1016"/>
    <n v="0.55000000000000004"/>
  </r>
  <r>
    <x v="1017"/>
    <x v="1017"/>
    <n v="17.789077525805901"/>
  </r>
  <r>
    <x v="1018"/>
    <x v="1018"/>
    <n v="6.5611220111127002"/>
  </r>
  <r>
    <x v="1019"/>
    <x v="1019"/>
    <n v="4.8070500000000003"/>
  </r>
  <r>
    <x v="1020"/>
    <x v="1020"/>
    <n v="19.7801197806643"/>
  </r>
  <r>
    <x v="1021"/>
    <x v="1021"/>
    <n v="4.5962546893746596"/>
  </r>
  <r>
    <x v="1022"/>
    <x v="1022"/>
    <n v="2.3196965300904102"/>
  </r>
  <r>
    <x v="1023"/>
    <x v="1023"/>
    <n v="6.2595323335075825"/>
  </r>
  <r>
    <x v="1024"/>
    <x v="1024"/>
    <n v="1"/>
  </r>
  <r>
    <x v="1025"/>
    <x v="1025"/>
    <n v="29.217959702364134"/>
  </r>
  <r>
    <x v="1026"/>
    <x v="1026"/>
    <n v="0.1"/>
  </r>
  <r>
    <x v="1027"/>
    <x v="1027"/>
    <n v="171.13860661874699"/>
  </r>
  <r>
    <x v="1028"/>
    <x v="1028"/>
    <n v="67.110642033271901"/>
  </r>
  <r>
    <x v="1029"/>
    <x v="1029"/>
    <n v="185.78662464985999"/>
  </r>
  <r>
    <x v="1030"/>
    <x v="1030"/>
    <n v="281.95794814814815"/>
  </r>
  <r>
    <x v="1031"/>
    <x v="1031"/>
    <n v="278.68349978918201"/>
  </r>
  <r>
    <x v="1032"/>
    <x v="1032"/>
    <n v="296.16872454819281"/>
  </r>
  <r>
    <x v="1033"/>
    <x v="1033"/>
    <n v="11.386105971687124"/>
  </r>
  <r>
    <x v="1034"/>
    <x v="1034"/>
    <n v="0.8"/>
  </r>
  <r>
    <x v="1035"/>
    <x v="1035"/>
    <n v="1.427799043062201"/>
  </r>
  <r>
    <x v="1036"/>
    <x v="1036"/>
    <n v="50.003799953299222"/>
  </r>
  <r>
    <x v="1037"/>
    <x v="1037"/>
    <n v="17.585358503122698"/>
  </r>
  <r>
    <x v="1038"/>
    <x v="1038"/>
    <n v="162.88076233183855"/>
  </r>
  <r>
    <x v="1039"/>
    <x v="1039"/>
    <n v="0"/>
  </r>
  <r>
    <x v="1040"/>
    <x v="1040"/>
    <n v="0.358333333333333"/>
  </r>
  <r>
    <x v="1041"/>
    <x v="1041"/>
    <n v="1.0029999999999999"/>
  </r>
  <r>
    <x v="1042"/>
    <x v="1042"/>
    <n v="3.5172744995940901"/>
  </r>
  <r>
    <x v="1043"/>
    <x v="1043"/>
    <n v="1.1815875447535182"/>
  </r>
  <r>
    <x v="1044"/>
    <x v="1044"/>
    <n v="1.78474028442475"/>
  </r>
  <r>
    <x v="1045"/>
    <x v="1045"/>
    <n v="8.3521282051282046"/>
  </r>
  <r>
    <x v="1046"/>
    <x v="1046"/>
    <n v="58"/>
  </r>
  <r>
    <x v="1047"/>
    <x v="1047"/>
    <n v="40.002000000000002"/>
  </r>
  <r>
    <x v="1048"/>
    <x v="1048"/>
    <n v="7.4857142857142804"/>
  </r>
  <r>
    <x v="1049"/>
    <x v="1049"/>
    <n v="1.74"/>
  </r>
  <r>
    <x v="1050"/>
    <x v="1050"/>
    <n v="0.24"/>
  </r>
  <r>
    <x v="1051"/>
    <x v="1051"/>
    <n v="0"/>
  </r>
  <r>
    <x v="1052"/>
    <x v="1052"/>
    <n v="0"/>
  </r>
  <r>
    <x v="1053"/>
    <x v="1053"/>
    <n v="35.315406026027802"/>
  </r>
  <r>
    <x v="1054"/>
    <x v="1054"/>
    <n v="6.6866666666666701"/>
  </r>
  <r>
    <x v="1055"/>
    <x v="1055"/>
    <n v="6.5900000000000007"/>
  </r>
  <r>
    <x v="1056"/>
    <x v="1056"/>
    <n v="4.5"/>
  </r>
  <r>
    <x v="1057"/>
    <x v="1057"/>
    <n v="19.45"/>
  </r>
  <r>
    <x v="1058"/>
    <x v="1058"/>
    <n v="1.25"/>
  </r>
  <r>
    <x v="1059"/>
    <x v="1059"/>
    <n v="0"/>
  </r>
  <r>
    <x v="1060"/>
    <x v="1060"/>
    <n v="0"/>
  </r>
  <r>
    <x v="1061"/>
    <x v="1061"/>
    <n v="33.665660611766199"/>
  </r>
  <r>
    <x v="1062"/>
    <x v="1062"/>
    <n v="65.751932074074901"/>
  </r>
  <r>
    <x v="1063"/>
    <x v="1063"/>
    <n v="151.46285714285716"/>
  </r>
  <r>
    <x v="1064"/>
    <x v="1064"/>
    <n v="23.159575781105101"/>
  </r>
  <r>
    <x v="1065"/>
    <x v="1065"/>
    <n v="187.97400000000002"/>
  </r>
  <r>
    <x v="1066"/>
    <x v="1066"/>
    <n v="187.32498507462688"/>
  </r>
  <r>
    <x v="1067"/>
    <x v="1067"/>
    <n v="120.994973430043"/>
  </r>
  <r>
    <x v="1068"/>
    <x v="1068"/>
    <n v="159.1819975490196"/>
  </r>
  <r>
    <x v="1069"/>
    <x v="1069"/>
    <n v="83.16"/>
  </r>
  <r>
    <x v="1070"/>
    <x v="1070"/>
    <n v="140.265681470467"/>
  </r>
  <r>
    <x v="1071"/>
    <x v="1071"/>
    <n v="344.65436657681943"/>
  </r>
  <r>
    <x v="1072"/>
    <x v="1072"/>
    <n v="143.08677478580171"/>
  </r>
  <r>
    <x v="1073"/>
    <x v="1073"/>
    <n v="281.62"/>
  </r>
  <r>
    <x v="1074"/>
    <x v="1074"/>
    <n v="1"/>
  </r>
  <r>
    <x v="1075"/>
    <x v="1075"/>
    <n v="147.5"/>
  </r>
  <r>
    <x v="1076"/>
    <x v="1076"/>
    <n v="48.97"/>
  </r>
  <r>
    <x v="1077"/>
    <x v="1077"/>
    <n v="24.62"/>
  </r>
  <r>
    <x v="1078"/>
    <x v="1078"/>
    <n v="170.56289046744791"/>
  </r>
  <r>
    <x v="1079"/>
    <x v="1079"/>
    <n v="36.310469629737398"/>
  </r>
  <r>
    <x v="1080"/>
    <x v="1080"/>
    <n v="71.459597483905981"/>
  </r>
  <r>
    <x v="1081"/>
    <x v="1081"/>
    <n v="43.680012787723783"/>
  </r>
  <r>
    <x v="1082"/>
    <x v="1082"/>
    <n v="35.1808351088427"/>
  </r>
  <r>
    <x v="1083"/>
    <x v="1083"/>
    <n v="54.895876923076926"/>
  </r>
  <r>
    <x v="1084"/>
    <x v="1084"/>
    <n v="19.0154866666667"/>
  </r>
  <r>
    <x v="1085"/>
    <x v="1085"/>
    <n v="70.27866860983778"/>
  </r>
  <r>
    <x v="1086"/>
    <x v="1086"/>
    <n v="471.37457906976738"/>
  </r>
  <r>
    <x v="1087"/>
    <x v="1087"/>
    <n v="309.76179261862916"/>
  </r>
  <r>
    <x v="1088"/>
    <x v="1088"/>
    <n v="29"/>
  </r>
  <r>
    <x v="1089"/>
    <x v="1089"/>
    <n v="81"/>
  </r>
  <r>
    <x v="1090"/>
    <x v="1090"/>
    <n v="23.356116244600798"/>
  </r>
  <r>
    <x v="1091"/>
    <x v="1091"/>
    <n v="3.6"/>
  </r>
  <r>
    <x v="1092"/>
    <x v="1092"/>
    <n v="18.985785408640055"/>
  </r>
  <r>
    <x v="1093"/>
    <x v="1093"/>
    <n v="109.55696019318759"/>
  </r>
  <r>
    <x v="1094"/>
    <x v="1094"/>
    <n v="103.292543928917"/>
  </r>
  <r>
    <x v="1095"/>
    <x v="1095"/>
    <n v="114.23508177267701"/>
  </r>
  <r>
    <x v="1096"/>
    <x v="1096"/>
    <n v="69.153846153846203"/>
  </r>
  <r>
    <x v="1097"/>
    <x v="1097"/>
    <n v="31.5578001125726"/>
  </r>
  <r>
    <x v="1098"/>
    <x v="1098"/>
    <n v="101.21000000000001"/>
  </r>
  <r>
    <x v="1099"/>
    <x v="1099"/>
    <n v="31.467757099531291"/>
  </r>
  <r>
    <x v="1100"/>
    <x v="1100"/>
    <n v="50.858000626762774"/>
  </r>
  <r>
    <x v="1101"/>
    <x v="1101"/>
    <n v="0"/>
  </r>
  <r>
    <x v="1102"/>
    <x v="1102"/>
    <n v="0"/>
  </r>
  <r>
    <x v="1103"/>
    <x v="1103"/>
    <n v="49.88"/>
  </r>
  <r>
    <x v="1104"/>
    <x v="1104"/>
    <n v="0"/>
  </r>
  <r>
    <x v="1105"/>
    <x v="1105"/>
    <n v="251.60557502815399"/>
  </r>
  <r>
    <x v="1106"/>
    <x v="1106"/>
    <n v="417.55571013041299"/>
  </r>
  <r>
    <x v="1107"/>
    <x v="1107"/>
    <n v="230.92512351124401"/>
  </r>
  <r>
    <x v="1108"/>
    <x v="1108"/>
    <n v="146.014187139917"/>
  </r>
  <r>
    <x v="1109"/>
    <x v="1109"/>
    <n v="171.84452807646355"/>
  </r>
  <r>
    <x v="1110"/>
    <x v="1110"/>
    <n v="8.1357091405432911"/>
  </r>
  <r>
    <x v="1111"/>
    <x v="1111"/>
    <n v="10.119999999999999"/>
  </r>
  <r>
    <x v="1112"/>
    <x v="1112"/>
    <n v="7.9135646687697161"/>
  </r>
  <r>
    <x v="1113"/>
    <x v="1113"/>
    <n v="9.2799999999999994"/>
  </r>
  <r>
    <x v="1114"/>
    <x v="1114"/>
    <n v="1.25"/>
  </r>
  <r>
    <x v="1115"/>
    <x v="1115"/>
    <n v="2.95"/>
  </r>
  <r>
    <x v="1116"/>
    <x v="1116"/>
    <n v="49.438398675642603"/>
  </r>
  <r>
    <x v="1117"/>
    <x v="1117"/>
    <n v="413.53401098901099"/>
  </r>
  <r>
    <x v="1118"/>
    <x v="1118"/>
    <n v="172.71659624413101"/>
  </r>
  <r>
    <x v="1119"/>
    <x v="1119"/>
    <n v="70.8"/>
  </r>
  <r>
    <x v="1120"/>
    <x v="1120"/>
    <n v="29.240400000000001"/>
  </r>
  <r>
    <x v="1121"/>
    <x v="1121"/>
    <n v="157.13233041575492"/>
  </r>
  <r>
    <x v="1122"/>
    <x v="1122"/>
    <n v="116.16863198689956"/>
  </r>
  <r>
    <x v="1123"/>
    <x v="1123"/>
    <n v="94.200991388827546"/>
  </r>
  <r>
    <x v="1124"/>
    <x v="1124"/>
    <n v="122.07000000000001"/>
  </r>
  <r>
    <x v="1125"/>
    <x v="1125"/>
    <n v="116.0680297059715"/>
  </r>
  <r>
    <x v="1126"/>
    <x v="1126"/>
    <n v="1374.2826592503438"/>
  </r>
  <r>
    <x v="1127"/>
    <x v="1127"/>
    <n v="967.41636005902603"/>
  </r>
  <r>
    <x v="1128"/>
    <x v="1128"/>
    <n v="1765.570884871551"/>
  </r>
  <r>
    <x v="1129"/>
    <x v="1129"/>
    <n v="3822.6866096518024"/>
  </r>
  <r>
    <x v="1130"/>
    <x v="1130"/>
    <n v="23392.31"/>
  </r>
  <r>
    <x v="1131"/>
    <x v="1131"/>
    <n v="1011.85"/>
  </r>
  <r>
    <x v="1132"/>
    <x v="1132"/>
    <n v="1766.48"/>
  </r>
  <r>
    <x v="1133"/>
    <x v="1133"/>
    <n v="596.6554625"/>
  </r>
  <r>
    <x v="1134"/>
    <x v="1134"/>
    <n v="28592.83065359477"/>
  </r>
  <r>
    <x v="1135"/>
    <x v="1135"/>
    <n v="37815.297595533499"/>
  </r>
  <r>
    <x v="1136"/>
    <x v="1136"/>
    <n v="63544.9656963097"/>
  </r>
  <r>
    <x v="1137"/>
    <x v="1137"/>
    <n v="66862.606666666703"/>
  </r>
  <r>
    <x v="1138"/>
    <x v="1138"/>
    <n v="67825.146041666696"/>
  </r>
  <r>
    <x v="1139"/>
    <x v="1139"/>
    <n v="68844.179999999993"/>
  </r>
  <r>
    <x v="1140"/>
    <x v="1140"/>
    <n v="22912.49"/>
  </r>
  <r>
    <x v="1141"/>
    <x v="1141"/>
    <n v="2787.4754597936198"/>
  </r>
  <r>
    <x v="1142"/>
    <x v="1142"/>
    <n v="22607.968287037002"/>
  </r>
  <r>
    <x v="1143"/>
    <x v="1143"/>
    <n v="17737.378990643301"/>
  </r>
  <r>
    <x v="1144"/>
    <x v="1144"/>
    <n v="958"/>
  </r>
  <r>
    <x v="1145"/>
    <x v="1145"/>
    <n v="29642.631138631001"/>
  </r>
  <r>
    <x v="1146"/>
    <x v="1146"/>
    <n v="55480.79"/>
  </r>
  <r>
    <x v="1147"/>
    <x v="1147"/>
    <n v="65392.79"/>
  </r>
  <r>
    <x v="1148"/>
    <x v="1148"/>
    <n v="2869.9146000000001"/>
  </r>
  <r>
    <x v="1149"/>
    <x v="1149"/>
    <n v="25380.735095238098"/>
  </r>
  <r>
    <x v="1150"/>
    <x v="1150"/>
    <n v="2647.3425000000002"/>
  </r>
  <r>
    <x v="1151"/>
    <x v="1151"/>
    <n v="23239.812114361001"/>
  </r>
  <r>
    <x v="1152"/>
    <x v="1152"/>
    <n v="22826.0978215584"/>
  </r>
  <r>
    <x v="1153"/>
    <x v="1153"/>
    <n v="36458.3427059202"/>
  </r>
  <r>
    <x v="1154"/>
    <x v="1154"/>
    <n v="1608.1598200604301"/>
  </r>
  <r>
    <x v="1155"/>
    <x v="1155"/>
    <n v="161481.24"/>
  </r>
  <r>
    <x v="1156"/>
    <x v="1156"/>
    <n v="17042.189999999999"/>
  </r>
  <r>
    <x v="1157"/>
    <x v="1157"/>
    <n v="1657.3714935897437"/>
  </r>
  <r>
    <x v="1158"/>
    <x v="1158"/>
    <n v="182789.92857142858"/>
  </r>
  <r>
    <x v="1159"/>
    <x v="1159"/>
    <n v="18531.4411111111"/>
  </r>
  <r>
    <x v="1160"/>
    <x v="1160"/>
    <n v="14380.784"/>
  </r>
  <r>
    <x v="1161"/>
    <x v="1161"/>
    <n v="19311.689047618998"/>
  </r>
  <r>
    <x v="1162"/>
    <x v="1162"/>
    <n v="2326.2647685185202"/>
  </r>
  <r>
    <x v="1163"/>
    <x v="1163"/>
    <n v="16138.17661971831"/>
  </r>
  <r>
    <x v="1164"/>
    <x v="1164"/>
    <n v="48148.343333333331"/>
  </r>
  <r>
    <x v="1165"/>
    <x v="1165"/>
    <n v="1718.5815440115439"/>
  </r>
  <r>
    <x v="1166"/>
    <x v="1166"/>
    <n v="19106.405000000002"/>
  </r>
  <r>
    <x v="1167"/>
    <x v="1167"/>
    <n v="2678.9694594594594"/>
  </r>
  <r>
    <x v="1168"/>
    <x v="1168"/>
    <n v="2405.1638461538464"/>
  </r>
  <r>
    <x v="1169"/>
    <x v="1169"/>
    <n v="2647.3425000000002"/>
  </r>
  <r>
    <x v="1170"/>
    <x v="1170"/>
    <n v="605"/>
  </r>
  <r>
    <x v="1171"/>
    <x v="1171"/>
    <n v="678.08"/>
  </r>
  <r>
    <x v="1172"/>
    <x v="1172"/>
    <n v="38521.215227272725"/>
  </r>
  <r>
    <x v="1173"/>
    <x v="1173"/>
    <n v="35055.181818181816"/>
  </r>
  <r>
    <x v="1174"/>
    <x v="1174"/>
    <n v="37375.785571428598"/>
  </r>
  <r>
    <x v="1175"/>
    <x v="1175"/>
    <n v="37375.78510638298"/>
  </r>
  <r>
    <x v="1176"/>
    <x v="1176"/>
    <n v="11.849044669057712"/>
  </r>
  <r>
    <x v="1177"/>
    <x v="1177"/>
    <n v="7.9343866500976388"/>
  </r>
  <r>
    <x v="1178"/>
    <x v="1178"/>
    <n v="2.73"/>
  </r>
  <r>
    <x v="1179"/>
    <x v="1179"/>
    <n v="20.594124999999998"/>
  </r>
  <r>
    <x v="1180"/>
    <x v="1180"/>
    <n v="6.6032705050641312"/>
  </r>
  <r>
    <x v="1181"/>
    <x v="1181"/>
    <n v="2.4010157618213661"/>
  </r>
  <r>
    <x v="1182"/>
    <x v="1182"/>
    <n v="19.66"/>
  </r>
  <r>
    <x v="1183"/>
    <x v="1183"/>
    <n v="375.92609446774799"/>
  </r>
  <r>
    <x v="1184"/>
    <x v="1184"/>
    <n v="546.60359626864295"/>
  </r>
  <r>
    <x v="1185"/>
    <x v="1185"/>
    <n v="0"/>
  </r>
  <r>
    <x v="1186"/>
    <x v="1186"/>
    <n v="1175.95681766394"/>
  </r>
  <r>
    <x v="1187"/>
    <x v="1187"/>
    <n v="605.24400000000003"/>
  </r>
  <r>
    <x v="1188"/>
    <x v="1188"/>
    <n v="22.129788468007501"/>
  </r>
  <r>
    <x v="1189"/>
    <x v="1189"/>
    <n v="116.13536585365856"/>
  </r>
  <r>
    <x v="1190"/>
    <x v="1190"/>
    <n v="50.691737089201879"/>
  </r>
  <r>
    <x v="1191"/>
    <x v="1191"/>
    <n v="146.52271094324399"/>
  </r>
  <r>
    <x v="1192"/>
    <x v="1192"/>
    <n v="304.80917142857101"/>
  </r>
  <r>
    <x v="1193"/>
    <x v="1193"/>
    <n v="188.85232071713148"/>
  </r>
  <r>
    <x v="1194"/>
    <x v="1194"/>
    <n v="78.5075976738934"/>
  </r>
  <r>
    <x v="1195"/>
    <x v="1195"/>
    <n v="276.86506296918799"/>
  </r>
  <r>
    <x v="1196"/>
    <x v="1196"/>
    <n v="1387.28635605881"/>
  </r>
  <r>
    <x v="1197"/>
    <x v="1197"/>
    <n v="1016.16"/>
  </r>
  <r>
    <x v="1198"/>
    <x v="1198"/>
    <n v="1805.8543245798301"/>
  </r>
  <r>
    <x v="1199"/>
    <x v="1199"/>
    <n v="680.21118116129503"/>
  </r>
  <r>
    <x v="1200"/>
    <x v="1200"/>
    <n v="5422.1472058823529"/>
  </r>
  <r>
    <x v="1201"/>
    <x v="1201"/>
    <n v="2090.6353949866898"/>
  </r>
  <r>
    <x v="1202"/>
    <x v="1202"/>
    <n v="556.12703889980901"/>
  </r>
  <r>
    <x v="1203"/>
    <x v="1203"/>
    <n v="52481.658496983502"/>
  </r>
  <r>
    <x v="1204"/>
    <x v="1204"/>
    <n v="24418.1804933846"/>
  </r>
  <r>
    <x v="1205"/>
    <x v="1205"/>
    <n v="15515.0602475498"/>
  </r>
  <r>
    <x v="1206"/>
    <x v="1206"/>
    <n v="17337.321176470588"/>
  </r>
  <r>
    <x v="1207"/>
    <x v="1207"/>
    <n v="19615.978099743701"/>
  </r>
  <r>
    <x v="1208"/>
    <x v="1208"/>
    <n v="1074.0375419176601"/>
  </r>
  <r>
    <x v="1209"/>
    <x v="1209"/>
    <n v="12264.873355699099"/>
  </r>
  <r>
    <x v="1210"/>
    <x v="1210"/>
    <n v="95406.009227272705"/>
  </r>
  <r>
    <x v="1211"/>
    <x v="1211"/>
    <n v="4068.1988235601402"/>
  </r>
  <r>
    <x v="1212"/>
    <x v="1212"/>
    <n v="24986.991424848002"/>
  </r>
  <r>
    <x v="1213"/>
    <x v="1213"/>
    <n v="10470.982222222199"/>
  </r>
  <r>
    <x v="1214"/>
    <x v="1214"/>
    <n v="42557.430368000001"/>
  </r>
  <r>
    <x v="1215"/>
    <x v="1215"/>
    <n v="10143.9457185142"/>
  </r>
  <r>
    <x v="1216"/>
    <x v="1216"/>
    <n v="13088.893738914099"/>
  </r>
  <r>
    <x v="1217"/>
    <x v="1217"/>
    <n v="30053.8076766667"/>
  </r>
  <r>
    <x v="1218"/>
    <x v="1218"/>
    <n v="30647.365021757101"/>
  </r>
  <r>
    <x v="1219"/>
    <x v="1219"/>
    <n v="3604.5462090730298"/>
  </r>
  <r>
    <x v="1220"/>
    <x v="1220"/>
    <n v="3806.3442571428573"/>
  </r>
  <r>
    <x v="1221"/>
    <x v="1221"/>
    <n v="85365.11"/>
  </r>
  <r>
    <x v="1222"/>
    <x v="1222"/>
    <n v="77604.649999999994"/>
  </r>
  <r>
    <x v="1223"/>
    <x v="1223"/>
    <n v="77171.66"/>
  </r>
  <r>
    <x v="1224"/>
    <x v="1224"/>
    <n v="570.90603953046832"/>
  </r>
  <r>
    <x v="1225"/>
    <x v="1225"/>
    <n v="1156.4589973070017"/>
  </r>
  <r>
    <x v="1226"/>
    <x v="1226"/>
    <n v="1067.45"/>
  </r>
  <r>
    <x v="1227"/>
    <x v="1227"/>
    <n v="678.07084690060697"/>
  </r>
  <r>
    <x v="1228"/>
    <x v="1228"/>
    <n v="807.05063013698623"/>
  </r>
  <r>
    <x v="1229"/>
    <x v="1229"/>
    <n v="3399540.59"/>
  </r>
  <r>
    <x v="1230"/>
    <x v="1230"/>
    <n v="2925550.4"/>
  </r>
  <r>
    <x v="1231"/>
    <x v="1231"/>
    <n v="1089219.70875"/>
  </r>
  <r>
    <x v="1232"/>
    <x v="1232"/>
    <n v="179161.7"/>
  </r>
  <r>
    <x v="1233"/>
    <x v="1233"/>
    <n v="40088.879999999997"/>
  </r>
  <r>
    <x v="1234"/>
    <x v="1234"/>
    <n v="50424.425999999999"/>
  </r>
  <r>
    <x v="1235"/>
    <x v="1235"/>
    <n v="224159.04"/>
  </r>
  <r>
    <x v="1236"/>
    <x v="1236"/>
    <n v="1765620.2875000001"/>
  </r>
  <r>
    <x v="1237"/>
    <x v="1237"/>
    <n v="1395437.3892857099"/>
  </r>
  <r>
    <x v="1238"/>
    <x v="1238"/>
    <n v="4465918.1900000004"/>
  </r>
  <r>
    <x v="1239"/>
    <x v="1239"/>
    <n v="201108.565"/>
  </r>
  <r>
    <x v="1240"/>
    <x v="1240"/>
    <n v="523510.75783333299"/>
  </r>
  <r>
    <x v="1241"/>
    <x v="1241"/>
    <n v="14852.21"/>
  </r>
  <r>
    <x v="1242"/>
    <x v="1242"/>
    <n v="40611.379999999997"/>
  </r>
  <r>
    <x v="1243"/>
    <x v="1243"/>
    <n v="370452.395571428"/>
  </r>
  <r>
    <x v="1244"/>
    <x v="1244"/>
    <n v="658728"/>
  </r>
  <r>
    <x v="1245"/>
    <x v="1245"/>
    <n v="1394162.348"/>
  </r>
  <r>
    <x v="1246"/>
    <x v="1246"/>
    <n v="667629.77"/>
  </r>
  <r>
    <x v="1247"/>
    <x v="1247"/>
    <n v="572017.5625"/>
  </r>
  <r>
    <x v="1248"/>
    <x v="1248"/>
    <n v="238929.343333333"/>
  </r>
  <r>
    <x v="1249"/>
    <x v="1249"/>
    <n v="244655.71"/>
  </r>
  <r>
    <x v="1250"/>
    <x v="1250"/>
    <n v="357551.90125"/>
  </r>
  <r>
    <x v="1251"/>
    <x v="1251"/>
    <n v="180653.89333333334"/>
  </r>
  <r>
    <x v="1252"/>
    <x v="1252"/>
    <n v="184117.32"/>
  </r>
  <r>
    <x v="1253"/>
    <x v="1253"/>
    <n v="167260.26999999999"/>
  </r>
  <r>
    <x v="1254"/>
    <x v="1254"/>
    <n v="421260.97"/>
  </r>
  <r>
    <x v="1255"/>
    <x v="1255"/>
    <n v="263366.91666666669"/>
  </r>
  <r>
    <x v="1256"/>
    <x v="1256"/>
    <n v="366563.09222222224"/>
  </r>
  <r>
    <x v="1257"/>
    <x v="1257"/>
    <n v="341821.330625"/>
  </r>
  <r>
    <x v="1258"/>
    <x v="1258"/>
    <n v="240673.3252777778"/>
  </r>
  <r>
    <x v="1259"/>
    <x v="1259"/>
    <n v="649930.65666666662"/>
  </r>
  <r>
    <x v="1260"/>
    <x v="1260"/>
    <n v="711327.07"/>
  </r>
  <r>
    <x v="1261"/>
    <x v="1261"/>
    <n v="797803.11125000007"/>
  </r>
  <r>
    <x v="1262"/>
    <x v="1262"/>
    <n v="3297347.926"/>
  </r>
  <r>
    <x v="1263"/>
    <x v="1263"/>
    <n v="369.6"/>
  </r>
  <r>
    <x v="1264"/>
    <x v="1264"/>
    <n v="62331.41333333333"/>
  </r>
  <r>
    <x v="1265"/>
    <x v="1265"/>
    <n v="0"/>
  </r>
  <r>
    <x v="1266"/>
    <x v="1266"/>
    <n v="59590.51"/>
  </r>
  <r>
    <x v="1267"/>
    <x v="1267"/>
    <n v="62750.5561904762"/>
  </r>
  <r>
    <x v="1268"/>
    <x v="1268"/>
    <n v="52265.763737373702"/>
  </r>
  <r>
    <x v="1269"/>
    <x v="1269"/>
    <n v="63550"/>
  </r>
  <r>
    <x v="1270"/>
    <x v="1270"/>
    <n v="0"/>
  </r>
  <r>
    <x v="1271"/>
    <x v="1271"/>
    <n v="65600"/>
  </r>
  <r>
    <x v="1272"/>
    <x v="1272"/>
    <n v="47068.542857142857"/>
  </r>
  <r>
    <x v="1273"/>
    <x v="1273"/>
    <n v="69849.646666666697"/>
  </r>
  <r>
    <x v="1274"/>
    <x v="1274"/>
    <n v="701392"/>
  </r>
  <r>
    <x v="1275"/>
    <x v="1275"/>
    <n v="148058.54656626499"/>
  </r>
  <r>
    <x v="1276"/>
    <x v="1276"/>
    <n v="256085.42499999999"/>
  </r>
  <r>
    <x v="1277"/>
    <x v="1277"/>
    <n v="87659.506393681499"/>
  </r>
  <r>
    <x v="1278"/>
    <x v="1278"/>
    <n v="0"/>
  </r>
  <r>
    <x v="1279"/>
    <x v="1279"/>
    <n v="31403.2155045871"/>
  </r>
  <r>
    <x v="1280"/>
    <x v="1280"/>
    <n v="0"/>
  </r>
  <r>
    <x v="1281"/>
    <x v="1281"/>
    <n v="0"/>
  </r>
  <r>
    <x v="1282"/>
    <x v="1282"/>
    <n v="22276.799999999999"/>
  </r>
  <r>
    <x v="1283"/>
    <x v="1283"/>
    <n v="227686.48833333299"/>
  </r>
  <r>
    <x v="1284"/>
    <x v="1284"/>
    <n v="31320"/>
  </r>
  <r>
    <x v="1285"/>
    <x v="1285"/>
    <n v="133968.4"/>
  </r>
  <r>
    <x v="1286"/>
    <x v="1286"/>
    <n v="0"/>
  </r>
  <r>
    <x v="1287"/>
    <x v="1287"/>
    <n v="324500"/>
  </r>
  <r>
    <x v="1288"/>
    <x v="1288"/>
    <n v="53430.178507442899"/>
  </r>
  <r>
    <x v="1289"/>
    <x v="1289"/>
    <n v="48898.465374149702"/>
  </r>
  <r>
    <x v="1290"/>
    <x v="1290"/>
    <n v="10342.956521739099"/>
  </r>
  <r>
    <x v="1291"/>
    <x v="1291"/>
    <n v="30998.4859988756"/>
  </r>
  <r>
    <x v="1292"/>
    <x v="1292"/>
    <n v="53767.249149612602"/>
  </r>
  <r>
    <x v="1293"/>
    <x v="1293"/>
    <n v="0"/>
  </r>
  <r>
    <x v="1294"/>
    <x v="1294"/>
    <n v="50350.353037288398"/>
  </r>
  <r>
    <x v="1295"/>
    <x v="1295"/>
    <n v="41976.677954545499"/>
  </r>
  <r>
    <x v="1296"/>
    <x v="1296"/>
    <n v="9097.7800000000007"/>
  </r>
  <r>
    <x v="1297"/>
    <x v="1297"/>
    <n v="60342.931641704403"/>
  </r>
  <r>
    <x v="1298"/>
    <x v="1298"/>
    <n v="44469.627333518401"/>
  </r>
  <r>
    <x v="1299"/>
    <x v="1299"/>
    <n v="42973.659693181799"/>
  </r>
  <r>
    <x v="1300"/>
    <x v="1300"/>
    <n v="0"/>
  </r>
  <r>
    <x v="1301"/>
    <x v="1301"/>
    <n v="102076.70666666667"/>
  </r>
  <r>
    <x v="1302"/>
    <x v="1302"/>
    <n v="49139.959283720898"/>
  </r>
  <r>
    <x v="1303"/>
    <x v="1303"/>
    <n v="77027.195000000007"/>
  </r>
  <r>
    <x v="1304"/>
    <x v="1304"/>
    <n v="0"/>
  </r>
  <r>
    <x v="1305"/>
    <x v="1305"/>
    <n v="63837.961109059397"/>
  </r>
  <r>
    <x v="1306"/>
    <x v="1306"/>
    <n v="56773.2931246386"/>
  </r>
  <r>
    <x v="1307"/>
    <x v="1307"/>
    <n v="0"/>
  </r>
  <r>
    <x v="1308"/>
    <x v="1308"/>
    <n v="0"/>
  </r>
  <r>
    <x v="1309"/>
    <x v="1309"/>
    <n v="0"/>
  </r>
  <r>
    <x v="1310"/>
    <x v="1310"/>
    <n v="0"/>
  </r>
  <r>
    <x v="1311"/>
    <x v="1311"/>
    <n v="107278.79876294501"/>
  </r>
  <r>
    <x v="1312"/>
    <x v="1312"/>
    <n v="152414.38"/>
  </r>
  <r>
    <x v="1313"/>
    <x v="1313"/>
    <n v="0"/>
  </r>
  <r>
    <x v="1314"/>
    <x v="1314"/>
    <n v="67917.086508716704"/>
  </r>
  <r>
    <x v="1315"/>
    <x v="1315"/>
    <n v="361767.22808510601"/>
  </r>
  <r>
    <x v="1316"/>
    <x v="1316"/>
    <n v="233948.99"/>
  </r>
  <r>
    <x v="1317"/>
    <x v="1317"/>
    <n v="451090.13457017503"/>
  </r>
  <r>
    <x v="1318"/>
    <x v="1318"/>
    <n v="0"/>
  </r>
  <r>
    <x v="1319"/>
    <x v="1319"/>
    <n v="391691.6"/>
  </r>
  <r>
    <x v="1320"/>
    <x v="1320"/>
    <n v="459244.683163265"/>
  </r>
  <r>
    <x v="1321"/>
    <x v="1321"/>
    <n v="320223.24"/>
  </r>
  <r>
    <x v="1322"/>
    <x v="1322"/>
    <n v="636958.34499999997"/>
  </r>
  <r>
    <x v="1323"/>
    <x v="1323"/>
    <n v="116434.21"/>
  </r>
  <r>
    <x v="1324"/>
    <x v="1324"/>
    <n v="105848.28"/>
  </r>
  <r>
    <x v="1325"/>
    <x v="1325"/>
    <n v="0"/>
  </r>
  <r>
    <x v="1326"/>
    <x v="1326"/>
    <n v="0"/>
  </r>
  <r>
    <x v="1327"/>
    <x v="1327"/>
    <n v="694102.53642857145"/>
  </r>
  <r>
    <x v="1328"/>
    <x v="1328"/>
    <n v="164848.240540984"/>
  </r>
  <r>
    <x v="1329"/>
    <x v="1329"/>
    <n v="367856.23"/>
  </r>
  <r>
    <x v="1330"/>
    <x v="1330"/>
    <n v="853822.57833333337"/>
  </r>
  <r>
    <x v="1331"/>
    <x v="1331"/>
    <n v="857351.25"/>
  </r>
  <r>
    <x v="1332"/>
    <x v="1332"/>
    <n v="138874.29236204701"/>
  </r>
  <r>
    <x v="1333"/>
    <x v="1333"/>
    <n v="187736.620436709"/>
  </r>
  <r>
    <x v="1334"/>
    <x v="1334"/>
    <n v="14500"/>
  </r>
  <r>
    <x v="1335"/>
    <x v="1335"/>
    <n v="11480"/>
  </r>
  <r>
    <x v="1336"/>
    <x v="1336"/>
    <n v="35573.240226052498"/>
  </r>
  <r>
    <x v="1337"/>
    <x v="1337"/>
    <n v="0"/>
  </r>
  <r>
    <x v="1338"/>
    <x v="1338"/>
    <n v="24477.84"/>
  </r>
  <r>
    <x v="1339"/>
    <x v="1339"/>
    <n v="23124.592105263157"/>
  </r>
  <r>
    <x v="1340"/>
    <x v="1340"/>
    <n v="30149.123673047699"/>
  </r>
  <r>
    <x v="1341"/>
    <x v="1341"/>
    <n v="336400"/>
  </r>
  <r>
    <x v="1342"/>
    <x v="1342"/>
    <n v="107242.150810778"/>
  </r>
  <r>
    <x v="1343"/>
    <x v="1343"/>
    <n v="0"/>
  </r>
  <r>
    <x v="1344"/>
    <x v="1344"/>
    <n v="48768.459741603801"/>
  </r>
  <r>
    <x v="1345"/>
    <x v="1345"/>
    <n v="75762.87"/>
  </r>
  <r>
    <x v="1346"/>
    <x v="1346"/>
    <n v="0"/>
  </r>
  <r>
    <x v="1347"/>
    <x v="1347"/>
    <n v="0"/>
  </r>
  <r>
    <x v="1348"/>
    <x v="1348"/>
    <n v="145814.80468517699"/>
  </r>
  <r>
    <x v="1349"/>
    <x v="1349"/>
    <n v="53931.212602813903"/>
  </r>
  <r>
    <x v="1350"/>
    <x v="1350"/>
    <n v="80182.976937281099"/>
  </r>
  <r>
    <x v="1351"/>
    <x v="1351"/>
    <n v="21049907.530000001"/>
  </r>
  <r>
    <x v="1352"/>
    <x v="1352"/>
    <n v="0"/>
  </r>
  <r>
    <x v="1353"/>
    <x v="1353"/>
    <n v="45284945.590000004"/>
  </r>
  <r>
    <x v="1354"/>
    <x v="1354"/>
    <n v="54804593.783"/>
  </r>
  <r>
    <x v="1355"/>
    <x v="1355"/>
    <n v="2100.1490629370801"/>
  </r>
  <r>
    <x v="1356"/>
    <x v="1356"/>
    <n v="13924"/>
  </r>
  <r>
    <x v="1357"/>
    <x v="1357"/>
    <n v="1799.5"/>
  </r>
  <r>
    <x v="1358"/>
    <x v="1358"/>
    <n v="849.6"/>
  </r>
  <r>
    <x v="1359"/>
    <x v="1359"/>
    <n v="31848.2"/>
  </r>
  <r>
    <x v="1360"/>
    <x v="1360"/>
    <n v="86.848021362829101"/>
  </r>
  <r>
    <x v="1361"/>
    <x v="1361"/>
    <n v="1593"/>
  </r>
  <r>
    <x v="1362"/>
    <x v="1362"/>
    <n v="16.685199999999998"/>
  </r>
  <r>
    <x v="1363"/>
    <x v="1363"/>
    <n v="2009.9134058479499"/>
  </r>
  <r>
    <x v="1364"/>
    <x v="1364"/>
    <n v="3000"/>
  </r>
  <r>
    <x v="1365"/>
    <x v="1365"/>
    <n v="3000"/>
  </r>
  <r>
    <x v="1366"/>
    <x v="1366"/>
    <n v="6"/>
  </r>
  <r>
    <x v="1367"/>
    <x v="1367"/>
    <n v="12791.2"/>
  </r>
  <r>
    <x v="1368"/>
    <x v="1368"/>
    <n v="283.2"/>
  </r>
  <r>
    <x v="1369"/>
    <x v="1369"/>
    <n v="3677.1700887468101"/>
  </r>
  <r>
    <x v="1370"/>
    <x v="1370"/>
    <n v="4766.7547983348104"/>
  </r>
  <r>
    <x v="1371"/>
    <x v="1371"/>
    <n v="5081.5976000000001"/>
  </r>
  <r>
    <x v="1372"/>
    <x v="1372"/>
    <n v="38990.1176923077"/>
  </r>
  <r>
    <x v="1373"/>
    <x v="1373"/>
    <n v="25129.8728454497"/>
  </r>
  <r>
    <x v="1374"/>
    <x v="1374"/>
    <n v="21447.126702615798"/>
  </r>
  <r>
    <x v="1375"/>
    <x v="1375"/>
    <n v="5882.8377823691499"/>
  </r>
  <r>
    <x v="1376"/>
    <x v="1376"/>
    <n v="2081.9807142857098"/>
  </r>
  <r>
    <x v="1377"/>
    <x v="1377"/>
    <n v="4021.2918627450899"/>
  </r>
  <r>
    <x v="1378"/>
    <x v="1378"/>
    <n v="4124.1524816849796"/>
  </r>
  <r>
    <x v="1379"/>
    <x v="1379"/>
    <n v="2899.7241008440101"/>
  </r>
  <r>
    <x v="1380"/>
    <x v="1380"/>
    <n v="5986.8184560439604"/>
  </r>
  <r>
    <x v="1381"/>
    <x v="1381"/>
    <n v="49.321911111111099"/>
  </r>
  <r>
    <x v="1382"/>
    <x v="1382"/>
    <n v="133.040172839506"/>
  </r>
  <r>
    <x v="1383"/>
    <x v="1383"/>
    <n v="297.98070000000001"/>
  </r>
  <r>
    <x v="1384"/>
    <x v="1384"/>
    <n v="21021.044999999998"/>
  </r>
  <r>
    <x v="1385"/>
    <x v="1385"/>
    <n v="35492.258750000001"/>
  </r>
  <r>
    <x v="1386"/>
    <x v="1386"/>
    <n v="60431.385000000002"/>
  </r>
  <r>
    <x v="1387"/>
    <x v="1387"/>
    <n v="2296.8000000000002"/>
  </r>
  <r>
    <x v="1388"/>
    <x v="1388"/>
    <n v="132.82"/>
  </r>
  <r>
    <x v="1389"/>
    <x v="1389"/>
    <n v="313.90800000000002"/>
  </r>
  <r>
    <x v="1390"/>
    <x v="1390"/>
    <n v="0"/>
  </r>
  <r>
    <x v="1391"/>
    <x v="1391"/>
    <n v="10268.77"/>
  </r>
  <r>
    <x v="1392"/>
    <x v="1392"/>
    <n v="9389.2950000000001"/>
  </r>
  <r>
    <x v="1393"/>
    <x v="1393"/>
    <n v="4740.9089999999997"/>
  </r>
  <r>
    <x v="1394"/>
    <x v="1394"/>
    <n v="242551.3725"/>
  </r>
  <r>
    <x v="1395"/>
    <x v="1395"/>
    <n v="55834.496249999997"/>
  </r>
  <r>
    <x v="1396"/>
    <x v="1396"/>
    <n v="4416.5723749999997"/>
  </r>
  <r>
    <x v="1397"/>
    <x v="1397"/>
    <n v="8153.41"/>
  </r>
  <r>
    <x v="1398"/>
    <x v="1398"/>
    <n v="17.806000000000001"/>
  </r>
  <r>
    <x v="1399"/>
    <x v="1399"/>
    <n v="44.509"/>
  </r>
  <r>
    <x v="1400"/>
    <x v="1400"/>
    <n v="89.018500000000003"/>
  </r>
  <r>
    <x v="1401"/>
    <x v="1401"/>
    <n v="44.5092"/>
  </r>
  <r>
    <x v="1402"/>
    <x v="1402"/>
    <n v="73.845555555555507"/>
  </r>
  <r>
    <x v="1403"/>
    <x v="1403"/>
    <n v="329.37033333333301"/>
  </r>
  <r>
    <x v="1404"/>
    <x v="1404"/>
    <n v="202.392577777778"/>
  </r>
  <r>
    <x v="1405"/>
    <x v="1405"/>
    <n v="206.19946666666701"/>
  </r>
  <r>
    <x v="1406"/>
    <x v="1406"/>
    <n v="258.22863333333299"/>
  </r>
  <r>
    <x v="1407"/>
    <x v="1407"/>
    <n v="398.35566666666699"/>
  </r>
  <r>
    <x v="1408"/>
    <x v="1408"/>
    <n v="1182.9219000000001"/>
  </r>
  <r>
    <x v="1409"/>
    <x v="1409"/>
    <n v="334.46666666666698"/>
  </r>
  <r>
    <x v="1410"/>
    <x v="1410"/>
    <n v="841"/>
  </r>
  <r>
    <x v="1411"/>
    <x v="1411"/>
    <n v="313.60761030302098"/>
  </r>
  <r>
    <x v="1412"/>
    <x v="1412"/>
    <n v="154.72657398680488"/>
  </r>
  <r>
    <x v="1413"/>
    <x v="1413"/>
    <n v="321.163995011743"/>
  </r>
  <r>
    <x v="1414"/>
    <x v="1414"/>
    <n v="93.511158405141899"/>
  </r>
  <r>
    <x v="1415"/>
    <x v="1415"/>
    <n v="252.27875817506001"/>
  </r>
  <r>
    <x v="1416"/>
    <x v="1416"/>
    <n v="398"/>
  </r>
  <r>
    <x v="1417"/>
    <x v="1417"/>
    <n v="393.75"/>
  </r>
  <r>
    <x v="1418"/>
    <x v="1418"/>
    <n v="367.59987877071597"/>
  </r>
  <r>
    <x v="1419"/>
    <x v="1419"/>
    <n v="173.074584289927"/>
  </r>
  <r>
    <x v="1420"/>
    <x v="1420"/>
    <n v="577.19795454545499"/>
  </r>
  <r>
    <x v="1421"/>
    <x v="1421"/>
    <n v="539.92245107176143"/>
  </r>
  <r>
    <x v="1422"/>
    <x v="1422"/>
    <n v="40.401434054649499"/>
  </r>
  <r>
    <x v="1423"/>
    <x v="1423"/>
    <n v="150"/>
  </r>
  <r>
    <x v="1424"/>
    <x v="1424"/>
    <n v="1431.8924311926601"/>
  </r>
  <r>
    <x v="1425"/>
    <x v="1425"/>
    <n v="91.9388183612988"/>
  </r>
  <r>
    <x v="1426"/>
    <x v="1426"/>
    <n v="465206.4"/>
  </r>
  <r>
    <x v="1427"/>
    <x v="1427"/>
    <n v="3485.3423602020698"/>
  </r>
  <r>
    <x v="1428"/>
    <x v="1428"/>
    <n v="512.12"/>
  </r>
  <r>
    <x v="1429"/>
    <x v="1429"/>
    <n v="9979.26"/>
  </r>
  <r>
    <x v="1430"/>
    <x v="1430"/>
    <n v="23.2"/>
  </r>
  <r>
    <x v="1431"/>
    <x v="1431"/>
    <n v="70"/>
  </r>
  <r>
    <x v="1432"/>
    <x v="1432"/>
    <n v="123476.29"/>
  </r>
  <r>
    <x v="1433"/>
    <x v="1433"/>
    <n v="892.66807894500198"/>
  </r>
  <r>
    <x v="1434"/>
    <x v="1434"/>
    <n v="89.933621405821697"/>
  </r>
  <r>
    <x v="1435"/>
    <x v="1435"/>
    <n v="14975.0714285714"/>
  </r>
  <r>
    <x v="1436"/>
    <x v="1436"/>
    <n v="3835"/>
  </r>
  <r>
    <x v="1437"/>
    <x v="1437"/>
    <n v="3094.998"/>
  </r>
  <r>
    <x v="1438"/>
    <x v="1438"/>
    <n v="1103.3"/>
  </r>
  <r>
    <x v="1439"/>
    <x v="1439"/>
    <n v="19714"/>
  </r>
  <r>
    <x v="1440"/>
    <x v="1440"/>
    <n v="6960"/>
  </r>
  <r>
    <x v="1441"/>
    <x v="1441"/>
    <n v="183280"/>
  </r>
  <r>
    <x v="1442"/>
    <x v="1442"/>
    <n v="171492.23125000001"/>
  </r>
  <r>
    <x v="1443"/>
    <x v="1443"/>
    <n v="26000"/>
  </r>
  <r>
    <x v="1444"/>
    <x v="1444"/>
    <n v="12400"/>
  </r>
  <r>
    <x v="1445"/>
    <x v="1445"/>
    <n v="150023.15419354799"/>
  </r>
  <r>
    <x v="1446"/>
    <x v="1446"/>
    <n v="25"/>
  </r>
  <r>
    <x v="1447"/>
    <x v="1447"/>
    <n v="1324654.5019999999"/>
  </r>
  <r>
    <x v="1448"/>
    <x v="1448"/>
    <n v="732831.87"/>
  </r>
  <r>
    <x v="1449"/>
    <x v="1449"/>
    <n v="164.56"/>
  </r>
  <r>
    <x v="1450"/>
    <x v="1450"/>
    <n v="4408.6031666666704"/>
  </r>
  <r>
    <x v="1451"/>
    <x v="1451"/>
    <n v="26700"/>
  </r>
  <r>
    <x v="1452"/>
    <x v="1452"/>
    <n v="6591.6760000000004"/>
  </r>
  <r>
    <x v="1453"/>
    <x v="1453"/>
    <n v="24408.18"/>
  </r>
  <r>
    <x v="1454"/>
    <x v="1454"/>
    <n v="0"/>
  </r>
  <r>
    <x v="1455"/>
    <x v="1455"/>
    <n v="6350.42"/>
  </r>
  <r>
    <x v="1456"/>
    <x v="1456"/>
    <n v="2297.6014426322399"/>
  </r>
  <r>
    <x v="1457"/>
    <x v="1457"/>
    <n v="6171.4"/>
  </r>
  <r>
    <x v="1458"/>
    <x v="1458"/>
    <n v="2784"/>
  </r>
  <r>
    <x v="1459"/>
    <x v="1459"/>
    <n v="3686.8881690140802"/>
  </r>
  <r>
    <x v="1460"/>
    <x v="1460"/>
    <n v="512.12"/>
  </r>
  <r>
    <x v="1461"/>
    <x v="1461"/>
    <n v="574.80160000000001"/>
  </r>
  <r>
    <x v="1462"/>
    <x v="1462"/>
    <n v="139.63333333333301"/>
  </r>
  <r>
    <x v="1463"/>
    <x v="1463"/>
    <n v="1904.0550481278001"/>
  </r>
  <r>
    <x v="1464"/>
    <x v="1464"/>
    <n v="112.1"/>
  </r>
  <r>
    <x v="1465"/>
    <x v="1465"/>
    <n v="6136"/>
  </r>
  <r>
    <x v="1466"/>
    <x v="1466"/>
    <n v="146.32"/>
  </r>
  <r>
    <x v="1467"/>
    <x v="1467"/>
    <n v="1101.35294117647"/>
  </r>
  <r>
    <x v="1468"/>
    <x v="1468"/>
    <n v="696.2"/>
  </r>
  <r>
    <x v="1469"/>
    <x v="1469"/>
    <n v="468.066666666667"/>
  </r>
  <r>
    <x v="1470"/>
    <x v="1470"/>
    <n v="1327.5"/>
  </r>
  <r>
    <x v="1471"/>
    <x v="1471"/>
    <n v="803.60155555555605"/>
  </r>
  <r>
    <x v="1472"/>
    <x v="1472"/>
    <n v="407.9"/>
  </r>
  <r>
    <x v="1473"/>
    <x v="1473"/>
    <n v="1976.5"/>
  </r>
  <r>
    <x v="1474"/>
    <x v="1474"/>
    <n v="796.5"/>
  </r>
  <r>
    <x v="1475"/>
    <x v="1475"/>
    <n v="330.4"/>
  </r>
  <r>
    <x v="1476"/>
    <x v="1476"/>
    <n v="240120"/>
  </r>
  <r>
    <x v="1477"/>
    <x v="1477"/>
    <n v="206146.81797485999"/>
  </r>
  <r>
    <x v="1478"/>
    <x v="1478"/>
    <n v="17953.7"/>
  </r>
  <r>
    <x v="1479"/>
    <x v="1479"/>
    <n v="8317.2592166666709"/>
  </r>
  <r>
    <x v="1480"/>
    <x v="1480"/>
    <n v="15060"/>
  </r>
  <r>
    <x v="1481"/>
    <x v="1481"/>
    <n v="41.068524946638803"/>
  </r>
  <r>
    <x v="1482"/>
    <x v="1482"/>
    <n v="505343.64"/>
  </r>
  <r>
    <x v="1483"/>
    <x v="1483"/>
    <n v="64900"/>
  </r>
  <r>
    <x v="1484"/>
    <x v="1484"/>
    <n v="182.85664102955801"/>
  </r>
  <r>
    <x v="1485"/>
    <x v="1485"/>
    <n v="612.13214130434801"/>
  </r>
  <r>
    <x v="1486"/>
    <x v="1486"/>
    <n v="933.8"/>
  </r>
  <r>
    <x v="1487"/>
    <x v="1487"/>
    <n v="166.445333333333"/>
  </r>
  <r>
    <x v="1488"/>
    <x v="1488"/>
    <n v="2298.5071212121202"/>
  </r>
  <r>
    <x v="1489"/>
    <x v="1489"/>
    <n v="1273306.93"/>
  </r>
  <r>
    <x v="1490"/>
    <x v="1490"/>
    <n v="597.4"/>
  </r>
  <r>
    <x v="1491"/>
    <x v="1491"/>
    <n v="6601.56"/>
  </r>
  <r>
    <x v="1492"/>
    <x v="1492"/>
    <n v="2187.1640256340602"/>
  </r>
  <r>
    <x v="1493"/>
    <x v="1493"/>
    <n v="8121.1021739130401"/>
  </r>
  <r>
    <x v="1494"/>
    <x v="1494"/>
    <n v="20767.1971798864"/>
  </r>
  <r>
    <x v="1495"/>
    <x v="1495"/>
    <n v="22436.164188492101"/>
  </r>
  <r>
    <x v="1496"/>
    <x v="1496"/>
    <n v="43771.874555255301"/>
  </r>
  <r>
    <x v="1497"/>
    <x v="1497"/>
    <n v="8879.7166666666708"/>
  </r>
  <r>
    <x v="1498"/>
    <x v="1498"/>
    <n v="127785.60000000001"/>
  </r>
  <r>
    <x v="1499"/>
    <x v="1499"/>
    <n v="6494.66"/>
  </r>
  <r>
    <x v="1500"/>
    <x v="1500"/>
    <n v="171.60354228515399"/>
  </r>
  <r>
    <x v="1501"/>
    <x v="1501"/>
    <n v="183.75"/>
  </r>
  <r>
    <x v="1502"/>
    <x v="1502"/>
    <n v="24980.4411486395"/>
  </r>
  <r>
    <x v="1503"/>
    <x v="1503"/>
    <n v="551"/>
  </r>
  <r>
    <x v="1504"/>
    <x v="1504"/>
    <n v="1515.6045624032799"/>
  </r>
  <r>
    <x v="1505"/>
    <x v="1505"/>
    <n v="3359.2824903846199"/>
  </r>
  <r>
    <x v="1506"/>
    <x v="1506"/>
    <n v="1358.15131666667"/>
  </r>
  <r>
    <x v="1507"/>
    <x v="1507"/>
    <n v="545.27895391763195"/>
  </r>
  <r>
    <x v="1508"/>
    <x v="1508"/>
    <n v="269.71428571428601"/>
  </r>
  <r>
    <x v="1509"/>
    <x v="1509"/>
    <n v="2694.2171981455999"/>
  </r>
  <r>
    <x v="1510"/>
    <x v="1510"/>
    <n v="12040.12875"/>
  </r>
  <r>
    <x v="1511"/>
    <x v="1511"/>
    <n v="247.08"/>
  </r>
  <r>
    <x v="1512"/>
    <x v="1512"/>
    <n v="117011.52"/>
  </r>
  <r>
    <x v="1513"/>
    <x v="1513"/>
    <n v="1480.5631000000001"/>
  </r>
  <r>
    <x v="1514"/>
    <x v="1514"/>
    <n v="4060"/>
  </r>
  <r>
    <x v="1515"/>
    <x v="1515"/>
    <n v="231.76329999999999"/>
  </r>
  <r>
    <x v="1516"/>
    <x v="1516"/>
    <n v="51852"/>
  </r>
  <r>
    <x v="1517"/>
    <x v="1517"/>
    <n v="1624"/>
  </r>
  <r>
    <x v="1518"/>
    <x v="1518"/>
    <n v="4421.3468292682901"/>
  </r>
  <r>
    <x v="1519"/>
    <x v="1519"/>
    <n v="584.72028152966698"/>
  </r>
  <r>
    <x v="1520"/>
    <x v="1520"/>
    <n v="761.47338549990502"/>
  </r>
  <r>
    <x v="1521"/>
    <x v="1521"/>
    <n v="714.555555555556"/>
  </r>
  <r>
    <x v="1522"/>
    <x v="1522"/>
    <n v="775.94091795613497"/>
  </r>
  <r>
    <x v="1523"/>
    <x v="1523"/>
    <n v="678.5"/>
  </r>
  <r>
    <x v="1524"/>
    <x v="1524"/>
    <n v="220.4"/>
  </r>
  <r>
    <x v="1525"/>
    <x v="1525"/>
    <n v="165.72500108134099"/>
  </r>
  <r>
    <x v="1526"/>
    <x v="1526"/>
    <n v="1622.5"/>
  </r>
  <r>
    <x v="1527"/>
    <x v="1527"/>
    <n v="530.83198589743597"/>
  </r>
  <r>
    <x v="1528"/>
    <x v="1528"/>
    <n v="535.80873567493097"/>
  </r>
  <r>
    <x v="1529"/>
    <x v="1529"/>
    <n v="159416.49575757599"/>
  </r>
  <r>
    <x v="1530"/>
    <x v="1530"/>
    <n v="154388.29250000001"/>
  </r>
  <r>
    <x v="1531"/>
    <x v="1531"/>
    <n v="223172.41641666699"/>
  </r>
  <r>
    <x v="1532"/>
    <x v="1532"/>
    <n v="250502.660117647"/>
  </r>
  <r>
    <x v="1533"/>
    <x v="1533"/>
    <n v="0"/>
  </r>
  <r>
    <x v="1534"/>
    <x v="1534"/>
    <n v="3986.8941741071399"/>
  </r>
  <r>
    <x v="1535"/>
    <x v="1535"/>
    <n v="3401.03"/>
  </r>
  <r>
    <x v="1536"/>
    <x v="1536"/>
    <n v="777.37824999999998"/>
  </r>
  <r>
    <x v="1537"/>
    <x v="1537"/>
    <n v="728.79250000000002"/>
  </r>
  <r>
    <x v="1538"/>
    <x v="1538"/>
    <n v="1210.6749363368201"/>
  </r>
  <r>
    <x v="1539"/>
    <x v="1539"/>
    <n v="1059.43266145949"/>
  </r>
  <r>
    <x v="1540"/>
    <x v="1540"/>
    <n v="1049.88711248956"/>
  </r>
  <r>
    <x v="1541"/>
    <x v="1541"/>
    <n v="1163.16160606061"/>
  </r>
  <r>
    <x v="1542"/>
    <x v="1542"/>
    <n v="4329.5195999999996"/>
  </r>
  <r>
    <x v="1543"/>
    <x v="1543"/>
    <n v="4212.6000000000004"/>
  </r>
  <r>
    <x v="1544"/>
    <x v="1544"/>
    <n v="10053.326933333299"/>
  </r>
  <r>
    <x v="1545"/>
    <x v="1545"/>
    <n v="280.25"/>
  </r>
  <r>
    <x v="1546"/>
    <x v="1546"/>
    <n v="4554.7578571428603"/>
  </r>
  <r>
    <x v="1547"/>
    <x v="1547"/>
    <n v="4285.0519999999997"/>
  </r>
  <r>
    <x v="1548"/>
    <x v="1548"/>
    <n v="425"/>
  </r>
  <r>
    <x v="1549"/>
    <x v="1549"/>
    <n v="0"/>
  </r>
  <r>
    <x v="1550"/>
    <x v="1550"/>
    <n v="474.62419583333298"/>
  </r>
  <r>
    <x v="1551"/>
    <x v="1551"/>
    <n v="1460.25"/>
  </r>
  <r>
    <x v="1552"/>
    <x v="1552"/>
    <n v="16.035926091825299"/>
  </r>
  <r>
    <x v="1553"/>
    <x v="1553"/>
    <n v="1758.2"/>
  </r>
  <r>
    <x v="1554"/>
    <x v="1554"/>
    <n v="1758.2"/>
  </r>
  <r>
    <x v="1555"/>
    <x v="1555"/>
    <n v="111864"/>
  </r>
  <r>
    <x v="1556"/>
    <x v="1556"/>
    <n v="2289.3653030302999"/>
  </r>
  <r>
    <x v="1557"/>
    <x v="1557"/>
    <n v="11021.082"/>
  </r>
  <r>
    <x v="1558"/>
    <x v="1558"/>
    <n v="1817.2"/>
  </r>
  <r>
    <x v="1559"/>
    <x v="1559"/>
    <n v="890.45121463077999"/>
  </r>
  <r>
    <x v="1560"/>
    <x v="1560"/>
    <n v="890.45111455108395"/>
  </r>
  <r>
    <x v="1561"/>
    <x v="1561"/>
    <n v="890.451818181818"/>
  </r>
  <r>
    <x v="1562"/>
    <x v="1562"/>
    <n v="890.451470588235"/>
  </r>
  <r>
    <x v="1563"/>
    <x v="1563"/>
    <n v="468.01623931623902"/>
  </r>
  <r>
    <x v="1564"/>
    <x v="1564"/>
    <n v="501.5"/>
  </r>
  <r>
    <x v="1565"/>
    <x v="1565"/>
    <n v="768.13972222222196"/>
  </r>
  <r>
    <x v="1566"/>
    <x v="1566"/>
    <n v="2065"/>
  </r>
  <r>
    <x v="1567"/>
    <x v="1567"/>
    <n v="215.102214814815"/>
  </r>
  <r>
    <x v="1568"/>
    <x v="1568"/>
    <n v="259.60000000000002"/>
  </r>
  <r>
    <x v="1569"/>
    <x v="1569"/>
    <n v="1267.32"/>
  </r>
  <r>
    <x v="1570"/>
    <x v="1570"/>
    <n v="1770"/>
  </r>
  <r>
    <x v="1571"/>
    <x v="1571"/>
    <n v="4217.9496328502401"/>
  </r>
  <r>
    <x v="1572"/>
    <x v="1572"/>
    <n v="2008.8805452961701"/>
  </r>
  <r>
    <x v="1573"/>
    <x v="1573"/>
    <n v="2346.1176470588198"/>
  </r>
  <r>
    <x v="1574"/>
    <x v="1574"/>
    <n v="0"/>
  </r>
  <r>
    <x v="1575"/>
    <x v="1575"/>
    <n v="1356.528"/>
  </r>
  <r>
    <x v="1576"/>
    <x v="1576"/>
    <n v="2115.9772631578899"/>
  </r>
  <r>
    <x v="1577"/>
    <x v="1577"/>
    <n v="4096.2857142857101"/>
  </r>
  <r>
    <x v="1578"/>
    <x v="1578"/>
    <n v="2321.68067990891"/>
  </r>
  <r>
    <x v="1579"/>
    <x v="1579"/>
    <n v="8230.5"/>
  </r>
  <r>
    <x v="1580"/>
    <x v="1580"/>
    <n v="2091.12857142857"/>
  </r>
  <r>
    <x v="1581"/>
    <x v="1581"/>
    <n v="10726.2"/>
  </r>
  <r>
    <x v="1582"/>
    <x v="1582"/>
    <n v="80.239999999999995"/>
  </r>
  <r>
    <x v="1583"/>
    <x v="1583"/>
    <n v="2800.9659090909099"/>
  </r>
  <r>
    <x v="1584"/>
    <x v="1584"/>
    <n v="265.5"/>
  </r>
  <r>
    <x v="1585"/>
    <x v="1585"/>
    <n v="147.5"/>
  </r>
  <r>
    <x v="1586"/>
    <x v="1586"/>
    <n v="10065.549999999999"/>
  </r>
  <r>
    <x v="1587"/>
    <x v="1587"/>
    <n v="260.93342857142898"/>
  </r>
  <r>
    <x v="1588"/>
    <x v="1588"/>
    <n v="5010.5789333333296"/>
  </r>
  <r>
    <x v="1589"/>
    <x v="1589"/>
    <n v="120484.94"/>
  </r>
  <r>
    <x v="1590"/>
    <x v="1590"/>
    <n v="189.98"/>
  </r>
  <r>
    <x v="1591"/>
    <x v="1591"/>
    <n v="0"/>
  </r>
  <r>
    <x v="1592"/>
    <x v="1592"/>
    <n v="0"/>
  </r>
  <r>
    <x v="1593"/>
    <x v="1593"/>
    <n v="0"/>
  </r>
  <r>
    <x v="1594"/>
    <x v="1594"/>
    <n v="0"/>
  </r>
  <r>
    <x v="1595"/>
    <x v="1595"/>
    <n v="0"/>
  </r>
  <r>
    <x v="1596"/>
    <x v="1596"/>
    <n v="0"/>
  </r>
  <r>
    <x v="1597"/>
    <x v="1597"/>
    <n v="0"/>
  </r>
  <r>
    <x v="1598"/>
    <x v="1598"/>
    <n v="0"/>
  </r>
  <r>
    <x v="1599"/>
    <x v="1599"/>
    <n v="0"/>
  </r>
  <r>
    <x v="1600"/>
    <x v="1600"/>
    <n v="0"/>
  </r>
  <r>
    <x v="1601"/>
    <x v="1601"/>
    <n v="0"/>
  </r>
  <r>
    <x v="1602"/>
    <x v="1602"/>
    <n v="0"/>
  </r>
  <r>
    <x v="1603"/>
    <x v="1603"/>
    <n v="268.21009222919901"/>
  </r>
  <r>
    <x v="1604"/>
    <x v="1604"/>
    <n v="0"/>
  </r>
  <r>
    <x v="1605"/>
    <x v="1605"/>
    <n v="0"/>
  </r>
  <r>
    <x v="1606"/>
    <x v="1606"/>
    <n v="0"/>
  </r>
  <r>
    <x v="1607"/>
    <x v="1607"/>
    <n v="0"/>
  </r>
  <r>
    <x v="1608"/>
    <x v="1608"/>
    <n v="554.15946666666696"/>
  </r>
  <r>
    <x v="1609"/>
    <x v="1609"/>
    <n v="0"/>
  </r>
  <r>
    <x v="1610"/>
    <x v="1610"/>
    <n v="31.636870026525202"/>
  </r>
  <r>
    <x v="1611"/>
    <x v="1611"/>
    <n v="0"/>
  </r>
  <r>
    <x v="1612"/>
    <x v="1612"/>
    <n v="2490.2424999999998"/>
  </r>
  <r>
    <x v="1613"/>
    <x v="1613"/>
    <n v="0.66079996474867408"/>
  </r>
  <r>
    <x v="1614"/>
    <x v="1614"/>
    <n v="2860518.21"/>
  </r>
  <r>
    <x v="1615"/>
    <x v="1615"/>
    <n v="17919.055142857145"/>
  </r>
  <r>
    <x v="1616"/>
    <x v="1616"/>
    <n v="3329.7750286094501"/>
  </r>
  <r>
    <x v="1617"/>
    <x v="1617"/>
    <n v="28472.455999999998"/>
  </r>
  <r>
    <x v="1618"/>
    <x v="1618"/>
    <n v="13743.165000000001"/>
  </r>
  <r>
    <x v="1619"/>
    <x v="1619"/>
    <n v="6.1359999189068644"/>
  </r>
  <r>
    <x v="1620"/>
    <x v="1620"/>
    <n v="34.113800042363906"/>
  </r>
  <r>
    <x v="1621"/>
    <x v="1621"/>
    <n v="27.151800098445143"/>
  </r>
  <r>
    <x v="1622"/>
    <x v="1622"/>
    <n v="10571.833765290499"/>
  </r>
  <r>
    <x v="1623"/>
    <x v="1623"/>
    <n v="6937.7644151971499"/>
  </r>
  <r>
    <x v="1624"/>
    <x v="1624"/>
    <n v="391097.23333333334"/>
  </r>
  <r>
    <x v="1625"/>
    <x v="1625"/>
    <n v="905355"/>
  </r>
  <r>
    <x v="1626"/>
    <x v="1626"/>
    <n v="503.69425000000001"/>
  </r>
  <r>
    <x v="1627"/>
    <x v="1627"/>
    <n v="259.01"/>
  </r>
  <r>
    <x v="1628"/>
    <x v="1628"/>
    <n v="31886036.215"/>
  </r>
  <r>
    <x v="1629"/>
    <x v="1629"/>
    <n v="33102628.329999998"/>
  </r>
  <r>
    <x v="1630"/>
    <x v="1630"/>
    <n v="27790627.890000001"/>
  </r>
  <r>
    <x v="1631"/>
    <x v="1631"/>
    <n v="17159.0979321267"/>
  </r>
  <r>
    <x v="1632"/>
    <x v="1632"/>
    <n v="61776.81"/>
  </r>
  <r>
    <x v="1633"/>
    <x v="1633"/>
    <n v="600.7970015948963"/>
  </r>
  <r>
    <x v="1634"/>
    <x v="1634"/>
    <n v="55925.43"/>
  </r>
  <r>
    <x v="1635"/>
    <x v="1635"/>
    <n v="70175"/>
  </r>
  <r>
    <x v="1636"/>
    <x v="1636"/>
    <n v="80115.58"/>
  </r>
  <r>
    <x v="1637"/>
    <x v="1637"/>
    <n v="116167.5"/>
  </r>
  <r>
    <x v="1638"/>
    <x v="1638"/>
    <n v="702548.4"/>
  </r>
  <r>
    <x v="1639"/>
    <x v="1639"/>
    <n v="3340.2862500000001"/>
  </r>
  <r>
    <x v="1640"/>
    <x v="1640"/>
    <n v="230.1"/>
  </r>
  <r>
    <x v="1641"/>
    <x v="1641"/>
    <n v="96.553826679649461"/>
  </r>
  <r>
    <x v="1642"/>
    <x v="1642"/>
    <n v="1444.2711538461499"/>
  </r>
  <r>
    <x v="1643"/>
    <x v="1643"/>
    <n v="48148.372222222199"/>
  </r>
  <r>
    <x v="1644"/>
    <x v="1644"/>
    <n v="64361.595000000001"/>
  </r>
  <r>
    <x v="1645"/>
    <x v="1645"/>
    <n v="384306.74285714288"/>
  </r>
  <r>
    <x v="1646"/>
    <x v="1646"/>
    <n v="384306.7415"/>
  </r>
  <r>
    <x v="1647"/>
    <x v="1647"/>
    <n v="561063.18181818177"/>
  </r>
  <r>
    <x v="1648"/>
    <x v="1648"/>
    <n v="1233100"/>
  </r>
  <r>
    <x v="1649"/>
    <x v="1649"/>
    <n v="1233.7923333333299"/>
  </r>
  <r>
    <x v="1650"/>
    <x v="1650"/>
    <n v="270.37135779816498"/>
  </r>
  <r>
    <x v="1651"/>
    <x v="1651"/>
    <n v="121.285257936508"/>
  </r>
  <r>
    <x v="1652"/>
    <x v="1652"/>
    <n v="113.756774124003"/>
  </r>
  <r>
    <x v="1653"/>
    <x v="1651"/>
    <n v="223.23240074392999"/>
  </r>
  <r>
    <x v="1654"/>
    <x v="1652"/>
    <n v="228.77839449541301"/>
  </r>
  <r>
    <x v="1655"/>
    <x v="1653"/>
    <n v="298.93"/>
  </r>
  <r>
    <x v="1656"/>
    <x v="1654"/>
    <n v="988.25"/>
  </r>
  <r>
    <x v="1657"/>
    <x v="1655"/>
    <n v="793.56007399272903"/>
  </r>
  <r>
    <x v="1658"/>
    <x v="1656"/>
    <n v="861.80905263157899"/>
  </r>
  <r>
    <x v="1659"/>
    <x v="1657"/>
    <n v="1135.7068648473"/>
  </r>
  <r>
    <x v="1660"/>
    <x v="1658"/>
    <n v="1768.4190000000001"/>
  </r>
  <r>
    <x v="1661"/>
    <x v="1659"/>
    <n v="322.23387603987402"/>
  </r>
  <r>
    <x v="1662"/>
    <x v="1660"/>
    <n v="0"/>
  </r>
  <r>
    <x v="1663"/>
    <x v="1661"/>
    <n v="277.3"/>
  </r>
  <r>
    <x v="1664"/>
    <x v="1662"/>
    <n v="405.92"/>
  </r>
  <r>
    <x v="1665"/>
    <x v="1663"/>
    <n v="407.1"/>
  </r>
  <r>
    <x v="1666"/>
    <x v="1664"/>
    <n v="49135.94341040463"/>
  </r>
  <r>
    <x v="1667"/>
    <x v="1665"/>
    <n v="7447.6849019607798"/>
  </r>
  <r>
    <x v="1668"/>
    <x v="1666"/>
    <n v="7723.5157657657701"/>
  </r>
  <r>
    <x v="1669"/>
    <x v="1667"/>
    <n v="8275.2649999999994"/>
  </r>
  <r>
    <x v="1670"/>
    <x v="1668"/>
    <n v="7427.9316624525909"/>
  </r>
  <r>
    <x v="1671"/>
    <x v="1669"/>
    <n v="1553.0098338560199"/>
  </r>
  <r>
    <x v="1672"/>
    <x v="1670"/>
    <n v="1454.4207142857099"/>
  </r>
  <r>
    <x v="1673"/>
    <x v="1671"/>
    <n v="31152"/>
  </r>
  <r>
    <x v="1674"/>
    <x v="1672"/>
    <n v="45277.716125850297"/>
  </r>
  <r>
    <x v="1675"/>
    <x v="1673"/>
    <n v="160.19"/>
  </r>
  <r>
    <x v="1676"/>
    <x v="1674"/>
    <n v="8.2608695652173908E-3"/>
  </r>
  <r>
    <x v="1677"/>
    <x v="1675"/>
    <n v="8.6666666666666697E-3"/>
  </r>
  <r>
    <x v="1678"/>
    <x v="1676"/>
    <n v="4581.7779301587298"/>
  </r>
  <r>
    <x v="1679"/>
    <x v="1677"/>
    <n v="15046.0572722408"/>
  </r>
  <r>
    <x v="1680"/>
    <x v="1678"/>
    <n v="17711.054736842099"/>
  </r>
  <r>
    <x v="1681"/>
    <x v="1679"/>
    <n v="61814.3"/>
  </r>
  <r>
    <x v="1682"/>
    <x v="1680"/>
    <n v="851.32295238095196"/>
  </r>
  <r>
    <x v="1683"/>
    <x v="1681"/>
    <n v="0.01"/>
  </r>
  <r>
    <x v="1684"/>
    <x v="1682"/>
    <n v="0.01"/>
  </r>
  <r>
    <x v="1685"/>
    <x v="1683"/>
    <n v="0.01"/>
  </r>
  <r>
    <x v="1686"/>
    <x v="1684"/>
    <n v="0.01"/>
  </r>
  <r>
    <x v="1687"/>
    <x v="1685"/>
    <n v="0.01"/>
  </r>
  <r>
    <x v="1688"/>
    <x v="1686"/>
    <n v="0.01"/>
  </r>
  <r>
    <x v="1689"/>
    <x v="1687"/>
    <n v="0.01"/>
  </r>
  <r>
    <x v="1690"/>
    <x v="1688"/>
    <n v="0.01"/>
  </r>
  <r>
    <x v="1691"/>
    <x v="1689"/>
    <n v="491.82404351059199"/>
  </r>
  <r>
    <x v="1692"/>
    <x v="1690"/>
    <n v="0.01"/>
  </r>
  <r>
    <x v="1693"/>
    <x v="1691"/>
    <n v="0.01"/>
  </r>
  <r>
    <x v="1694"/>
    <x v="1692"/>
    <n v="0.01"/>
  </r>
  <r>
    <x v="1695"/>
    <x v="1693"/>
    <n v="0.01"/>
  </r>
  <r>
    <x v="1696"/>
    <x v="1694"/>
    <n v="0.01"/>
  </r>
  <r>
    <x v="1697"/>
    <x v="1695"/>
    <n v="0.01"/>
  </r>
  <r>
    <x v="1698"/>
    <x v="1696"/>
    <n v="0.01"/>
  </r>
  <r>
    <x v="1699"/>
    <x v="1697"/>
    <n v="5.0000000000000001E-3"/>
  </r>
  <r>
    <x v="1700"/>
    <x v="1698"/>
    <n v="1455.8249275362318"/>
  </r>
  <r>
    <x v="1701"/>
    <x v="1699"/>
    <n v="645.97919917959496"/>
  </r>
  <r>
    <x v="1702"/>
    <x v="1700"/>
    <n v="697144.59"/>
  </r>
  <r>
    <x v="1703"/>
    <x v="1701"/>
    <n v="1144.1279999999999"/>
  </r>
  <r>
    <x v="1704"/>
    <x v="1702"/>
    <n v="24957"/>
  </r>
  <r>
    <x v="1705"/>
    <x v="1703"/>
    <n v="301.37595369730479"/>
  </r>
  <r>
    <x v="1706"/>
    <x v="1704"/>
    <n v="135.69999999999999"/>
  </r>
  <r>
    <x v="1707"/>
    <x v="1705"/>
    <n v="114.43"/>
  </r>
  <r>
    <x v="1063"/>
    <x v="1063"/>
    <n v="151.46285714285716"/>
  </r>
  <r>
    <x v="1708"/>
    <x v="1706"/>
    <n v="64.434705349388395"/>
  </r>
  <r>
    <x v="1709"/>
    <x v="1707"/>
    <n v="944"/>
  </r>
  <r>
    <x v="1710"/>
    <x v="1708"/>
    <n v="154177.255"/>
  </r>
  <r>
    <x v="1711"/>
    <x v="1709"/>
    <n v="386.22345400421494"/>
  </r>
  <r>
    <x v="1712"/>
    <x v="1710"/>
    <n v="126.67607073378301"/>
  </r>
  <r>
    <x v="1713"/>
    <x v="1711"/>
    <n v="3958"/>
  </r>
  <r>
    <x v="1714"/>
    <x v="1712"/>
    <n v="5000"/>
  </r>
  <r>
    <x v="1715"/>
    <x v="1713"/>
    <n v="30"/>
  </r>
  <r>
    <x v="1716"/>
    <x v="1714"/>
    <n v="300"/>
  </r>
  <r>
    <x v="1717"/>
    <x v="1715"/>
    <n v="35"/>
  </r>
  <r>
    <x v="1718"/>
    <x v="1716"/>
    <n v="45"/>
  </r>
  <r>
    <x v="1719"/>
    <x v="1717"/>
    <n v="26603.1"/>
  </r>
  <r>
    <x v="1720"/>
    <x v="1718"/>
    <n v="1350"/>
  </r>
  <r>
    <x v="982"/>
    <x v="982"/>
    <n v="16000"/>
  </r>
  <r>
    <x v="1721"/>
    <x v="1719"/>
    <n v="55000"/>
  </r>
  <r>
    <x v="1722"/>
    <x v="1720"/>
    <n v="23.5"/>
  </r>
  <r>
    <x v="1723"/>
    <x v="1721"/>
    <n v="16638"/>
  </r>
  <r>
    <x v="1724"/>
    <x v="1722"/>
    <n v="2971.7356068693434"/>
  </r>
  <r>
    <x v="0"/>
    <x v="0"/>
    <n v="26.390373289091663"/>
  </r>
  <r>
    <x v="3"/>
    <x v="3"/>
    <n v="438.48427524752475"/>
  </r>
  <r>
    <x v="4"/>
    <x v="4"/>
    <n v="391.11160573808422"/>
  </r>
  <r>
    <x v="5"/>
    <x v="5"/>
    <n v="910.823475177305"/>
  </r>
  <r>
    <x v="7"/>
    <x v="7"/>
    <n v="583.28"/>
  </r>
  <r>
    <x v="11"/>
    <x v="11"/>
    <n v="19.178837209302323"/>
  </r>
  <r>
    <x v="12"/>
    <x v="12"/>
    <n v="795.63949824970837"/>
  </r>
  <r>
    <x v="14"/>
    <x v="14"/>
    <n v="28"/>
  </r>
  <r>
    <x v="15"/>
    <x v="15"/>
    <n v="7481.3243999999995"/>
  </r>
  <r>
    <x v="16"/>
    <x v="16"/>
    <n v="2431.25"/>
  </r>
  <r>
    <x v="17"/>
    <x v="17"/>
    <n v="1914.6761111111109"/>
  </r>
  <r>
    <x v="25"/>
    <x v="25"/>
    <n v="40.36"/>
  </r>
  <r>
    <x v="26"/>
    <x v="26"/>
    <n v="0"/>
  </r>
  <r>
    <x v="27"/>
    <x v="27"/>
    <n v="26.2"/>
  </r>
  <r>
    <x v="30"/>
    <x v="30"/>
    <n v="156.05000000000001"/>
  </r>
  <r>
    <x v="31"/>
    <x v="31"/>
    <n v="240.72"/>
  </r>
  <r>
    <x v="32"/>
    <x v="32"/>
    <n v="220.54"/>
  </r>
  <r>
    <x v="34"/>
    <x v="34"/>
    <n v="370.59189632545935"/>
  </r>
  <r>
    <x v="35"/>
    <x v="35"/>
    <n v="32.81"/>
  </r>
  <r>
    <x v="39"/>
    <x v="39"/>
    <n v="1622.5"/>
  </r>
  <r>
    <x v="44"/>
    <x v="44"/>
    <n v="0"/>
  </r>
  <r>
    <x v="45"/>
    <x v="45"/>
    <n v="386.92874999999998"/>
  </r>
  <r>
    <x v="50"/>
    <x v="50"/>
    <n v="1250.93"/>
  </r>
  <r>
    <x v="51"/>
    <x v="51"/>
    <n v="938.74714285714276"/>
  </r>
  <r>
    <x v="52"/>
    <x v="52"/>
    <n v="1181.5567800000001"/>
  </r>
  <r>
    <x v="65"/>
    <x v="65"/>
    <n v="52.483291548359816"/>
  </r>
  <r>
    <x v="66"/>
    <x v="66"/>
    <n v="66.902282260931401"/>
  </r>
  <r>
    <x v="72"/>
    <x v="72"/>
    <n v="29.299333333333333"/>
  </r>
  <r>
    <x v="76"/>
    <x v="76"/>
    <n v="177.66000000000003"/>
  </r>
  <r>
    <x v="78"/>
    <x v="78"/>
    <n v="170.49877729257642"/>
  </r>
  <r>
    <x v="81"/>
    <x v="81"/>
    <n v="146.02000000000001"/>
  </r>
  <r>
    <x v="82"/>
    <x v="82"/>
    <n v="352.08499999999998"/>
  </r>
  <r>
    <x v="83"/>
    <x v="83"/>
    <n v="38.694401812397572"/>
  </r>
  <r>
    <x v="84"/>
    <x v="84"/>
    <n v="82.860055429005314"/>
  </r>
  <r>
    <x v="85"/>
    <x v="85"/>
    <n v="122.75028738555443"/>
  </r>
  <r>
    <x v="95"/>
    <x v="95"/>
    <n v="15169.934605263159"/>
  </r>
  <r>
    <x v="126"/>
    <x v="126"/>
    <n v="481.4"/>
  </r>
  <r>
    <x v="147"/>
    <x v="147"/>
    <n v="459.91804878048777"/>
  </r>
  <r>
    <x v="149"/>
    <x v="149"/>
    <n v="1026.6000000000001"/>
  </r>
  <r>
    <x v="154"/>
    <x v="154"/>
    <n v="1711.8000000000002"/>
  </r>
  <r>
    <x v="165"/>
    <x v="165"/>
    <n v="14857.307500000001"/>
  </r>
  <r>
    <x v="169"/>
    <x v="169"/>
    <n v="649"/>
  </r>
  <r>
    <x v="182"/>
    <x v="182"/>
    <n v="1587.19"/>
  </r>
  <r>
    <x v="183"/>
    <x v="183"/>
    <n v="1254.1500000000001"/>
  </r>
  <r>
    <x v="187"/>
    <x v="187"/>
    <n v="30.022405821917808"/>
  </r>
  <r>
    <x v="188"/>
    <x v="188"/>
    <n v="796.5"/>
  </r>
  <r>
    <x v="191"/>
    <x v="191"/>
    <n v="1345.6"/>
  </r>
  <r>
    <x v="193"/>
    <x v="193"/>
    <n v="2850.7501834862387"/>
  </r>
  <r>
    <x v="194"/>
    <x v="194"/>
    <n v="2950"/>
  </r>
  <r>
    <x v="217"/>
    <x v="217"/>
    <n v="1615.4297627118644"/>
  </r>
  <r>
    <x v="219"/>
    <x v="219"/>
    <n v="5741.1529629629631"/>
  </r>
  <r>
    <x v="236"/>
    <x v="236"/>
    <n v="1239.4785093167702"/>
  </r>
  <r>
    <x v="237"/>
    <x v="237"/>
    <n v="190.37428888888888"/>
  </r>
  <r>
    <x v="238"/>
    <x v="238"/>
    <n v="206.13419138755978"/>
  </r>
  <r>
    <x v="239"/>
    <x v="239"/>
    <n v="372.62040423484115"/>
  </r>
  <r>
    <x v="241"/>
    <x v="241"/>
    <n v="1225.6980801491147"/>
  </r>
  <r>
    <x v="248"/>
    <x v="248"/>
    <n v="23148.524736842104"/>
  </r>
  <r>
    <x v="249"/>
    <x v="249"/>
    <n v="7670"/>
  </r>
  <r>
    <x v="250"/>
    <x v="250"/>
    <n v="3365.989829749104"/>
  </r>
  <r>
    <x v="253"/>
    <x v="253"/>
    <n v="24780"/>
  </r>
  <r>
    <x v="256"/>
    <x v="256"/>
    <n v="50863.012499999997"/>
  </r>
  <r>
    <x v="257"/>
    <x v="257"/>
    <n v="37462.133333333331"/>
  </r>
  <r>
    <x v="258"/>
    <x v="258"/>
    <n v="24271.133076923077"/>
  </r>
  <r>
    <x v="259"/>
    <x v="259"/>
    <n v="15930"/>
  </r>
  <r>
    <x v="261"/>
    <x v="261"/>
    <n v="82.600000000000009"/>
  </r>
  <r>
    <x v="268"/>
    <x v="268"/>
    <n v="2842.8178260869563"/>
  </r>
  <r>
    <x v="270"/>
    <x v="270"/>
    <n v="2419"/>
  </r>
  <r>
    <x v="1725"/>
    <x v="1723"/>
    <n v="588.21833333333336"/>
  </r>
  <r>
    <x v="277"/>
    <x v="277"/>
    <n v="47.160000000000004"/>
  </r>
  <r>
    <x v="279"/>
    <x v="279"/>
    <n v="103.99458936324169"/>
  </r>
  <r>
    <x v="280"/>
    <x v="280"/>
    <n v="74.429502992021284"/>
  </r>
  <r>
    <x v="282"/>
    <x v="282"/>
    <n v="0"/>
  </r>
  <r>
    <x v="283"/>
    <x v="283"/>
    <n v="0"/>
  </r>
  <r>
    <x v="287"/>
    <x v="287"/>
    <n v="1274.3999999999999"/>
  </r>
  <r>
    <x v="290"/>
    <x v="290"/>
    <n v="660.80612958519032"/>
  </r>
  <r>
    <x v="291"/>
    <x v="291"/>
    <n v="650"/>
  </r>
  <r>
    <x v="295"/>
    <x v="295"/>
    <n v="1890"/>
  </r>
  <r>
    <x v="298"/>
    <x v="298"/>
    <n v="224"/>
  </r>
  <r>
    <x v="303"/>
    <x v="303"/>
    <n v="2950"/>
  </r>
  <r>
    <x v="304"/>
    <x v="304"/>
    <n v="2904.38375"/>
  </r>
  <r>
    <x v="305"/>
    <x v="305"/>
    <n v="2913.3758666666668"/>
  </r>
  <r>
    <x v="306"/>
    <x v="306"/>
    <n v="5354.2078899082571"/>
  </r>
  <r>
    <x v="307"/>
    <x v="307"/>
    <n v="1071.21"/>
  </r>
  <r>
    <x v="309"/>
    <x v="309"/>
    <n v="399.68384856943476"/>
  </r>
  <r>
    <x v="311"/>
    <x v="311"/>
    <n v="50307.94933333333"/>
  </r>
  <r>
    <x v="312"/>
    <x v="312"/>
    <n v="32109.629999999997"/>
  </r>
  <r>
    <x v="313"/>
    <x v="313"/>
    <n v="19775.629946808509"/>
  </r>
  <r>
    <x v="315"/>
    <x v="315"/>
    <n v="16225"/>
  </r>
  <r>
    <x v="316"/>
    <x v="316"/>
    <n v="0"/>
  </r>
  <r>
    <x v="318"/>
    <x v="318"/>
    <n v="0"/>
  </r>
  <r>
    <x v="319"/>
    <x v="319"/>
    <n v="2.9904883018540729"/>
  </r>
  <r>
    <x v="320"/>
    <x v="320"/>
    <n v="4.63"/>
  </r>
  <r>
    <x v="322"/>
    <x v="322"/>
    <n v="965.02951140065136"/>
  </r>
  <r>
    <x v="323"/>
    <x v="323"/>
    <n v="234.9"/>
  </r>
  <r>
    <x v="324"/>
    <x v="324"/>
    <n v="49.391002506265657"/>
  </r>
  <r>
    <x v="327"/>
    <x v="327"/>
    <n v="4370.28"/>
  </r>
  <r>
    <x v="329"/>
    <x v="329"/>
    <n v="1878.15"/>
  </r>
  <r>
    <x v="330"/>
    <x v="330"/>
    <n v="6131.9571428571435"/>
  </r>
  <r>
    <x v="331"/>
    <x v="331"/>
    <n v="6398.79"/>
  </r>
  <r>
    <x v="1726"/>
    <x v="1724"/>
    <n v="0"/>
  </r>
  <r>
    <x v="340"/>
    <x v="340"/>
    <n v="0"/>
  </r>
  <r>
    <x v="343"/>
    <x v="343"/>
    <n v="16.659115044247788"/>
  </r>
  <r>
    <x v="1727"/>
    <x v="1725"/>
    <n v="0"/>
  </r>
  <r>
    <x v="344"/>
    <x v="344"/>
    <n v="0"/>
  </r>
  <r>
    <x v="347"/>
    <x v="347"/>
    <n v="5778.1511764705883"/>
  </r>
  <r>
    <x v="349"/>
    <x v="349"/>
    <n v="3630.13"/>
  </r>
  <r>
    <x v="355"/>
    <x v="355"/>
    <n v="212.4"/>
  </r>
  <r>
    <x v="356"/>
    <x v="356"/>
    <n v="88.479308922124815"/>
  </r>
  <r>
    <x v="357"/>
    <x v="357"/>
    <n v="88.5"/>
  </r>
  <r>
    <x v="358"/>
    <x v="358"/>
    <n v="769.49322033898295"/>
  </r>
  <r>
    <x v="359"/>
    <x v="359"/>
    <n v="88.5"/>
  </r>
  <r>
    <x v="360"/>
    <x v="360"/>
    <n v="88.5"/>
  </r>
  <r>
    <x v="361"/>
    <x v="361"/>
    <n v="764.6669633507853"/>
  </r>
  <r>
    <x v="362"/>
    <x v="362"/>
    <n v="106.22969696969697"/>
  </r>
  <r>
    <x v="363"/>
    <x v="363"/>
    <n v="108"/>
  </r>
  <r>
    <x v="365"/>
    <x v="365"/>
    <n v="119.41658914728683"/>
  </r>
  <r>
    <x v="366"/>
    <x v="366"/>
    <n v="88.5"/>
  </r>
  <r>
    <x v="367"/>
    <x v="367"/>
    <n v="179.26"/>
  </r>
  <r>
    <x v="368"/>
    <x v="368"/>
    <n v="119.14849056603774"/>
  </r>
  <r>
    <x v="369"/>
    <x v="369"/>
    <n v="88.5"/>
  </r>
  <r>
    <x v="370"/>
    <x v="370"/>
    <n v="231.28"/>
  </r>
  <r>
    <x v="371"/>
    <x v="371"/>
    <n v="218.38093567251462"/>
  </r>
  <r>
    <x v="375"/>
    <x v="375"/>
    <n v="88.5"/>
  </r>
  <r>
    <x v="376"/>
    <x v="376"/>
    <n v="106.2"/>
  </r>
  <r>
    <x v="377"/>
    <x v="377"/>
    <n v="174.20968253968255"/>
  </r>
  <r>
    <x v="378"/>
    <x v="378"/>
    <n v="355.44798165137615"/>
  </r>
  <r>
    <x v="379"/>
    <x v="379"/>
    <n v="252.52"/>
  </r>
  <r>
    <x v="380"/>
    <x v="380"/>
    <n v="368.39867532467531"/>
  </r>
  <r>
    <x v="381"/>
    <x v="381"/>
    <n v="74.858584905660379"/>
  </r>
  <r>
    <x v="384"/>
    <x v="384"/>
    <n v="147.65"/>
  </r>
  <r>
    <x v="386"/>
    <x v="386"/>
    <n v="1806.2700000000002"/>
  </r>
  <r>
    <x v="394"/>
    <x v="394"/>
    <n v="1238.8"/>
  </r>
  <r>
    <x v="396"/>
    <x v="396"/>
    <n v="151.11042506445287"/>
  </r>
  <r>
    <x v="397"/>
    <x v="397"/>
    <n v="522.73292452830196"/>
  </r>
  <r>
    <x v="399"/>
    <x v="399"/>
    <n v="466.06668486352356"/>
  </r>
  <r>
    <x v="400"/>
    <x v="400"/>
    <n v="445"/>
  </r>
  <r>
    <x v="401"/>
    <x v="401"/>
    <n v="347.23271963924736"/>
  </r>
  <r>
    <x v="402"/>
    <x v="402"/>
    <n v="206.21999999999997"/>
  </r>
  <r>
    <x v="403"/>
    <x v="403"/>
    <n v="154.80999999999997"/>
  </r>
  <r>
    <x v="1728"/>
    <x v="1726"/>
    <n v="0"/>
  </r>
  <r>
    <x v="404"/>
    <x v="404"/>
    <n v="321.61494708343588"/>
  </r>
  <r>
    <x v="406"/>
    <x v="406"/>
    <n v="463.86659730722158"/>
  </r>
  <r>
    <x v="412"/>
    <x v="412"/>
    <n v="169.42383233532934"/>
  </r>
  <r>
    <x v="414"/>
    <x v="414"/>
    <n v="46.44"/>
  </r>
  <r>
    <x v="417"/>
    <x v="417"/>
    <n v="15636.608064516129"/>
  </r>
  <r>
    <x v="418"/>
    <x v="418"/>
    <n v="10150.974736842105"/>
  </r>
  <r>
    <x v="419"/>
    <x v="419"/>
    <n v="1799.54"/>
  </r>
  <r>
    <x v="420"/>
    <x v="420"/>
    <n v="3053.1311053351574"/>
  </r>
  <r>
    <x v="421"/>
    <x v="421"/>
    <n v="13.482526937377372"/>
  </r>
  <r>
    <x v="1729"/>
    <x v="1727"/>
    <n v="0"/>
  </r>
  <r>
    <x v="428"/>
    <x v="428"/>
    <n v="61.292051832598787"/>
  </r>
  <r>
    <x v="429"/>
    <x v="429"/>
    <n v="74614.69"/>
  </r>
  <r>
    <x v="430"/>
    <x v="430"/>
    <n v="16788.215909090908"/>
  </r>
  <r>
    <x v="431"/>
    <x v="431"/>
    <n v="7198"/>
  </r>
  <r>
    <x v="432"/>
    <x v="432"/>
    <n v="1164"/>
  </r>
  <r>
    <x v="433"/>
    <x v="433"/>
    <n v="1608.1431271477663"/>
  </r>
  <r>
    <x v="436"/>
    <x v="436"/>
    <n v="1033.6531536926148"/>
  </r>
  <r>
    <x v="439"/>
    <x v="439"/>
    <n v="17.584944979367261"/>
  </r>
  <r>
    <x v="440"/>
    <x v="440"/>
    <n v="38.780163958003733"/>
  </r>
  <r>
    <x v="442"/>
    <x v="442"/>
    <n v="16.422774086378737"/>
  </r>
  <r>
    <x v="449"/>
    <x v="449"/>
    <n v="4670.9299999999994"/>
  </r>
  <r>
    <x v="450"/>
    <x v="450"/>
    <n v="0"/>
  </r>
  <r>
    <x v="457"/>
    <x v="457"/>
    <n v="42331.001666666671"/>
  </r>
  <r>
    <x v="458"/>
    <x v="458"/>
    <n v="639757.96"/>
  </r>
  <r>
    <x v="459"/>
    <x v="459"/>
    <n v="56581"/>
  </r>
  <r>
    <x v="461"/>
    <x v="461"/>
    <n v="7.0230618615209988"/>
  </r>
  <r>
    <x v="468"/>
    <x v="468"/>
    <n v="3.7119999999999997"/>
  </r>
  <r>
    <x v="470"/>
    <x v="470"/>
    <n v="3.9386648935734918"/>
  </r>
  <r>
    <x v="474"/>
    <x v="474"/>
    <n v="1.6520048602673145"/>
  </r>
  <r>
    <x v="475"/>
    <x v="475"/>
    <n v="1.5815310292323022"/>
  </r>
  <r>
    <x v="477"/>
    <x v="477"/>
    <n v="7.1500000651045896"/>
  </r>
  <r>
    <x v="480"/>
    <x v="480"/>
    <n v="2126.8030246913581"/>
  </r>
  <r>
    <x v="483"/>
    <x v="483"/>
    <n v="398.99"/>
  </r>
  <r>
    <x v="484"/>
    <x v="484"/>
    <n v="358.23410070310729"/>
  </r>
  <r>
    <x v="486"/>
    <x v="486"/>
    <n v="125"/>
  </r>
  <r>
    <x v="487"/>
    <x v="487"/>
    <n v="235.83261856137963"/>
  </r>
  <r>
    <x v="488"/>
    <x v="488"/>
    <n v="56.566265227447964"/>
  </r>
  <r>
    <x v="508"/>
    <x v="508"/>
    <n v="512.5"/>
  </r>
  <r>
    <x v="515"/>
    <x v="515"/>
    <n v="41772"/>
  </r>
  <r>
    <x v="521"/>
    <x v="521"/>
    <n v="282.51756582884497"/>
  </r>
  <r>
    <x v="531"/>
    <x v="531"/>
    <n v="136924.31527777776"/>
  </r>
  <r>
    <x v="1730"/>
    <x v="1728"/>
    <n v="13117.812222222223"/>
  </r>
  <r>
    <x v="540"/>
    <x v="540"/>
    <n v="16300.28"/>
  </r>
  <r>
    <x v="544"/>
    <x v="544"/>
    <n v="644.28"/>
  </r>
  <r>
    <x v="545"/>
    <x v="545"/>
    <n v="710.36"/>
  </r>
  <r>
    <x v="546"/>
    <x v="546"/>
    <n v="812.09957894736851"/>
  </r>
  <r>
    <x v="549"/>
    <x v="549"/>
    <n v="178.76"/>
  </r>
  <r>
    <x v="550"/>
    <x v="550"/>
    <n v="786.10585139970533"/>
  </r>
  <r>
    <x v="551"/>
    <x v="551"/>
    <n v="5.0032034294621974"/>
  </r>
  <r>
    <x v="552"/>
    <x v="552"/>
    <n v="1.91"/>
  </r>
  <r>
    <x v="553"/>
    <x v="553"/>
    <n v="13.77028257456829"/>
  </r>
  <r>
    <x v="554"/>
    <x v="554"/>
    <n v="51.315151515151513"/>
  </r>
  <r>
    <x v="555"/>
    <x v="555"/>
    <n v="7.89"/>
  </r>
  <r>
    <x v="557"/>
    <x v="557"/>
    <n v="355.66063291139244"/>
  </r>
  <r>
    <x v="1731"/>
    <x v="1729"/>
    <n v="16.484545454545454"/>
  </r>
  <r>
    <x v="559"/>
    <x v="559"/>
    <n v="0"/>
  </r>
  <r>
    <x v="560"/>
    <x v="560"/>
    <n v="242.83999999999997"/>
  </r>
  <r>
    <x v="562"/>
    <x v="562"/>
    <n v="69.25"/>
  </r>
  <r>
    <x v="564"/>
    <x v="564"/>
    <n v="1427.6406176470589"/>
  </r>
  <r>
    <x v="565"/>
    <x v="565"/>
    <n v="273.53037993920969"/>
  </r>
  <r>
    <x v="566"/>
    <x v="566"/>
    <n v="657.52820699708457"/>
  </r>
  <r>
    <x v="567"/>
    <x v="567"/>
    <n v="666.99500470366877"/>
  </r>
  <r>
    <x v="568"/>
    <x v="568"/>
    <n v="296.54381313131313"/>
  </r>
  <r>
    <x v="574"/>
    <x v="574"/>
    <n v="486.08919999999995"/>
  </r>
  <r>
    <x v="576"/>
    <x v="576"/>
    <n v="1809.5644785276074"/>
  </r>
  <r>
    <x v="577"/>
    <x v="577"/>
    <n v="1033.2657618651124"/>
  </r>
  <r>
    <x v="578"/>
    <x v="578"/>
    <n v="60.761736152951869"/>
  </r>
  <r>
    <x v="579"/>
    <x v="579"/>
    <n v="674.64136125654454"/>
  </r>
  <r>
    <x v="580"/>
    <x v="580"/>
    <n v="158.10999999999999"/>
  </r>
  <r>
    <x v="581"/>
    <x v="581"/>
    <n v="187.62"/>
  </r>
  <r>
    <x v="582"/>
    <x v="582"/>
    <n v="1328.1999999999998"/>
  </r>
  <r>
    <x v="583"/>
    <x v="583"/>
    <n v="1677.9798815165877"/>
  </r>
  <r>
    <x v="584"/>
    <x v="584"/>
    <n v="312.77080000000001"/>
  </r>
  <r>
    <x v="590"/>
    <x v="590"/>
    <n v="1450"/>
  </r>
  <r>
    <x v="593"/>
    <x v="593"/>
    <n v="101.63145744680851"/>
  </r>
  <r>
    <x v="594"/>
    <x v="594"/>
    <n v="116"/>
  </r>
  <r>
    <x v="599"/>
    <x v="599"/>
    <n v="441.1"/>
  </r>
  <r>
    <x v="600"/>
    <x v="600"/>
    <n v="1067.93"/>
  </r>
  <r>
    <x v="601"/>
    <x v="601"/>
    <n v="70.891391304347835"/>
  </r>
  <r>
    <x v="604"/>
    <x v="604"/>
    <n v="1082.99"/>
  </r>
  <r>
    <x v="605"/>
    <x v="605"/>
    <n v="210.00138996138998"/>
  </r>
  <r>
    <x v="1732"/>
    <x v="1730"/>
    <n v="0"/>
  </r>
  <r>
    <x v="606"/>
    <x v="606"/>
    <n v="250"/>
  </r>
  <r>
    <x v="607"/>
    <x v="607"/>
    <n v="200"/>
  </r>
  <r>
    <x v="608"/>
    <x v="608"/>
    <n v="1025.0332931726907"/>
  </r>
  <r>
    <x v="609"/>
    <x v="609"/>
    <n v="240.82016447368423"/>
  </r>
  <r>
    <x v="610"/>
    <x v="610"/>
    <n v="35.036129032258067"/>
  </r>
  <r>
    <x v="611"/>
    <x v="611"/>
    <n v="35.86536998696419"/>
  </r>
  <r>
    <x v="1733"/>
    <x v="1731"/>
    <n v="0"/>
  </r>
  <r>
    <x v="614"/>
    <x v="614"/>
    <n v="542.2299999999999"/>
  </r>
  <r>
    <x v="615"/>
    <x v="615"/>
    <n v="1183.9884081632651"/>
  </r>
  <r>
    <x v="617"/>
    <x v="617"/>
    <n v="12.1"/>
  </r>
  <r>
    <x v="618"/>
    <x v="618"/>
    <n v="0"/>
  </r>
  <r>
    <x v="619"/>
    <x v="619"/>
    <n v="1097.4000000000001"/>
  </r>
  <r>
    <x v="621"/>
    <x v="621"/>
    <n v="7670"/>
  </r>
  <r>
    <x v="622"/>
    <x v="622"/>
    <n v="114.82345889023897"/>
  </r>
  <r>
    <x v="624"/>
    <x v="624"/>
    <n v="656.38328767123289"/>
  </r>
  <r>
    <x v="625"/>
    <x v="625"/>
    <n v="710.48911250000003"/>
  </r>
  <r>
    <x v="627"/>
    <x v="627"/>
    <n v="635.83299815652754"/>
  </r>
  <r>
    <x v="628"/>
    <x v="628"/>
    <n v="353.29"/>
  </r>
  <r>
    <x v="629"/>
    <x v="629"/>
    <n v="393.09339916839923"/>
  </r>
  <r>
    <x v="630"/>
    <x v="630"/>
    <n v="611.61558683147712"/>
  </r>
  <r>
    <x v="631"/>
    <x v="631"/>
    <n v="257.88155963302751"/>
  </r>
  <r>
    <x v="634"/>
    <x v="634"/>
    <n v="1630.5189795918366"/>
  </r>
  <r>
    <x v="635"/>
    <x v="635"/>
    <n v="5267.0027205882352"/>
  </r>
  <r>
    <x v="640"/>
    <x v="640"/>
    <n v="100.3"/>
  </r>
  <r>
    <x v="644"/>
    <x v="644"/>
    <n v="1484.84"/>
  </r>
  <r>
    <x v="645"/>
    <x v="645"/>
    <n v="2673.9549999999999"/>
  </r>
  <r>
    <x v="646"/>
    <x v="646"/>
    <n v="63.8"/>
  </r>
  <r>
    <x v="652"/>
    <x v="652"/>
    <n v="4.3499999999999996"/>
  </r>
  <r>
    <x v="659"/>
    <x v="659"/>
    <n v="0"/>
  </r>
  <r>
    <x v="662"/>
    <x v="662"/>
    <n v="892.86666666666667"/>
  </r>
  <r>
    <x v="663"/>
    <x v="663"/>
    <n v="10889.51081632653"/>
  </r>
  <r>
    <x v="664"/>
    <x v="664"/>
    <n v="2966.59"/>
  </r>
  <r>
    <x v="666"/>
    <x v="666"/>
    <n v="829.76663212435233"/>
  </r>
  <r>
    <x v="667"/>
    <x v="667"/>
    <n v="378.15999999999997"/>
  </r>
  <r>
    <x v="669"/>
    <x v="669"/>
    <n v="12367.671886792452"/>
  </r>
  <r>
    <x v="670"/>
    <x v="670"/>
    <n v="21590.113953488373"/>
  </r>
  <r>
    <x v="677"/>
    <x v="677"/>
    <n v="213.44"/>
  </r>
  <r>
    <x v="678"/>
    <x v="678"/>
    <n v="261"/>
  </r>
  <r>
    <x v="1734"/>
    <x v="1732"/>
    <n v="0"/>
  </r>
  <r>
    <x v="680"/>
    <x v="680"/>
    <n v="64.176746031746035"/>
  </r>
  <r>
    <x v="682"/>
    <x v="682"/>
    <n v="1844.4"/>
  </r>
  <r>
    <x v="694"/>
    <x v="694"/>
    <n v="4017.4279999999999"/>
  </r>
  <r>
    <x v="705"/>
    <x v="705"/>
    <n v="6136"/>
  </r>
  <r>
    <x v="711"/>
    <x v="711"/>
    <n v="282.06"/>
  </r>
  <r>
    <x v="713"/>
    <x v="713"/>
    <n v="173.34"/>
  </r>
  <r>
    <x v="715"/>
    <x v="715"/>
    <n v="269.25725490196078"/>
  </r>
  <r>
    <x v="716"/>
    <x v="716"/>
    <n v="18073.761578947368"/>
  </r>
  <r>
    <x v="722"/>
    <x v="722"/>
    <n v="4367.1500000000005"/>
  </r>
  <r>
    <x v="726"/>
    <x v="726"/>
    <n v="209.97"/>
  </r>
  <r>
    <x v="728"/>
    <x v="728"/>
    <n v="232"/>
  </r>
  <r>
    <x v="738"/>
    <x v="738"/>
    <n v="888.83999999999992"/>
  </r>
  <r>
    <x v="741"/>
    <x v="741"/>
    <n v="11449.657999999999"/>
  </r>
  <r>
    <x v="1735"/>
    <x v="1733"/>
    <n v="16152.559642857143"/>
  </r>
  <r>
    <x v="742"/>
    <x v="742"/>
    <n v="18762"/>
  </r>
  <r>
    <x v="749"/>
    <x v="749"/>
    <n v="45946.335000000006"/>
  </r>
  <r>
    <x v="752"/>
    <x v="752"/>
    <n v="27027.109999999997"/>
  </r>
  <r>
    <x v="754"/>
    <x v="754"/>
    <n v="28328.744285714285"/>
  </r>
  <r>
    <x v="755"/>
    <x v="755"/>
    <n v="10229.626170212765"/>
  </r>
  <r>
    <x v="756"/>
    <x v="756"/>
    <n v="90622.58"/>
  </r>
  <r>
    <x v="758"/>
    <x v="758"/>
    <n v="20690.580999999998"/>
  </r>
  <r>
    <x v="759"/>
    <x v="759"/>
    <n v="4356.665"/>
  </r>
  <r>
    <x v="764"/>
    <x v="764"/>
    <n v="6558"/>
  </r>
  <r>
    <x v="765"/>
    <x v="765"/>
    <n v="661.19999999999993"/>
  </r>
  <r>
    <x v="768"/>
    <x v="768"/>
    <n v="62.369898602974317"/>
  </r>
  <r>
    <x v="772"/>
    <x v="772"/>
    <n v="384.75090909090909"/>
  </r>
  <r>
    <x v="776"/>
    <x v="776"/>
    <n v="1020.7"/>
  </r>
  <r>
    <x v="779"/>
    <x v="779"/>
    <n v="61.280116256908713"/>
  </r>
  <r>
    <x v="780"/>
    <x v="780"/>
    <n v="50.931856578001437"/>
  </r>
  <r>
    <x v="781"/>
    <x v="781"/>
    <n v="58.184102838778792"/>
  </r>
  <r>
    <x v="782"/>
    <x v="782"/>
    <n v="3712.9701886792454"/>
  </r>
  <r>
    <x v="789"/>
    <x v="789"/>
    <n v="11.266676972909305"/>
  </r>
  <r>
    <x v="791"/>
    <x v="791"/>
    <n v="35.96"/>
  </r>
  <r>
    <x v="793"/>
    <x v="793"/>
    <n v="8.92"/>
  </r>
  <r>
    <x v="796"/>
    <x v="796"/>
    <n v="65.559742376955427"/>
  </r>
  <r>
    <x v="797"/>
    <x v="797"/>
    <n v="67.230634831460662"/>
  </r>
  <r>
    <x v="798"/>
    <x v="798"/>
    <n v="206.64763670064877"/>
  </r>
  <r>
    <x v="799"/>
    <x v="799"/>
    <n v="591.08710951526041"/>
  </r>
  <r>
    <x v="800"/>
    <x v="800"/>
    <n v="88.5"/>
  </r>
  <r>
    <x v="802"/>
    <x v="802"/>
    <n v="80.043946957878319"/>
  </r>
  <r>
    <x v="805"/>
    <x v="805"/>
    <n v="271.46732371794872"/>
  </r>
  <r>
    <x v="806"/>
    <x v="806"/>
    <n v="622.03641998585897"/>
  </r>
  <r>
    <x v="807"/>
    <x v="807"/>
    <n v="27.387203389830511"/>
  </r>
  <r>
    <x v="808"/>
    <x v="808"/>
    <n v="1.6815348497749667"/>
  </r>
  <r>
    <x v="810"/>
    <x v="810"/>
    <n v="0"/>
  </r>
  <r>
    <x v="811"/>
    <x v="811"/>
    <n v="16.395621621621622"/>
  </r>
  <r>
    <x v="1736"/>
    <x v="1734"/>
    <n v="1698.1261999999999"/>
  </r>
  <r>
    <x v="812"/>
    <x v="812"/>
    <n v="333.74384016393441"/>
  </r>
  <r>
    <x v="813"/>
    <x v="813"/>
    <n v="670.27581205866375"/>
  </r>
  <r>
    <x v="815"/>
    <x v="815"/>
    <n v="201.10813559322034"/>
  </r>
  <r>
    <x v="817"/>
    <x v="817"/>
    <n v="94.690770252324029"/>
  </r>
  <r>
    <x v="819"/>
    <x v="819"/>
    <n v="28.767517082451299"/>
  </r>
  <r>
    <x v="820"/>
    <x v="820"/>
    <n v="289.29000000000002"/>
  </r>
  <r>
    <x v="823"/>
    <x v="823"/>
    <n v="1698.1262105263156"/>
  </r>
  <r>
    <x v="826"/>
    <x v="826"/>
    <n v="6.46"/>
  </r>
  <r>
    <x v="828"/>
    <x v="828"/>
    <n v="70.220676998368674"/>
  </r>
  <r>
    <x v="829"/>
    <x v="829"/>
    <n v="158.24672250989948"/>
  </r>
  <r>
    <x v="831"/>
    <x v="831"/>
    <n v="64.960000000000008"/>
  </r>
  <r>
    <x v="832"/>
    <x v="832"/>
    <n v="87"/>
  </r>
  <r>
    <x v="833"/>
    <x v="833"/>
    <n v="1"/>
  </r>
  <r>
    <x v="836"/>
    <x v="836"/>
    <n v="0"/>
  </r>
  <r>
    <x v="837"/>
    <x v="837"/>
    <n v="158.45635400907716"/>
  </r>
  <r>
    <x v="839"/>
    <x v="839"/>
    <n v="153.73688634569851"/>
  </r>
  <r>
    <x v="842"/>
    <x v="842"/>
    <n v="1"/>
  </r>
  <r>
    <x v="843"/>
    <x v="843"/>
    <n v="1038.2"/>
  </r>
  <r>
    <x v="848"/>
    <x v="848"/>
    <n v="0"/>
  </r>
  <r>
    <x v="852"/>
    <x v="852"/>
    <n v="15.430357832382622"/>
  </r>
  <r>
    <x v="854"/>
    <x v="854"/>
    <n v="184.39650023331779"/>
  </r>
  <r>
    <x v="855"/>
    <x v="855"/>
    <n v="279.63047046244321"/>
  </r>
  <r>
    <x v="856"/>
    <x v="856"/>
    <n v="7.2182320901309316"/>
  </r>
  <r>
    <x v="860"/>
    <x v="860"/>
    <n v="2805.6116341030197"/>
  </r>
  <r>
    <x v="861"/>
    <x v="861"/>
    <n v="1086.7612847838959"/>
  </r>
  <r>
    <x v="862"/>
    <x v="862"/>
    <n v="1"/>
  </r>
  <r>
    <x v="863"/>
    <x v="863"/>
    <n v="1953.6133140720599"/>
  </r>
  <r>
    <x v="864"/>
    <x v="864"/>
    <n v="1990.4823053278687"/>
  </r>
  <r>
    <x v="866"/>
    <x v="866"/>
    <n v="65.88"/>
  </r>
  <r>
    <x v="867"/>
    <x v="867"/>
    <n v="87.47999999999999"/>
  </r>
  <r>
    <x v="870"/>
    <x v="870"/>
    <n v="45.4"/>
  </r>
  <r>
    <x v="875"/>
    <x v="875"/>
    <n v="124.33999999999999"/>
  </r>
  <r>
    <x v="876"/>
    <x v="876"/>
    <n v="212.28000000000003"/>
  </r>
  <r>
    <x v="881"/>
    <x v="881"/>
    <n v="1267.4970058479532"/>
  </r>
  <r>
    <x v="882"/>
    <x v="882"/>
    <n v="378.10741935483873"/>
  </r>
  <r>
    <x v="884"/>
    <x v="884"/>
    <n v="580.36"/>
  </r>
  <r>
    <x v="886"/>
    <x v="886"/>
    <n v="301.608"/>
  </r>
  <r>
    <x v="889"/>
    <x v="889"/>
    <n v="50"/>
  </r>
  <r>
    <x v="891"/>
    <x v="891"/>
    <n v="25.066398467432951"/>
  </r>
  <r>
    <x v="893"/>
    <x v="893"/>
    <n v="2.259245068823613"/>
  </r>
  <r>
    <x v="896"/>
    <x v="896"/>
    <n v="2600.3254901960786"/>
  </r>
  <r>
    <x v="899"/>
    <x v="899"/>
    <n v="631.31884892086327"/>
  </r>
  <r>
    <x v="900"/>
    <x v="900"/>
    <n v="119.48"/>
  </r>
  <r>
    <x v="905"/>
    <x v="905"/>
    <n v="42.362000000000002"/>
  </r>
  <r>
    <x v="906"/>
    <x v="906"/>
    <n v="96.12278153153153"/>
  </r>
  <r>
    <x v="909"/>
    <x v="909"/>
    <n v="106.2"/>
  </r>
  <r>
    <x v="910"/>
    <x v="910"/>
    <n v="40.802745011086472"/>
  </r>
  <r>
    <x v="913"/>
    <x v="913"/>
    <n v="1591.4178947368421"/>
  </r>
  <r>
    <x v="1737"/>
    <x v="1735"/>
    <n v="0"/>
  </r>
  <r>
    <x v="1738"/>
    <x v="1736"/>
    <n v="0"/>
  </r>
  <r>
    <x v="1739"/>
    <x v="1737"/>
    <n v="4.5193998796320178"/>
  </r>
  <r>
    <x v="917"/>
    <x v="917"/>
    <n v="3.1152000000000002"/>
  </r>
  <r>
    <x v="919"/>
    <x v="919"/>
    <n v="1322.6508355091385"/>
  </r>
  <r>
    <x v="920"/>
    <x v="920"/>
    <n v="1652"/>
  </r>
  <r>
    <x v="921"/>
    <x v="921"/>
    <n v="1215.5180701754387"/>
  </r>
  <r>
    <x v="922"/>
    <x v="922"/>
    <n v="2.8410656620021526"/>
  </r>
  <r>
    <x v="923"/>
    <x v="923"/>
    <n v="304.87670967741934"/>
  </r>
  <r>
    <x v="927"/>
    <x v="927"/>
    <n v="324.5"/>
  </r>
  <r>
    <x v="928"/>
    <x v="928"/>
    <n v="146.54625282167044"/>
  </r>
  <r>
    <x v="929"/>
    <x v="929"/>
    <n v="292.10673210779942"/>
  </r>
  <r>
    <x v="933"/>
    <x v="933"/>
    <n v="2478"/>
  </r>
  <r>
    <x v="1740"/>
    <x v="1738"/>
    <n v="0"/>
  </r>
  <r>
    <x v="938"/>
    <x v="938"/>
    <n v="68.61699999999999"/>
  </r>
  <r>
    <x v="939"/>
    <x v="939"/>
    <n v="0"/>
  </r>
  <r>
    <x v="940"/>
    <x v="940"/>
    <n v="991.69999999999993"/>
  </r>
  <r>
    <x v="941"/>
    <x v="941"/>
    <n v="117.77021052631579"/>
  </r>
  <r>
    <x v="942"/>
    <x v="942"/>
    <n v="135.24"/>
  </r>
  <r>
    <x v="943"/>
    <x v="943"/>
    <n v="963.58465517241382"/>
  </r>
  <r>
    <x v="947"/>
    <x v="947"/>
    <n v="5583.89"/>
  </r>
  <r>
    <x v="951"/>
    <x v="951"/>
    <n v="458.58819849874897"/>
  </r>
  <r>
    <x v="956"/>
    <x v="956"/>
    <n v="6569.3313333333335"/>
  </r>
  <r>
    <x v="959"/>
    <x v="959"/>
    <n v="3892.5250216450218"/>
  </r>
  <r>
    <x v="965"/>
    <x v="965"/>
    <n v="27564.3"/>
  </r>
  <r>
    <x v="966"/>
    <x v="966"/>
    <n v="35203.22"/>
  </r>
  <r>
    <x v="972"/>
    <x v="972"/>
    <n v="15304.02"/>
  </r>
  <r>
    <x v="974"/>
    <x v="974"/>
    <n v="14224.147142857144"/>
  </r>
  <r>
    <x v="975"/>
    <x v="975"/>
    <n v="26889.285405940591"/>
  </r>
  <r>
    <x v="987"/>
    <x v="987"/>
    <n v="34810"/>
  </r>
  <r>
    <x v="990"/>
    <x v="990"/>
    <n v="629.54"/>
  </r>
  <r>
    <x v="991"/>
    <x v="991"/>
    <n v="69.143193717277484"/>
  </r>
  <r>
    <x v="995"/>
    <x v="995"/>
    <n v="8521.8554913294793"/>
  </r>
  <r>
    <x v="997"/>
    <x v="997"/>
    <n v="12812.239399999999"/>
  </r>
  <r>
    <x v="998"/>
    <x v="998"/>
    <n v="14365.237777777778"/>
  </r>
  <r>
    <x v="999"/>
    <x v="999"/>
    <n v="13518.28"/>
  </r>
  <r>
    <x v="1000"/>
    <x v="1000"/>
    <n v="537202.07999999996"/>
  </r>
  <r>
    <x v="1741"/>
    <x v="1739"/>
    <n v="0"/>
  </r>
  <r>
    <x v="1005"/>
    <x v="1005"/>
    <n v="8.5602355460385429"/>
  </r>
  <r>
    <x v="1006"/>
    <x v="1006"/>
    <n v="12.024199386503067"/>
  </r>
  <r>
    <x v="1007"/>
    <x v="1007"/>
    <n v="69.364160305343518"/>
  </r>
  <r>
    <x v="1009"/>
    <x v="1009"/>
    <n v="33.002000000000002"/>
  </r>
  <r>
    <x v="1010"/>
    <x v="1010"/>
    <n v="22.012520809965164"/>
  </r>
  <r>
    <x v="1014"/>
    <x v="1014"/>
    <n v="0"/>
  </r>
  <r>
    <x v="1017"/>
    <x v="1017"/>
    <n v="15.19647933991684"/>
  </r>
  <r>
    <x v="1018"/>
    <x v="1018"/>
    <n v="4.5159646851088873"/>
  </r>
  <r>
    <x v="1020"/>
    <x v="1020"/>
    <n v="19.464846332546273"/>
  </r>
  <r>
    <x v="1021"/>
    <x v="1021"/>
    <n v="4.5759245226581582"/>
  </r>
  <r>
    <x v="1022"/>
    <x v="1022"/>
    <n v="2.131684819986245"/>
  </r>
  <r>
    <x v="1023"/>
    <x v="1023"/>
    <n v="6.2250149184940815"/>
  </r>
  <r>
    <x v="1025"/>
    <x v="1025"/>
    <n v="29.217959431501303"/>
  </r>
  <r>
    <x v="1027"/>
    <x v="1027"/>
    <n v="23.017183333333332"/>
  </r>
  <r>
    <x v="1028"/>
    <x v="1028"/>
    <n v="2.1490740740740741"/>
  </r>
  <r>
    <x v="1029"/>
    <x v="1029"/>
    <n v="590"/>
  </r>
  <r>
    <x v="1030"/>
    <x v="1030"/>
    <n v="518.9366041870926"/>
  </r>
  <r>
    <x v="1031"/>
    <x v="1031"/>
    <n v="278.68349942632352"/>
  </r>
  <r>
    <x v="1032"/>
    <x v="1032"/>
    <n v="554.21056333739341"/>
  </r>
  <r>
    <x v="1033"/>
    <x v="1033"/>
    <n v="11.386105958505423"/>
  </r>
  <r>
    <x v="1034"/>
    <x v="1034"/>
    <n v="0.79999999999999993"/>
  </r>
  <r>
    <x v="1035"/>
    <x v="1035"/>
    <n v="1.427799043062201"/>
  </r>
  <r>
    <x v="1036"/>
    <x v="1036"/>
    <n v="33.908413895481317"/>
  </r>
  <r>
    <x v="1038"/>
    <x v="1740"/>
    <n v="162.8805339985218"/>
  </r>
  <r>
    <x v="1039"/>
    <x v="1039"/>
    <n v="0"/>
  </r>
  <r>
    <x v="1042"/>
    <x v="1042"/>
    <n v="1.2451382096313997"/>
  </r>
  <r>
    <x v="1043"/>
    <x v="1043"/>
    <n v="1.181587004710446"/>
  </r>
  <r>
    <x v="1045"/>
    <x v="1045"/>
    <n v="8.3521283018867916"/>
  </r>
  <r>
    <x v="1048"/>
    <x v="1048"/>
    <n v="10.48"/>
  </r>
  <r>
    <x v="1054"/>
    <x v="1054"/>
    <n v="0"/>
  </r>
  <r>
    <x v="1055"/>
    <x v="1055"/>
    <n v="6.5900000000000007"/>
  </r>
  <r>
    <x v="1056"/>
    <x v="1056"/>
    <n v="4.5"/>
  </r>
  <r>
    <x v="1057"/>
    <x v="1057"/>
    <n v="19.45"/>
  </r>
  <r>
    <x v="1059"/>
    <x v="1059"/>
    <n v="0"/>
  </r>
  <r>
    <x v="1060"/>
    <x v="1060"/>
    <n v="0"/>
  </r>
  <r>
    <x v="1061"/>
    <x v="1061"/>
    <n v="28.40885882352941"/>
  </r>
  <r>
    <x v="1062"/>
    <x v="1062"/>
    <n v="60.589999999999996"/>
  </r>
  <r>
    <x v="1063"/>
    <x v="1063"/>
    <n v="62.18"/>
  </r>
  <r>
    <x v="1064"/>
    <x v="1064"/>
    <n v="18.77729411764706"/>
  </r>
  <r>
    <x v="1068"/>
    <x v="1068"/>
    <n v="159.18199275362318"/>
  </r>
  <r>
    <x v="1070"/>
    <x v="1070"/>
    <n v="140.18"/>
  </r>
  <r>
    <x v="1071"/>
    <x v="1071"/>
    <n v="344.65435483870965"/>
  </r>
  <r>
    <x v="1072"/>
    <x v="1072"/>
    <n v="143.08677261613693"/>
  </r>
  <r>
    <x v="1073"/>
    <x v="1073"/>
    <n v="281.62"/>
  </r>
  <r>
    <x v="1075"/>
    <x v="1075"/>
    <n v="147.5"/>
  </r>
  <r>
    <x v="1076"/>
    <x v="1076"/>
    <n v="26.353216608487969"/>
  </r>
  <r>
    <x v="1077"/>
    <x v="1077"/>
    <n v="24.62"/>
  </r>
  <r>
    <x v="1078"/>
    <x v="1078"/>
    <n v="170.56164227318044"/>
  </r>
  <r>
    <x v="1079"/>
    <x v="1079"/>
    <n v="35.327215582115983"/>
  </r>
  <r>
    <x v="1080"/>
    <x v="1080"/>
    <n v="69.629694224235564"/>
  </r>
  <r>
    <x v="1081"/>
    <x v="1081"/>
    <n v="43.680020366598775"/>
  </r>
  <r>
    <x v="1082"/>
    <x v="1082"/>
    <n v="18.29"/>
  </r>
  <r>
    <x v="1083"/>
    <x v="1083"/>
    <n v="79.483738229755176"/>
  </r>
  <r>
    <x v="1085"/>
    <x v="1085"/>
    <n v="70.31550322260783"/>
  </r>
  <r>
    <x v="1086"/>
    <x v="1086"/>
    <n v="471.37456284153006"/>
  </r>
  <r>
    <x v="1087"/>
    <x v="1087"/>
    <n v="309.76179130434781"/>
  </r>
  <r>
    <x v="1089"/>
    <x v="1089"/>
    <n v="81"/>
  </r>
  <r>
    <x v="1090"/>
    <x v="1090"/>
    <n v="10.072668195718656"/>
  </r>
  <r>
    <x v="1092"/>
    <x v="1092"/>
    <n v="18.985784244144785"/>
  </r>
  <r>
    <x v="1093"/>
    <x v="1093"/>
    <n v="82.75983527714321"/>
  </r>
  <r>
    <x v="1094"/>
    <x v="1094"/>
    <n v="54.828273508206784"/>
  </r>
  <r>
    <x v="1095"/>
    <x v="1095"/>
    <n v="65.336606060606073"/>
  </r>
  <r>
    <x v="1098"/>
    <x v="1098"/>
    <n v="101.21"/>
  </r>
  <r>
    <x v="1099"/>
    <x v="1099"/>
    <n v="31.467757173795345"/>
  </r>
  <r>
    <x v="1100"/>
    <x v="1100"/>
    <n v="50.858000626762774"/>
  </r>
  <r>
    <x v="1722"/>
    <x v="1720"/>
    <n v="0"/>
  </r>
  <r>
    <x v="1101"/>
    <x v="1101"/>
    <n v="0"/>
  </r>
  <r>
    <x v="1102"/>
    <x v="1102"/>
    <n v="0"/>
  </r>
  <r>
    <x v="1104"/>
    <x v="1104"/>
    <n v="0"/>
  </r>
  <r>
    <x v="1105"/>
    <x v="1105"/>
    <n v="112.29195023148148"/>
  </r>
  <r>
    <x v="1106"/>
    <x v="1106"/>
    <n v="234.70563627950023"/>
  </r>
  <r>
    <x v="1107"/>
    <x v="1107"/>
    <n v="141.6"/>
  </r>
  <r>
    <x v="1109"/>
    <x v="1109"/>
    <n v="171.84452267303101"/>
  </r>
  <r>
    <x v="1110"/>
    <x v="1110"/>
    <n v="8.259598038827594"/>
  </r>
  <r>
    <x v="1112"/>
    <x v="1112"/>
    <n v="7.9135703001579776"/>
  </r>
  <r>
    <x v="1114"/>
    <x v="1114"/>
    <n v="1.25"/>
  </r>
  <r>
    <x v="1116"/>
    <x v="1116"/>
    <n v="36.022019064693154"/>
  </r>
  <r>
    <x v="1117"/>
    <x v="1117"/>
    <n v="413.5301274097792"/>
  </r>
  <r>
    <x v="1119"/>
    <x v="1119"/>
    <n v="70.8"/>
  </r>
  <r>
    <x v="1120"/>
    <x v="1120"/>
    <n v="29.240400000000001"/>
  </r>
  <r>
    <x v="1121"/>
    <x v="1121"/>
    <n v="157.13233218258534"/>
  </r>
  <r>
    <x v="1122"/>
    <x v="1122"/>
    <n v="115.86636295180723"/>
  </r>
  <r>
    <x v="1123"/>
    <x v="1123"/>
    <n v="94.200991388827546"/>
  </r>
  <r>
    <x v="1124"/>
    <x v="1124"/>
    <n v="122.07000000000001"/>
  </r>
  <r>
    <x v="1125"/>
    <x v="1125"/>
    <n v="116.06803071364047"/>
  </r>
  <r>
    <x v="1742"/>
    <x v="1741"/>
    <n v="0"/>
  </r>
  <r>
    <x v="1126"/>
    <x v="1126"/>
    <n v="1374.28"/>
  </r>
  <r>
    <x v="1127"/>
    <x v="1127"/>
    <n v="967.41676584022036"/>
  </r>
  <r>
    <x v="1128"/>
    <x v="1128"/>
    <n v="1765.5708019323672"/>
  </r>
  <r>
    <x v="1129"/>
    <x v="1129"/>
    <n v="3822.6866110080396"/>
  </r>
  <r>
    <x v="1130"/>
    <x v="1130"/>
    <n v="23392.31"/>
  </r>
  <r>
    <x v="1133"/>
    <x v="1133"/>
    <n v="1266.6356000000001"/>
  </r>
  <r>
    <x v="1134"/>
    <x v="1134"/>
    <n v="28592.830689655173"/>
  </r>
  <r>
    <x v="1141"/>
    <x v="1141"/>
    <n v="2787.4752173913043"/>
  </r>
  <r>
    <x v="1144"/>
    <x v="1144"/>
    <n v="958"/>
  </r>
  <r>
    <x v="1145"/>
    <x v="1145"/>
    <n v="14494.156382978723"/>
  </r>
  <r>
    <x v="1146"/>
    <x v="1146"/>
    <n v="20094.113777777777"/>
  </r>
  <r>
    <x v="1147"/>
    <x v="1147"/>
    <n v="65392.79"/>
  </r>
  <r>
    <x v="1148"/>
    <x v="1148"/>
    <n v="2869.9144736842104"/>
  </r>
  <r>
    <x v="1150"/>
    <x v="1150"/>
    <n v="2647.3425000000002"/>
  </r>
  <r>
    <x v="1153"/>
    <x v="1153"/>
    <n v="36458.342608695653"/>
  </r>
  <r>
    <x v="1154"/>
    <x v="1154"/>
    <n v="1298"/>
  </r>
  <r>
    <x v="1155"/>
    <x v="1155"/>
    <n v="161481.24"/>
  </r>
  <r>
    <x v="1156"/>
    <x v="1156"/>
    <n v="17042.189999999999"/>
  </r>
  <r>
    <x v="1157"/>
    <x v="1157"/>
    <n v="1657.3715051903114"/>
  </r>
  <r>
    <x v="1164"/>
    <x v="1164"/>
    <n v="48148.343333333331"/>
  </r>
  <r>
    <x v="1165"/>
    <x v="1165"/>
    <n v="1718.581542080502"/>
  </r>
  <r>
    <x v="1166"/>
    <x v="1166"/>
    <n v="19106.404666666665"/>
  </r>
  <r>
    <x v="1167"/>
    <x v="1167"/>
    <n v="2678.9694594594594"/>
  </r>
  <r>
    <x v="1168"/>
    <x v="1168"/>
    <n v="2405.16"/>
  </r>
  <r>
    <x v="1170"/>
    <x v="1170"/>
    <n v="605"/>
  </r>
  <r>
    <x v="1171"/>
    <x v="1171"/>
    <n v="678.08"/>
  </r>
  <r>
    <x v="1172"/>
    <x v="1172"/>
    <n v="38521.215128205127"/>
  </r>
  <r>
    <x v="1173"/>
    <x v="1173"/>
    <n v="35055.181818181816"/>
  </r>
  <r>
    <x v="1175"/>
    <x v="1175"/>
    <n v="37375.785135135135"/>
  </r>
  <r>
    <x v="1176"/>
    <x v="1176"/>
    <n v="11.849044827586207"/>
  </r>
  <r>
    <x v="1177"/>
    <x v="1177"/>
    <n v="7.9343876251137395"/>
  </r>
  <r>
    <x v="1179"/>
    <x v="1179"/>
    <n v="20.594124999999998"/>
  </r>
  <r>
    <x v="1180"/>
    <x v="1180"/>
    <n v="6.6032714500752636"/>
  </r>
  <r>
    <x v="1181"/>
    <x v="1181"/>
    <n v="2.401013100436681"/>
  </r>
  <r>
    <x v="1182"/>
    <x v="1182"/>
    <n v="19.66"/>
  </r>
  <r>
    <x v="1188"/>
    <x v="1188"/>
    <n v="17.896348623853211"/>
  </r>
  <r>
    <x v="1189"/>
    <x v="1189"/>
    <n v="116.13540229885058"/>
  </r>
  <r>
    <x v="1190"/>
    <x v="1190"/>
    <n v="50.691724137931033"/>
  </r>
  <r>
    <x v="1191"/>
    <x v="1191"/>
    <n v="106.50228260869565"/>
  </r>
  <r>
    <x v="1192"/>
    <x v="1192"/>
    <n v="205.87925925925924"/>
  </r>
  <r>
    <x v="1193"/>
    <x v="1193"/>
    <n v="188.85231678486997"/>
  </r>
  <r>
    <x v="1194"/>
    <x v="1194"/>
    <n v="77.274398331595393"/>
  </r>
  <r>
    <x v="1196"/>
    <x v="1196"/>
    <n v="1114.2905816326531"/>
  </r>
  <r>
    <x v="1200"/>
    <x v="1200"/>
    <n v="5422.1472058823529"/>
  </r>
  <r>
    <x v="1204"/>
    <x v="1204"/>
    <n v="22703.200000000001"/>
  </r>
  <r>
    <x v="1206"/>
    <x v="1206"/>
    <n v="17337.32"/>
  </r>
  <r>
    <x v="1211"/>
    <x v="1211"/>
    <e v="#DIV/0!"/>
  </r>
  <r>
    <x v="1220"/>
    <x v="1220"/>
    <n v="3806.3442571428573"/>
  </r>
  <r>
    <x v="1224"/>
    <x v="1224"/>
    <n v="546.69999999999993"/>
  </r>
  <r>
    <x v="1225"/>
    <x v="1225"/>
    <n v="1152.7629124167579"/>
  </r>
  <r>
    <x v="1226"/>
    <x v="1226"/>
    <n v="1067.45"/>
  </r>
  <r>
    <x v="1227"/>
    <x v="1227"/>
    <n v="646.64"/>
  </r>
  <r>
    <x v="1228"/>
    <x v="1228"/>
    <n v="807.05063013698623"/>
  </r>
  <r>
    <x v="1229"/>
    <x v="1229"/>
    <n v="3092533.3800000004"/>
  </r>
  <r>
    <x v="1230"/>
    <x v="1230"/>
    <n v="1886706.72"/>
  </r>
  <r>
    <x v="1231"/>
    <x v="1231"/>
    <n v="1358651.0166666668"/>
  </r>
  <r>
    <x v="1232"/>
    <x v="1232"/>
    <n v="179161.7"/>
  </r>
  <r>
    <x v="1233"/>
    <x v="1233"/>
    <n v="40088.879999999997"/>
  </r>
  <r>
    <x v="1234"/>
    <x v="1234"/>
    <n v="50424.43"/>
  </r>
  <r>
    <x v="1743"/>
    <x v="1742"/>
    <n v="1224239.615"/>
  </r>
  <r>
    <x v="1236"/>
    <x v="1236"/>
    <n v="1446834.5220000001"/>
  </r>
  <r>
    <x v="1744"/>
    <x v="1743"/>
    <n v="542476.05294117646"/>
  </r>
  <r>
    <x v="1244"/>
    <x v="1244"/>
    <n v="597186.43590909091"/>
  </r>
  <r>
    <x v="1246"/>
    <x v="1246"/>
    <n v="599895.79499999993"/>
  </r>
  <r>
    <x v="1250"/>
    <x v="1250"/>
    <n v="357551.90125"/>
  </r>
  <r>
    <x v="1253"/>
    <x v="1253"/>
    <n v="167260.26999999999"/>
  </r>
  <r>
    <x v="1254"/>
    <x v="1254"/>
    <n v="421260.97"/>
  </r>
  <r>
    <x v="1255"/>
    <x v="1255"/>
    <n v="263366.91666666669"/>
  </r>
  <r>
    <x v="1256"/>
    <x v="1256"/>
    <n v="366563.09399999998"/>
  </r>
  <r>
    <x v="1257"/>
    <x v="1257"/>
    <n v="341821.330625"/>
  </r>
  <r>
    <x v="1258"/>
    <x v="1258"/>
    <n v="240673.32533333331"/>
  </r>
  <r>
    <x v="1259"/>
    <x v="1259"/>
    <n v="649930.65666666662"/>
  </r>
  <r>
    <x v="1261"/>
    <x v="1261"/>
    <n v="797803.11"/>
  </r>
  <r>
    <x v="1264"/>
    <x v="1264"/>
    <n v="62331.41333333333"/>
  </r>
  <r>
    <x v="1266"/>
    <x v="1266"/>
    <n v="59590.51"/>
  </r>
  <r>
    <x v="1268"/>
    <x v="1268"/>
    <n v="51331.409999999996"/>
  </r>
  <r>
    <x v="1269"/>
    <x v="1269"/>
    <n v="63550"/>
  </r>
  <r>
    <x v="1270"/>
    <x v="1270"/>
    <n v="0"/>
  </r>
  <r>
    <x v="1271"/>
    <x v="1271"/>
    <n v="65600"/>
  </r>
  <r>
    <x v="1272"/>
    <x v="1272"/>
    <n v="47068.542857142857"/>
  </r>
  <r>
    <x v="1274"/>
    <x v="1274"/>
    <n v="701392"/>
  </r>
  <r>
    <x v="1276"/>
    <x v="1276"/>
    <n v="256085.42499999999"/>
  </r>
  <r>
    <x v="1277"/>
    <x v="1277"/>
    <n v="0"/>
  </r>
  <r>
    <x v="1279"/>
    <x v="1279"/>
    <n v="0"/>
  </r>
  <r>
    <x v="1281"/>
    <x v="1281"/>
    <n v="0"/>
  </r>
  <r>
    <x v="1282"/>
    <x v="1282"/>
    <n v="22276.799999999999"/>
  </r>
  <r>
    <x v="1285"/>
    <x v="1285"/>
    <n v="133968.4"/>
  </r>
  <r>
    <x v="1286"/>
    <x v="1286"/>
    <n v="0"/>
  </r>
  <r>
    <x v="1287"/>
    <x v="1287"/>
    <n v="324500"/>
  </r>
  <r>
    <x v="1291"/>
    <x v="1291"/>
    <n v="26989"/>
  </r>
  <r>
    <x v="1297"/>
    <x v="1297"/>
    <n v="38610"/>
  </r>
  <r>
    <x v="1298"/>
    <x v="1298"/>
    <n v="0"/>
  </r>
  <r>
    <x v="1301"/>
    <x v="1301"/>
    <n v="102076.70666666667"/>
  </r>
  <r>
    <x v="1302"/>
    <x v="1302"/>
    <n v="66238.332173913033"/>
  </r>
  <r>
    <x v="1303"/>
    <x v="1303"/>
    <n v="77027.195000000007"/>
  </r>
  <r>
    <x v="1305"/>
    <x v="1305"/>
    <n v="0"/>
  </r>
  <r>
    <x v="1306"/>
    <x v="1306"/>
    <n v="47719.811428571425"/>
  </r>
  <r>
    <x v="1311"/>
    <x v="1311"/>
    <n v="87718.815000000002"/>
  </r>
  <r>
    <x v="1312"/>
    <x v="1312"/>
    <n v="246688.7251724138"/>
  </r>
  <r>
    <x v="1314"/>
    <x v="1314"/>
    <n v="14624"/>
  </r>
  <r>
    <x v="1316"/>
    <x v="1316"/>
    <n v="233948.99"/>
  </r>
  <r>
    <x v="1319"/>
    <x v="1319"/>
    <n v="369306.66"/>
  </r>
  <r>
    <x v="1321"/>
    <x v="1321"/>
    <n v="320223.24"/>
  </r>
  <r>
    <x v="1323"/>
    <x v="1323"/>
    <n v="116434.21"/>
  </r>
  <r>
    <x v="1327"/>
    <x v="1327"/>
    <n v="515005.0733333333"/>
  </r>
  <r>
    <x v="1329"/>
    <x v="1329"/>
    <n v="367856.23"/>
  </r>
  <r>
    <x v="1330"/>
    <x v="1330"/>
    <n v="880680.44499999995"/>
  </r>
  <r>
    <x v="1331"/>
    <x v="1331"/>
    <n v="857351.25"/>
  </r>
  <r>
    <x v="1333"/>
    <x v="1333"/>
    <n v="0"/>
  </r>
  <r>
    <x v="1338"/>
    <x v="1338"/>
    <n v="36954.71"/>
  </r>
  <r>
    <x v="1341"/>
    <x v="1341"/>
    <n v="336400"/>
  </r>
  <r>
    <x v="1342"/>
    <x v="1342"/>
    <n v="0"/>
  </r>
  <r>
    <x v="1345"/>
    <x v="1345"/>
    <n v="75762.87"/>
  </r>
  <r>
    <x v="1349"/>
    <x v="1349"/>
    <n v="40969.599999999999"/>
  </r>
  <r>
    <x v="1350"/>
    <x v="1350"/>
    <n v="0"/>
  </r>
  <r>
    <x v="1355"/>
    <x v="1355"/>
    <n v="1392.42"/>
  </r>
  <r>
    <x v="1745"/>
    <x v="1744"/>
    <n v="0"/>
  </r>
  <r>
    <x v="1360"/>
    <x v="1360"/>
    <n v="86.848020202020194"/>
  </r>
  <r>
    <x v="1366"/>
    <x v="1745"/>
    <n v="10"/>
  </r>
  <r>
    <x v="1746"/>
    <x v="1746"/>
    <n v="0"/>
  </r>
  <r>
    <x v="1371"/>
    <x v="1371"/>
    <n v="5081.5976000000001"/>
  </r>
  <r>
    <x v="1411"/>
    <x v="1747"/>
    <n v="145.57"/>
  </r>
  <r>
    <x v="1412"/>
    <x v="1748"/>
    <n v="154.72657237152288"/>
  </r>
  <r>
    <x v="1413"/>
    <x v="1413"/>
    <n v="99.257482419127982"/>
  </r>
  <r>
    <x v="1416"/>
    <x v="1416"/>
    <n v="398"/>
  </r>
  <r>
    <x v="1418"/>
    <x v="1418"/>
    <n v="267.95297308319743"/>
  </r>
  <r>
    <x v="1419"/>
    <x v="1419"/>
    <n v="172.02607888631093"/>
  </r>
  <r>
    <x v="1420"/>
    <x v="1420"/>
    <n v="454.33"/>
  </r>
  <r>
    <x v="1421"/>
    <x v="1421"/>
    <n v="539.92245883644341"/>
  </r>
  <r>
    <x v="1422"/>
    <x v="1422"/>
    <n v="22.23421615837346"/>
  </r>
  <r>
    <x v="1428"/>
    <x v="1428"/>
    <n v="512.12"/>
  </r>
  <r>
    <x v="1434"/>
    <x v="1434"/>
    <n v="67.74969999999999"/>
  </r>
  <r>
    <x v="1435"/>
    <x v="1435"/>
    <n v="26630.383008849556"/>
  </r>
  <r>
    <x v="1437"/>
    <x v="1437"/>
    <n v="1447.172848101266"/>
  </r>
  <r>
    <x v="1438"/>
    <x v="1438"/>
    <n v="1139.2466783216785"/>
  </r>
  <r>
    <x v="1443"/>
    <x v="1443"/>
    <n v="26000"/>
  </r>
  <r>
    <x v="1444"/>
    <x v="1444"/>
    <n v="12400"/>
  </r>
  <r>
    <x v="1445"/>
    <x v="1445"/>
    <n v="69588.05"/>
  </r>
  <r>
    <x v="1446"/>
    <x v="1446"/>
    <n v="25"/>
  </r>
  <r>
    <x v="1447"/>
    <x v="1447"/>
    <n v="1324654.5"/>
  </r>
  <r>
    <x v="1448"/>
    <x v="1448"/>
    <n v="732831.86933333322"/>
  </r>
  <r>
    <x v="1451"/>
    <x v="1451"/>
    <n v="53113.103035714288"/>
  </r>
  <r>
    <x v="1452"/>
    <x v="1452"/>
    <n v="51133.33"/>
  </r>
  <r>
    <x v="1456"/>
    <x v="1456"/>
    <n v="578200"/>
  </r>
  <r>
    <x v="1463"/>
    <x v="1463"/>
    <n v="3132.827777777778"/>
  </r>
  <r>
    <x v="1747"/>
    <x v="1749"/>
    <n v="0"/>
  </r>
  <r>
    <x v="1748"/>
    <x v="1750"/>
    <n v="0"/>
  </r>
  <r>
    <x v="1749"/>
    <x v="1751"/>
    <n v="0"/>
  </r>
  <r>
    <x v="1467"/>
    <x v="1467"/>
    <n v="4352.2950000000001"/>
  </r>
  <r>
    <x v="1476"/>
    <x v="1476"/>
    <n v="240120"/>
  </r>
  <r>
    <x v="1481"/>
    <x v="1481"/>
    <n v="60"/>
  </r>
  <r>
    <x v="1505"/>
    <x v="1505"/>
    <n v="4938.3"/>
  </r>
  <r>
    <x v="1508"/>
    <x v="1508"/>
    <n v="2036.7242857142858"/>
  </r>
  <r>
    <x v="1518"/>
    <x v="1518"/>
    <n v="5774.2368421052633"/>
  </r>
  <r>
    <x v="1519"/>
    <x v="1519"/>
    <n v="864.0169938650306"/>
  </r>
  <r>
    <x v="1520"/>
    <x v="1520"/>
    <n v="1356.59381875742"/>
  </r>
  <r>
    <x v="1522"/>
    <x v="1522"/>
    <n v="2099.49012202208"/>
  </r>
  <r>
    <x v="1530"/>
    <x v="1530"/>
    <n v="61454.400000000001"/>
  </r>
  <r>
    <x v="1538"/>
    <x v="1538"/>
    <n v="1203.3718954248366"/>
  </r>
  <r>
    <x v="1540"/>
    <x v="1540"/>
    <n v="896.48386206896555"/>
  </r>
  <r>
    <x v="1542"/>
    <x v="1542"/>
    <n v="42357.551200000002"/>
  </r>
  <r>
    <x v="1543"/>
    <x v="1543"/>
    <n v="3722.9931707317073"/>
  </r>
  <r>
    <x v="1544"/>
    <x v="1544"/>
    <n v="0"/>
  </r>
  <r>
    <x v="1557"/>
    <x v="1557"/>
    <n v="25429"/>
  </r>
  <r>
    <x v="1558"/>
    <x v="1558"/>
    <n v="3000.0084999999999"/>
  </r>
  <r>
    <x v="1564"/>
    <x v="1564"/>
    <n v="6771.9897435897428"/>
  </r>
  <r>
    <x v="1565"/>
    <x v="1565"/>
    <n v="0"/>
  </r>
  <r>
    <x v="1566"/>
    <x v="1566"/>
    <n v="468.79849206349206"/>
  </r>
  <r>
    <x v="1571"/>
    <x v="1571"/>
    <n v="0"/>
  </r>
  <r>
    <x v="1572"/>
    <x v="1572"/>
    <n v="2711.9746082949309"/>
  </r>
  <r>
    <x v="1573"/>
    <x v="1573"/>
    <n v="6694.8724786324783"/>
  </r>
  <r>
    <x v="1577"/>
    <x v="1577"/>
    <n v="0"/>
  </r>
  <r>
    <x v="1581"/>
    <x v="1581"/>
    <n v="68440"/>
  </r>
  <r>
    <x v="1586"/>
    <x v="1586"/>
    <n v="10065.549999999999"/>
  </r>
  <r>
    <x v="1750"/>
    <x v="1752"/>
    <n v="4149.0807142857138"/>
  </r>
  <r>
    <x v="1591"/>
    <x v="1591"/>
    <n v="0"/>
  </r>
  <r>
    <x v="1592"/>
    <x v="1592"/>
    <n v="0"/>
  </r>
  <r>
    <x v="1594"/>
    <x v="1594"/>
    <n v="0"/>
  </r>
  <r>
    <x v="1595"/>
    <x v="1595"/>
    <n v="0"/>
  </r>
  <r>
    <x v="1596"/>
    <x v="1596"/>
    <n v="0"/>
  </r>
  <r>
    <x v="1597"/>
    <x v="1597"/>
    <n v="0"/>
  </r>
  <r>
    <x v="1599"/>
    <x v="1599"/>
    <n v="0"/>
  </r>
  <r>
    <x v="1601"/>
    <x v="1601"/>
    <n v="0"/>
  </r>
  <r>
    <x v="1602"/>
    <x v="1602"/>
    <n v="0"/>
  </r>
  <r>
    <x v="1604"/>
    <x v="1604"/>
    <n v="0"/>
  </r>
  <r>
    <x v="1605"/>
    <x v="1605"/>
    <n v="0"/>
  </r>
  <r>
    <x v="1606"/>
    <x v="1606"/>
    <n v="0"/>
  </r>
  <r>
    <x v="1607"/>
    <x v="1607"/>
    <n v="0"/>
  </r>
  <r>
    <x v="1609"/>
    <x v="1609"/>
    <n v="0"/>
  </r>
  <r>
    <x v="1610"/>
    <x v="1610"/>
    <n v="31.636870026525202"/>
  </r>
  <r>
    <x v="1611"/>
    <x v="1611"/>
    <n v="0"/>
  </r>
  <r>
    <x v="1612"/>
    <x v="1612"/>
    <n v="3581.7538888888889"/>
  </r>
  <r>
    <x v="1613"/>
    <x v="1613"/>
    <n v="0.66079996469209912"/>
  </r>
  <r>
    <x v="1615"/>
    <x v="1615"/>
    <n v="17919.055090909093"/>
  </r>
  <r>
    <x v="1617"/>
    <x v="1617"/>
    <n v="28472.455999999998"/>
  </r>
  <r>
    <x v="1618"/>
    <x v="1618"/>
    <n v="13743.164999999999"/>
  </r>
  <r>
    <x v="1751"/>
    <x v="1753"/>
    <n v="476.67026785714285"/>
  </r>
  <r>
    <x v="1619"/>
    <x v="1619"/>
    <n v="6.1359999339378017"/>
  </r>
  <r>
    <x v="1620"/>
    <x v="1620"/>
    <n v="34.113799237611175"/>
  </r>
  <r>
    <x v="1621"/>
    <x v="1621"/>
    <n v="27.151800098445143"/>
  </r>
  <r>
    <x v="1624"/>
    <x v="1624"/>
    <n v="391097.23333333334"/>
  </r>
  <r>
    <x v="1625"/>
    <x v="1625"/>
    <n v="905355"/>
  </r>
  <r>
    <x v="1626"/>
    <x v="1626"/>
    <n v="503.69425000000001"/>
  </r>
  <r>
    <x v="1627"/>
    <x v="1627"/>
    <n v="259.01"/>
  </r>
  <r>
    <x v="1631"/>
    <x v="1631"/>
    <n v="6600.2474000000002"/>
  </r>
  <r>
    <x v="1632"/>
    <x v="1632"/>
    <n v="61776.81"/>
  </r>
  <r>
    <x v="1633"/>
    <x v="1633"/>
    <n v="600.7970015948963"/>
  </r>
  <r>
    <x v="1634"/>
    <x v="1634"/>
    <n v="59156.24"/>
  </r>
  <r>
    <x v="1636"/>
    <x v="1636"/>
    <n v="80108.06"/>
  </r>
  <r>
    <x v="1637"/>
    <x v="1637"/>
    <n v="58083.79"/>
  </r>
  <r>
    <x v="1638"/>
    <x v="1638"/>
    <n v="557985.42000000004"/>
  </r>
  <r>
    <x v="1641"/>
    <x v="1641"/>
    <n v="96.553828351012541"/>
  </r>
  <r>
    <x v="1644"/>
    <x v="1644"/>
    <n v="64361.595000000001"/>
  </r>
  <r>
    <x v="1645"/>
    <x v="1645"/>
    <n v="384306.74285714288"/>
  </r>
  <r>
    <x v="1646"/>
    <x v="1646"/>
    <n v="384306.74"/>
  </r>
  <r>
    <x v="1647"/>
    <x v="1647"/>
    <n v="561063.18125000002"/>
  </r>
  <r>
    <x v="1651"/>
    <x v="1651"/>
    <n v="76.7"/>
  </r>
  <r>
    <x v="1652"/>
    <x v="1652"/>
    <n v="95.33"/>
  </r>
  <r>
    <x v="1655"/>
    <x v="1653"/>
    <n v="298.93"/>
  </r>
  <r>
    <x v="1656"/>
    <x v="1654"/>
    <n v="988.25"/>
  </r>
  <r>
    <x v="1658"/>
    <x v="1656"/>
    <n v="438.94069527090505"/>
  </r>
  <r>
    <x v="1659"/>
    <x v="1657"/>
    <n v="494.34599381283834"/>
  </r>
  <r>
    <x v="1660"/>
    <x v="1658"/>
    <n v="1768.4189999999999"/>
  </r>
  <r>
    <x v="1661"/>
    <x v="1659"/>
    <n v="237.52001730648206"/>
  </r>
  <r>
    <x v="1752"/>
    <x v="1754"/>
    <n v="0"/>
  </r>
  <r>
    <x v="1662"/>
    <x v="1660"/>
    <n v="0"/>
  </r>
  <r>
    <x v="1663"/>
    <x v="1661"/>
    <n v="129.80000000000001"/>
  </r>
  <r>
    <x v="1664"/>
    <x v="1662"/>
    <n v="405.91999999999996"/>
  </r>
  <r>
    <x v="1753"/>
    <x v="1755"/>
    <n v="0"/>
  </r>
  <r>
    <x v="1711"/>
    <x v="1709"/>
    <n v="462.19414058577411"/>
  </r>
  <r>
    <x v="1754"/>
    <x v="1756"/>
    <n v="331.65435502958582"/>
  </r>
  <r>
    <x v="1666"/>
    <x v="1664"/>
    <n v="49135.94331210191"/>
  </r>
  <r>
    <x v="1668"/>
    <x v="1666"/>
    <n v="7723.3664864864868"/>
  </r>
  <r>
    <x v="1669"/>
    <x v="1667"/>
    <n v="8275.1049999999996"/>
  </r>
  <r>
    <x v="1670"/>
    <x v="1668"/>
    <n v="4310.8201288404362"/>
  </r>
  <r>
    <x v="1755"/>
    <x v="1757"/>
    <n v="31115.338478260866"/>
  </r>
  <r>
    <x v="1756"/>
    <x v="1758"/>
    <n v="114570.9"/>
  </r>
  <r>
    <x v="1757"/>
    <x v="1759"/>
    <n v="0"/>
  </r>
  <r>
    <x v="1672"/>
    <x v="1670"/>
    <n v="595.51062992125992"/>
  </r>
  <r>
    <x v="1673"/>
    <x v="1671"/>
    <n v="21063"/>
  </r>
  <r>
    <x v="1674"/>
    <x v="1672"/>
    <n v="26632.219764705878"/>
  </r>
  <r>
    <x v="1675"/>
    <x v="1673"/>
    <n v="160.19"/>
  </r>
  <r>
    <x v="1678"/>
    <x v="1676"/>
    <n v="2421.0914596774196"/>
  </r>
  <r>
    <x v="1679"/>
    <x v="1677"/>
    <n v="7184.2057916666663"/>
  </r>
  <r>
    <x v="1680"/>
    <x v="1678"/>
    <n v="13730.128260869566"/>
  </r>
  <r>
    <x v="1681"/>
    <x v="1679"/>
    <n v="61814.3"/>
  </r>
  <r>
    <x v="1682"/>
    <x v="1680"/>
    <n v="607.79473684210529"/>
  </r>
  <r>
    <x v="1683"/>
    <x v="1681"/>
    <n v="0.01"/>
  </r>
  <r>
    <x v="1684"/>
    <x v="1682"/>
    <n v="9.9999999999999985E-3"/>
  </r>
  <r>
    <x v="1685"/>
    <x v="1683"/>
    <n v="0.01"/>
  </r>
  <r>
    <x v="1686"/>
    <x v="1684"/>
    <n v="0.01"/>
  </r>
  <r>
    <x v="1687"/>
    <x v="1685"/>
    <n v="0.01"/>
  </r>
  <r>
    <x v="1688"/>
    <x v="1686"/>
    <n v="9.9999999999999985E-3"/>
  </r>
  <r>
    <x v="1689"/>
    <x v="1687"/>
    <n v="0.01"/>
  </r>
  <r>
    <x v="1690"/>
    <x v="1688"/>
    <n v="0.01"/>
  </r>
  <r>
    <x v="1758"/>
    <x v="1760"/>
    <n v="0.01"/>
  </r>
  <r>
    <x v="1692"/>
    <x v="1690"/>
    <n v="0.01"/>
  </r>
  <r>
    <x v="1694"/>
    <x v="1692"/>
    <n v="0.01"/>
  </r>
  <r>
    <x v="1695"/>
    <x v="1693"/>
    <n v="9.9999999999999985E-3"/>
  </r>
  <r>
    <x v="1696"/>
    <x v="1694"/>
    <n v="0.01"/>
  </r>
  <r>
    <x v="1697"/>
    <x v="1695"/>
    <n v="0.01"/>
  </r>
  <r>
    <x v="1698"/>
    <x v="1696"/>
    <n v="0.01"/>
  </r>
  <r>
    <x v="1724"/>
    <x v="1761"/>
    <n v="2889.4928382533826"/>
  </r>
  <r>
    <x v="1700"/>
    <x v="1698"/>
    <n v="1455.8248275862068"/>
  </r>
  <r>
    <x v="1759"/>
    <x v="1762"/>
    <n v="3551.9887700534759"/>
  </r>
  <r>
    <x v="1705"/>
    <x v="1703"/>
    <n v="287.08102920328895"/>
  </r>
  <r>
    <x v="1706"/>
    <x v="1704"/>
    <n v="135.69999999999999"/>
  </r>
  <r>
    <x v="1708"/>
    <x v="1706"/>
    <n v="100.594915"/>
  </r>
  <r>
    <x v="1760"/>
    <x v="1763"/>
    <n v="2436.7934166666669"/>
  </r>
  <r>
    <x v="1761"/>
    <x v="1764"/>
    <n v="12.98"/>
  </r>
  <r>
    <x v="1762"/>
    <x v="1765"/>
    <n v="30.278801843317972"/>
  </r>
  <r>
    <x v="1763"/>
    <x v="1766"/>
    <n v="30.278803222094361"/>
  </r>
  <r>
    <x v="1764"/>
    <x v="1767"/>
    <n v="30.2788"/>
  </r>
  <r>
    <x v="1765"/>
    <x v="1768"/>
    <n v="4071"/>
  </r>
  <r>
    <x v="1766"/>
    <x v="1769"/>
    <n v="23.01"/>
  </r>
  <r>
    <x v="1767"/>
    <x v="1770"/>
    <n v="28.909999999999997"/>
  </r>
  <r>
    <x v="1768"/>
    <x v="1771"/>
    <n v="1150.54"/>
  </r>
  <r>
    <x v="1769"/>
    <x v="1772"/>
    <n v="2481.06"/>
  </r>
  <r>
    <x v="1770"/>
    <x v="1773"/>
    <n v="2493.4811017838406"/>
  </r>
  <r>
    <x v="1771"/>
    <x v="1774"/>
    <n v="1886.96"/>
  </r>
  <r>
    <x v="1772"/>
    <x v="1775"/>
    <n v="19429.858888888888"/>
  </r>
  <r>
    <x v="1773"/>
    <x v="1776"/>
    <n v="1185611.5423529411"/>
  </r>
  <r>
    <x v="1774"/>
    <x v="1777"/>
    <n v="42008.41"/>
  </r>
  <r>
    <x v="1775"/>
    <x v="1778"/>
    <n v="32524.34"/>
  </r>
  <r>
    <x v="1776"/>
    <x v="1779"/>
    <n v="700.92000000000007"/>
  </r>
  <r>
    <x v="1777"/>
    <x v="1780"/>
    <n v="3625.2383870967742"/>
  </r>
  <r>
    <x v="1778"/>
    <x v="1781"/>
    <n v="114570.90000000001"/>
  </r>
  <r>
    <x v="1779"/>
    <x v="1782"/>
    <n v="163024"/>
  </r>
  <r>
    <x v="1780"/>
    <x v="1783"/>
    <n v="0.01"/>
  </r>
  <r>
    <x v="1781"/>
    <x v="1784"/>
    <n v="1528.0408333333335"/>
  </r>
  <r>
    <x v="1782"/>
    <x v="1785"/>
    <n v="1550.69"/>
  </r>
  <r>
    <x v="1783"/>
    <x v="1786"/>
    <n v="1239"/>
  </r>
  <r>
    <x v="1784"/>
    <x v="1787"/>
    <n v="22302"/>
  </r>
  <r>
    <x v="1785"/>
    <x v="1788"/>
    <n v="29.901201525746977"/>
  </r>
  <r>
    <x v="1786"/>
    <x v="1789"/>
    <n v="545.16"/>
  </r>
  <r>
    <x v="1787"/>
    <x v="1790"/>
    <n v="500"/>
  </r>
  <r>
    <x v="1788"/>
    <x v="1791"/>
    <n v="15000"/>
  </r>
  <r>
    <x v="1789"/>
    <x v="1792"/>
    <n v="1298"/>
  </r>
  <r>
    <x v="1790"/>
    <x v="1793"/>
    <n v="54752"/>
  </r>
  <r>
    <x v="1791"/>
    <x v="1794"/>
    <n v="109504"/>
  </r>
  <r>
    <x v="1792"/>
    <x v="1795"/>
    <n v="117646"/>
  </r>
  <r>
    <x v="1793"/>
    <x v="1796"/>
    <n v="136290"/>
  </r>
  <r>
    <x v="1794"/>
    <x v="1797"/>
    <n v="109362.4"/>
  </r>
  <r>
    <x v="1795"/>
    <x v="1798"/>
    <n v="79124.899999999994"/>
  </r>
  <r>
    <x v="1796"/>
    <x v="1799"/>
    <n v="303732"/>
  </r>
  <r>
    <x v="1797"/>
    <x v="1800"/>
    <n v="413000"/>
  </r>
  <r>
    <x v="1798"/>
    <x v="1801"/>
    <n v="48097.75"/>
  </r>
  <r>
    <x v="1799"/>
    <x v="1802"/>
    <n v="2183"/>
  </r>
  <r>
    <x v="1800"/>
    <x v="1803"/>
    <n v="2899999.9899999998"/>
  </r>
  <r>
    <x v="1801"/>
    <x v="1804"/>
    <n v="180.01933515172178"/>
  </r>
  <r>
    <x v="1802"/>
    <x v="1805"/>
    <n v="4500"/>
  </r>
  <r>
    <x v="1803"/>
    <x v="1806"/>
    <n v="106790"/>
  </r>
  <r>
    <x v="1804"/>
    <x v="1807"/>
    <n v="295945.0625"/>
  </r>
  <r>
    <x v="1805"/>
    <x v="1808"/>
    <n v="460908.23333333334"/>
  </r>
  <r>
    <x v="1806"/>
    <x v="1809"/>
    <n v="55"/>
  </r>
  <r>
    <x v="1807"/>
    <x v="1810"/>
    <n v="200"/>
  </r>
  <r>
    <x v="1808"/>
    <x v="1811"/>
    <n v="6729.88"/>
  </r>
  <r>
    <x v="1809"/>
    <x v="1812"/>
    <n v="5957.763985517402"/>
  </r>
  <r>
    <x v="1810"/>
    <x v="1813"/>
    <n v="8300.9708737864075"/>
  </r>
  <r>
    <x v="1811"/>
    <x v="1814"/>
    <n v="568.94880052579686"/>
  </r>
  <r>
    <x v="1812"/>
    <x v="1815"/>
    <n v="2568082.35"/>
  </r>
  <r>
    <x v="1813"/>
    <x v="1816"/>
    <n v="4248"/>
  </r>
  <r>
    <x v="1814"/>
    <x v="1817"/>
    <n v="7375"/>
  </r>
  <r>
    <x v="1815"/>
    <x v="1818"/>
    <n v="5310"/>
  </r>
  <r>
    <x v="1816"/>
    <x v="1819"/>
    <n v="7131.9616216216218"/>
  </r>
  <r>
    <x v="1817"/>
    <x v="1820"/>
    <n v="161.8252"/>
  </r>
  <r>
    <x v="1818"/>
    <x v="1821"/>
    <n v="6696"/>
  </r>
  <r>
    <x v="1819"/>
    <x v="1822"/>
    <n v="148305"/>
  </r>
  <r>
    <x v="1820"/>
    <x v="1823"/>
    <n v="3792.8503999999998"/>
  </r>
  <r>
    <x v="1821"/>
    <x v="1824"/>
    <n v="14814.994324324325"/>
  </r>
  <r>
    <x v="1822"/>
    <x v="1825"/>
    <n v="3564"/>
  </r>
  <r>
    <x v="1823"/>
    <x v="1826"/>
    <n v="4500.8599999999997"/>
  </r>
  <r>
    <x v="1824"/>
    <x v="1827"/>
    <n v="283.2"/>
  </r>
  <r>
    <x v="1825"/>
    <x v="186"/>
    <n v="250"/>
  </r>
  <r>
    <x v="1826"/>
    <x v="1828"/>
    <n v="20968.446470588238"/>
  </r>
  <r>
    <x v="1827"/>
    <x v="1829"/>
    <n v="2500"/>
  </r>
  <r>
    <x v="1828"/>
    <x v="1830"/>
    <n v="5672.4369999999999"/>
  </r>
  <r>
    <x v="1829"/>
    <x v="1831"/>
    <n v="3280.8995294117649"/>
  </r>
  <r>
    <x v="1830"/>
    <x v="1832"/>
    <n v="1436.2770702179178"/>
  </r>
  <r>
    <x v="1831"/>
    <x v="1833"/>
    <n v="2500"/>
  </r>
  <r>
    <x v="1832"/>
    <x v="1834"/>
    <n v="6835.7992000000004"/>
  </r>
  <r>
    <x v="1833"/>
    <x v="1835"/>
    <n v="103.54985754985755"/>
  </r>
  <r>
    <x v="1834"/>
    <x v="1836"/>
    <n v="955.8"/>
  </r>
  <r>
    <x v="1835"/>
    <x v="1837"/>
    <n v="1241.910357142857"/>
  </r>
  <r>
    <x v="1836"/>
    <x v="1838"/>
    <n v="26800"/>
  </r>
  <r>
    <x v="1837"/>
    <x v="1839"/>
    <n v="758.57500000000005"/>
  </r>
  <r>
    <x v="1838"/>
    <x v="1840"/>
    <n v="287.36263245956496"/>
  </r>
  <r>
    <x v="1839"/>
    <x v="1841"/>
    <n v="976.34828729281776"/>
  </r>
  <r>
    <x v="1840"/>
    <x v="1842"/>
    <n v="30"/>
  </r>
  <r>
    <x v="1841"/>
    <x v="1843"/>
    <n v="2500"/>
  </r>
  <r>
    <x v="1842"/>
    <x v="1844"/>
    <n v="1500"/>
  </r>
  <r>
    <x v="1843"/>
    <x v="1845"/>
    <n v="1200"/>
  </r>
  <r>
    <x v="1844"/>
    <x v="1846"/>
    <n v="114.3351039008385"/>
  </r>
  <r>
    <x v="1845"/>
    <x v="276"/>
    <n v="25934.924999999999"/>
  </r>
  <r>
    <x v="1846"/>
    <x v="1847"/>
    <n v="58700.043999999994"/>
  </r>
  <r>
    <x v="1847"/>
    <x v="1848"/>
    <n v="2337.6014285714286"/>
  </r>
  <r>
    <x v="1848"/>
    <x v="1849"/>
    <n v="5094.674087591241"/>
  </r>
  <r>
    <x v="1849"/>
    <x v="1850"/>
    <n v="900"/>
  </r>
  <r>
    <x v="1850"/>
    <x v="1851"/>
    <n v="3215.5"/>
  </r>
  <r>
    <x v="1851"/>
    <x v="1852"/>
    <n v="2600"/>
  </r>
  <r>
    <x v="1852"/>
    <x v="1853"/>
    <n v="1700"/>
  </r>
  <r>
    <x v="1853"/>
    <x v="1854"/>
    <n v="150"/>
  </r>
  <r>
    <x v="1854"/>
    <x v="1855"/>
    <n v="1500"/>
  </r>
  <r>
    <x v="1855"/>
    <x v="1856"/>
    <n v="297.47432835820894"/>
  </r>
  <r>
    <x v="1856"/>
    <x v="1857"/>
    <n v="115.05000000000001"/>
  </r>
  <r>
    <x v="1857"/>
    <x v="1858"/>
    <n v="186.95920529801325"/>
  </r>
  <r>
    <x v="1858"/>
    <x v="1859"/>
    <n v="14545.51782857143"/>
  </r>
  <r>
    <x v="1859"/>
    <x v="1860"/>
    <n v="39958.372307692312"/>
  </r>
  <r>
    <x v="1860"/>
    <x v="1861"/>
    <n v="3422"/>
  </r>
  <r>
    <x v="1861"/>
    <x v="1862"/>
    <n v="15140.58"/>
  </r>
  <r>
    <x v="1862"/>
    <x v="1863"/>
    <n v="13662.411666666665"/>
  </r>
  <r>
    <x v="1863"/>
    <x v="1864"/>
    <n v="48369.75"/>
  </r>
  <r>
    <x v="1864"/>
    <x v="1865"/>
    <n v="40245.481666666667"/>
  </r>
  <r>
    <x v="1865"/>
    <x v="1866"/>
    <n v="242608"/>
  </r>
  <r>
    <x v="1866"/>
    <x v="1867"/>
    <n v="121463.80499999999"/>
  </r>
  <r>
    <x v="1867"/>
    <x v="1868"/>
    <n v="1130.4827916666666"/>
  </r>
  <r>
    <x v="1868"/>
    <x v="1869"/>
    <n v="4390.2941176470586"/>
  </r>
  <r>
    <x v="1869"/>
    <x v="1870"/>
    <n v="92789.3"/>
  </r>
  <r>
    <x v="1870"/>
    <x v="1871"/>
    <n v="854.86128440366974"/>
  </r>
  <r>
    <x v="1871"/>
    <x v="1872"/>
    <n v="2585936.73"/>
  </r>
  <r>
    <x v="1872"/>
    <x v="1873"/>
    <n v="57026.567777777775"/>
  </r>
  <r>
    <x v="1873"/>
    <x v="1784"/>
    <n v="2717.0305193734544"/>
  </r>
  <r>
    <x v="1874"/>
    <x v="1874"/>
    <n v="25.900952380952379"/>
  </r>
  <r>
    <x v="1875"/>
    <x v="1875"/>
    <n v="789.40250000000003"/>
  </r>
  <r>
    <x v="1876"/>
    <x v="1876"/>
    <n v="129.80000000000001"/>
  </r>
  <r>
    <x v="1877"/>
    <x v="1877"/>
    <n v="599.96"/>
  </r>
  <r>
    <x v="1878"/>
    <x v="1878"/>
    <n v="158.15059782608697"/>
  </r>
  <r>
    <x v="1879"/>
    <x v="1879"/>
    <n v="785.36080000000004"/>
  </r>
  <r>
    <x v="1880"/>
    <x v="1880"/>
    <n v="140.41999999999999"/>
  </r>
  <r>
    <x v="1881"/>
    <x v="1881"/>
    <n v="814.2"/>
  </r>
  <r>
    <x v="1882"/>
    <x v="1882"/>
    <n v="316.69913636363634"/>
  </r>
  <r>
    <x v="1883"/>
    <x v="1883"/>
    <n v="115.63999999999999"/>
  </r>
  <r>
    <x v="1884"/>
    <x v="1884"/>
    <n v="5000"/>
  </r>
  <r>
    <x v="1885"/>
    <x v="1885"/>
    <n v="40645.663710691828"/>
  </r>
  <r>
    <x v="1886"/>
    <x v="1886"/>
    <n v="1003"/>
  </r>
  <r>
    <x v="1887"/>
    <x v="1887"/>
    <n v="4570.3051999999998"/>
  </r>
  <r>
    <x v="1888"/>
    <x v="1888"/>
    <n v="2858428.22"/>
  </r>
  <r>
    <x v="1889"/>
    <x v="1889"/>
    <n v="1375179.55"/>
  </r>
  <r>
    <x v="1890"/>
    <x v="1890"/>
    <n v="116.72122962962963"/>
  </r>
  <r>
    <x v="1891"/>
    <x v="1891"/>
    <n v="39326.450000000004"/>
  </r>
  <r>
    <x v="1892"/>
    <x v="1892"/>
    <n v="9707.8482352941191"/>
  </r>
  <r>
    <x v="1893"/>
    <x v="1893"/>
    <n v="9707.8482499999991"/>
  </r>
  <r>
    <x v="1894"/>
    <x v="1894"/>
    <n v="9707.8483333333334"/>
  </r>
  <r>
    <x v="1895"/>
    <x v="1895"/>
    <n v="9707.8478571428568"/>
  </r>
  <r>
    <x v="1896"/>
    <x v="1896"/>
    <n v="9923.8792307692311"/>
  </r>
  <r>
    <x v="1897"/>
    <x v="1897"/>
    <n v="9707.848"/>
  </r>
  <r>
    <x v="1898"/>
    <x v="1898"/>
    <n v="9707.85"/>
  </r>
  <r>
    <x v="1899"/>
    <x v="1899"/>
    <n v="9805.3814285714288"/>
  </r>
  <r>
    <x v="1900"/>
    <x v="1900"/>
    <n v="12516.26"/>
  </r>
  <r>
    <x v="1901"/>
    <x v="1901"/>
    <n v="165460.78"/>
  </r>
  <r>
    <x v="1902"/>
    <x v="1902"/>
    <n v="1543.3"/>
  </r>
  <r>
    <x v="1903"/>
    <x v="1903"/>
    <n v="1543.3"/>
  </r>
  <r>
    <x v="1904"/>
    <x v="1904"/>
    <e v="#DIV/0!"/>
  </r>
  <r>
    <x v="1905"/>
    <x v="1905"/>
    <n v="10442"/>
  </r>
  <r>
    <x v="1906"/>
    <x v="1906"/>
    <n v="210819.38"/>
  </r>
  <r>
    <x v="1907"/>
    <x v="1907"/>
    <n v="204035.3"/>
  </r>
  <r>
    <x v="1908"/>
    <x v="1908"/>
    <n v="223227.88"/>
  </r>
  <r>
    <x v="1909"/>
    <x v="1909"/>
    <n v="119.44"/>
  </r>
  <r>
    <x v="1910"/>
    <x v="1910"/>
    <n v="1049.26"/>
  </r>
  <r>
    <x v="1911"/>
    <x v="1911"/>
    <n v="40.019999999999996"/>
  </r>
  <r>
    <x v="1912"/>
    <x v="1912"/>
    <n v="309.07"/>
  </r>
  <r>
    <x v="1913"/>
    <x v="1913"/>
    <n v="3140.1333333333332"/>
  </r>
  <r>
    <x v="1914"/>
    <x v="1914"/>
    <n v="2610395.9533333336"/>
  </r>
  <r>
    <x v="1915"/>
    <x v="1915"/>
    <n v="2045530.9"/>
  </r>
  <r>
    <x v="1916"/>
    <x v="1916"/>
    <n v="3052967.65"/>
  </r>
  <r>
    <x v="1917"/>
    <x v="1917"/>
    <n v="4399.04"/>
  </r>
  <r>
    <x v="1918"/>
    <x v="1918"/>
    <n v="39882.796399999999"/>
  </r>
  <r>
    <x v="1919"/>
    <x v="1919"/>
    <n v="6302.8993055555557"/>
  </r>
  <r>
    <x v="1719"/>
    <x v="1717"/>
    <n v="26603.1"/>
  </r>
  <r>
    <x v="1920"/>
    <x v="1920"/>
    <n v="34608.574000000001"/>
  </r>
  <r>
    <x v="1921"/>
    <x v="1921"/>
    <n v="152.36910179182195"/>
  </r>
  <r>
    <x v="1922"/>
    <x v="1922"/>
    <n v="4573.5383993212672"/>
  </r>
  <r>
    <x v="1923"/>
    <x v="1923"/>
    <n v="68440"/>
  </r>
  <r>
    <x v="1924"/>
    <x v="1924"/>
    <n v="17957.912400000001"/>
  </r>
  <r>
    <x v="1925"/>
    <x v="1925"/>
    <n v="2944.1000000000004"/>
  </r>
  <r>
    <x v="1926"/>
    <x v="1926"/>
    <n v="93520.9"/>
  </r>
  <r>
    <x v="1927"/>
    <x v="1927"/>
    <n v="1611.4936904761905"/>
  </r>
  <r>
    <x v="1928"/>
    <x v="1928"/>
    <n v="3023.16"/>
  </r>
  <r>
    <x v="1929"/>
    <x v="1929"/>
    <n v="14855.91"/>
  </r>
  <r>
    <x v="1930"/>
    <x v="1930"/>
    <n v="33983.01"/>
  </r>
  <r>
    <x v="1931"/>
    <x v="1931"/>
    <n v="35983.01"/>
  </r>
  <r>
    <x v="1932"/>
    <x v="1932"/>
    <n v="1007280"/>
  </r>
  <r>
    <x v="1933"/>
    <x v="1933"/>
    <n v="2068652.615"/>
  </r>
  <r>
    <x v="1934"/>
    <x v="1934"/>
    <n v="1408213.33"/>
  </r>
  <r>
    <x v="1935"/>
    <x v="1935"/>
    <n v="1605714.4975000001"/>
  </r>
  <r>
    <x v="1936"/>
    <x v="1936"/>
    <n v="3427683.01"/>
  </r>
  <r>
    <x v="1937"/>
    <x v="1937"/>
    <n v="1626785.2572727271"/>
  </r>
  <r>
    <x v="1938"/>
    <x v="1938"/>
    <n v="120000"/>
  </r>
  <r>
    <x v="1939"/>
    <x v="623"/>
    <n v="325.67724979798692"/>
  </r>
  <r>
    <x v="1940"/>
    <x v="1939"/>
    <n v="17842.656153846154"/>
  </r>
  <r>
    <x v="1941"/>
    <x v="1940"/>
    <n v="16643.941333333332"/>
  </r>
  <r>
    <x v="1942"/>
    <x v="1941"/>
    <n v="300"/>
  </r>
  <r>
    <x v="1943"/>
    <x v="1942"/>
    <n v="266880.59999999998"/>
  </r>
  <r>
    <x v="1944"/>
    <x v="1943"/>
    <n v="4826.21"/>
  </r>
  <r>
    <x v="1945"/>
    <x v="1944"/>
    <n v="302.87984111221448"/>
  </r>
  <r>
    <x v="1946"/>
    <x v="1945"/>
    <n v="277.3"/>
  </r>
  <r>
    <x v="1947"/>
    <x v="1946"/>
    <n v="35742.200000000004"/>
  </r>
  <r>
    <x v="1948"/>
    <x v="1947"/>
    <n v="4422.05"/>
  </r>
  <r>
    <x v="1949"/>
    <x v="1948"/>
    <n v="2950"/>
  </r>
  <r>
    <x v="1950"/>
    <x v="1949"/>
    <n v="108908.37"/>
  </r>
  <r>
    <x v="1951"/>
    <x v="1950"/>
    <n v="23116.2"/>
  </r>
  <r>
    <x v="1952"/>
    <x v="1951"/>
    <n v="8164.1250243902432"/>
  </r>
  <r>
    <x v="1953"/>
    <x v="1952"/>
    <n v="100010.04"/>
  </r>
  <r>
    <x v="1954"/>
    <x v="1953"/>
    <n v="117209.685"/>
  </r>
  <r>
    <x v="1955"/>
    <x v="1954"/>
    <n v="33534.927000000003"/>
  </r>
  <r>
    <x v="1956"/>
    <x v="1955"/>
    <n v="33534.923999999999"/>
  </r>
  <r>
    <x v="1957"/>
    <x v="1956"/>
    <n v="1961.74"/>
  </r>
  <r>
    <x v="1958"/>
    <x v="1957"/>
    <n v="44211.968571428573"/>
  </r>
  <r>
    <x v="1959"/>
    <x v="1958"/>
    <n v="1239.7080041152262"/>
  </r>
  <r>
    <x v="1960"/>
    <x v="1959"/>
    <n v="1239.7079957203996"/>
  </r>
  <r>
    <x v="1961"/>
    <x v="1960"/>
    <n v="1376765.2649999999"/>
  </r>
  <r>
    <x v="1962"/>
    <x v="1961"/>
    <n v="929394.96499999997"/>
  </r>
  <r>
    <x v="1963"/>
    <x v="1962"/>
    <n v="10"/>
  </r>
  <r>
    <x v="1964"/>
    <x v="1963"/>
    <n v="4521.76"/>
  </r>
  <r>
    <x v="1965"/>
    <x v="1964"/>
    <n v="85756.5"/>
  </r>
  <r>
    <x v="1966"/>
    <x v="1965"/>
    <n v="4521.76"/>
  </r>
  <r>
    <x v="1967"/>
    <x v="1966"/>
    <n v="12744"/>
  </r>
  <r>
    <x v="1968"/>
    <x v="1967"/>
    <n v="15675.12"/>
  </r>
  <r>
    <x v="1969"/>
    <x v="1968"/>
    <n v="2400"/>
  </r>
  <r>
    <x v="1970"/>
    <x v="1969"/>
    <n v="112.1"/>
  </r>
  <r>
    <x v="1971"/>
    <x v="1970"/>
    <n v="34209.557500000003"/>
  </r>
  <r>
    <x v="1972"/>
    <x v="1971"/>
    <n v="8.3000000000000007"/>
  </r>
  <r>
    <x v="1973"/>
    <x v="1972"/>
    <n v="535.24798561151079"/>
  </r>
  <r>
    <x v="1974"/>
    <x v="1973"/>
    <n v="231.26820000000001"/>
  </r>
  <r>
    <x v="1975"/>
    <x v="1974"/>
    <n v="232.44820000000001"/>
  </r>
  <r>
    <x v="1976"/>
    <x v="1975"/>
    <n v="305.66258064516126"/>
  </r>
  <r>
    <x v="1977"/>
    <x v="1976"/>
    <n v="51.92"/>
  </r>
  <r>
    <x v="1978"/>
    <x v="1977"/>
    <n v="40"/>
  </r>
  <r>
    <x v="1979"/>
    <x v="1978"/>
    <n v="600"/>
  </r>
  <r>
    <x v="1980"/>
    <x v="1979"/>
    <n v="61.22"/>
  </r>
  <r>
    <x v="1981"/>
    <x v="1980"/>
    <n v="19429.859999999997"/>
  </r>
  <r>
    <x v="1982"/>
    <x v="1477"/>
    <n v="213731.01"/>
  </r>
  <r>
    <x v="1983"/>
    <x v="1981"/>
    <n v="2030162.36"/>
  </r>
  <r>
    <x v="1984"/>
    <x v="1982"/>
    <n v="2046473.56"/>
  </r>
  <r>
    <x v="1985"/>
    <x v="77"/>
    <n v="13.57"/>
  </r>
  <r>
    <x v="1986"/>
    <x v="1983"/>
    <n v="112.29196063588191"/>
  </r>
  <r>
    <x v="1987"/>
    <x v="1984"/>
    <n v="25"/>
  </r>
  <r>
    <x v="1988"/>
    <x v="1985"/>
    <e v="#DIV/0!"/>
  </r>
  <r>
    <x v="1989"/>
    <x v="1986"/>
    <n v="0"/>
  </r>
  <r>
    <x v="1990"/>
    <x v="1987"/>
    <n v="8.378645694481472"/>
  </r>
  <r>
    <x v="1991"/>
    <x v="1988"/>
    <n v="64.960000000000008"/>
  </r>
  <r>
    <x v="1992"/>
    <x v="1989"/>
    <n v="8"/>
  </r>
  <r>
    <x v="1993"/>
    <x v="1990"/>
    <n v="60007.75"/>
  </r>
  <r>
    <x v="1994"/>
    <x v="1991"/>
    <n v="2.3482000000000003"/>
  </r>
  <r>
    <x v="1995"/>
    <x v="1992"/>
    <n v="3.3866000497553697"/>
  </r>
  <r>
    <x v="1996"/>
    <x v="1993"/>
    <n v="600"/>
  </r>
  <r>
    <x v="1997"/>
    <x v="1994"/>
    <n v="286.33086193136472"/>
  </r>
  <r>
    <x v="1998"/>
    <x v="1995"/>
    <n v="20.060000000000002"/>
  </r>
  <r>
    <x v="1999"/>
    <x v="1996"/>
    <n v="172.65673913043477"/>
  </r>
  <r>
    <x v="2000"/>
    <x v="276"/>
    <n v="21782.799999999999"/>
  </r>
  <r>
    <x v="2001"/>
    <x v="752"/>
    <n v="30090"/>
  </r>
  <r>
    <x v="2002"/>
    <x v="755"/>
    <n v="30090"/>
  </r>
  <r>
    <x v="2003"/>
    <x v="753"/>
    <n v="30090"/>
  </r>
  <r>
    <x v="2004"/>
    <x v="1997"/>
    <n v="247.3311967283685"/>
  </r>
  <r>
    <x v="2005"/>
    <x v="1998"/>
    <n v="44719.43"/>
  </r>
  <r>
    <x v="2006"/>
    <x v="1999"/>
    <n v="487.47234597759672"/>
  </r>
  <r>
    <x v="2007"/>
    <x v="2000"/>
    <n v="125670"/>
  </r>
  <r>
    <x v="2008"/>
    <x v="2001"/>
    <n v="35.4"/>
  </r>
  <r>
    <x v="2009"/>
    <x v="2002"/>
    <n v="178.18"/>
  </r>
  <r>
    <x v="2010"/>
    <x v="2003"/>
    <n v="140.41999999999999"/>
  </r>
  <r>
    <x v="2011"/>
    <x v="2004"/>
    <n v="0"/>
  </r>
  <r>
    <x v="2012"/>
    <x v="2005"/>
    <m/>
  </r>
  <r>
    <x v="2012"/>
    <x v="2005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aDinámica3" cacheId="169" applyNumberFormats="0" applyBorderFormats="0" applyFontFormats="0" applyPatternFormats="0" applyAlignmentFormats="0" applyWidthHeightFormats="1" dataCaption="Valores" updatedVersion="6" minRefreshableVersion="3" useAutoFormatting="1" rowGrandTotals="0" colGrandTotals="0" itemPrintTitles="1" createdVersion="6" indent="0" compact="0" compactData="0" multipleFieldFilters="0">
  <location ref="A3:C2021" firstHeaderRow="1" firstDataRow="1" firstDataCol="2"/>
  <pivotFields count="3">
    <pivotField axis="axisRow" compact="0" outline="0" showAll="0" defaultSubtotal="0">
      <items count="20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1717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1714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172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1726"/>
        <item x="340"/>
        <item x="341"/>
        <item x="342"/>
        <item x="343"/>
        <item x="1727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1728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1729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1730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1731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1732"/>
        <item x="606"/>
        <item x="607"/>
        <item x="608"/>
        <item x="609"/>
        <item x="610"/>
        <item x="611"/>
        <item x="1733"/>
        <item x="612"/>
        <item x="613"/>
        <item x="614"/>
        <item x="615"/>
        <item x="1720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1734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1735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1736"/>
        <item x="812"/>
        <item x="813"/>
        <item x="814"/>
        <item x="815"/>
        <item x="816"/>
        <item x="817"/>
        <item x="818"/>
        <item x="819"/>
        <item x="820"/>
        <item x="821"/>
        <item x="1716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1737"/>
        <item x="914"/>
        <item x="1738"/>
        <item x="915"/>
        <item x="1739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1740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1721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741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718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722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742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743"/>
        <item x="1235"/>
        <item x="1236"/>
        <item x="1237"/>
        <item x="1238"/>
        <item x="1239"/>
        <item x="1240"/>
        <item x="1241"/>
        <item x="1242"/>
        <item x="1744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74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74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715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747"/>
        <item x="1464"/>
        <item x="1748"/>
        <item x="1749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750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751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752"/>
        <item x="1662"/>
        <item x="1663"/>
        <item x="1664"/>
        <item x="1665"/>
        <item x="1753"/>
        <item x="1711"/>
        <item x="1754"/>
        <item x="1666"/>
        <item x="1667"/>
        <item x="1668"/>
        <item x="1669"/>
        <item x="1670"/>
        <item x="1671"/>
        <item x="1755"/>
        <item x="1756"/>
        <item x="1757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758"/>
        <item x="1691"/>
        <item x="1692"/>
        <item x="1693"/>
        <item x="1694"/>
        <item x="1695"/>
        <item x="1696"/>
        <item x="1697"/>
        <item x="1698"/>
        <item x="1699"/>
        <item x="1724"/>
        <item x="1700"/>
        <item x="1701"/>
        <item x="1702"/>
        <item x="1703"/>
        <item x="1704"/>
        <item x="1759"/>
        <item x="1705"/>
        <item x="1706"/>
        <item x="1708"/>
        <item x="1709"/>
        <item x="1710"/>
        <item x="1760"/>
        <item x="1712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713"/>
        <item x="1707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723"/>
        <item x="17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</items>
    </pivotField>
    <pivotField axis="axisRow" compact="0" outline="0" showAll="0" defaultSubtotal="0">
      <items count="2006">
        <item x="988"/>
        <item x="989"/>
        <item x="1384"/>
        <item x="1921"/>
        <item x="543"/>
        <item x="544"/>
        <item x="545"/>
        <item x="546"/>
        <item x="547"/>
        <item x="548"/>
        <item x="549"/>
        <item x="550"/>
        <item x="1684"/>
        <item x="551"/>
        <item x="552"/>
        <item x="553"/>
        <item x="554"/>
        <item x="555"/>
        <item x="1591"/>
        <item x="556"/>
        <item x="557"/>
        <item x="558"/>
        <item x="1176"/>
        <item x="1977"/>
        <item x="1729"/>
        <item x="1489"/>
        <item x="1579"/>
        <item x="765"/>
        <item x="1592"/>
        <item x="766"/>
        <item x="767"/>
        <item x="1972"/>
        <item x="1943"/>
        <item x="768"/>
        <item x="769"/>
        <item x="770"/>
        <item x="1177"/>
        <item x="1178"/>
        <item x="1179"/>
        <item x="1180"/>
        <item x="1181"/>
        <item x="1182"/>
        <item x="0"/>
        <item x="1690"/>
        <item x="1"/>
        <item x="2"/>
        <item x="3"/>
        <item x="4"/>
        <item x="5"/>
        <item x="6"/>
        <item x="7"/>
        <item x="8"/>
        <item x="9"/>
        <item x="1416"/>
        <item x="10"/>
        <item x="11"/>
        <item x="12"/>
        <item x="13"/>
        <item x="14"/>
        <item x="15"/>
        <item x="1890"/>
        <item x="1616"/>
        <item x="727"/>
        <item x="33"/>
        <item x="34"/>
        <item x="35"/>
        <item x="36"/>
        <item x="37"/>
        <item x="38"/>
        <item x="39"/>
        <item x="40"/>
        <item x="41"/>
        <item x="42"/>
        <item x="1483"/>
        <item x="632"/>
        <item x="633"/>
        <item x="634"/>
        <item x="635"/>
        <item x="636"/>
        <item x="637"/>
        <item x="638"/>
        <item x="1363"/>
        <item x="771"/>
        <item x="772"/>
        <item x="773"/>
        <item x="774"/>
        <item x="775"/>
        <item x="1385"/>
        <item x="751"/>
        <item x="750"/>
        <item x="1944"/>
        <item x="1707"/>
        <item x="1593"/>
        <item x="1594"/>
        <item x="1681"/>
        <item x="1994"/>
        <item x="1512"/>
        <item x="492"/>
        <item x="493"/>
        <item x="1952"/>
        <item x="1953"/>
        <item x="1517"/>
        <item x="494"/>
        <item x="1386"/>
        <item x="1514"/>
        <item x="429"/>
        <item x="253"/>
        <item x="254"/>
        <item x="255"/>
        <item x="256"/>
        <item x="257"/>
        <item x="1739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595"/>
        <item x="1419"/>
        <item x="1024"/>
        <item x="1596"/>
        <item x="258"/>
        <item x="259"/>
        <item x="94"/>
        <item x="260"/>
        <item x="1850"/>
        <item x="95"/>
        <item x="1485"/>
        <item x="1749"/>
        <item x="261"/>
        <item x="262"/>
        <item x="235"/>
        <item x="1450"/>
        <item x="1844"/>
        <item x="1640"/>
        <item x="776"/>
        <item x="1434"/>
        <item x="16"/>
        <item x="17"/>
        <item x="777"/>
        <item x="778"/>
        <item x="1789"/>
        <item x="639"/>
        <item x="640"/>
        <item x="641"/>
        <item x="559"/>
        <item x="642"/>
        <item x="1912"/>
        <item x="1919"/>
        <item x="263"/>
        <item x="264"/>
        <item x="495"/>
        <item x="265"/>
        <item x="266"/>
        <item x="267"/>
        <item x="268"/>
        <item x="269"/>
        <item x="1526"/>
        <item x="1786"/>
        <item x="270"/>
        <item x="1427"/>
        <item x="496"/>
        <item x="1506"/>
        <item x="1490"/>
        <item x="1479"/>
        <item x="86"/>
        <item x="87"/>
        <item x="88"/>
        <item x="1497"/>
        <item x="89"/>
        <item x="1649"/>
        <item x="90"/>
        <item x="1486"/>
        <item x="91"/>
        <item x="497"/>
        <item x="498"/>
        <item x="1564"/>
        <item x="530"/>
        <item x="643"/>
        <item x="2003"/>
        <item x="2002"/>
        <item x="2001"/>
        <item x="271"/>
        <item x="272"/>
        <item x="273"/>
        <item x="274"/>
        <item x="1741"/>
        <item x="1126"/>
        <item x="1127"/>
        <item x="1128"/>
        <item x="1129"/>
        <item x="499"/>
        <item x="1440"/>
        <item x="644"/>
        <item x="1950"/>
        <item x="236"/>
        <item x="237"/>
        <item x="238"/>
        <item x="239"/>
        <item x="500"/>
        <item x="1624"/>
        <item x="1625"/>
        <item x="1807"/>
        <item x="1808"/>
        <item x="1842"/>
        <item x="1695"/>
        <item x="1696"/>
        <item x="275"/>
        <item x="939"/>
        <item x="940"/>
        <item x="941"/>
        <item x="942"/>
        <item x="943"/>
        <item x="1855"/>
        <item x="1588"/>
        <item x="1546"/>
        <item x="96"/>
        <item x="97"/>
        <item x="98"/>
        <item x="1836"/>
        <item x="99"/>
        <item x="100"/>
        <item x="101"/>
        <item x="102"/>
        <item x="1559"/>
        <item x="1560"/>
        <item x="1561"/>
        <item x="156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816"/>
        <item x="1817"/>
        <item x="1547"/>
        <item x="1834"/>
        <item x="115"/>
        <item x="1723"/>
        <item x="1590"/>
        <item x="276"/>
        <item x="240"/>
        <item x="241"/>
        <item x="1986"/>
        <item x="277"/>
        <item x="278"/>
        <item x="279"/>
        <item x="280"/>
        <item x="281"/>
        <item x="282"/>
        <item x="283"/>
        <item x="284"/>
        <item x="285"/>
        <item x="1511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1945"/>
        <item x="990"/>
        <item x="1025"/>
        <item x="1508"/>
        <item x="645"/>
        <item x="1130"/>
        <item x="1968"/>
        <item x="43"/>
        <item x="1772"/>
        <item x="1774"/>
        <item x="1574"/>
        <item x="44"/>
        <item x="45"/>
        <item x="501"/>
        <item x="1809"/>
        <item x="1887"/>
        <item x="46"/>
        <item x="47"/>
        <item x="48"/>
        <item x="1715"/>
        <item x="49"/>
        <item x="1771"/>
        <item x="50"/>
        <item x="51"/>
        <item x="52"/>
        <item x="1922"/>
        <item x="53"/>
        <item x="54"/>
        <item x="55"/>
        <item x="1414"/>
        <item x="56"/>
        <item x="57"/>
        <item x="1415"/>
        <item x="1823"/>
        <item x="58"/>
        <item x="59"/>
        <item x="1909"/>
        <item x="1746"/>
        <item x="1659"/>
        <item x="60"/>
        <item x="1814"/>
        <item x="1705"/>
        <item x="1656"/>
        <item x="1658"/>
        <item x="61"/>
        <item x="62"/>
        <item x="63"/>
        <item x="64"/>
        <item x="65"/>
        <item x="66"/>
        <item x="1398"/>
        <item x="67"/>
        <item x="68"/>
        <item x="69"/>
        <item x="70"/>
        <item x="1381"/>
        <item x="71"/>
        <item x="1388"/>
        <item x="72"/>
        <item x="73"/>
        <item x="74"/>
        <item x="75"/>
        <item x="76"/>
        <item x="77"/>
        <item x="78"/>
        <item x="1401"/>
        <item x="79"/>
        <item x="80"/>
        <item x="81"/>
        <item x="82"/>
        <item x="646"/>
        <item x="18"/>
        <item x="19"/>
        <item x="20"/>
        <item x="21"/>
        <item x="22"/>
        <item x="23"/>
        <item x="24"/>
        <item x="300"/>
        <item x="301"/>
        <item x="1583"/>
        <item x="1668"/>
        <item x="1722"/>
        <item x="1761"/>
        <item x="1429"/>
        <item x="302"/>
        <item x="1597"/>
        <item x="303"/>
        <item x="304"/>
        <item x="305"/>
        <item x="306"/>
        <item x="1587"/>
        <item x="1409"/>
        <item x="309"/>
        <item x="307"/>
        <item x="308"/>
        <item x="1669"/>
        <item x="647"/>
        <item x="310"/>
        <item x="1357"/>
        <item x="1457"/>
        <item x="991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520"/>
        <item x="1521"/>
        <item x="131"/>
        <item x="132"/>
        <item x="133"/>
        <item x="134"/>
        <item x="135"/>
        <item x="1183"/>
        <item x="1184"/>
        <item x="1185"/>
        <item x="1186"/>
        <item x="648"/>
        <item x="649"/>
        <item x="650"/>
        <item x="136"/>
        <item x="137"/>
        <item x="138"/>
        <item x="139"/>
        <item x="140"/>
        <item x="1503"/>
        <item x="1553"/>
        <item x="1554"/>
        <item x="1837"/>
        <item x="1712"/>
        <item x="311"/>
        <item x="312"/>
        <item x="313"/>
        <item x="502"/>
        <item x="503"/>
        <item x="779"/>
        <item x="780"/>
        <item x="781"/>
        <item x="141"/>
        <item x="1433"/>
        <item x="314"/>
        <item x="1916"/>
        <item x="1915"/>
        <item x="1914"/>
        <item x="1229"/>
        <item x="1230"/>
        <item x="1231"/>
        <item x="1803"/>
        <item x="1232"/>
        <item x="1233"/>
        <item x="1888"/>
        <item x="1889"/>
        <item x="1187"/>
        <item x="651"/>
        <item x="1464"/>
        <item x="142"/>
        <item x="143"/>
        <item x="144"/>
        <item x="145"/>
        <item x="1507"/>
        <item x="1528"/>
        <item x="1527"/>
        <item x="1550"/>
        <item x="1839"/>
        <item x="1556"/>
        <item x="1542"/>
        <item x="652"/>
        <item x="992"/>
        <item x="653"/>
        <item x="654"/>
        <item x="1852"/>
        <item x="1558"/>
        <item x="1851"/>
        <item x="1831"/>
        <item x="1488"/>
        <item x="1948"/>
        <item x="1509"/>
        <item x="655"/>
        <item x="25"/>
        <item x="26"/>
        <item x="1788"/>
        <item x="560"/>
        <item x="1947"/>
        <item x="1577"/>
        <item x="146"/>
        <item x="147"/>
        <item x="1861"/>
        <item x="148"/>
        <item x="656"/>
        <item x="657"/>
        <item x="658"/>
        <item x="1995"/>
        <item x="1589"/>
        <item x="315"/>
        <item x="316"/>
        <item x="317"/>
        <item x="318"/>
        <item x="1444"/>
        <item x="1980"/>
        <item x="319"/>
        <item x="320"/>
        <item x="1862"/>
        <item x="944"/>
        <item x="321"/>
        <item x="1885"/>
        <item x="83"/>
        <item x="84"/>
        <item x="85"/>
        <item x="324"/>
        <item x="1735"/>
        <item x="323"/>
        <item x="325"/>
        <item x="782"/>
        <item x="32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1734"/>
        <item x="812"/>
        <item x="813"/>
        <item x="814"/>
        <item x="815"/>
        <item x="816"/>
        <item x="817"/>
        <item x="818"/>
        <item x="819"/>
        <item x="820"/>
        <item x="821"/>
        <item x="1714"/>
        <item x="822"/>
        <item x="823"/>
        <item x="824"/>
        <item x="1988"/>
        <item x="1382"/>
        <item x="1689"/>
        <item x="825"/>
        <item x="826"/>
        <item x="827"/>
        <item x="1661"/>
        <item x="828"/>
        <item x="829"/>
        <item x="830"/>
        <item x="1368"/>
        <item x="1858"/>
        <item x="1598"/>
        <item x="1599"/>
        <item x="1600"/>
        <item x="1413"/>
        <item x="1412"/>
        <item x="1748"/>
        <item x="1703"/>
        <item x="1747"/>
        <item x="1411"/>
        <item x="831"/>
        <item x="832"/>
        <item x="833"/>
        <item x="834"/>
        <item x="835"/>
        <item x="836"/>
        <item x="1403"/>
        <item x="1515"/>
        <item x="837"/>
        <item x="838"/>
        <item x="839"/>
        <item x="1694"/>
        <item x="840"/>
        <item x="841"/>
        <item x="842"/>
        <item x="843"/>
        <item x="1663"/>
        <item x="844"/>
        <item x="845"/>
        <item x="1940"/>
        <item x="1939"/>
        <item x="1790"/>
        <item x="1857"/>
        <item x="846"/>
        <item x="847"/>
        <item x="848"/>
        <item x="849"/>
        <item x="850"/>
        <item x="1626"/>
        <item x="1633"/>
        <item x="1687"/>
        <item x="1686"/>
        <item x="1685"/>
        <item x="1383"/>
        <item x="1449"/>
        <item x="1404"/>
        <item x="1400"/>
        <item x="1399"/>
        <item x="1387"/>
        <item x="1402"/>
        <item x="1359"/>
        <item x="1702"/>
        <item x="950"/>
        <item x="951"/>
        <item x="149"/>
        <item x="150"/>
        <item x="1471"/>
        <item x="326"/>
        <item x="242"/>
        <item x="1867"/>
        <item x="327"/>
        <item x="1380"/>
        <item x="1389"/>
        <item x="851"/>
        <item x="1650"/>
        <item x="1652"/>
        <item x="1651"/>
        <item x="1478"/>
        <item x="1941"/>
        <item x="1188"/>
        <item x="504"/>
        <item x="1937"/>
        <item x="952"/>
        <item x="953"/>
        <item x="954"/>
        <item x="955"/>
        <item x="956"/>
        <item x="1417"/>
        <item x="1355"/>
        <item x="1744"/>
        <item x="1424"/>
        <item x="1692"/>
        <item x="1711"/>
        <item x="957"/>
        <item x="958"/>
        <item x="959"/>
        <item x="960"/>
        <item x="1601"/>
        <item x="1248"/>
        <item x="1249"/>
        <item x="1250"/>
        <item x="1251"/>
        <item x="1252"/>
        <item x="1253"/>
        <item x="1254"/>
        <item x="1255"/>
        <item x="1256"/>
        <item x="659"/>
        <item x="660"/>
        <item x="1575"/>
        <item x="662"/>
        <item x="661"/>
        <item x="1810"/>
        <item x="1653"/>
        <item x="1654"/>
        <item x="561"/>
        <item x="1189"/>
        <item x="1190"/>
        <item x="1191"/>
        <item x="1192"/>
        <item x="328"/>
        <item x="329"/>
        <item x="330"/>
        <item x="331"/>
        <item x="332"/>
        <item x="663"/>
        <item x="664"/>
        <item x="852"/>
        <item x="1901"/>
        <item x="1538"/>
        <item x="1540"/>
        <item x="1832"/>
        <item x="1539"/>
        <item x="666"/>
        <item x="667"/>
        <item x="665"/>
        <item x="1691"/>
        <item x="1866"/>
        <item x="1451"/>
        <item x="1480"/>
        <item x="752"/>
        <item x="753"/>
        <item x="754"/>
        <item x="755"/>
        <item x="1879"/>
        <item x="1356"/>
        <item x="1602"/>
        <item x="505"/>
        <item x="506"/>
        <item x="507"/>
        <item x="1454"/>
        <item x="508"/>
        <item x="1710"/>
        <item x="1460"/>
        <item x="1780"/>
        <item x="1516"/>
        <item x="1764"/>
        <item x="1576"/>
        <item x="1848"/>
        <item x="668"/>
        <item x="853"/>
        <item x="1390"/>
        <item x="1548"/>
        <item x="1456"/>
        <item x="669"/>
        <item x="670"/>
        <item x="671"/>
        <item x="672"/>
        <item x="562"/>
        <item x="151"/>
        <item x="152"/>
        <item x="153"/>
        <item x="154"/>
        <item x="155"/>
        <item x="156"/>
        <item x="1491"/>
        <item x="1518"/>
        <item x="1884"/>
        <item x="1993"/>
        <item x="1657"/>
        <item x="563"/>
        <item x="564"/>
        <item x="565"/>
        <item x="1753"/>
        <item x="566"/>
        <item x="567"/>
        <item x="568"/>
        <item x="569"/>
        <item x="570"/>
        <item x="571"/>
        <item x="572"/>
        <item x="573"/>
        <item x="574"/>
        <item x="1825"/>
        <item x="157"/>
        <item x="1566"/>
        <item x="1822"/>
        <item x="1581"/>
        <item x="1568"/>
        <item x="1567"/>
        <item x="1570"/>
        <item x="1585"/>
        <item x="1569"/>
        <item x="1584"/>
        <item x="158"/>
        <item x="854"/>
        <item x="575"/>
        <item x="673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841"/>
        <item x="576"/>
        <item x="577"/>
        <item x="578"/>
        <item x="579"/>
        <item x="580"/>
        <item x="581"/>
        <item x="582"/>
        <item x="583"/>
        <item x="584"/>
        <item x="585"/>
        <item x="674"/>
        <item x="1969"/>
        <item x="243"/>
        <item x="244"/>
        <item x="245"/>
        <item x="246"/>
        <item x="247"/>
        <item x="1792"/>
        <item x="1391"/>
        <item x="1392"/>
        <item x="675"/>
        <item x="1706"/>
        <item x="1874"/>
        <item x="993"/>
        <item x="333"/>
        <item x="334"/>
        <item x="335"/>
        <item x="336"/>
        <item x="337"/>
        <item x="338"/>
        <item x="339"/>
        <item x="1724"/>
        <item x="340"/>
        <item x="341"/>
        <item x="342"/>
        <item x="1376"/>
        <item x="1375"/>
        <item x="1365"/>
        <item x="1364"/>
        <item x="343"/>
        <item x="1725"/>
        <item x="344"/>
        <item x="1854"/>
        <item x="1750"/>
        <item x="1751"/>
        <item x="345"/>
        <item x="346"/>
        <item x="347"/>
        <item x="348"/>
        <item x="349"/>
        <item x="350"/>
        <item x="351"/>
        <item x="1891"/>
        <item x="1367"/>
        <item x="1618"/>
        <item x="1615"/>
        <item x="1617"/>
        <item x="352"/>
        <item x="353"/>
        <item x="1894"/>
        <item x="1895"/>
        <item x="1896"/>
        <item x="1897"/>
        <item x="1898"/>
        <item x="1899"/>
        <item x="1900"/>
        <item x="1892"/>
        <item x="1893"/>
        <item x="1704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1757"/>
        <item x="1758"/>
        <item x="1957"/>
        <item x="1998"/>
        <item x="1787"/>
        <item x="1781"/>
        <item x="386"/>
        <item x="387"/>
        <item x="388"/>
        <item x="389"/>
        <item x="390"/>
        <item x="391"/>
        <item x="392"/>
        <item x="170"/>
        <item x="1975"/>
        <item x="676"/>
        <item x="171"/>
        <item x="393"/>
        <item x="1662"/>
        <item x="394"/>
        <item x="395"/>
        <item x="396"/>
        <item x="397"/>
        <item x="398"/>
        <item x="399"/>
        <item x="400"/>
        <item x="401"/>
        <item x="402"/>
        <item x="403"/>
        <item x="1670"/>
        <item x="1726"/>
        <item x="404"/>
        <item x="1026"/>
        <item x="855"/>
        <item x="405"/>
        <item x="406"/>
        <item x="407"/>
        <item x="1886"/>
        <item x="1701"/>
        <item x="677"/>
        <item x="1572"/>
        <item x="2004"/>
        <item x="172"/>
        <item x="1826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487"/>
        <item x="184"/>
        <item x="1827"/>
        <item x="186"/>
        <item x="185"/>
        <item x="1525"/>
        <item x="187"/>
        <item x="678"/>
        <item x="1777"/>
        <item x="856"/>
        <item x="679"/>
        <item x="1234"/>
        <item x="1732"/>
        <item x="680"/>
        <item x="1974"/>
        <item x="1973"/>
        <item x="1996"/>
        <item x="408"/>
        <item x="409"/>
        <item x="1510"/>
        <item x="1235"/>
        <item x="1802"/>
        <item x="1237"/>
        <item x="1238"/>
        <item x="1239"/>
        <item x="1742"/>
        <item x="1236"/>
        <item x="1954"/>
        <item x="1955"/>
        <item x="509"/>
        <item x="1883"/>
        <item x="1878"/>
        <item x="1432"/>
        <item x="681"/>
        <item x="682"/>
        <item x="683"/>
        <item x="684"/>
        <item x="685"/>
        <item x="687"/>
        <item x="2000"/>
        <item x="688"/>
        <item x="1465"/>
        <item x="531"/>
        <item x="410"/>
        <item x="1860"/>
        <item x="510"/>
        <item x="1435"/>
        <item x="1849"/>
        <item x="1513"/>
        <item x="1437"/>
        <item x="1557"/>
        <item x="857"/>
        <item x="1728"/>
        <item x="1131"/>
        <item x="1436"/>
        <item x="1924"/>
        <item x="858"/>
        <item x="1963"/>
        <item x="1965"/>
        <item x="1865"/>
        <item x="411"/>
        <item x="412"/>
        <item x="586"/>
        <item x="587"/>
        <item x="1961"/>
        <item x="188"/>
        <item x="1582"/>
        <item x="1580"/>
        <item x="532"/>
        <item x="1846"/>
        <item x="1484"/>
        <item x="189"/>
        <item x="190"/>
        <item x="1843"/>
        <item x="1466"/>
        <item x="689"/>
        <item x="690"/>
        <item x="1876"/>
        <item x="413"/>
        <item x="414"/>
        <item x="1358"/>
        <item x="191"/>
        <item x="1504"/>
        <item x="183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1829"/>
        <item x="686"/>
        <item x="705"/>
        <item x="706"/>
        <item x="707"/>
        <item x="708"/>
        <item x="709"/>
        <item x="710"/>
        <item x="711"/>
        <item x="712"/>
        <item x="1853"/>
        <item x="713"/>
        <item x="714"/>
        <item x="588"/>
        <item x="1881"/>
        <item x="756"/>
        <item x="1990"/>
        <item x="248"/>
        <item x="249"/>
        <item x="250"/>
        <item x="251"/>
        <item x="252"/>
        <item x="1917"/>
        <item x="1859"/>
        <item x="1677"/>
        <item x="1678"/>
        <item x="1494"/>
        <item x="1495"/>
        <item x="1496"/>
        <item x="1571"/>
        <item x="511"/>
        <item x="512"/>
        <item x="715"/>
        <item x="1847"/>
        <item x="716"/>
        <item x="1928"/>
        <item x="863"/>
        <item x="1763"/>
        <item x="1768"/>
        <item x="859"/>
        <item x="861"/>
        <item x="860"/>
        <item x="862"/>
        <item x="864"/>
        <item x="865"/>
        <item x="866"/>
        <item x="867"/>
        <item x="868"/>
        <item x="869"/>
        <item x="870"/>
        <item x="871"/>
        <item x="872"/>
        <item x="1697"/>
        <item x="1828"/>
        <item x="415"/>
        <item x="416"/>
        <item x="873"/>
        <item x="874"/>
        <item x="875"/>
        <item x="876"/>
        <item x="533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1875"/>
        <item x="417"/>
        <item x="418"/>
        <item x="419"/>
        <item x="420"/>
        <item x="717"/>
        <item x="1467"/>
        <item x="718"/>
        <item x="1541"/>
        <item x="719"/>
        <item x="720"/>
        <item x="1991"/>
        <item x="192"/>
        <item x="1622"/>
        <item x="1623"/>
        <item x="1374"/>
        <item x="1372"/>
        <item x="1373"/>
        <item x="1370"/>
        <item x="1199"/>
        <item x="1200"/>
        <item x="1201"/>
        <item x="1202"/>
        <item x="1203"/>
        <item x="1204"/>
        <item x="1205"/>
        <item x="1206"/>
        <item x="1207"/>
        <item x="1813"/>
        <item x="1208"/>
        <item x="1209"/>
        <item x="1210"/>
        <item x="1211"/>
        <item x="1212"/>
        <item x="1812"/>
        <item x="1213"/>
        <item x="1214"/>
        <item x="1215"/>
        <item x="1216"/>
        <item x="1477"/>
        <item x="1217"/>
        <item x="1218"/>
        <item x="1379"/>
        <item x="1369"/>
        <item x="1371"/>
        <item x="1219"/>
        <item x="1220"/>
        <item x="1221"/>
        <item x="1222"/>
        <item x="1223"/>
        <item x="1224"/>
        <item x="1674"/>
        <item x="1225"/>
        <item x="1226"/>
        <item x="1227"/>
        <item x="1675"/>
        <item x="1918"/>
        <item x="1502"/>
        <item x="757"/>
        <item x="1492"/>
        <item x="1904"/>
        <item x="1956"/>
        <item x="1999"/>
        <item x="1905"/>
        <item x="1784"/>
        <item x="1811"/>
        <item x="1985"/>
        <item x="1573"/>
        <item x="421"/>
        <item x="891"/>
        <item x="193"/>
        <item x="1906"/>
        <item x="1907"/>
        <item x="1908"/>
        <item x="513"/>
        <item x="422"/>
        <item x="423"/>
        <item x="1864"/>
        <item x="424"/>
        <item x="425"/>
        <item x="426"/>
        <item x="427"/>
        <item x="1459"/>
        <item x="721"/>
        <item x="722"/>
        <item x="723"/>
        <item x="724"/>
        <item x="1727"/>
        <item x="428"/>
        <item x="1782"/>
        <item x="194"/>
        <item x="534"/>
        <item x="535"/>
        <item x="1960"/>
        <item x="1933"/>
        <item x="1932"/>
        <item x="1934"/>
        <item x="1935"/>
        <item x="1981"/>
        <item x="1936"/>
        <item x="1982"/>
        <item x="758"/>
        <item x="1824"/>
        <item x="1783"/>
        <item x="1240"/>
        <item x="725"/>
        <item x="726"/>
        <item x="1241"/>
        <item x="759"/>
        <item x="760"/>
        <item x="589"/>
        <item x="1612"/>
        <item x="728"/>
        <item x="729"/>
        <item x="1923"/>
        <item x="1794"/>
        <item x="1795"/>
        <item x="1796"/>
        <item x="1793"/>
        <item x="514"/>
        <item x="1785"/>
        <item x="195"/>
        <item x="196"/>
        <item x="1523"/>
        <item x="1522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1976"/>
        <item x="1481"/>
        <item x="1877"/>
        <item x="27"/>
        <item x="28"/>
        <item x="29"/>
        <item x="431"/>
        <item x="432"/>
        <item x="433"/>
        <item x="434"/>
        <item x="435"/>
        <item x="436"/>
        <item x="430"/>
        <item x="1760"/>
        <item x="1688"/>
        <item x="1845"/>
        <item x="730"/>
        <item x="731"/>
        <item x="1475"/>
        <item x="1641"/>
        <item x="1027"/>
        <item x="1028"/>
        <item x="1501"/>
        <item x="1029"/>
        <item x="1030"/>
        <item x="1031"/>
        <item x="1032"/>
        <item x="1500"/>
        <item x="1863"/>
        <item x="732"/>
        <item x="92"/>
        <item x="93"/>
        <item x="1565"/>
        <item x="437"/>
        <item x="1361"/>
        <item x="733"/>
        <item x="735"/>
        <item x="734"/>
        <item x="737"/>
        <item x="1431"/>
        <item x="438"/>
        <item x="439"/>
        <item x="440"/>
        <item x="761"/>
        <item x="738"/>
        <item x="739"/>
        <item x="736"/>
        <item x="740"/>
        <item x="536"/>
        <item x="1470"/>
        <item x="1458"/>
        <item x="1840"/>
        <item x="1563"/>
        <item x="1683"/>
        <item x="1882"/>
        <item x="590"/>
        <item x="591"/>
        <item x="1549"/>
        <item x="515"/>
        <item x="516"/>
        <item x="517"/>
        <item x="537"/>
        <item x="1752"/>
        <item x="1393"/>
        <item x="441"/>
        <item x="592"/>
        <item x="593"/>
        <item x="594"/>
        <item x="595"/>
        <item x="1468"/>
        <item x="442"/>
        <item x="1418"/>
        <item x="443"/>
        <item x="1930"/>
        <item x="1931"/>
        <item x="1929"/>
        <item x="1586"/>
        <item x="961"/>
        <item x="962"/>
        <item x="963"/>
        <item x="964"/>
        <item x="965"/>
        <item x="966"/>
        <item x="967"/>
        <item x="968"/>
        <item x="969"/>
        <item x="1664"/>
        <item x="1708"/>
        <item x="970"/>
        <item x="971"/>
        <item x="972"/>
        <item x="973"/>
        <item x="974"/>
        <item x="975"/>
        <item x="976"/>
        <item x="977"/>
        <item x="978"/>
        <item x="1439"/>
        <item x="979"/>
        <item x="980"/>
        <item x="981"/>
        <item x="982"/>
        <item x="983"/>
        <item x="984"/>
        <item x="985"/>
        <item x="986"/>
        <item x="1719"/>
        <item x="987"/>
        <item x="1873"/>
        <item x="1721"/>
        <item x="1717"/>
        <item x="1920"/>
        <item x="1671"/>
        <item x="1672"/>
        <item x="1679"/>
        <item x="518"/>
        <item x="519"/>
        <item x="520"/>
        <item x="1408"/>
        <item x="538"/>
        <item x="539"/>
        <item x="445"/>
        <item x="1835"/>
        <item x="444"/>
        <item x="1544"/>
        <item x="213"/>
        <item x="214"/>
        <item x="215"/>
        <item x="216"/>
        <item x="217"/>
        <item x="218"/>
        <item x="1949"/>
        <item x="1856"/>
        <item x="521"/>
        <item x="1257"/>
        <item x="1644"/>
        <item x="1258"/>
        <item x="1443"/>
        <item x="1452"/>
        <item x="522"/>
        <item x="523"/>
        <item x="524"/>
        <item x="1242"/>
        <item x="1394"/>
        <item x="1395"/>
        <item x="525"/>
        <item x="526"/>
        <item x="741"/>
        <item x="1733"/>
        <item x="742"/>
        <item x="1743"/>
        <item x="1243"/>
        <item x="1244"/>
        <item x="1245"/>
        <item x="1246"/>
        <item x="1247"/>
        <item x="762"/>
        <item x="892"/>
        <item x="1868"/>
        <item x="1869"/>
        <item x="1964"/>
        <item x="1762"/>
        <item x="1791"/>
        <item x="1639"/>
        <item x="1966"/>
        <item x="1967"/>
        <item x="1447"/>
        <item x="1448"/>
        <item x="1259"/>
        <item x="1260"/>
        <item x="1261"/>
        <item x="1647"/>
        <item x="1648"/>
        <item x="1638"/>
        <item x="448"/>
        <item x="449"/>
        <item x="450"/>
        <item x="446"/>
        <item x="447"/>
        <item x="1469"/>
        <item x="1806"/>
        <item x="1880"/>
        <item x="1959"/>
        <item x="1902"/>
        <item x="1958"/>
        <item x="1997"/>
        <item x="1903"/>
        <item x="1228"/>
        <item x="1642"/>
        <item x="527"/>
        <item x="743"/>
        <item x="994"/>
        <item x="451"/>
        <item x="1537"/>
        <item x="1535"/>
        <item x="1536"/>
        <item x="452"/>
        <item x="453"/>
        <item x="454"/>
        <item x="455"/>
        <item x="456"/>
        <item x="1132"/>
        <item x="30"/>
        <item x="31"/>
        <item x="1519"/>
        <item x="1978"/>
        <item x="219"/>
        <item x="1779"/>
        <item x="1778"/>
        <item x="1551"/>
        <item x="1838"/>
        <item x="744"/>
        <item x="745"/>
        <item x="995"/>
        <item x="996"/>
        <item x="997"/>
        <item x="457"/>
        <item x="998"/>
        <item x="999"/>
        <item x="458"/>
        <item x="1000"/>
        <item x="1001"/>
        <item x="1002"/>
        <item x="1003"/>
        <item x="1631"/>
        <item x="459"/>
        <item x="1004"/>
        <item x="1942"/>
        <item x="1614"/>
        <item x="746"/>
        <item x="460"/>
        <item x="1989"/>
        <item x="1971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1552"/>
        <item x="763"/>
        <item x="1833"/>
        <item x="1133"/>
        <item x="1462"/>
        <item x="747"/>
        <item x="1819"/>
        <item x="1925"/>
        <item x="1820"/>
        <item x="1926"/>
        <item x="596"/>
        <item x="597"/>
        <item x="598"/>
        <item x="1655"/>
        <item x="1428"/>
        <item x="1420"/>
        <item x="599"/>
        <item x="600"/>
        <item x="601"/>
        <item x="602"/>
        <item x="603"/>
        <item x="604"/>
        <item x="605"/>
        <item x="1730"/>
        <item x="1756"/>
        <item x="606"/>
        <item x="1603"/>
        <item x="607"/>
        <item x="608"/>
        <item x="1755"/>
        <item x="609"/>
        <item x="1709"/>
        <item x="540"/>
        <item x="1992"/>
        <item x="473"/>
        <item x="474"/>
        <item x="475"/>
        <item x="476"/>
        <item x="477"/>
        <item x="478"/>
        <item x="479"/>
        <item x="480"/>
        <item x="481"/>
        <item x="220"/>
        <item x="1533"/>
        <item x="1798"/>
        <item x="1797"/>
        <item x="1455"/>
        <item x="541"/>
        <item x="1499"/>
        <item x="1134"/>
        <item x="1946"/>
        <item x="1505"/>
        <item x="482"/>
        <item x="1604"/>
        <item x="1605"/>
        <item x="1606"/>
        <item x="1607"/>
        <item x="483"/>
        <item x="484"/>
        <item x="1913"/>
        <item x="485"/>
        <item x="486"/>
        <item x="487"/>
        <item x="488"/>
        <item x="489"/>
        <item x="1759"/>
        <item x="490"/>
        <item x="491"/>
        <item x="528"/>
        <item x="945"/>
        <item x="946"/>
        <item x="947"/>
        <item x="948"/>
        <item x="949"/>
        <item x="1033"/>
        <item x="1423"/>
        <item x="1962"/>
        <item x="1740"/>
        <item x="1034"/>
        <item x="1035"/>
        <item x="1036"/>
        <item x="1037"/>
        <item x="1038"/>
        <item x="1039"/>
        <item x="1613"/>
        <item x="1040"/>
        <item x="1041"/>
        <item x="1042"/>
        <item x="1043"/>
        <item x="1682"/>
        <item x="1745"/>
        <item x="1366"/>
        <item x="1044"/>
        <item x="1045"/>
        <item x="221"/>
        <item x="222"/>
        <item x="223"/>
        <item x="224"/>
        <item x="225"/>
        <item x="226"/>
        <item x="1534"/>
        <item x="1377"/>
        <item x="1378"/>
        <item x="227"/>
        <item x="228"/>
        <item x="229"/>
        <item x="230"/>
        <item x="231"/>
        <item x="232"/>
        <item x="1818"/>
        <item x="893"/>
        <item x="894"/>
        <item x="895"/>
        <item x="896"/>
        <item x="897"/>
        <item x="898"/>
        <item x="899"/>
        <item x="900"/>
        <item x="901"/>
        <item x="1660"/>
        <item x="1627"/>
        <item x="1984"/>
        <item x="902"/>
        <item x="903"/>
        <item x="1608"/>
        <item x="904"/>
        <item x="905"/>
        <item x="906"/>
        <item x="907"/>
        <item x="908"/>
        <item x="909"/>
        <item x="910"/>
        <item x="911"/>
        <item x="912"/>
        <item x="913"/>
        <item x="1438"/>
        <item x="914"/>
        <item x="1736"/>
        <item x="915"/>
        <item x="1737"/>
        <item x="923"/>
        <item x="916"/>
        <item x="917"/>
        <item x="918"/>
        <item x="919"/>
        <item x="920"/>
        <item x="921"/>
        <item x="1693"/>
        <item x="922"/>
        <item x="924"/>
        <item x="925"/>
        <item x="1754"/>
        <item x="926"/>
        <item x="927"/>
        <item x="928"/>
        <item x="929"/>
        <item x="930"/>
        <item x="931"/>
        <item x="932"/>
        <item x="933"/>
        <item x="1524"/>
        <item x="934"/>
        <item x="935"/>
        <item x="1738"/>
        <item x="936"/>
        <item x="937"/>
        <item x="1493"/>
        <item x="1463"/>
        <item x="1545"/>
        <item x="1578"/>
        <item x="1821"/>
        <item x="764"/>
        <item x="32"/>
        <item x="1474"/>
        <item x="748"/>
        <item x="1472"/>
        <item x="610"/>
        <item x="611"/>
        <item x="1430"/>
        <item x="1425"/>
        <item x="1804"/>
        <item x="938"/>
        <item x="1619"/>
        <item x="1046"/>
        <item x="1621"/>
        <item x="1047"/>
        <item x="1048"/>
        <item x="1049"/>
        <item x="1050"/>
        <item x="1051"/>
        <item x="1052"/>
        <item x="1446"/>
        <item x="1053"/>
        <item x="1054"/>
        <item x="1055"/>
        <item x="1056"/>
        <item x="1057"/>
        <item x="1058"/>
        <item x="1713"/>
        <item x="1076"/>
        <item x="1059"/>
        <item x="1060"/>
        <item x="1061"/>
        <item x="1062"/>
        <item x="1063"/>
        <item x="1064"/>
        <item x="1065"/>
        <item x="1066"/>
        <item x="1067"/>
        <item x="1068"/>
        <item x="1765"/>
        <item x="1766"/>
        <item x="1767"/>
        <item x="1069"/>
        <item x="1070"/>
        <item x="1071"/>
        <item x="1072"/>
        <item x="1073"/>
        <item x="1074"/>
        <item x="1075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716"/>
        <item x="1090"/>
        <item x="1091"/>
        <item x="1092"/>
        <item x="1609"/>
        <item x="1093"/>
        <item x="1094"/>
        <item x="1095"/>
        <item x="1096"/>
        <item x="1097"/>
        <item x="1610"/>
        <item x="1098"/>
        <item x="1099"/>
        <item x="1100"/>
        <item x="1720"/>
        <item x="1620"/>
        <item x="1101"/>
        <item x="1102"/>
        <item x="1103"/>
        <item x="1769"/>
        <item x="1770"/>
        <item x="1979"/>
        <item x="1911"/>
        <item x="1104"/>
        <item x="1105"/>
        <item x="1106"/>
        <item x="1107"/>
        <item x="1108"/>
        <item x="1983"/>
        <item x="1360"/>
        <item x="1109"/>
        <item x="1110"/>
        <item x="1111"/>
        <item x="1112"/>
        <item x="1113"/>
        <item x="1114"/>
        <item x="1611"/>
        <item x="1987"/>
        <item x="1396"/>
        <item x="1799"/>
        <item x="1800"/>
        <item x="1951"/>
        <item x="233"/>
        <item x="1870"/>
        <item x="1801"/>
        <item x="542"/>
        <item x="1262"/>
        <item x="1938"/>
        <item x="1263"/>
        <item x="1274"/>
        <item x="1264"/>
        <item x="1265"/>
        <item x="1266"/>
        <item x="1555"/>
        <item x="1645"/>
        <item x="1646"/>
        <item x="1267"/>
        <item x="1268"/>
        <item x="1269"/>
        <item x="1270"/>
        <item x="1271"/>
        <item x="1272"/>
        <item x="1632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643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273"/>
        <item x="1634"/>
        <item x="1530"/>
        <item x="1635"/>
        <item x="1636"/>
        <item x="1531"/>
        <item x="1637"/>
        <item x="1532"/>
        <item x="1476"/>
        <item x="1529"/>
        <item x="1445"/>
        <item x="1442"/>
        <item x="1275"/>
        <item x="1276"/>
        <item x="1277"/>
        <item x="1970"/>
        <item x="1278"/>
        <item x="1279"/>
        <item x="1441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872"/>
        <item x="1315"/>
        <item x="1316"/>
        <item x="1317"/>
        <item x="1318"/>
        <item x="1319"/>
        <item x="1320"/>
        <item x="1321"/>
        <item x="1498"/>
        <item x="1322"/>
        <item x="1323"/>
        <item x="1324"/>
        <item x="1325"/>
        <item x="1326"/>
        <item x="1327"/>
        <item x="1328"/>
        <item x="1329"/>
        <item x="1426"/>
        <item x="1330"/>
        <item x="1331"/>
        <item x="1332"/>
        <item x="1333"/>
        <item x="1815"/>
        <item x="1334"/>
        <item x="1629"/>
        <item x="1630"/>
        <item x="1335"/>
        <item x="1336"/>
        <item x="1337"/>
        <item x="1338"/>
        <item x="1339"/>
        <item x="1340"/>
        <item x="141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628"/>
        <item x="1353"/>
        <item x="1354"/>
        <item x="1172"/>
        <item x="1173"/>
        <item x="1665"/>
        <item x="1666"/>
        <item x="1667"/>
        <item x="1482"/>
        <item x="1700"/>
        <item x="1927"/>
        <item x="1731"/>
        <item x="612"/>
        <item x="613"/>
        <item x="1699"/>
        <item x="1196"/>
        <item x="1421"/>
        <item x="1193"/>
        <item x="1194"/>
        <item x="1195"/>
        <item x="1197"/>
        <item x="1198"/>
        <item x="614"/>
        <item x="615"/>
        <item x="1718"/>
        <item x="1698"/>
        <item x="616"/>
        <item x="617"/>
        <item x="618"/>
        <item x="619"/>
        <item x="620"/>
        <item x="621"/>
        <item x="1676"/>
        <item x="622"/>
        <item x="623"/>
        <item x="1680"/>
        <item x="1805"/>
        <item x="1871"/>
        <item x="1673"/>
        <item x="1473"/>
        <item x="1115"/>
        <item x="1422"/>
        <item x="1116"/>
        <item x="1117"/>
        <item x="1118"/>
        <item x="1119"/>
        <item x="1362"/>
        <item x="1120"/>
        <item x="1121"/>
        <item x="1122"/>
        <item x="1123"/>
        <item x="1124"/>
        <item x="1125"/>
        <item x="529"/>
        <item x="1776"/>
        <item x="1775"/>
        <item x="1407"/>
        <item x="1406"/>
        <item x="1405"/>
        <item x="749"/>
        <item x="1461"/>
        <item x="624"/>
        <item x="1910"/>
        <item x="625"/>
        <item x="626"/>
        <item x="627"/>
        <item x="628"/>
        <item x="629"/>
        <item x="630"/>
        <item x="631"/>
        <item x="1174"/>
        <item x="1175"/>
        <item x="234"/>
        <item x="1453"/>
        <item x="1773"/>
        <item x="1397"/>
        <item x="1543"/>
        <item x="2005"/>
      </items>
    </pivotField>
    <pivotField dataField="1" compact="0" outline="0" showAll="0" defaultSubtotal="0"/>
  </pivotFields>
  <rowFields count="2">
    <field x="0"/>
    <field x="1"/>
  </rowFields>
  <rowItems count="2018">
    <i>
      <x/>
      <x v="42"/>
    </i>
    <i>
      <x v="1"/>
      <x v="44"/>
    </i>
    <i>
      <x v="2"/>
      <x v="45"/>
    </i>
    <i>
      <x v="3"/>
      <x v="46"/>
    </i>
    <i>
      <x v="4"/>
      <x v="47"/>
    </i>
    <i>
      <x v="5"/>
      <x v="48"/>
    </i>
    <i>
      <x v="6"/>
      <x v="49"/>
    </i>
    <i>
      <x v="7"/>
      <x v="50"/>
    </i>
    <i>
      <x v="8"/>
      <x v="51"/>
    </i>
    <i>
      <x v="9"/>
      <x v="52"/>
    </i>
    <i>
      <x v="10"/>
      <x v="54"/>
    </i>
    <i>
      <x v="11"/>
      <x v="55"/>
    </i>
    <i>
      <x v="12"/>
      <x v="56"/>
    </i>
    <i>
      <x v="13"/>
      <x v="57"/>
    </i>
    <i>
      <x v="14"/>
      <x v="58"/>
    </i>
    <i>
      <x v="15"/>
      <x v="59"/>
    </i>
    <i>
      <x v="16"/>
      <x v="151"/>
    </i>
    <i>
      <x v="17"/>
      <x v="152"/>
    </i>
    <i>
      <x v="18"/>
      <x v="360"/>
    </i>
    <i>
      <x v="19"/>
      <x v="361"/>
    </i>
    <i>
      <x v="20"/>
      <x v="362"/>
    </i>
    <i>
      <x v="21"/>
      <x v="363"/>
    </i>
    <i>
      <x v="22"/>
      <x v="364"/>
    </i>
    <i>
      <x v="23"/>
      <x v="365"/>
    </i>
    <i>
      <x v="24"/>
      <x v="366"/>
    </i>
    <i>
      <x v="25"/>
      <x v="478"/>
    </i>
    <i>
      <x v="26"/>
      <x v="479"/>
    </i>
    <i>
      <x v="27"/>
      <x v="1252"/>
    </i>
    <i>
      <x v="28"/>
      <x v="1253"/>
    </i>
    <i>
      <x v="29"/>
      <x v="1254"/>
    </i>
    <i>
      <x v="30"/>
      <x v="1451"/>
    </i>
    <i>
      <x v="31"/>
      <x v="1452"/>
    </i>
    <i>
      <x v="32"/>
      <x v="1667"/>
    </i>
    <i>
      <x v="33"/>
      <x v="63"/>
    </i>
    <i>
      <x v="34"/>
      <x v="64"/>
    </i>
    <i>
      <x v="35"/>
      <x v="65"/>
    </i>
    <i>
      <x v="36"/>
      <x v="66"/>
    </i>
    <i>
      <x v="37"/>
      <x v="67"/>
    </i>
    <i>
      <x v="38"/>
      <x v="68"/>
    </i>
    <i>
      <x v="39"/>
      <x v="69"/>
    </i>
    <i>
      <x v="40"/>
      <x v="70"/>
    </i>
    <i>
      <x v="41"/>
      <x v="71"/>
    </i>
    <i>
      <x v="42"/>
      <x v="72"/>
    </i>
    <i>
      <x v="43"/>
      <x v="296"/>
    </i>
    <i>
      <x v="44"/>
      <x v="300"/>
    </i>
    <i>
      <x v="45"/>
      <x v="301"/>
    </i>
    <i>
      <x v="46"/>
      <x v="305"/>
    </i>
    <i>
      <x v="47"/>
      <x v="306"/>
    </i>
    <i>
      <x v="48"/>
      <x v="307"/>
    </i>
    <i>
      <x v="49"/>
      <x v="308"/>
    </i>
    <i>
      <x v="50"/>
      <x v="309"/>
    </i>
    <i>
      <x v="51"/>
      <x v="311"/>
    </i>
    <i>
      <x v="52"/>
      <x v="312"/>
    </i>
    <i>
      <x v="53"/>
      <x v="313"/>
    </i>
    <i>
      <x v="54"/>
      <x v="315"/>
    </i>
    <i>
      <x v="55"/>
      <x v="316"/>
    </i>
    <i>
      <x v="56"/>
      <x v="317"/>
    </i>
    <i>
      <x v="57"/>
      <x v="319"/>
    </i>
    <i>
      <x v="58"/>
      <x v="320"/>
    </i>
    <i>
      <x v="59"/>
      <x v="323"/>
    </i>
    <i>
      <x v="60"/>
      <x v="324"/>
    </i>
    <i>
      <x v="61"/>
      <x v="328"/>
    </i>
    <i>
      <x v="62"/>
      <x v="333"/>
    </i>
    <i>
      <x v="63"/>
      <x v="334"/>
    </i>
    <i>
      <x v="64"/>
      <x v="335"/>
    </i>
    <i>
      <x v="65"/>
      <x v="336"/>
    </i>
    <i>
      <x v="66"/>
      <x v="337"/>
    </i>
    <i>
      <x v="67"/>
      <x v="338"/>
    </i>
    <i>
      <x v="68"/>
      <x v="340"/>
    </i>
    <i>
      <x v="69"/>
      <x v="341"/>
    </i>
    <i>
      <x v="70"/>
      <x v="342"/>
    </i>
    <i>
      <x v="71"/>
      <x v="343"/>
    </i>
    <i>
      <x v="72"/>
      <x v="345"/>
    </i>
    <i>
      <x v="73"/>
      <x v="347"/>
    </i>
    <i>
      <x v="74"/>
      <x v="348"/>
    </i>
    <i>
      <x v="75"/>
      <x v="349"/>
    </i>
    <i>
      <x v="76"/>
      <x v="350"/>
    </i>
    <i>
      <x v="77"/>
      <x v="351"/>
    </i>
    <i>
      <x v="78"/>
      <x v="352"/>
    </i>
    <i>
      <x v="79"/>
      <x v="353"/>
    </i>
    <i>
      <x v="80"/>
      <x v="355"/>
    </i>
    <i>
      <x v="81"/>
      <x v="356"/>
    </i>
    <i>
      <x v="82"/>
      <x v="357"/>
    </i>
    <i>
      <x v="83"/>
      <x v="358"/>
    </i>
    <i>
      <x v="84"/>
      <x v="505"/>
    </i>
    <i>
      <x v="85"/>
      <x v="506"/>
    </i>
    <i>
      <x v="86"/>
      <x v="507"/>
    </i>
    <i>
      <x v="87"/>
      <x v="179"/>
    </i>
    <i>
      <x v="88"/>
      <x v="180"/>
    </i>
    <i>
      <x v="89"/>
      <x v="181"/>
    </i>
    <i>
      <x v="90"/>
      <x v="183"/>
    </i>
    <i>
      <x v="91"/>
      <x v="185"/>
    </i>
    <i>
      <x v="92"/>
      <x v="187"/>
    </i>
    <i>
      <x v="93"/>
      <x v="429"/>
    </i>
    <i>
      <x v="94"/>
      <x v="1279"/>
    </i>
    <i>
      <x v="95"/>
      <x v="1280"/>
    </i>
    <i>
      <x v="96"/>
      <x v="137"/>
    </i>
    <i>
      <x v="97"/>
      <x v="140"/>
    </i>
    <i>
      <x v="98"/>
      <x v="230"/>
    </i>
    <i>
      <x v="99"/>
      <x v="231"/>
    </i>
    <i>
      <x v="100"/>
      <x v="232"/>
    </i>
    <i>
      <x v="101"/>
      <x v="234"/>
    </i>
    <i>
      <x v="102"/>
      <x v="235"/>
    </i>
    <i>
      <x v="103"/>
      <x v="236"/>
    </i>
    <i>
      <x v="104"/>
      <x v="237"/>
    </i>
    <i>
      <x v="105"/>
      <x v="242"/>
    </i>
    <i>
      <x v="106"/>
      <x v="243"/>
    </i>
    <i>
      <x v="107"/>
      <x v="244"/>
    </i>
    <i>
      <x v="108"/>
      <x v="245"/>
    </i>
    <i>
      <x v="109"/>
      <x v="246"/>
    </i>
    <i>
      <x v="110"/>
      <x v="247"/>
    </i>
    <i>
      <x v="111"/>
      <x v="248"/>
    </i>
    <i>
      <x v="112"/>
      <x v="249"/>
    </i>
    <i>
      <x v="113"/>
      <x v="250"/>
    </i>
    <i>
      <x v="114"/>
      <x v="251"/>
    </i>
    <i>
      <x v="115"/>
      <x v="252"/>
    </i>
    <i>
      <x v="116"/>
      <x v="253"/>
    </i>
    <i>
      <x v="117"/>
      <x v="258"/>
    </i>
    <i>
      <x v="118"/>
      <x v="391"/>
    </i>
    <i>
      <x v="119"/>
      <x v="392"/>
    </i>
    <i>
      <x v="120"/>
      <x v="393"/>
    </i>
    <i>
      <x v="121"/>
      <x v="394"/>
    </i>
    <i>
      <x v="122"/>
      <x v="395"/>
    </i>
    <i>
      <x v="123"/>
      <x v="396"/>
    </i>
    <i>
      <x v="124"/>
      <x v="397"/>
    </i>
    <i>
      <x v="125"/>
      <x v="398"/>
    </i>
    <i>
      <x v="126"/>
      <x v="399"/>
    </i>
    <i>
      <x v="127"/>
      <x v="400"/>
    </i>
    <i>
      <x v="128"/>
      <x v="401"/>
    </i>
    <i>
      <x v="129"/>
      <x v="402"/>
    </i>
    <i>
      <x v="130"/>
      <x v="403"/>
    </i>
    <i>
      <x v="131"/>
      <x v="404"/>
    </i>
    <i>
      <x v="132"/>
      <x v="405"/>
    </i>
    <i>
      <x v="133"/>
      <x v="408"/>
    </i>
    <i>
      <x v="134"/>
      <x v="409"/>
    </i>
    <i>
      <x v="135"/>
      <x v="410"/>
    </i>
    <i>
      <x v="136"/>
      <x v="411"/>
    </i>
    <i>
      <x v="137"/>
      <x v="412"/>
    </i>
    <i>
      <x v="138"/>
      <x v="420"/>
    </i>
    <i>
      <x v="139"/>
      <x v="421"/>
    </i>
    <i>
      <x v="140"/>
      <x v="422"/>
    </i>
    <i>
      <x v="141"/>
      <x v="423"/>
    </i>
    <i>
      <x v="142"/>
      <x v="424"/>
    </i>
    <i>
      <x v="143"/>
      <x v="438"/>
    </i>
    <i>
      <x v="144"/>
      <x v="455"/>
    </i>
    <i>
      <x v="145"/>
      <x v="456"/>
    </i>
    <i>
      <x v="146"/>
      <x v="457"/>
    </i>
    <i>
      <x v="147"/>
      <x v="458"/>
    </i>
    <i>
      <x v="148"/>
      <x v="484"/>
    </i>
    <i>
      <x v="149"/>
      <x v="485"/>
    </i>
    <i>
      <x v="150"/>
      <x v="487"/>
    </i>
    <i>
      <x v="151"/>
      <x v="623"/>
    </i>
    <i>
      <x v="152"/>
      <x v="624"/>
    </i>
    <i>
      <x v="153"/>
      <x v="728"/>
    </i>
    <i>
      <x v="154"/>
      <x v="729"/>
    </i>
    <i>
      <x v="155"/>
      <x v="730"/>
    </i>
    <i>
      <x v="156"/>
      <x v="731"/>
    </i>
    <i>
      <x v="157"/>
      <x v="732"/>
    </i>
    <i>
      <x v="158"/>
      <x v="733"/>
    </i>
    <i>
      <x v="159"/>
      <x v="753"/>
    </i>
    <i>
      <x v="160"/>
      <x v="763"/>
    </i>
    <i>
      <x v="161"/>
      <x v="767"/>
    </i>
    <i>
      <x v="162"/>
      <x v="768"/>
    </i>
    <i>
      <x v="163"/>
      <x v="769"/>
    </i>
    <i>
      <x v="164"/>
      <x v="770"/>
    </i>
    <i>
      <x v="165"/>
      <x v="771"/>
    </i>
    <i>
      <x v="166"/>
      <x v="772"/>
    </i>
    <i>
      <x v="167"/>
      <x v="773"/>
    </i>
    <i>
      <x v="168"/>
      <x v="774"/>
    </i>
    <i>
      <x v="169"/>
      <x v="775"/>
    </i>
    <i>
      <x v="170"/>
      <x v="776"/>
    </i>
    <i>
      <x v="171"/>
      <x v="777"/>
    </i>
    <i>
      <x v="172"/>
      <x v="893"/>
    </i>
    <i>
      <x v="173"/>
      <x v="896"/>
    </i>
    <i>
      <x v="174"/>
      <x v="922"/>
    </i>
    <i>
      <x v="175"/>
      <x v="924"/>
    </i>
    <i>
      <x v="176"/>
      <x v="925"/>
    </i>
    <i>
      <x v="177"/>
      <x v="926"/>
    </i>
    <i>
      <x v="178"/>
      <x v="927"/>
    </i>
    <i>
      <x v="179"/>
      <x v="928"/>
    </i>
    <i>
      <x v="180"/>
      <x v="929"/>
    </i>
    <i>
      <x v="181"/>
      <x v="930"/>
    </i>
    <i>
      <x v="182"/>
      <x v="931"/>
    </i>
    <i>
      <x v="183"/>
      <x v="932"/>
    </i>
    <i>
      <x v="184"/>
      <x v="933"/>
    </i>
    <i>
      <x v="185"/>
      <x v="934"/>
    </i>
    <i>
      <x v="186"/>
      <x v="936"/>
    </i>
    <i>
      <x v="187"/>
      <x v="939"/>
    </i>
    <i>
      <x v="188"/>
      <x v="938"/>
    </i>
    <i>
      <x v="189"/>
      <x v="941"/>
    </i>
    <i>
      <x v="190"/>
      <x v="1000"/>
    </i>
    <i>
      <x v="191"/>
      <x v="1006"/>
    </i>
    <i>
      <x v="192"/>
      <x v="1007"/>
    </i>
    <i>
      <x v="193"/>
      <x v="1016"/>
    </i>
    <i>
      <x v="194"/>
      <x v="1120"/>
    </i>
    <i>
      <x v="195"/>
      <x v="1178"/>
    </i>
    <i>
      <x v="196"/>
      <x v="1198"/>
    </i>
    <i>
      <x v="197"/>
      <x v="1229"/>
    </i>
    <i>
      <x v="198"/>
      <x v="1230"/>
    </i>
    <i>
      <x v="199"/>
      <x v="1233"/>
    </i>
    <i>
      <x v="200"/>
      <x v="1234"/>
    </i>
    <i>
      <x v="201"/>
      <x v="1235"/>
    </i>
    <i>
      <x v="202"/>
      <x v="1236"/>
    </i>
    <i>
      <x v="203"/>
      <x v="1237"/>
    </i>
    <i>
      <x v="204"/>
      <x v="1238"/>
    </i>
    <i>
      <x v="205"/>
      <x v="1239"/>
    </i>
    <i>
      <x v="206"/>
      <x v="1240"/>
    </i>
    <i>
      <x v="207"/>
      <x v="1241"/>
    </i>
    <i>
      <x v="208"/>
      <x v="1242"/>
    </i>
    <i>
      <x v="209"/>
      <x v="1243"/>
    </i>
    <i>
      <x v="210"/>
      <x v="1244"/>
    </i>
    <i>
      <x v="211"/>
      <x v="1245"/>
    </i>
    <i>
      <x v="212"/>
      <x v="1246"/>
    </i>
    <i>
      <x v="213"/>
      <x v="1247"/>
    </i>
    <i>
      <x v="214"/>
      <x v="1248"/>
    </i>
    <i>
      <x v="215"/>
      <x v="1374"/>
    </i>
    <i>
      <x v="216"/>
      <x v="1375"/>
    </i>
    <i>
      <x v="217"/>
      <x v="1376"/>
    </i>
    <i>
      <x v="218"/>
      <x v="1377"/>
    </i>
    <i>
      <x v="219"/>
      <x v="1378"/>
    </i>
    <i>
      <x v="220"/>
      <x v="1379"/>
    </i>
    <i>
      <x v="221"/>
      <x v="1455"/>
    </i>
    <i>
      <x v="222"/>
      <x v="1537"/>
    </i>
    <i>
      <x v="223"/>
      <x v="1589"/>
    </i>
    <i>
      <x v="224"/>
      <x v="1590"/>
    </i>
    <i>
      <x v="225"/>
      <x v="1591"/>
    </i>
    <i>
      <x v="226"/>
      <x v="1592"/>
    </i>
    <i>
      <x v="227"/>
      <x v="1593"/>
    </i>
    <i>
      <x v="228"/>
      <x v="1594"/>
    </i>
    <i>
      <x v="229"/>
      <x v="1598"/>
    </i>
    <i>
      <x v="230"/>
      <x v="1599"/>
    </i>
    <i>
      <x v="231"/>
      <x v="1600"/>
    </i>
    <i>
      <x v="232"/>
      <x v="1601"/>
    </i>
    <i>
      <x v="233"/>
      <x v="1602"/>
    </i>
    <i>
      <x v="234"/>
      <x v="1603"/>
    </i>
    <i>
      <x v="235"/>
      <x v="1770"/>
    </i>
    <i>
      <x v="236"/>
      <x v="2000"/>
    </i>
    <i>
      <x v="237"/>
      <x v="145"/>
    </i>
    <i>
      <x v="238"/>
      <x v="209"/>
    </i>
    <i>
      <x v="239"/>
      <x v="210"/>
    </i>
    <i>
      <x v="240"/>
      <x v="211"/>
    </i>
    <i>
      <x v="241"/>
      <x v="212"/>
    </i>
    <i>
      <x v="242"/>
      <x v="262"/>
    </i>
    <i>
      <x v="243"/>
      <x v="263"/>
    </i>
    <i>
      <x v="244"/>
      <x v="627"/>
    </i>
    <i>
      <x v="245"/>
      <x v="791"/>
    </i>
    <i>
      <x v="246"/>
      <x v="792"/>
    </i>
    <i>
      <x v="247"/>
      <x v="793"/>
    </i>
    <i>
      <x v="248"/>
      <x v="794"/>
    </i>
    <i>
      <x v="249"/>
      <x v="795"/>
    </i>
    <i>
      <x v="250"/>
      <x v="1050"/>
    </i>
    <i>
      <x v="251"/>
      <x v="1051"/>
    </i>
    <i>
      <x v="252"/>
      <x v="1052"/>
    </i>
    <i>
      <x v="253"/>
      <x v="1053"/>
    </i>
    <i>
      <x v="254"/>
      <x v="1054"/>
    </i>
    <i>
      <x v="255"/>
      <x v="106"/>
    </i>
    <i>
      <x v="256"/>
      <x v="107"/>
    </i>
    <i>
      <x v="257"/>
      <x v="108"/>
    </i>
    <i>
      <x v="258"/>
      <x v="109"/>
    </i>
    <i>
      <x v="259"/>
      <x v="110"/>
    </i>
    <i>
      <x v="260"/>
      <x v="135"/>
    </i>
    <i>
      <x v="261"/>
      <x v="136"/>
    </i>
    <i>
      <x v="262"/>
      <x v="138"/>
    </i>
    <i>
      <x v="263"/>
      <x v="143"/>
    </i>
    <i>
      <x v="264"/>
      <x v="144"/>
    </i>
    <i>
      <x v="265"/>
      <x v="163"/>
    </i>
    <i>
      <x v="266"/>
      <x v="164"/>
    </i>
    <i>
      <x v="267"/>
      <x v="166"/>
    </i>
    <i>
      <x v="268"/>
      <x v="167"/>
    </i>
    <i>
      <x v="269"/>
      <x v="168"/>
    </i>
    <i>
      <x v="270"/>
      <x v="169"/>
    </i>
    <i>
      <x v="271"/>
      <x v="170"/>
    </i>
    <i>
      <x v="272"/>
      <x v="173"/>
    </i>
    <i>
      <x v="273"/>
      <x v="196"/>
    </i>
    <i>
      <x v="274"/>
      <x v="197"/>
    </i>
    <i>
      <x v="275"/>
      <x v="198"/>
    </i>
    <i>
      <x v="276"/>
      <x v="199"/>
    </i>
    <i>
      <x v="277"/>
      <x v="221"/>
    </i>
    <i>
      <x v="278"/>
      <x v="259"/>
    </i>
    <i>
      <x v="279"/>
      <x v="261"/>
    </i>
    <i>
      <x v="280"/>
      <x v="265"/>
    </i>
    <i>
      <x v="281"/>
      <x v="266"/>
    </i>
    <i>
      <x v="282"/>
      <x v="267"/>
    </i>
    <i>
      <x v="283"/>
      <x v="268"/>
    </i>
    <i>
      <x v="284"/>
      <x v="269"/>
    </i>
    <i>
      <x v="285"/>
      <x v="270"/>
    </i>
    <i>
      <x v="286"/>
      <x v="271"/>
    </i>
    <i>
      <x v="287"/>
      <x v="272"/>
    </i>
    <i>
      <x v="288"/>
      <x v="273"/>
    </i>
    <i>
      <x v="289"/>
      <x v="275"/>
    </i>
    <i>
      <x v="290"/>
      <x v="276"/>
    </i>
    <i>
      <x v="291"/>
      <x v="277"/>
    </i>
    <i>
      <x v="292"/>
      <x v="278"/>
    </i>
    <i>
      <x v="293"/>
      <x v="279"/>
    </i>
    <i>
      <x v="294"/>
      <x v="280"/>
    </i>
    <i>
      <x v="295"/>
      <x v="281"/>
    </i>
    <i>
      <x v="296"/>
      <x v="282"/>
    </i>
    <i>
      <x v="297"/>
      <x v="283"/>
    </i>
    <i>
      <x v="298"/>
      <x v="284"/>
    </i>
    <i>
      <x v="299"/>
      <x v="285"/>
    </i>
    <i>
      <x v="300"/>
      <x v="286"/>
    </i>
    <i>
      <x v="301"/>
      <x v="287"/>
    </i>
    <i>
      <x v="302"/>
      <x v="288"/>
    </i>
    <i>
      <x v="303"/>
      <x v="367"/>
    </i>
    <i>
      <x v="304"/>
      <x v="368"/>
    </i>
    <i>
      <x v="305"/>
      <x v="374"/>
    </i>
    <i>
      <x v="306"/>
      <x v="376"/>
    </i>
    <i>
      <x v="307"/>
      <x v="377"/>
    </i>
    <i>
      <x v="308"/>
      <x v="378"/>
    </i>
    <i>
      <x v="309"/>
      <x v="379"/>
    </i>
    <i>
      <x v="310"/>
      <x v="383"/>
    </i>
    <i>
      <x v="311"/>
      <x v="384"/>
    </i>
    <i>
      <x v="312"/>
      <x v="382"/>
    </i>
    <i>
      <x v="313"/>
      <x v="387"/>
    </i>
    <i>
      <x v="314"/>
      <x v="430"/>
    </i>
    <i>
      <x v="315"/>
      <x v="431"/>
    </i>
    <i>
      <x v="316"/>
      <x v="432"/>
    </i>
    <i>
      <x v="317"/>
      <x v="440"/>
    </i>
    <i>
      <x v="318"/>
      <x v="493"/>
    </i>
    <i>
      <x v="319"/>
      <x v="494"/>
    </i>
    <i>
      <x v="320"/>
      <x v="495"/>
    </i>
    <i>
      <x v="321"/>
      <x v="496"/>
    </i>
    <i>
      <x v="322"/>
      <x v="499"/>
    </i>
    <i>
      <x v="323"/>
      <x v="500"/>
    </i>
    <i>
      <x v="324"/>
      <x v="503"/>
    </i>
    <i>
      <x v="325"/>
      <x v="513"/>
    </i>
    <i>
      <x v="326"/>
      <x v="510"/>
    </i>
    <i>
      <x v="327"/>
      <x v="508"/>
    </i>
    <i>
      <x v="328"/>
      <x v="511"/>
    </i>
    <i>
      <x v="329"/>
      <x v="626"/>
    </i>
    <i>
      <x v="330"/>
      <x v="629"/>
    </i>
    <i>
      <x v="331"/>
      <x v="679"/>
    </i>
    <i>
      <x v="332"/>
      <x v="680"/>
    </i>
    <i>
      <x v="333"/>
      <x v="681"/>
    </i>
    <i>
      <x v="334"/>
      <x v="682"/>
    </i>
    <i>
      <x v="335"/>
      <x v="683"/>
    </i>
    <i>
      <x v="336"/>
      <x v="803"/>
    </i>
    <i>
      <x v="337"/>
      <x v="804"/>
    </i>
    <i>
      <x v="338"/>
      <x v="805"/>
    </i>
    <i>
      <x v="339"/>
      <x v="806"/>
    </i>
    <i>
      <x v="340"/>
      <x v="807"/>
    </i>
    <i>
      <x v="341"/>
      <x v="808"/>
    </i>
    <i>
      <x v="342"/>
      <x v="809"/>
    </i>
    <i>
      <x v="343"/>
      <x v="810"/>
    </i>
    <i>
      <x v="344"/>
      <x v="811"/>
    </i>
    <i>
      <x v="345"/>
      <x v="812"/>
    </i>
    <i>
      <x v="346"/>
      <x v="813"/>
    </i>
    <i>
      <x v="347"/>
      <x v="818"/>
    </i>
    <i>
      <x v="348"/>
      <x v="819"/>
    </i>
    <i>
      <x v="349"/>
      <x v="820"/>
    </i>
    <i>
      <x v="350"/>
      <x v="824"/>
    </i>
    <i>
      <x v="351"/>
      <x v="825"/>
    </i>
    <i>
      <x v="352"/>
      <x v="826"/>
    </i>
    <i>
      <x v="353"/>
      <x v="827"/>
    </i>
    <i>
      <x v="354"/>
      <x v="828"/>
    </i>
    <i>
      <x v="355"/>
      <x v="829"/>
    </i>
    <i>
      <x v="356"/>
      <x v="830"/>
    </i>
    <i>
      <x v="357"/>
      <x v="836"/>
    </i>
    <i>
      <x v="358"/>
      <x v="837"/>
    </i>
    <i>
      <x v="359"/>
      <x v="848"/>
    </i>
    <i>
      <x v="360"/>
      <x v="849"/>
    </i>
    <i>
      <x v="361"/>
      <x v="850"/>
    </i>
    <i>
      <x v="362"/>
      <x v="851"/>
    </i>
    <i>
      <x v="363"/>
      <x v="852"/>
    </i>
    <i>
      <x v="364"/>
      <x v="853"/>
    </i>
    <i>
      <x v="365"/>
      <x v="854"/>
    </i>
    <i>
      <x v="366"/>
      <x v="855"/>
    </i>
    <i>
      <x v="367"/>
      <x v="856"/>
    </i>
    <i>
      <x v="368"/>
      <x v="857"/>
    </i>
    <i>
      <x v="369"/>
      <x v="858"/>
    </i>
    <i>
      <x v="370"/>
      <x v="859"/>
    </i>
    <i>
      <x v="371"/>
      <x v="860"/>
    </i>
    <i>
      <x v="372"/>
      <x v="861"/>
    </i>
    <i>
      <x v="373"/>
      <x v="862"/>
    </i>
    <i>
      <x v="374"/>
      <x v="863"/>
    </i>
    <i>
      <x v="375"/>
      <x v="864"/>
    </i>
    <i>
      <x v="376"/>
      <x v="865"/>
    </i>
    <i>
      <x v="377"/>
      <x v="866"/>
    </i>
    <i>
      <x v="378"/>
      <x v="867"/>
    </i>
    <i>
      <x v="379"/>
      <x v="868"/>
    </i>
    <i>
      <x v="380"/>
      <x v="869"/>
    </i>
    <i>
      <x v="381"/>
      <x v="870"/>
    </i>
    <i>
      <x v="382"/>
      <x v="871"/>
    </i>
    <i>
      <x v="383"/>
      <x v="872"/>
    </i>
    <i>
      <x v="384"/>
      <x v="873"/>
    </i>
    <i>
      <x v="385"/>
      <x v="874"/>
    </i>
    <i>
      <x v="386"/>
      <x v="875"/>
    </i>
    <i>
      <x v="387"/>
      <x v="876"/>
    </i>
    <i>
      <x v="388"/>
      <x v="877"/>
    </i>
    <i>
      <x v="389"/>
      <x v="878"/>
    </i>
    <i>
      <x v="390"/>
      <x v="879"/>
    </i>
    <i>
      <x v="391"/>
      <x v="886"/>
    </i>
    <i>
      <x v="392"/>
      <x v="887"/>
    </i>
    <i>
      <x v="393"/>
      <x v="888"/>
    </i>
    <i>
      <x v="394"/>
      <x v="889"/>
    </i>
    <i>
      <x v="395"/>
      <x v="890"/>
    </i>
    <i>
      <x v="396"/>
      <x v="891"/>
    </i>
    <i>
      <x v="397"/>
      <x v="892"/>
    </i>
    <i>
      <x v="398"/>
      <x v="897"/>
    </i>
    <i>
      <x v="399"/>
      <x v="899"/>
    </i>
    <i>
      <x v="400"/>
      <x v="900"/>
    </i>
    <i>
      <x v="401"/>
      <x v="901"/>
    </i>
    <i>
      <x v="402"/>
      <x v="902"/>
    </i>
    <i>
      <x v="403"/>
      <x v="903"/>
    </i>
    <i>
      <x v="404"/>
      <x v="904"/>
    </i>
    <i>
      <x v="405"/>
      <x v="905"/>
    </i>
    <i>
      <x v="406"/>
      <x v="906"/>
    </i>
    <i>
      <x v="407"/>
      <x v="907"/>
    </i>
    <i>
      <x v="408"/>
      <x v="908"/>
    </i>
    <i>
      <x v="409"/>
      <x v="910"/>
    </i>
    <i>
      <x v="410"/>
      <x v="911"/>
    </i>
    <i>
      <x v="411"/>
      <x v="914"/>
    </i>
    <i>
      <x v="412"/>
      <x v="915"/>
    </i>
    <i>
      <x v="413"/>
      <x v="916"/>
    </i>
    <i>
      <x v="414"/>
      <x v="952"/>
    </i>
    <i>
      <x v="415"/>
      <x v="953"/>
    </i>
    <i>
      <x v="416"/>
      <x v="978"/>
    </i>
    <i>
      <x v="417"/>
      <x v="995"/>
    </i>
    <i>
      <x v="418"/>
      <x v="996"/>
    </i>
    <i>
      <x v="419"/>
      <x v="1013"/>
    </i>
    <i>
      <x v="420"/>
      <x v="1014"/>
    </i>
    <i>
      <x v="421"/>
      <x v="1087"/>
    </i>
    <i>
      <x v="422"/>
      <x v="1088"/>
    </i>
    <i>
      <x v="423"/>
      <x v="1109"/>
    </i>
    <i>
      <x v="424"/>
      <x v="1110"/>
    </i>
    <i>
      <x v="425"/>
      <x v="1111"/>
    </i>
    <i>
      <x v="426"/>
      <x v="1112"/>
    </i>
    <i>
      <x v="427"/>
      <x v="1176"/>
    </i>
    <i>
      <x v="428"/>
      <x v="1183"/>
    </i>
    <i>
      <x v="429"/>
      <x v="1184"/>
    </i>
    <i>
      <x v="430"/>
      <x v="1186"/>
    </i>
    <i>
      <x v="431"/>
      <x v="1187"/>
    </i>
    <i>
      <x v="432"/>
      <x v="1188"/>
    </i>
    <i>
      <x v="433"/>
      <x v="1189"/>
    </i>
    <i>
      <x v="434"/>
      <x v="1195"/>
    </i>
    <i>
      <x v="435"/>
      <x v="1196"/>
    </i>
    <i>
      <x v="436"/>
      <x v="105"/>
    </i>
    <i>
      <x v="437"/>
      <x v="1261"/>
    </i>
    <i>
      <x v="438"/>
      <x v="1255"/>
    </i>
    <i>
      <x v="439"/>
      <x v="1256"/>
    </i>
    <i>
      <x v="440"/>
      <x v="1257"/>
    </i>
    <i>
      <x v="441"/>
      <x v="1258"/>
    </i>
    <i>
      <x v="442"/>
      <x v="1259"/>
    </i>
    <i>
      <x v="443"/>
      <x v="1260"/>
    </i>
    <i>
      <x v="444"/>
      <x v="1282"/>
    </i>
    <i>
      <x v="445"/>
      <x v="1289"/>
    </i>
    <i>
      <x v="446"/>
      <x v="1290"/>
    </i>
    <i>
      <x v="447"/>
      <x v="1291"/>
    </i>
    <i>
      <x v="448"/>
      <x v="1313"/>
    </i>
    <i>
      <x v="449"/>
      <x v="1319"/>
    </i>
    <i>
      <x v="450"/>
      <x v="1321"/>
    </i>
    <i>
      <x v="451"/>
      <x v="1372"/>
    </i>
    <i>
      <x v="452"/>
      <x v="1370"/>
    </i>
    <i>
      <x v="453"/>
      <x v="1426"/>
    </i>
    <i>
      <x v="454"/>
      <x v="1427"/>
    </i>
    <i>
      <x v="455"/>
      <x v="1423"/>
    </i>
    <i>
      <x v="456"/>
      <x v="1424"/>
    </i>
    <i>
      <x v="457"/>
      <x v="1425"/>
    </i>
    <i>
      <x v="458"/>
      <x v="1441"/>
    </i>
    <i>
      <x v="459"/>
      <x v="1445"/>
    </i>
    <i>
      <x v="460"/>
      <x v="1446"/>
    </i>
    <i>
      <x v="461"/>
      <x v="1447"/>
    </i>
    <i>
      <x v="462"/>
      <x v="1448"/>
    </i>
    <i>
      <x v="463"/>
      <x v="1449"/>
    </i>
    <i>
      <x v="464"/>
      <x v="1465"/>
    </i>
    <i>
      <x v="465"/>
      <x v="1468"/>
    </i>
    <i>
      <x v="466"/>
      <x v="1474"/>
    </i>
    <i>
      <x v="467"/>
      <x v="1479"/>
    </i>
    <i>
      <x v="468"/>
      <x v="1482"/>
    </i>
    <i>
      <x v="469"/>
      <x v="1483"/>
    </i>
    <i>
      <x v="470"/>
      <x v="1484"/>
    </i>
    <i>
      <x v="471"/>
      <x v="1485"/>
    </i>
    <i>
      <x v="472"/>
      <x v="1486"/>
    </i>
    <i>
      <x v="473"/>
      <x v="1487"/>
    </i>
    <i>
      <x v="474"/>
      <x v="1488"/>
    </i>
    <i>
      <x v="475"/>
      <x v="1489"/>
    </i>
    <i>
      <x v="476"/>
      <x v="1490"/>
    </i>
    <i>
      <x v="477"/>
      <x v="1491"/>
    </i>
    <i>
      <x v="478"/>
      <x v="1492"/>
    </i>
    <i>
      <x v="479"/>
      <x v="1493"/>
    </i>
    <i>
      <x v="480"/>
      <x v="1528"/>
    </i>
    <i>
      <x v="481"/>
      <x v="1529"/>
    </i>
    <i>
      <x v="482"/>
      <x v="1530"/>
    </i>
    <i>
      <x v="483"/>
      <x v="1531"/>
    </i>
    <i>
      <x v="484"/>
      <x v="1532"/>
    </i>
    <i>
      <x v="485"/>
      <x v="1533"/>
    </i>
    <i>
      <x v="486"/>
      <x v="1534"/>
    </i>
    <i>
      <x v="487"/>
      <x v="1535"/>
    </i>
    <i>
      <x v="488"/>
      <x v="1536"/>
    </i>
    <i>
      <x v="489"/>
      <x v="1547"/>
    </i>
    <i>
      <x v="490"/>
      <x v="1552"/>
    </i>
    <i>
      <x v="491"/>
      <x v="1553"/>
    </i>
    <i>
      <x v="492"/>
      <x v="1555"/>
    </i>
    <i>
      <x v="493"/>
      <x v="1556"/>
    </i>
    <i>
      <x v="494"/>
      <x v="1557"/>
    </i>
    <i>
      <x v="495"/>
      <x v="1558"/>
    </i>
    <i>
      <x v="496"/>
      <x v="1559"/>
    </i>
    <i>
      <x v="497"/>
      <x v="1561"/>
    </i>
    <i>
      <x v="498"/>
      <x v="1562"/>
    </i>
    <i>
      <x v="499"/>
      <x v="97"/>
    </i>
    <i>
      <x v="500"/>
      <x v="98"/>
    </i>
    <i>
      <x v="501"/>
      <x v="102"/>
    </i>
    <i>
      <x v="502"/>
      <x v="165"/>
    </i>
    <i>
      <x v="503"/>
      <x v="175"/>
    </i>
    <i>
      <x v="504"/>
      <x v="188"/>
    </i>
    <i>
      <x v="505"/>
      <x v="189"/>
    </i>
    <i>
      <x v="506"/>
      <x v="205"/>
    </i>
    <i>
      <x v="507"/>
      <x v="213"/>
    </i>
    <i>
      <x v="508"/>
      <x v="302"/>
    </i>
    <i>
      <x v="509"/>
      <x v="433"/>
    </i>
    <i>
      <x v="510"/>
      <x v="434"/>
    </i>
    <i>
      <x v="511"/>
      <x v="639"/>
    </i>
    <i>
      <x v="512"/>
      <x v="706"/>
    </i>
    <i>
      <x v="513"/>
      <x v="707"/>
    </i>
    <i>
      <x v="514"/>
      <x v="708"/>
    </i>
    <i>
      <x v="515"/>
      <x v="710"/>
    </i>
    <i>
      <x v="516"/>
      <x v="964"/>
    </i>
    <i>
      <x v="517"/>
      <x v="980"/>
    </i>
    <i>
      <x v="518"/>
      <x v="1063"/>
    </i>
    <i>
      <x v="519"/>
      <x v="1064"/>
    </i>
    <i>
      <x v="520"/>
      <x v="1182"/>
    </i>
    <i>
      <x v="521"/>
      <x v="1227"/>
    </i>
    <i>
      <x v="522"/>
      <x v="1307"/>
    </i>
    <i>
      <x v="523"/>
      <x v="1308"/>
    </i>
    <i>
      <x v="524"/>
      <x v="1309"/>
    </i>
    <i>
      <x v="525"/>
      <x v="1364"/>
    </i>
    <i>
      <x v="526"/>
      <x v="1365"/>
    </i>
    <i>
      <x v="527"/>
      <x v="1366"/>
    </i>
    <i>
      <x v="528"/>
      <x v="1382"/>
    </i>
    <i>
      <x v="529"/>
      <x v="1388"/>
    </i>
    <i>
      <x v="530"/>
      <x v="1389"/>
    </i>
    <i>
      <x v="531"/>
      <x v="1390"/>
    </i>
    <i>
      <x v="532"/>
      <x v="1394"/>
    </i>
    <i>
      <x v="533"/>
      <x v="1395"/>
    </i>
    <i>
      <x v="534"/>
      <x v="1438"/>
    </i>
    <i>
      <x v="535"/>
      <x v="1563"/>
    </i>
    <i>
      <x v="536"/>
      <x v="1981"/>
    </i>
    <i>
      <x v="537"/>
      <x v="191"/>
    </i>
    <i>
      <x v="538"/>
      <x v="977"/>
    </i>
    <i>
      <x v="539"/>
      <x v="987"/>
    </i>
    <i>
      <x v="540"/>
      <x v="1003"/>
    </i>
    <i>
      <x v="541"/>
      <x v="1093"/>
    </i>
    <i>
      <x v="542"/>
      <x v="1199"/>
    </i>
    <i>
      <x v="543"/>
      <x v="1200"/>
    </i>
    <i>
      <x v="544"/>
      <x v="1297"/>
    </i>
    <i>
      <x v="545"/>
      <x v="1310"/>
    </i>
    <i>
      <x v="546"/>
      <x v="1368"/>
    </i>
    <i>
      <x v="547"/>
      <x v="1369"/>
    </i>
    <i>
      <x v="548"/>
      <x v="1526"/>
    </i>
    <i>
      <x v="549"/>
      <x v="1542"/>
    </i>
    <i>
      <x v="550"/>
      <x v="1773"/>
    </i>
    <i>
      <x v="551"/>
      <x v="4"/>
    </i>
    <i>
      <x v="552"/>
      <x v="5"/>
    </i>
    <i>
      <x v="553"/>
      <x v="6"/>
    </i>
    <i>
      <x v="554"/>
      <x v="7"/>
    </i>
    <i>
      <x v="555"/>
      <x v="8"/>
    </i>
    <i>
      <x v="556"/>
      <x v="9"/>
    </i>
    <i>
      <x v="557"/>
      <x v="10"/>
    </i>
    <i>
      <x v="558"/>
      <x v="11"/>
    </i>
    <i>
      <x v="559"/>
      <x v="13"/>
    </i>
    <i>
      <x v="560"/>
      <x v="14"/>
    </i>
    <i>
      <x v="561"/>
      <x v="15"/>
    </i>
    <i>
      <x v="562"/>
      <x v="16"/>
    </i>
    <i>
      <x v="563"/>
      <x v="17"/>
    </i>
    <i>
      <x v="564"/>
      <x v="19"/>
    </i>
    <i>
      <x v="565"/>
      <x v="20"/>
    </i>
    <i>
      <x v="566"/>
      <x v="21"/>
    </i>
    <i>
      <x v="567"/>
      <x v="24"/>
    </i>
    <i>
      <x v="568"/>
      <x v="159"/>
    </i>
    <i>
      <x v="569"/>
      <x v="481"/>
    </i>
    <i>
      <x v="570"/>
      <x v="674"/>
    </i>
    <i>
      <x v="571"/>
      <x v="727"/>
    </i>
    <i>
      <x v="572"/>
      <x v="739"/>
    </i>
    <i>
      <x v="573"/>
      <x v="740"/>
    </i>
    <i>
      <x v="574"/>
      <x v="741"/>
    </i>
    <i>
      <x v="575"/>
      <x v="743"/>
    </i>
    <i>
      <x v="576"/>
      <x v="744"/>
    </i>
    <i>
      <x v="577"/>
      <x v="745"/>
    </i>
    <i>
      <x v="578"/>
      <x v="746"/>
    </i>
    <i>
      <x v="579"/>
      <x v="747"/>
    </i>
    <i>
      <x v="580"/>
      <x v="748"/>
    </i>
    <i>
      <x v="581"/>
      <x v="749"/>
    </i>
    <i>
      <x v="582"/>
      <x v="750"/>
    </i>
    <i>
      <x v="583"/>
      <x v="751"/>
    </i>
    <i>
      <x v="584"/>
      <x v="765"/>
    </i>
    <i>
      <x v="585"/>
      <x v="779"/>
    </i>
    <i>
      <x v="586"/>
      <x v="780"/>
    </i>
    <i>
      <x v="587"/>
      <x v="781"/>
    </i>
    <i>
      <x v="588"/>
      <x v="782"/>
    </i>
    <i>
      <x v="589"/>
      <x v="783"/>
    </i>
    <i>
      <x v="590"/>
      <x v="784"/>
    </i>
    <i>
      <x v="591"/>
      <x v="785"/>
    </i>
    <i>
      <x v="592"/>
      <x v="786"/>
    </i>
    <i>
      <x v="593"/>
      <x v="787"/>
    </i>
    <i>
      <x v="594"/>
      <x v="788"/>
    </i>
    <i>
      <x v="595"/>
      <x v="997"/>
    </i>
    <i>
      <x v="596"/>
      <x v="998"/>
    </i>
    <i>
      <x v="597"/>
      <x v="1046"/>
    </i>
    <i>
      <x v="598"/>
      <x v="1218"/>
    </i>
    <i>
      <x v="599"/>
      <x v="1304"/>
    </i>
    <i>
      <x v="600"/>
      <x v="1305"/>
    </i>
    <i>
      <x v="601"/>
      <x v="1314"/>
    </i>
    <i>
      <x v="602"/>
      <x v="1315"/>
    </i>
    <i>
      <x v="603"/>
      <x v="1316"/>
    </i>
    <i>
      <x v="604"/>
      <x v="1317"/>
    </i>
    <i>
      <x v="605"/>
      <x v="1504"/>
    </i>
    <i>
      <x v="606"/>
      <x v="1505"/>
    </i>
    <i>
      <x v="607"/>
      <x v="1506"/>
    </i>
    <i>
      <x v="608"/>
      <x v="1510"/>
    </i>
    <i>
      <x v="609"/>
      <x v="1511"/>
    </i>
    <i>
      <x v="610"/>
      <x v="1512"/>
    </i>
    <i>
      <x v="611"/>
      <x v="1513"/>
    </i>
    <i>
      <x v="612"/>
      <x v="1514"/>
    </i>
    <i>
      <x v="613"/>
      <x v="1515"/>
    </i>
    <i>
      <x v="614"/>
      <x v="1516"/>
    </i>
    <i>
      <x v="615"/>
      <x v="1517"/>
    </i>
    <i>
      <x v="616"/>
      <x v="1519"/>
    </i>
    <i>
      <x v="617"/>
      <x v="1521"/>
    </i>
    <i>
      <x v="618"/>
      <x v="1522"/>
    </i>
    <i>
      <x v="619"/>
      <x v="1524"/>
    </i>
    <i>
      <x v="620"/>
      <x v="1671"/>
    </i>
    <i>
      <x v="621"/>
      <x v="1672"/>
    </i>
    <i>
      <x v="622"/>
      <x v="1939"/>
    </i>
    <i>
      <x v="623"/>
      <x v="1940"/>
    </i>
    <i>
      <x v="624"/>
      <x v="1941"/>
    </i>
    <i>
      <x v="625"/>
      <x v="1950"/>
    </i>
    <i>
      <x v="626"/>
      <x v="1951"/>
    </i>
    <i>
      <x v="627"/>
      <x v="1952"/>
    </i>
    <i>
      <x v="628"/>
      <x v="1954"/>
    </i>
    <i>
      <x v="629"/>
      <x v="1955"/>
    </i>
    <i>
      <x v="630"/>
      <x v="1956"/>
    </i>
    <i>
      <x v="631"/>
      <x v="1957"/>
    </i>
    <i>
      <x v="632"/>
      <x v="1958"/>
    </i>
    <i>
      <x v="633"/>
      <x v="1959"/>
    </i>
    <i>
      <x v="634"/>
      <x v="1961"/>
    </i>
    <i>
      <x v="635"/>
      <x v="1962"/>
    </i>
    <i>
      <x v="636"/>
      <x v="1989"/>
    </i>
    <i>
      <x v="637"/>
      <x v="1991"/>
    </i>
    <i>
      <x v="638"/>
      <x v="1992"/>
    </i>
    <i>
      <x v="639"/>
      <x v="1993"/>
    </i>
    <i>
      <x v="640"/>
      <x v="1994"/>
    </i>
    <i>
      <x v="641"/>
      <x v="1995"/>
    </i>
    <i>
      <x v="642"/>
      <x v="1996"/>
    </i>
    <i>
      <x v="643"/>
      <x v="1997"/>
    </i>
    <i>
      <x v="644"/>
      <x v="74"/>
    </i>
    <i>
      <x v="645"/>
      <x v="75"/>
    </i>
    <i>
      <x v="646"/>
      <x v="76"/>
    </i>
    <i>
      <x v="647"/>
      <x v="77"/>
    </i>
    <i>
      <x v="648"/>
      <x v="78"/>
    </i>
    <i>
      <x v="649"/>
      <x v="79"/>
    </i>
    <i>
      <x v="650"/>
      <x v="80"/>
    </i>
    <i>
      <x v="651"/>
      <x v="156"/>
    </i>
    <i>
      <x v="652"/>
      <x v="157"/>
    </i>
    <i>
      <x v="653"/>
      <x v="158"/>
    </i>
    <i>
      <x v="654"/>
      <x v="160"/>
    </i>
    <i>
      <x v="655"/>
      <x v="192"/>
    </i>
    <i>
      <x v="656"/>
      <x v="207"/>
    </i>
    <i>
      <x v="657"/>
      <x v="293"/>
    </i>
    <i>
      <x v="658"/>
      <x v="359"/>
    </i>
    <i>
      <x v="659"/>
      <x v="386"/>
    </i>
    <i>
      <x v="660"/>
      <x v="417"/>
    </i>
    <i>
      <x v="661"/>
      <x v="418"/>
    </i>
    <i>
      <x v="662"/>
      <x v="419"/>
    </i>
    <i>
      <x v="663"/>
      <x v="453"/>
    </i>
    <i>
      <x v="664"/>
      <x v="466"/>
    </i>
    <i>
      <x v="665"/>
      <x v="468"/>
    </i>
    <i>
      <x v="666"/>
      <x v="469"/>
    </i>
    <i>
      <x v="667"/>
      <x v="477"/>
    </i>
    <i>
      <x v="668"/>
      <x v="488"/>
    </i>
    <i>
      <x v="669"/>
      <x v="489"/>
    </i>
    <i>
      <x v="670"/>
      <x v="490"/>
    </i>
    <i>
      <x v="671"/>
      <x v="666"/>
    </i>
    <i>
      <x v="672"/>
      <x v="667"/>
    </i>
    <i>
      <x v="673"/>
      <x v="670"/>
    </i>
    <i>
      <x v="674"/>
      <x v="669"/>
    </i>
    <i>
      <x v="675"/>
      <x v="684"/>
    </i>
    <i>
      <x v="676"/>
      <x v="685"/>
    </i>
    <i>
      <x v="677"/>
      <x v="694"/>
    </i>
    <i>
      <x v="678"/>
      <x v="692"/>
    </i>
    <i>
      <x v="679"/>
      <x v="693"/>
    </i>
    <i>
      <x v="680"/>
      <x v="718"/>
    </i>
    <i>
      <x v="681"/>
      <x v="723"/>
    </i>
    <i>
      <x v="682"/>
      <x v="724"/>
    </i>
    <i>
      <x v="683"/>
      <x v="725"/>
    </i>
    <i>
      <x v="684"/>
      <x v="726"/>
    </i>
    <i>
      <x v="685"/>
      <x v="766"/>
    </i>
    <i>
      <x v="686"/>
      <x v="789"/>
    </i>
    <i>
      <x v="687"/>
      <x v="799"/>
    </i>
    <i>
      <x v="688"/>
      <x v="895"/>
    </i>
    <i>
      <x v="689"/>
      <x v="919"/>
    </i>
    <i>
      <x v="690"/>
      <x v="942"/>
    </i>
    <i>
      <x v="691"/>
      <x v="945"/>
    </i>
    <i>
      <x v="692"/>
      <x v="947"/>
    </i>
    <i>
      <x v="693"/>
      <x v="948"/>
    </i>
    <i>
      <x v="694"/>
      <x v="968"/>
    </i>
    <i>
      <x v="695"/>
      <x v="969"/>
    </i>
    <i>
      <x v="696"/>
      <x v="970"/>
    </i>
    <i>
      <x v="697"/>
      <x v="971"/>
    </i>
    <i>
      <x v="698"/>
      <x v="972"/>
    </i>
    <i>
      <x v="699"/>
      <x v="1034"/>
    </i>
    <i>
      <x v="700"/>
      <x v="973"/>
    </i>
    <i>
      <x v="701"/>
      <x v="975"/>
    </i>
    <i>
      <x v="702"/>
      <x v="1010"/>
    </i>
    <i>
      <x v="703"/>
      <x v="1011"/>
    </i>
    <i>
      <x v="704"/>
      <x v="1019"/>
    </i>
    <i>
      <x v="705"/>
      <x v="1020"/>
    </i>
    <i>
      <x v="706"/>
      <x v="1021"/>
    </i>
    <i>
      <x v="707"/>
      <x v="1022"/>
    </i>
    <i>
      <x v="708"/>
      <x v="1023"/>
    </i>
    <i>
      <x v="709"/>
      <x v="1024"/>
    </i>
    <i>
      <x v="710"/>
      <x v="1025"/>
    </i>
    <i>
      <x v="711"/>
      <x v="1026"/>
    </i>
    <i>
      <x v="712"/>
      <x v="1027"/>
    </i>
    <i>
      <x v="713"/>
      <x v="1028"/>
    </i>
    <i>
      <x v="714"/>
      <x v="1029"/>
    </i>
    <i>
      <x v="715"/>
      <x v="1030"/>
    </i>
    <i>
      <x v="716"/>
      <x v="1031"/>
    </i>
    <i>
      <x v="717"/>
      <x v="1032"/>
    </i>
    <i>
      <x v="718"/>
      <x v="1035"/>
    </i>
    <i>
      <x v="719"/>
      <x v="1036"/>
    </i>
    <i>
      <x v="720"/>
      <x v="1037"/>
    </i>
    <i>
      <x v="721"/>
      <x v="1038"/>
    </i>
    <i>
      <x v="722"/>
      <x v="1039"/>
    </i>
    <i>
      <x v="723"/>
      <x v="1040"/>
    </i>
    <i>
      <x v="724"/>
      <x v="1041"/>
    </i>
    <i>
      <x v="725"/>
      <x v="1042"/>
    </i>
    <i>
      <x v="726"/>
      <x v="1044"/>
    </i>
    <i>
      <x v="727"/>
      <x v="1045"/>
    </i>
    <i>
      <x v="728"/>
      <x v="1065"/>
    </i>
    <i>
      <x v="729"/>
      <x v="1067"/>
    </i>
    <i>
      <x v="730"/>
      <x v="1113"/>
    </i>
    <i>
      <x v="731"/>
      <x v="1115"/>
    </i>
    <i>
      <x v="732"/>
      <x v="1117"/>
    </i>
    <i>
      <x v="733"/>
      <x v="1118"/>
    </i>
    <i>
      <x v="734"/>
      <x v="1191"/>
    </i>
    <i>
      <x v="735"/>
      <x v="1192"/>
    </i>
    <i>
      <x v="736"/>
      <x v="1193"/>
    </i>
    <i>
      <x v="737"/>
      <x v="1194"/>
    </i>
    <i>
      <x v="738"/>
      <x v="1213"/>
    </i>
    <i>
      <x v="739"/>
      <x v="1214"/>
    </i>
    <i>
      <x v="740"/>
      <x v="62"/>
    </i>
    <i>
      <x v="741"/>
      <x v="1220"/>
    </i>
    <i>
      <x v="742"/>
      <x v="1221"/>
    </i>
    <i>
      <x v="743"/>
      <x v="1265"/>
    </i>
    <i>
      <x v="744"/>
      <x v="1266"/>
    </i>
    <i>
      <x v="745"/>
      <x v="1278"/>
    </i>
    <i>
      <x v="746"/>
      <x v="1284"/>
    </i>
    <i>
      <x v="747"/>
      <x v="1286"/>
    </i>
    <i>
      <x v="748"/>
      <x v="1285"/>
    </i>
    <i>
      <x v="749"/>
      <x v="1295"/>
    </i>
    <i>
      <x v="750"/>
      <x v="1287"/>
    </i>
    <i>
      <x v="751"/>
      <x v="1293"/>
    </i>
    <i>
      <x v="752"/>
      <x v="1294"/>
    </i>
    <i>
      <x v="753"/>
      <x v="1296"/>
    </i>
    <i>
      <x v="754"/>
      <x v="1396"/>
    </i>
    <i>
      <x v="755"/>
      <x v="1397"/>
    </i>
    <i>
      <x v="756"/>
      <x v="1398"/>
    </i>
    <i>
      <x v="757"/>
      <x v="1439"/>
    </i>
    <i>
      <x v="758"/>
      <x v="1460"/>
    </i>
    <i>
      <x v="759"/>
      <x v="1461"/>
    </i>
    <i>
      <x v="760"/>
      <x v="1478"/>
    </i>
    <i>
      <x v="761"/>
      <x v="1499"/>
    </i>
    <i>
      <x v="762"/>
      <x v="1669"/>
    </i>
    <i>
      <x v="763"/>
      <x v="1987"/>
    </i>
    <i>
      <x v="764"/>
      <x v="89"/>
    </i>
    <i>
      <x v="765"/>
      <x v="88"/>
    </i>
    <i>
      <x v="766"/>
      <x v="699"/>
    </i>
    <i>
      <x v="767"/>
      <x v="700"/>
    </i>
    <i>
      <x v="768"/>
      <x v="701"/>
    </i>
    <i>
      <x v="769"/>
      <x v="702"/>
    </i>
    <i>
      <x v="770"/>
      <x v="1048"/>
    </i>
    <i>
      <x v="771"/>
      <x v="1166"/>
    </i>
    <i>
      <x v="772"/>
      <x v="1209"/>
    </i>
    <i>
      <x v="773"/>
      <x v="1216"/>
    </i>
    <i>
      <x v="774"/>
      <x v="1217"/>
    </i>
    <i>
      <x v="775"/>
      <x v="1292"/>
    </i>
    <i>
      <x v="776"/>
      <x v="1405"/>
    </i>
    <i>
      <x v="777"/>
      <x v="1495"/>
    </i>
    <i>
      <x v="778"/>
      <x v="1666"/>
    </i>
    <i>
      <x v="779"/>
      <x v="27"/>
    </i>
    <i>
      <x v="780"/>
      <x v="29"/>
    </i>
    <i>
      <x v="781"/>
      <x v="30"/>
    </i>
    <i>
      <x v="782"/>
      <x v="33"/>
    </i>
    <i>
      <x v="783"/>
      <x v="34"/>
    </i>
    <i>
      <x v="784"/>
      <x v="35"/>
    </i>
    <i>
      <x v="785"/>
      <x v="82"/>
    </i>
    <i>
      <x v="786"/>
      <x v="83"/>
    </i>
    <i>
      <x v="787"/>
      <x v="84"/>
    </i>
    <i>
      <x v="788"/>
      <x v="85"/>
    </i>
    <i>
      <x v="789"/>
      <x v="86"/>
    </i>
    <i>
      <x v="790"/>
      <x v="149"/>
    </i>
    <i>
      <x v="791"/>
      <x v="153"/>
    </i>
    <i>
      <x v="792"/>
      <x v="154"/>
    </i>
    <i>
      <x v="793"/>
      <x v="435"/>
    </i>
    <i>
      <x v="794"/>
      <x v="436"/>
    </i>
    <i>
      <x v="795"/>
      <x v="437"/>
    </i>
    <i>
      <x v="796"/>
      <x v="512"/>
    </i>
    <i>
      <x v="797"/>
      <x v="514"/>
    </i>
    <i>
      <x v="798"/>
      <x v="515"/>
    </i>
    <i>
      <x v="799"/>
      <x v="516"/>
    </i>
    <i>
      <x v="800"/>
      <x v="517"/>
    </i>
    <i>
      <x v="801"/>
      <x v="518"/>
    </i>
    <i>
      <x v="802"/>
      <x v="519"/>
    </i>
    <i>
      <x v="803"/>
      <x v="520"/>
    </i>
    <i>
      <x v="804"/>
      <x v="521"/>
    </i>
    <i>
      <x v="805"/>
      <x v="522"/>
    </i>
    <i>
      <x v="806"/>
      <x v="523"/>
    </i>
    <i>
      <x v="807"/>
      <x v="524"/>
    </i>
    <i>
      <x v="808"/>
      <x v="525"/>
    </i>
    <i>
      <x v="809"/>
      <x v="526"/>
    </i>
    <i>
      <x v="810"/>
      <x v="527"/>
    </i>
    <i>
      <x v="811"/>
      <x v="528"/>
    </i>
    <i>
      <x v="812"/>
      <x v="529"/>
    </i>
    <i>
      <x v="813"/>
      <x v="530"/>
    </i>
    <i>
      <x v="814"/>
      <x v="531"/>
    </i>
    <i>
      <x v="815"/>
      <x v="532"/>
    </i>
    <i>
      <x v="816"/>
      <x v="533"/>
    </i>
    <i>
      <x v="817"/>
      <x v="534"/>
    </i>
    <i>
      <x v="818"/>
      <x v="535"/>
    </i>
    <i>
      <x v="819"/>
      <x v="536"/>
    </i>
    <i>
      <x v="820"/>
      <x v="537"/>
    </i>
    <i>
      <x v="821"/>
      <x v="538"/>
    </i>
    <i>
      <x v="822"/>
      <x v="539"/>
    </i>
    <i>
      <x v="823"/>
      <x v="540"/>
    </i>
    <i>
      <x v="824"/>
      <x v="541"/>
    </i>
    <i>
      <x v="825"/>
      <x v="542"/>
    </i>
    <i>
      <x v="826"/>
      <x v="543"/>
    </i>
    <i>
      <x v="827"/>
      <x v="544"/>
    </i>
    <i>
      <x v="828"/>
      <x v="545"/>
    </i>
    <i>
      <x v="829"/>
      <x v="546"/>
    </i>
    <i>
      <x v="830"/>
      <x v="547"/>
    </i>
    <i>
      <x v="831"/>
      <x v="548"/>
    </i>
    <i>
      <x v="832"/>
      <x v="549"/>
    </i>
    <i>
      <x v="833"/>
      <x v="550"/>
    </i>
    <i>
      <x v="834"/>
      <x v="551"/>
    </i>
    <i>
      <x v="835"/>
      <x v="552"/>
    </i>
    <i>
      <x v="836"/>
      <x v="553"/>
    </i>
    <i>
      <x v="837"/>
      <x v="554"/>
    </i>
    <i>
      <x v="838"/>
      <x v="555"/>
    </i>
    <i>
      <x v="839"/>
      <x v="556"/>
    </i>
    <i>
      <x v="840"/>
      <x v="557"/>
    </i>
    <i>
      <x v="841"/>
      <x v="561"/>
    </i>
    <i>
      <x v="842"/>
      <x v="562"/>
    </i>
    <i>
      <x v="843"/>
      <x v="563"/>
    </i>
    <i>
      <x v="844"/>
      <x v="565"/>
    </i>
    <i>
      <x v="845"/>
      <x v="566"/>
    </i>
    <i>
      <x v="846"/>
      <x v="567"/>
    </i>
    <i>
      <x v="847"/>
      <x v="579"/>
    </i>
    <i>
      <x v="848"/>
      <x v="580"/>
    </i>
    <i>
      <x v="849"/>
      <x v="581"/>
    </i>
    <i>
      <x v="850"/>
      <x v="582"/>
    </i>
    <i>
      <x v="851"/>
      <x v="583"/>
    </i>
    <i>
      <x v="852"/>
      <x v="584"/>
    </i>
    <i>
      <x v="853"/>
      <x v="587"/>
    </i>
    <i>
      <x v="854"/>
      <x v="588"/>
    </i>
    <i>
      <x v="855"/>
      <x v="589"/>
    </i>
    <i>
      <x v="856"/>
      <x v="591"/>
    </i>
    <i>
      <x v="857"/>
      <x v="592"/>
    </i>
    <i>
      <x v="858"/>
      <x v="593"/>
    </i>
    <i>
      <x v="859"/>
      <x v="594"/>
    </i>
    <i>
      <x v="860"/>
      <x v="596"/>
    </i>
    <i>
      <x v="861"/>
      <x v="597"/>
    </i>
    <i>
      <x v="862"/>
      <x v="602"/>
    </i>
    <i>
      <x v="863"/>
      <x v="603"/>
    </i>
    <i>
      <x v="864"/>
      <x v="604"/>
    </i>
    <i>
      <x v="865"/>
      <x v="605"/>
    </i>
    <i>
      <x v="866"/>
      <x v="606"/>
    </i>
    <i>
      <x v="867"/>
      <x v="632"/>
    </i>
    <i>
      <x v="868"/>
      <x v="686"/>
    </i>
    <i>
      <x v="869"/>
      <x v="719"/>
    </i>
    <i>
      <x v="870"/>
      <x v="764"/>
    </i>
    <i>
      <x v="871"/>
      <x v="913"/>
    </i>
    <i>
      <x v="872"/>
      <x v="944"/>
    </i>
    <i>
      <x v="873"/>
      <x v="986"/>
    </i>
    <i>
      <x v="874"/>
      <x v="991"/>
    </i>
    <i>
      <x v="875"/>
      <x v="1072"/>
    </i>
    <i>
      <x v="876"/>
      <x v="1074"/>
    </i>
    <i>
      <x v="877"/>
      <x v="1073"/>
    </i>
    <i>
      <x v="878"/>
      <x v="1075"/>
    </i>
    <i>
      <x v="879"/>
      <x v="1069"/>
    </i>
    <i>
      <x v="880"/>
      <x v="1076"/>
    </i>
    <i>
      <x v="881"/>
      <x v="1077"/>
    </i>
    <i>
      <x v="882"/>
      <x v="1078"/>
    </i>
    <i>
      <x v="883"/>
      <x v="1079"/>
    </i>
    <i>
      <x v="884"/>
      <x v="1080"/>
    </i>
    <i>
      <x v="885"/>
      <x v="1081"/>
    </i>
    <i>
      <x v="886"/>
      <x v="1082"/>
    </i>
    <i>
      <x v="887"/>
      <x v="1083"/>
    </i>
    <i>
      <x v="888"/>
      <x v="1084"/>
    </i>
    <i>
      <x v="889"/>
      <x v="1089"/>
    </i>
    <i>
      <x v="890"/>
      <x v="1090"/>
    </i>
    <i>
      <x v="891"/>
      <x v="1091"/>
    </i>
    <i>
      <x v="892"/>
      <x v="1092"/>
    </i>
    <i>
      <x v="893"/>
      <x v="1094"/>
    </i>
    <i>
      <x v="894"/>
      <x v="1095"/>
    </i>
    <i>
      <x v="895"/>
      <x v="1096"/>
    </i>
    <i>
      <x v="896"/>
      <x v="1097"/>
    </i>
    <i>
      <x v="897"/>
      <x v="1098"/>
    </i>
    <i>
      <x v="898"/>
      <x v="1099"/>
    </i>
    <i>
      <x v="899"/>
      <x v="1100"/>
    </i>
    <i>
      <x v="900"/>
      <x v="1101"/>
    </i>
    <i>
      <x v="901"/>
      <x v="1102"/>
    </i>
    <i>
      <x v="902"/>
      <x v="1103"/>
    </i>
    <i>
      <x v="903"/>
      <x v="1104"/>
    </i>
    <i>
      <x v="904"/>
      <x v="1105"/>
    </i>
    <i>
      <x v="905"/>
      <x v="1106"/>
    </i>
    <i>
      <x v="906"/>
      <x v="1107"/>
    </i>
    <i>
      <x v="907"/>
      <x v="1177"/>
    </i>
    <i>
      <x v="908"/>
      <x v="1406"/>
    </i>
    <i>
      <x v="909"/>
      <x v="1605"/>
    </i>
    <i>
      <x v="910"/>
      <x v="1606"/>
    </i>
    <i>
      <x v="911"/>
      <x v="1607"/>
    </i>
    <i>
      <x v="912"/>
      <x v="1608"/>
    </i>
    <i>
      <x v="913"/>
      <x v="1609"/>
    </i>
    <i>
      <x v="914"/>
      <x v="1610"/>
    </i>
    <i>
      <x v="915"/>
      <x v="1611"/>
    </i>
    <i>
      <x v="916"/>
      <x v="1612"/>
    </i>
    <i>
      <x v="917"/>
      <x v="1613"/>
    </i>
    <i>
      <x v="918"/>
      <x v="1617"/>
    </i>
    <i>
      <x v="919"/>
      <x v="1618"/>
    </i>
    <i>
      <x v="920"/>
      <x v="1620"/>
    </i>
    <i>
      <x v="921"/>
      <x v="1621"/>
    </i>
    <i>
      <x v="922"/>
      <x v="1622"/>
    </i>
    <i>
      <x v="923"/>
      <x v="1623"/>
    </i>
    <i>
      <x v="924"/>
      <x v="1624"/>
    </i>
    <i>
      <x v="925"/>
      <x v="1625"/>
    </i>
    <i>
      <x v="926"/>
      <x v="1626"/>
    </i>
    <i>
      <x v="927"/>
      <x v="1627"/>
    </i>
    <i>
      <x v="928"/>
      <x v="1628"/>
    </i>
    <i>
      <x v="929"/>
      <x v="1629"/>
    </i>
    <i>
      <x v="930"/>
      <x v="509"/>
    </i>
    <i>
      <x v="931"/>
      <x v="1631"/>
    </i>
    <i>
      <x v="932"/>
      <x v="1632"/>
    </i>
    <i>
      <x v="933"/>
      <x v="1633"/>
    </i>
    <i>
      <x v="934"/>
      <x v="1634"/>
    </i>
    <i>
      <x v="935"/>
      <x v="1636"/>
    </i>
    <i>
      <x v="936"/>
      <x v="1637"/>
    </i>
    <i>
      <x v="937"/>
      <x v="1638"/>
    </i>
    <i>
      <x v="938"/>
      <x v="1639"/>
    </i>
    <i>
      <x v="939"/>
      <x v="1640"/>
    </i>
    <i>
      <x v="940"/>
      <x v="1641"/>
    </i>
    <i>
      <x v="941"/>
      <x v="1643"/>
    </i>
    <i>
      <x v="942"/>
      <x v="1635"/>
    </i>
    <i>
      <x v="943"/>
      <x v="1644"/>
    </i>
    <i>
      <x v="944"/>
      <x v="1645"/>
    </i>
    <i>
      <x v="945"/>
      <x v="1647"/>
    </i>
    <i>
      <x v="946"/>
      <x v="1648"/>
    </i>
    <i>
      <x v="947"/>
      <x v="1649"/>
    </i>
    <i>
      <x v="948"/>
      <x v="1650"/>
    </i>
    <i>
      <x v="949"/>
      <x v="1651"/>
    </i>
    <i>
      <x v="950"/>
      <x v="1652"/>
    </i>
    <i>
      <x v="951"/>
      <x v="1653"/>
    </i>
    <i>
      <x v="952"/>
      <x v="1654"/>
    </i>
    <i>
      <x v="953"/>
      <x v="1656"/>
    </i>
    <i>
      <x v="954"/>
      <x v="1657"/>
    </i>
    <i>
      <x v="955"/>
      <x v="1658"/>
    </i>
    <i>
      <x v="956"/>
      <x v="1659"/>
    </i>
    <i>
      <x v="957"/>
      <x v="1660"/>
    </i>
    <i>
      <x v="958"/>
      <x v="1676"/>
    </i>
    <i>
      <x v="959"/>
      <x v="222"/>
    </i>
    <i>
      <x v="960"/>
      <x v="223"/>
    </i>
    <i>
      <x v="961"/>
      <x v="224"/>
    </i>
    <i>
      <x v="962"/>
      <x v="225"/>
    </i>
    <i>
      <x v="963"/>
      <x v="226"/>
    </i>
    <i>
      <x v="964"/>
      <x v="502"/>
    </i>
    <i>
      <x v="965"/>
      <x v="1564"/>
    </i>
    <i>
      <x v="966"/>
      <x v="1565"/>
    </i>
    <i>
      <x v="967"/>
      <x v="1566"/>
    </i>
    <i>
      <x v="968"/>
      <x v="1567"/>
    </i>
    <i>
      <x v="969"/>
      <x v="1568"/>
    </i>
    <i>
      <x v="970"/>
      <x v="621"/>
    </i>
    <i>
      <x v="971"/>
      <x v="622"/>
    </i>
    <i>
      <x v="972"/>
      <x v="641"/>
    </i>
    <i>
      <x v="973"/>
      <x v="642"/>
    </i>
    <i>
      <x v="974"/>
      <x v="643"/>
    </i>
    <i>
      <x v="975"/>
      <x v="644"/>
    </i>
    <i>
      <x v="976"/>
      <x v="645"/>
    </i>
    <i>
      <x v="977"/>
      <x v="652"/>
    </i>
    <i>
      <x v="978"/>
      <x v="653"/>
    </i>
    <i>
      <x v="979"/>
      <x v="654"/>
    </i>
    <i>
      <x v="980"/>
      <x v="655"/>
    </i>
    <i>
      <x v="981"/>
      <x v="1326"/>
    </i>
    <i>
      <x v="982"/>
      <x v="1327"/>
    </i>
    <i>
      <x v="983"/>
      <x v="1328"/>
    </i>
    <i>
      <x v="984"/>
      <x v="1329"/>
    </i>
    <i>
      <x v="985"/>
      <x v="1330"/>
    </i>
    <i>
      <x v="986"/>
      <x v="1331"/>
    </i>
    <i>
      <x v="987"/>
      <x v="1332"/>
    </i>
    <i>
      <x v="988"/>
      <x v="1333"/>
    </i>
    <i>
      <x v="989"/>
      <x v="1334"/>
    </i>
    <i>
      <x v="990"/>
      <x v="1337"/>
    </i>
    <i>
      <x v="991"/>
      <x v="1338"/>
    </i>
    <i>
      <x v="992"/>
      <x v="1339"/>
    </i>
    <i>
      <x v="993"/>
      <x v="1340"/>
    </i>
    <i>
      <x v="994"/>
      <x v="1341"/>
    </i>
    <i>
      <x v="995"/>
      <x v="1342"/>
    </i>
    <i>
      <x v="996"/>
      <x v="1343"/>
    </i>
    <i>
      <x v="997"/>
      <x v="1344"/>
    </i>
    <i>
      <x v="998"/>
      <x v="1345"/>
    </i>
    <i>
      <x v="999"/>
      <x v="1347"/>
    </i>
    <i>
      <x v="1000"/>
      <x v="1348"/>
    </i>
    <i>
      <x v="1001"/>
      <x v="1349"/>
    </i>
    <i>
      <x v="1002"/>
      <x v="1350"/>
    </i>
    <i>
      <x v="1003"/>
      <x v="1351"/>
    </i>
    <i>
      <x v="1004"/>
      <x v="1352"/>
    </i>
    <i>
      <x v="1005"/>
      <x v="1353"/>
    </i>
    <i>
      <x v="1006"/>
      <x v="1354"/>
    </i>
    <i>
      <x v="1007"/>
      <x v="1355"/>
    </i>
    <i>
      <x v="1008"/>
      <x v="1356"/>
    </i>
    <i>
      <x v="1009"/>
      <x/>
    </i>
    <i>
      <x v="1010"/>
      <x v="1"/>
    </i>
    <i>
      <x v="1011"/>
      <x v="290"/>
    </i>
    <i>
      <x v="1012"/>
      <x v="390"/>
    </i>
    <i>
      <x v="1013"/>
      <x v="467"/>
    </i>
    <i>
      <x v="1014"/>
      <x v="802"/>
    </i>
    <i>
      <x v="1015"/>
      <x v="1440"/>
    </i>
    <i>
      <x v="1016"/>
      <x v="1462"/>
    </i>
    <i>
      <x v="1017"/>
      <x v="1463"/>
    </i>
    <i>
      <x v="1018"/>
      <x v="1464"/>
    </i>
    <i>
      <x v="1019"/>
      <x v="1466"/>
    </i>
    <i>
      <x v="1020"/>
      <x v="1467"/>
    </i>
    <i>
      <x v="1021"/>
      <x v="1469"/>
    </i>
    <i>
      <x v="1022"/>
      <x v="1470"/>
    </i>
    <i>
      <x v="1023"/>
      <x v="1471"/>
    </i>
    <i>
      <x v="1024"/>
      <x v="1472"/>
    </i>
    <i>
      <x v="1025"/>
      <x v="1475"/>
    </i>
    <i>
      <x v="1026"/>
      <x v="111"/>
    </i>
    <i>
      <x v="1027"/>
      <x v="112"/>
    </i>
    <i>
      <x v="1028"/>
      <x v="113"/>
    </i>
    <i>
      <x v="1029"/>
      <x v="114"/>
    </i>
    <i>
      <x v="1030"/>
      <x v="115"/>
    </i>
    <i>
      <x v="1031"/>
      <x v="116"/>
    </i>
    <i>
      <x v="1032"/>
      <x v="117"/>
    </i>
    <i>
      <x v="1033"/>
      <x v="118"/>
    </i>
    <i>
      <x v="1034"/>
      <x v="119"/>
    </i>
    <i>
      <x v="1035"/>
      <x v="120"/>
    </i>
    <i>
      <x v="1036"/>
      <x v="121"/>
    </i>
    <i>
      <x v="1037"/>
      <x v="122"/>
    </i>
    <i>
      <x v="1038"/>
      <x v="123"/>
    </i>
    <i>
      <x v="1039"/>
      <x v="124"/>
    </i>
    <i>
      <x v="1040"/>
      <x v="125"/>
    </i>
    <i>
      <x v="1041"/>
      <x v="126"/>
    </i>
    <i>
      <x v="1042"/>
      <x v="127"/>
    </i>
    <i>
      <x v="1043"/>
      <x v="128"/>
    </i>
    <i>
      <x v="1044"/>
      <x v="129"/>
    </i>
    <i>
      <x v="1045"/>
      <x v="130"/>
    </i>
    <i>
      <x v="1046"/>
      <x v="133"/>
    </i>
    <i>
      <x v="1047"/>
      <x v="291"/>
    </i>
    <i>
      <x v="1048"/>
      <x v="912"/>
    </i>
    <i>
      <x v="1049"/>
      <x v="1269"/>
    </i>
    <i>
      <x v="1050"/>
      <x v="1270"/>
    </i>
    <i>
      <x v="1051"/>
      <x v="1272"/>
    </i>
    <i>
      <x v="1052"/>
      <x v="1273"/>
    </i>
    <i>
      <x v="1053"/>
      <x v="1274"/>
    </i>
    <i>
      <x v="1054"/>
      <x v="1275"/>
    </i>
    <i>
      <x v="1055"/>
      <x v="1569"/>
    </i>
    <i>
      <x v="1056"/>
      <x v="1573"/>
    </i>
    <i>
      <x v="1057"/>
      <x v="1574"/>
    </i>
    <i>
      <x v="1058"/>
      <x v="1575"/>
    </i>
    <i>
      <x v="1059"/>
      <x v="1576"/>
    </i>
    <i>
      <x v="1060"/>
      <x v="1572"/>
    </i>
    <i r="1">
      <x v="1577"/>
    </i>
    <i>
      <x v="1061"/>
      <x v="1578"/>
    </i>
    <i>
      <x v="1062"/>
      <x v="1580"/>
    </i>
    <i>
      <x v="1063"/>
      <x v="1581"/>
    </i>
    <i>
      <x v="1064"/>
      <x v="1582"/>
    </i>
    <i>
      <x v="1065"/>
      <x v="1583"/>
    </i>
    <i>
      <x v="1066"/>
      <x v="1587"/>
    </i>
    <i>
      <x v="1067"/>
      <x v="1588"/>
    </i>
    <i>
      <x v="1068"/>
      <x v="1678"/>
    </i>
    <i>
      <x v="1069"/>
      <x v="1680"/>
    </i>
    <i>
      <x v="1070"/>
      <x v="1681"/>
    </i>
    <i>
      <x v="1071"/>
      <x v="1682"/>
    </i>
    <i>
      <x v="1072"/>
      <x v="1683"/>
    </i>
    <i>
      <x v="1073"/>
      <x v="1684"/>
    </i>
    <i>
      <x v="1074"/>
      <x v="1685"/>
    </i>
    <i>
      <x v="1075"/>
      <x v="1687"/>
    </i>
    <i>
      <x v="1076"/>
      <x v="1688"/>
    </i>
    <i>
      <x v="1077"/>
      <x v="1689"/>
    </i>
    <i>
      <x v="1078"/>
      <x v="1690"/>
    </i>
    <i>
      <x v="1079"/>
      <x v="1691"/>
    </i>
    <i>
      <x v="1080"/>
      <x v="1692"/>
    </i>
    <i>
      <x v="1081"/>
      <x v="1695"/>
    </i>
    <i>
      <x v="1082"/>
      <x v="1696"/>
    </i>
    <i>
      <x v="1083"/>
      <x v="1697"/>
    </i>
    <i>
      <x v="1084"/>
      <x v="1698"/>
    </i>
    <i>
      <x v="1085"/>
      <x v="1699"/>
    </i>
    <i>
      <x v="1086"/>
      <x v="1700"/>
    </i>
    <i>
      <x v="1087"/>
      <x v="1701"/>
    </i>
    <i>
      <x v="1088"/>
      <x v="1702"/>
    </i>
    <i>
      <x v="1089"/>
      <x v="1703"/>
    </i>
    <i>
      <x v="1090"/>
      <x v="1704"/>
    </i>
    <i>
      <x v="1091"/>
      <x v="1708"/>
    </i>
    <i>
      <x v="1092"/>
      <x v="1709"/>
    </i>
    <i>
      <x v="1093"/>
      <x v="1710"/>
    </i>
    <i>
      <x v="1094"/>
      <x v="1711"/>
    </i>
    <i>
      <x v="1095"/>
      <x v="1712"/>
    </i>
    <i>
      <x v="1096"/>
      <x v="1713"/>
    </i>
    <i>
      <x v="1097"/>
      <x v="1714"/>
    </i>
    <i>
      <x v="1098"/>
      <x v="1694"/>
    </i>
    <i>
      <x v="1099"/>
      <x v="1715"/>
    </i>
    <i>
      <x v="1100"/>
      <x v="1716"/>
    </i>
    <i>
      <x v="1101"/>
      <x v="1717"/>
    </i>
    <i>
      <x v="1102"/>
      <x v="1718"/>
    </i>
    <i>
      <x v="1103"/>
      <x v="1719"/>
    </i>
    <i>
      <x v="1104"/>
      <x v="1720"/>
    </i>
    <i>
      <x v="1105"/>
      <x v="1721"/>
    </i>
    <i>
      <x v="1106"/>
      <x v="1722"/>
    </i>
    <i>
      <x v="1107"/>
      <x v="1723"/>
    </i>
    <i>
      <x v="1108"/>
      <x v="1724"/>
    </i>
    <i>
      <x v="1109"/>
      <x v="1725"/>
    </i>
    <i>
      <x v="1110"/>
      <x v="1726"/>
    </i>
    <i>
      <x v="1111"/>
      <x v="1727"/>
    </i>
    <i>
      <x v="1112"/>
      <x v="1728"/>
    </i>
    <i>
      <x v="1113"/>
      <x v="1729"/>
    </i>
    <i>
      <x v="1114"/>
      <x v="1730"/>
    </i>
    <i>
      <x v="1115"/>
      <x v="1731"/>
    </i>
    <i>
      <x v="1116"/>
      <x v="1733"/>
    </i>
    <i>
      <x v="1117"/>
      <x v="1734"/>
    </i>
    <i>
      <x v="1118"/>
      <x v="1735"/>
    </i>
    <i>
      <x v="1119"/>
      <x v="1736"/>
    </i>
    <i>
      <x v="1120"/>
      <x v="1737"/>
    </i>
    <i>
      <x v="1121"/>
      <x v="1739"/>
    </i>
    <i>
      <x v="1122"/>
      <x v="1740"/>
    </i>
    <i>
      <x v="1123"/>
      <x v="1741"/>
    </i>
    <i>
      <x v="1124"/>
      <x v="1742"/>
    </i>
    <i>
      <x v="1125"/>
      <x v="1744"/>
    </i>
    <i>
      <x v="1126"/>
      <x v="1745"/>
    </i>
    <i>
      <x v="1127"/>
      <x v="1746"/>
    </i>
    <i>
      <x v="1128"/>
      <x v="1751"/>
    </i>
    <i>
      <x v="1129"/>
      <x v="1752"/>
    </i>
    <i>
      <x v="1130"/>
      <x v="1753"/>
    </i>
    <i>
      <x v="1131"/>
      <x v="1754"/>
    </i>
    <i>
      <x v="1132"/>
      <x v="1755"/>
    </i>
    <i>
      <x v="1133"/>
      <x v="1758"/>
    </i>
    <i>
      <x v="1134"/>
      <x v="1759"/>
    </i>
    <i>
      <x v="1135"/>
      <x v="1760"/>
    </i>
    <i>
      <x v="1136"/>
      <x v="1761"/>
    </i>
    <i>
      <x v="1137"/>
      <x v="1762"/>
    </i>
    <i>
      <x v="1138"/>
      <x v="1763"/>
    </i>
    <i>
      <x v="1139"/>
      <x v="1968"/>
    </i>
    <i>
      <x v="1140"/>
      <x v="1970"/>
    </i>
    <i>
      <x v="1141"/>
      <x v="1971"/>
    </i>
    <i>
      <x v="1142"/>
      <x v="1972"/>
    </i>
    <i>
      <x v="1143"/>
      <x v="1973"/>
    </i>
    <i>
      <x v="1144"/>
      <x v="1975"/>
    </i>
    <i>
      <x v="1145"/>
      <x v="1976"/>
    </i>
    <i>
      <x v="1146"/>
      <x v="1977"/>
    </i>
    <i>
      <x v="1147"/>
      <x v="1978"/>
    </i>
    <i>
      <x v="1148"/>
      <x v="1979"/>
    </i>
    <i>
      <x v="1149"/>
      <x v="1980"/>
    </i>
    <i>
      <x v="1150"/>
      <x v="200"/>
    </i>
    <i>
      <x v="1151"/>
      <x v="201"/>
    </i>
    <i>
      <x v="1152"/>
      <x v="202"/>
    </i>
    <i>
      <x v="1153"/>
      <x v="203"/>
    </i>
    <i>
      <x v="1154"/>
      <x v="204"/>
    </i>
    <i>
      <x v="1155"/>
      <x v="294"/>
    </i>
    <i>
      <x v="1156"/>
      <x v="988"/>
    </i>
    <i>
      <x v="1157"/>
      <x v="1450"/>
    </i>
    <i>
      <x v="1158"/>
      <x v="1497"/>
    </i>
    <i>
      <x v="1159"/>
      <x v="1544"/>
    </i>
    <i>
      <x v="1160"/>
      <x v="1791"/>
    </i>
    <i>
      <x v="1161"/>
      <x v="1792"/>
    </i>
    <i>
      <x v="1162"/>
      <x v="1793"/>
    </i>
    <i>
      <x v="1163"/>
      <x v="1794"/>
    </i>
    <i>
      <x v="1164"/>
      <x v="1795"/>
    </i>
    <i>
      <x v="1165"/>
      <x v="1796"/>
    </i>
    <i>
      <x v="1166"/>
      <x v="1797"/>
    </i>
    <i>
      <x v="1167"/>
      <x v="1798"/>
    </i>
    <i>
      <x v="1168"/>
      <x v="1799"/>
    </i>
    <i>
      <x v="1169"/>
      <x v="1800"/>
    </i>
    <i>
      <x v="1170"/>
      <x v="1801"/>
    </i>
    <i>
      <x v="1171"/>
      <x v="1802"/>
    </i>
    <i>
      <x v="1172"/>
      <x v="1803"/>
    </i>
    <i>
      <x v="1173"/>
      <x v="1804"/>
    </i>
    <i>
      <x v="1174"/>
      <x v="1805"/>
    </i>
    <i>
      <x v="1175"/>
      <x v="1807"/>
    </i>
    <i>
      <x v="1176"/>
      <x v="1808"/>
    </i>
    <i>
      <x v="1177"/>
      <x v="1809"/>
    </i>
    <i>
      <x v="1178"/>
      <x v="1810"/>
    </i>
    <i>
      <x v="1179"/>
      <x v="1811"/>
    </i>
    <i>
      <x v="1180"/>
      <x v="1812"/>
    </i>
    <i>
      <x v="1181"/>
      <x v="1813"/>
    </i>
    <i>
      <x v="1182"/>
      <x v="1814"/>
    </i>
    <i>
      <x v="1183"/>
      <x v="1815"/>
    </i>
    <i>
      <x v="1184"/>
      <x v="1816"/>
    </i>
    <i>
      <x v="1185"/>
      <x v="1817"/>
    </i>
    <i>
      <x v="1186"/>
      <x v="1818"/>
    </i>
    <i>
      <x v="1187"/>
      <x v="1819"/>
    </i>
    <i>
      <x v="1188"/>
      <x v="1820"/>
    </i>
    <i>
      <x v="1189"/>
      <x v="1821"/>
    </i>
    <i>
      <x v="1190"/>
      <x v="1822"/>
    </i>
    <i>
      <x v="1191"/>
      <x v="1823"/>
    </i>
    <i>
      <x v="1192"/>
      <x v="1824"/>
    </i>
    <i>
      <x v="1193"/>
      <x v="1825"/>
    </i>
    <i>
      <x v="1194"/>
      <x v="1826"/>
    </i>
    <i>
      <x v="1195"/>
      <x v="1827"/>
    </i>
    <i>
      <x v="1196"/>
      <x v="1828"/>
    </i>
    <i>
      <x v="1197"/>
      <x v="1931"/>
    </i>
    <i>
      <x v="1198"/>
      <x v="1932"/>
    </i>
    <i>
      <x v="1199"/>
      <x v="1998"/>
    </i>
    <i>
      <x v="1200"/>
      <x v="1999"/>
    </i>
    <i>
      <x v="1201"/>
      <x v="22"/>
    </i>
    <i>
      <x v="1202"/>
      <x v="36"/>
    </i>
    <i>
      <x v="1203"/>
      <x v="37"/>
    </i>
    <i>
      <x v="1204"/>
      <x v="38"/>
    </i>
    <i>
      <x v="1205"/>
      <x v="39"/>
    </i>
    <i>
      <x v="1206"/>
      <x v="40"/>
    </i>
    <i>
      <x v="1207"/>
      <x v="41"/>
    </i>
    <i>
      <x v="1208"/>
      <x v="413"/>
    </i>
    <i>
      <x v="1209"/>
      <x v="414"/>
    </i>
    <i>
      <x v="1210"/>
      <x v="415"/>
    </i>
    <i>
      <x v="1211"/>
      <x v="416"/>
    </i>
    <i>
      <x v="1212"/>
      <x v="452"/>
    </i>
    <i>
      <x v="1213"/>
      <x v="638"/>
    </i>
    <i>
      <x v="1214"/>
      <x v="675"/>
    </i>
    <i>
      <x v="1215"/>
      <x v="676"/>
    </i>
    <i>
      <x v="1216"/>
      <x v="677"/>
    </i>
    <i>
      <x v="1217"/>
      <x v="678"/>
    </i>
    <i>
      <x v="1218"/>
      <x v="1945"/>
    </i>
    <i>
      <x v="1219"/>
      <x v="1946"/>
    </i>
    <i>
      <x v="1220"/>
      <x v="1947"/>
    </i>
    <i>
      <x v="1221"/>
      <x v="1943"/>
    </i>
    <i>
      <x v="1222"/>
      <x v="1948"/>
    </i>
    <i>
      <x v="1223"/>
      <x v="1949"/>
    </i>
    <i>
      <x v="1224"/>
      <x v="1127"/>
    </i>
    <i>
      <x v="1225"/>
      <x v="1128"/>
    </i>
    <i>
      <x v="1226"/>
      <x v="1129"/>
    </i>
    <i>
      <x v="1227"/>
      <x v="1130"/>
    </i>
    <i>
      <x v="1228"/>
      <x v="1131"/>
    </i>
    <i>
      <x v="1229"/>
      <x v="1132"/>
    </i>
    <i>
      <x v="1230"/>
      <x v="1133"/>
    </i>
    <i>
      <x v="1231"/>
      <x v="1134"/>
    </i>
    <i>
      <x v="1232"/>
      <x v="1135"/>
    </i>
    <i>
      <x v="1233"/>
      <x v="1137"/>
    </i>
    <i>
      <x v="1234"/>
      <x v="1138"/>
    </i>
    <i>
      <x v="1235"/>
      <x v="1139"/>
    </i>
    <i>
      <x v="1236"/>
      <x v="1140"/>
    </i>
    <i>
      <x v="1237"/>
      <x v="1141"/>
    </i>
    <i>
      <x v="1238"/>
      <x v="1143"/>
    </i>
    <i>
      <x v="1239"/>
      <x v="1144"/>
    </i>
    <i>
      <x v="1240"/>
      <x v="1145"/>
    </i>
    <i>
      <x v="1241"/>
      <x v="1146"/>
    </i>
    <i>
      <x v="1242"/>
      <x v="1148"/>
    </i>
    <i>
      <x v="1243"/>
      <x v="1149"/>
    </i>
    <i>
      <x v="1244"/>
      <x v="1153"/>
    </i>
    <i>
      <x v="1245"/>
      <x v="1154"/>
    </i>
    <i>
      <x v="1246"/>
      <x v="1155"/>
    </i>
    <i>
      <x v="1247"/>
      <x v="1156"/>
    </i>
    <i>
      <x v="1248"/>
      <x v="1157"/>
    </i>
    <i>
      <x v="1249"/>
      <x v="1158"/>
    </i>
    <i>
      <x v="1250"/>
      <x v="1160"/>
    </i>
    <i>
      <x v="1251"/>
      <x v="1161"/>
    </i>
    <i>
      <x v="1252"/>
      <x v="1162"/>
    </i>
    <i>
      <x v="1253"/>
      <x v="1436"/>
    </i>
    <i>
      <x v="1254"/>
      <x v="444"/>
    </i>
    <i>
      <x v="1255"/>
      <x v="445"/>
    </i>
    <i>
      <x v="1256"/>
      <x v="446"/>
    </i>
    <i>
      <x v="1257"/>
      <x v="448"/>
    </i>
    <i>
      <x v="1258"/>
      <x v="449"/>
    </i>
    <i>
      <x v="1259"/>
      <x v="946"/>
    </i>
    <i>
      <x v="1260"/>
      <x v="960"/>
    </i>
    <i>
      <x v="1261"/>
      <x v="955"/>
    </i>
    <i>
      <x v="1262"/>
      <x v="961"/>
    </i>
    <i>
      <x v="1263"/>
      <x v="957"/>
    </i>
    <i>
      <x v="1264"/>
      <x v="958"/>
    </i>
    <i>
      <x v="1265"/>
      <x v="959"/>
    </i>
    <i>
      <x v="1266"/>
      <x v="1212"/>
    </i>
    <i>
      <x v="1267"/>
      <x v="1215"/>
    </i>
    <i>
      <x v="1268"/>
      <x v="1391"/>
    </i>
    <i>
      <x v="1269"/>
      <x v="1399"/>
    </i>
    <i>
      <x v="1270"/>
      <x v="1400"/>
    </i>
    <i>
      <x v="1271"/>
      <x v="1401"/>
    </i>
    <i>
      <x v="1272"/>
      <x v="1402"/>
    </i>
    <i>
      <x v="1273"/>
      <x v="1403"/>
    </i>
    <i>
      <x v="1274"/>
      <x v="1404"/>
    </i>
    <i>
      <x v="1275"/>
      <x v="657"/>
    </i>
    <i>
      <x v="1276"/>
      <x v="658"/>
    </i>
    <i>
      <x v="1277"/>
      <x v="659"/>
    </i>
    <i>
      <x v="1278"/>
      <x v="660"/>
    </i>
    <i>
      <x v="1279"/>
      <x v="661"/>
    </i>
    <i>
      <x v="1280"/>
      <x v="662"/>
    </i>
    <i>
      <x v="1281"/>
      <x v="663"/>
    </i>
    <i>
      <x v="1282"/>
      <x v="664"/>
    </i>
    <i>
      <x v="1283"/>
      <x v="665"/>
    </i>
    <i>
      <x v="1284"/>
      <x v="1383"/>
    </i>
    <i>
      <x v="1285"/>
      <x v="1385"/>
    </i>
    <i>
      <x v="1286"/>
      <x v="1417"/>
    </i>
    <i>
      <x v="1287"/>
      <x v="1418"/>
    </i>
    <i>
      <x v="1288"/>
      <x v="1419"/>
    </i>
    <i>
      <x v="1289"/>
      <x v="1774"/>
    </i>
    <i>
      <x v="1290"/>
      <x v="1776"/>
    </i>
    <i>
      <x v="1291"/>
      <x v="1778"/>
    </i>
    <i>
      <x v="1292"/>
      <x v="1779"/>
    </i>
    <i>
      <x v="1293"/>
      <x v="1780"/>
    </i>
    <i>
      <x v="1294"/>
      <x v="1784"/>
    </i>
    <i>
      <x v="1295"/>
      <x v="1785"/>
    </i>
    <i>
      <x v="1296"/>
      <x v="1786"/>
    </i>
    <i>
      <x v="1297"/>
      <x v="1787"/>
    </i>
    <i>
      <x v="1298"/>
      <x v="1788"/>
    </i>
    <i>
      <x v="1299"/>
      <x v="1789"/>
    </i>
    <i>
      <x v="1300"/>
      <x v="1829"/>
    </i>
    <i>
      <x v="1301"/>
      <x v="1777"/>
    </i>
    <i>
      <x v="1302"/>
      <x v="1841"/>
    </i>
    <i>
      <x v="1303"/>
      <x v="1842"/>
    </i>
    <i>
      <x v="1304"/>
      <x v="1843"/>
    </i>
    <i>
      <x v="1305"/>
      <x v="1845"/>
    </i>
    <i>
      <x v="1306"/>
      <x v="1846"/>
    </i>
    <i>
      <x v="1307"/>
      <x v="1848"/>
    </i>
    <i>
      <x v="1308"/>
      <x v="1849"/>
    </i>
    <i>
      <x v="1309"/>
      <x v="1850"/>
    </i>
    <i>
      <x v="1310"/>
      <x v="1851"/>
    </i>
    <i>
      <x v="1311"/>
      <x v="1852"/>
    </i>
    <i>
      <x v="1312"/>
      <x v="1853"/>
    </i>
    <i>
      <x v="1313"/>
      <x v="1854"/>
    </i>
    <i>
      <x v="1314"/>
      <x v="1855"/>
    </i>
    <i>
      <x v="1315"/>
      <x v="1856"/>
    </i>
    <i>
      <x v="1316"/>
      <x v="1857"/>
    </i>
    <i>
      <x v="1317"/>
      <x v="1858"/>
    </i>
    <i>
      <x v="1318"/>
      <x v="1859"/>
    </i>
    <i>
      <x v="1319"/>
      <x v="1860"/>
    </i>
    <i>
      <x v="1320"/>
      <x v="1861"/>
    </i>
    <i>
      <x v="1321"/>
      <x v="1862"/>
    </i>
    <i>
      <x v="1322"/>
      <x v="1863"/>
    </i>
    <i>
      <x v="1323"/>
      <x v="1864"/>
    </i>
    <i>
      <x v="1324"/>
      <x v="1865"/>
    </i>
    <i>
      <x v="1325"/>
      <x v="1866"/>
    </i>
    <i>
      <x v="1326"/>
      <x v="1867"/>
    </i>
    <i>
      <x v="1327"/>
      <x v="1868"/>
    </i>
    <i>
      <x v="1328"/>
      <x v="1869"/>
    </i>
    <i>
      <x v="1329"/>
      <x v="1870"/>
    </i>
    <i>
      <x v="1330"/>
      <x v="1871"/>
    </i>
    <i>
      <x v="1331"/>
      <x v="1872"/>
    </i>
    <i>
      <x v="1332"/>
      <x v="1873"/>
    </i>
    <i>
      <x v="1333"/>
      <x v="1874"/>
    </i>
    <i>
      <x v="1334"/>
      <x v="1875"/>
    </i>
    <i>
      <x v="1335"/>
      <x v="1876"/>
    </i>
    <i>
      <x v="1336"/>
      <x v="1877"/>
    </i>
    <i>
      <x v="1337"/>
      <x v="1878"/>
    </i>
    <i>
      <x v="1338"/>
      <x v="1879"/>
    </i>
    <i>
      <x v="1339"/>
      <x v="1880"/>
    </i>
    <i>
      <x v="1340"/>
      <x v="1881"/>
    </i>
    <i>
      <x v="1341"/>
      <x v="1882"/>
    </i>
    <i>
      <x v="1342"/>
      <x v="1884"/>
    </i>
    <i>
      <x v="1343"/>
      <x v="1885"/>
    </i>
    <i>
      <x v="1344"/>
      <x v="1886"/>
    </i>
    <i>
      <x v="1345"/>
      <x v="1887"/>
    </i>
    <i>
      <x v="1346"/>
      <x v="1888"/>
    </i>
    <i>
      <x v="1347"/>
      <x v="1889"/>
    </i>
    <i>
      <x v="1348"/>
      <x v="1890"/>
    </i>
    <i>
      <x v="1349"/>
      <x v="1892"/>
    </i>
    <i>
      <x v="1350"/>
      <x v="1893"/>
    </i>
    <i>
      <x v="1351"/>
      <x v="1894"/>
    </i>
    <i>
      <x v="1352"/>
      <x v="1895"/>
    </i>
    <i>
      <x v="1353"/>
      <x v="1896"/>
    </i>
    <i>
      <x v="1354"/>
      <x v="1897"/>
    </i>
    <i>
      <x v="1355"/>
      <x v="1898"/>
    </i>
    <i>
      <x v="1356"/>
      <x v="1899"/>
    </i>
    <i>
      <x v="1357"/>
      <x v="1901"/>
    </i>
    <i>
      <x v="1358"/>
      <x v="1902"/>
    </i>
    <i>
      <x v="1359"/>
      <x v="1903"/>
    </i>
    <i>
      <x v="1360"/>
      <x v="1904"/>
    </i>
    <i>
      <x v="1361"/>
      <x v="1906"/>
    </i>
    <i>
      <x v="1362"/>
      <x v="1909"/>
    </i>
    <i>
      <x v="1363"/>
      <x v="1910"/>
    </i>
    <i>
      <x v="1364"/>
      <x v="1911"/>
    </i>
    <i>
      <x v="1365"/>
      <x v="1912"/>
    </i>
    <i>
      <x v="1366"/>
      <x v="1913"/>
    </i>
    <i>
      <x v="1367"/>
      <x v="1914"/>
    </i>
    <i>
      <x v="1368"/>
      <x v="1916"/>
    </i>
    <i>
      <x v="1369"/>
      <x v="1917"/>
    </i>
    <i>
      <x v="1370"/>
      <x v="1918"/>
    </i>
    <i>
      <x v="1371"/>
      <x v="1919"/>
    </i>
    <i>
      <x v="1372"/>
      <x v="1920"/>
    </i>
    <i>
      <x v="1373"/>
      <x v="1921"/>
    </i>
    <i>
      <x v="1374"/>
      <x v="1922"/>
    </i>
    <i>
      <x v="1375"/>
      <x v="1923"/>
    </i>
    <i>
      <x v="1376"/>
      <x v="1924"/>
    </i>
    <i>
      <x v="1377"/>
      <x v="1925"/>
    </i>
    <i>
      <x v="1378"/>
      <x v="1926"/>
    </i>
    <i>
      <x v="1379"/>
      <x v="1927"/>
    </i>
    <i>
      <x v="1380"/>
      <x v="1929"/>
    </i>
    <i>
      <x v="1381"/>
      <x v="1930"/>
    </i>
    <i>
      <x v="1382"/>
      <x v="647"/>
    </i>
    <i>
      <x v="1383"/>
      <x v="648"/>
    </i>
    <i>
      <x v="1384"/>
      <x v="704"/>
    </i>
    <i>
      <x v="1385"/>
      <x v="388"/>
    </i>
    <i>
      <x v="1386"/>
      <x v="1015"/>
    </i>
    <i>
      <x v="1387"/>
      <x v="619"/>
    </i>
    <i>
      <x v="1388"/>
      <x v="1757"/>
    </i>
    <i>
      <x v="1389"/>
      <x v="1283"/>
    </i>
    <i>
      <x v="1390"/>
      <x v="1974"/>
    </i>
    <i>
      <x v="1391"/>
      <x v="81"/>
    </i>
    <i>
      <x v="1392"/>
      <x v="817"/>
    </i>
    <i>
      <x v="1393"/>
      <x v="816"/>
    </i>
    <i>
      <x v="1394"/>
      <x v="1585"/>
    </i>
    <i r="1">
      <x v="1586"/>
    </i>
    <i>
      <x v="1395"/>
      <x v="326"/>
    </i>
    <i>
      <x v="1396"/>
      <x v="832"/>
    </i>
    <i>
      <x v="1397"/>
      <x v="568"/>
    </i>
    <i>
      <x v="1398"/>
      <x v="1151"/>
    </i>
    <i>
      <x v="1399"/>
      <x v="1126"/>
    </i>
    <i>
      <x v="1400"/>
      <x v="1152"/>
    </i>
    <i>
      <x v="1401"/>
      <x v="1124"/>
    </i>
    <i>
      <x v="1402"/>
      <x v="1125"/>
    </i>
    <i>
      <x v="1403"/>
      <x v="1123"/>
    </i>
    <i>
      <x v="1404"/>
      <x v="815"/>
    </i>
    <i>
      <x v="1405"/>
      <x v="814"/>
    </i>
    <i>
      <x v="1406"/>
      <x v="1596"/>
    </i>
    <i>
      <x v="1407"/>
      <x v="1597"/>
    </i>
    <i>
      <x v="1408"/>
      <x v="1150"/>
    </i>
    <i>
      <x v="1409"/>
      <x v="630"/>
    </i>
    <i>
      <x v="1410"/>
      <x v="344"/>
    </i>
    <i>
      <x v="1411"/>
      <x v="559"/>
    </i>
    <i>
      <x v="1412"/>
      <x v="612"/>
    </i>
    <i>
      <x v="1413"/>
      <x v="2"/>
    </i>
    <i>
      <x v="1414"/>
      <x v="87"/>
    </i>
    <i>
      <x v="1415"/>
      <x v="103"/>
    </i>
    <i>
      <x v="1416"/>
      <x v="617"/>
    </i>
    <i>
      <x v="1417"/>
      <x v="346"/>
    </i>
    <i>
      <x v="1418"/>
      <x v="631"/>
    </i>
    <i>
      <x v="1419"/>
      <x v="720"/>
    </i>
    <i>
      <x v="1420"/>
      <x v="797"/>
    </i>
    <i>
      <x v="1421"/>
      <x v="798"/>
    </i>
    <i>
      <x v="1422"/>
      <x v="1312"/>
    </i>
    <i>
      <x v="1423"/>
      <x v="1392"/>
    </i>
    <i>
      <x v="1424"/>
      <x v="1393"/>
    </i>
    <i>
      <x v="1425"/>
      <x v="1766"/>
    </i>
    <i>
      <x v="1426"/>
      <x v="2003"/>
    </i>
    <i>
      <x v="1427"/>
      <x v="339"/>
    </i>
    <i>
      <x v="1428"/>
      <x v="616"/>
    </i>
    <i>
      <x v="1429"/>
      <x v="615"/>
    </i>
    <i>
      <x v="1430"/>
      <x v="354"/>
    </i>
    <i>
      <x v="1431"/>
      <x v="618"/>
    </i>
    <i>
      <x v="1432"/>
      <x v="585"/>
    </i>
    <i>
      <x v="1433"/>
      <x v="614"/>
    </i>
    <i>
      <x v="1434"/>
      <x v="1986"/>
    </i>
    <i>
      <x v="1435"/>
      <x v="1985"/>
    </i>
    <i>
      <x v="1436"/>
      <x v="1984"/>
    </i>
    <i>
      <x v="1437"/>
      <x v="1367"/>
    </i>
    <i>
      <x v="1438"/>
      <x v="381"/>
    </i>
    <i>
      <x v="1439"/>
      <x v="1915"/>
    </i>
    <i>
      <x v="1440"/>
      <x v="577"/>
    </i>
    <i r="1">
      <x v="578"/>
    </i>
    <i>
      <x v="1441"/>
      <x v="574"/>
    </i>
    <i r="1">
      <x v="575"/>
    </i>
    <i>
      <x v="1442"/>
      <x v="573"/>
    </i>
    <i>
      <x v="1443"/>
      <x v="318"/>
    </i>
    <i>
      <x v="1444"/>
      <x v="321"/>
    </i>
    <i>
      <x v="1445"/>
      <x v="53"/>
    </i>
    <i>
      <x v="1446"/>
      <x v="646"/>
    </i>
    <i>
      <x v="1447"/>
      <x v="1320"/>
    </i>
    <i>
      <x v="1448"/>
      <x v="132"/>
    </i>
    <i>
      <x v="1449"/>
      <x v="1509"/>
    </i>
    <i>
      <x v="1450"/>
      <x v="1944"/>
    </i>
    <i>
      <x v="1451"/>
      <x v="1969"/>
    </i>
    <i>
      <x v="1452"/>
      <x v="1570"/>
    </i>
    <i>
      <x v="1453"/>
      <x v="649"/>
    </i>
    <i>
      <x v="1454"/>
      <x v="1674"/>
    </i>
    <i>
      <x v="1455"/>
      <x v="1900"/>
    </i>
    <i>
      <x v="1456"/>
      <x v="174"/>
    </i>
    <i>
      <x v="1457"/>
      <x v="1508"/>
    </i>
    <i>
      <x v="1458"/>
      <x v="373"/>
    </i>
    <i>
      <x v="1459"/>
      <x v="1673"/>
    </i>
    <i>
      <x v="1460"/>
      <x v="1288"/>
    </i>
    <i>
      <x v="1461"/>
      <x v="967"/>
    </i>
    <i>
      <x v="1462"/>
      <x v="439"/>
    </i>
    <i>
      <x v="1463"/>
      <x v="150"/>
    </i>
    <i>
      <x v="1464"/>
      <x v="981"/>
    </i>
    <i>
      <x v="1465"/>
      <x v="989"/>
    </i>
    <i>
      <x v="1466"/>
      <x v="984"/>
    </i>
    <i>
      <x v="1467"/>
      <x v="1630"/>
    </i>
    <i>
      <x v="1468"/>
      <x v="1346"/>
    </i>
    <i>
      <x v="1469"/>
      <x v="206"/>
    </i>
    <i>
      <x v="1470"/>
      <x v="1847"/>
    </i>
    <i>
      <x v="1471"/>
      <x v="1693"/>
    </i>
    <i>
      <x v="1472"/>
      <x v="1840"/>
    </i>
    <i>
      <x v="1473"/>
      <x v="1386"/>
    </i>
    <i>
      <x v="1474"/>
      <x v="497"/>
    </i>
    <i>
      <x v="1475"/>
      <x v="1839"/>
    </i>
    <i>
      <x v="1476"/>
      <x v="1686"/>
    </i>
    <i>
      <x v="1477"/>
      <x v="1415"/>
    </i>
    <i>
      <x v="1478"/>
      <x v="1416"/>
    </i>
    <i>
      <x v="1479"/>
      <x v="613"/>
    </i>
    <i>
      <x v="1480"/>
      <x v="146"/>
    </i>
    <i>
      <x v="1481"/>
      <x v="697"/>
    </i>
    <i>
      <x v="1482"/>
      <x v="1387"/>
    </i>
    <i>
      <x v="1483"/>
      <x v="2001"/>
    </i>
    <i>
      <x v="1484"/>
      <x v="709"/>
    </i>
    <i>
      <x v="1485"/>
      <x v="1541"/>
    </i>
    <i>
      <x v="1486"/>
      <x v="722"/>
    </i>
    <i>
      <x v="1487"/>
      <x v="389"/>
    </i>
    <i>
      <x v="1488"/>
      <x v="1299"/>
    </i>
    <i>
      <x v="1489"/>
      <x v="1190"/>
    </i>
    <i>
      <x v="1490"/>
      <x v="712"/>
    </i>
    <i>
      <x v="1491"/>
      <x v="1988"/>
    </i>
    <i>
      <x v="1492"/>
      <x v="1498"/>
    </i>
    <i>
      <x v="1493"/>
      <x v="1662"/>
    </i>
    <i>
      <x v="1494"/>
      <x v="142"/>
    </i>
    <i>
      <x v="1495"/>
      <x v="454"/>
    </i>
    <i>
      <x v="1496"/>
      <x v="822"/>
    </i>
    <i>
      <x v="1497"/>
      <x v="823"/>
    </i>
    <i>
      <x v="1498"/>
      <x v="976"/>
    </i>
    <i>
      <x v="1499"/>
      <x v="1009"/>
    </i>
    <i>
      <x v="1500"/>
      <x v="1114"/>
    </i>
    <i>
      <x v="1501"/>
      <x v="1318"/>
    </i>
    <i>
      <x v="1502"/>
      <x v="1428"/>
    </i>
    <i>
      <x v="1503"/>
      <x v="1298"/>
    </i>
    <i>
      <x v="1504"/>
      <x v="625"/>
    </i>
    <i>
      <x v="1505"/>
      <x v="1670"/>
    </i>
    <i>
      <x v="1506"/>
      <x v="1967"/>
    </i>
    <i>
      <x v="1507"/>
      <x v="1668"/>
    </i>
    <i>
      <x v="1508"/>
      <x v="1267"/>
    </i>
    <i>
      <x v="1509"/>
      <x v="1837"/>
    </i>
    <i>
      <x v="1510"/>
      <x v="1147"/>
    </i>
    <i>
      <x v="1511"/>
      <x v="636"/>
    </i>
    <i>
      <x v="1512"/>
      <x v="178"/>
    </i>
    <i>
      <x v="1513"/>
      <x v="698"/>
    </i>
    <i>
      <x v="1514"/>
      <x v="1250"/>
    </i>
    <i>
      <x v="1515"/>
      <x v="1936"/>
    </i>
    <i>
      <x v="1516"/>
      <x v="73"/>
    </i>
    <i>
      <x v="1517"/>
      <x v="1005"/>
    </i>
    <i>
      <x v="1518"/>
      <x v="141"/>
    </i>
    <i>
      <x v="1519"/>
      <x v="186"/>
    </i>
    <i>
      <x v="1520"/>
      <x v="935"/>
    </i>
    <i>
      <x v="1521"/>
      <x v="474"/>
    </i>
    <i>
      <x v="1522"/>
      <x v="25"/>
    </i>
    <i>
      <x v="1523"/>
      <x v="177"/>
    </i>
    <i>
      <x v="1524"/>
      <x v="734"/>
    </i>
    <i>
      <x v="1525"/>
      <x v="1167"/>
    </i>
    <i>
      <x v="1526"/>
      <x v="1661"/>
    </i>
    <i>
      <x v="1527"/>
      <x v="1059"/>
    </i>
    <i>
      <x v="1528"/>
      <x v="1060"/>
    </i>
    <i>
      <x v="1529"/>
      <x v="1061"/>
    </i>
    <i>
      <x v="1530"/>
      <x v="182"/>
    </i>
    <i>
      <x v="1531"/>
      <x v="1891"/>
    </i>
    <i>
      <x v="1532"/>
      <x v="1543"/>
    </i>
    <i>
      <x v="1533"/>
      <x v="1276"/>
    </i>
    <i>
      <x v="1534"/>
      <x v="1271"/>
    </i>
    <i>
      <x v="1535"/>
      <x v="1165"/>
    </i>
    <i>
      <x v="1536"/>
      <x v="425"/>
    </i>
    <i>
      <x v="1537"/>
      <x v="1017"/>
    </i>
    <i>
      <x v="1538"/>
      <x v="1546"/>
    </i>
    <i>
      <x v="1539"/>
      <x v="176"/>
    </i>
    <i>
      <x v="1540"/>
      <x v="459"/>
    </i>
    <i>
      <x v="1541"/>
      <x v="292"/>
    </i>
    <i>
      <x v="1542"/>
      <x v="476"/>
    </i>
    <i>
      <x v="1543"/>
      <x v="954"/>
    </i>
    <i>
      <x v="1544"/>
      <x v="274"/>
    </i>
    <i>
      <x v="1545"/>
      <x v="96"/>
    </i>
    <i>
      <x v="1546"/>
      <x v="983"/>
    </i>
    <i>
      <x v="1547"/>
      <x v="104"/>
    </i>
    <i>
      <x v="1548"/>
      <x v="586"/>
    </i>
    <i>
      <x v="1549"/>
      <x v="714"/>
    </i>
    <i>
      <x v="1550"/>
      <x v="101"/>
    </i>
    <i>
      <x v="1551"/>
      <x v="735"/>
    </i>
    <i>
      <x v="1552"/>
      <x v="1453"/>
    </i>
    <i>
      <x v="1553"/>
      <x v="406"/>
    </i>
    <i>
      <x v="1554"/>
      <x v="407"/>
    </i>
    <i>
      <x v="1555"/>
      <x v="1232"/>
    </i>
    <i>
      <x v="1556"/>
      <x v="1231"/>
    </i>
    <i>
      <x v="1557"/>
      <x v="1655"/>
    </i>
    <i>
      <x v="1558"/>
      <x v="940"/>
    </i>
    <i>
      <x v="1559"/>
      <x v="171"/>
    </i>
    <i>
      <x v="1560"/>
      <x v="461"/>
    </i>
    <i>
      <x v="1561"/>
      <x v="460"/>
    </i>
    <i>
      <x v="1562"/>
      <x v="1838"/>
    </i>
    <i>
      <x v="1563"/>
      <x v="1831"/>
    </i>
    <i>
      <x v="1564"/>
      <x v="1834"/>
    </i>
    <i>
      <x v="1565"/>
      <x v="1836"/>
    </i>
    <i>
      <x v="1566"/>
      <x v="1538"/>
    </i>
    <i>
      <x v="1567"/>
      <x v="1595"/>
    </i>
    <i>
      <x v="1568"/>
      <x v="1443"/>
    </i>
    <i>
      <x v="1569"/>
      <x v="1444"/>
    </i>
    <i>
      <x v="1570"/>
      <x v="1442"/>
    </i>
    <i>
      <x v="1571"/>
      <x v="688"/>
    </i>
    <i>
      <x v="1572"/>
      <x v="691"/>
    </i>
    <i>
      <x v="1573"/>
      <x v="689"/>
    </i>
    <i>
      <x v="1574"/>
      <x v="1116"/>
    </i>
    <i>
      <x v="1575"/>
      <x v="465"/>
    </i>
    <i>
      <x v="1576"/>
      <x v="2004"/>
    </i>
    <i>
      <x v="1577"/>
      <x v="1373"/>
    </i>
    <i>
      <x v="1578"/>
      <x v="1663"/>
    </i>
    <i>
      <x v="1579"/>
      <x v="229"/>
    </i>
    <i>
      <x v="1580"/>
      <x v="256"/>
    </i>
    <i>
      <x v="1581"/>
      <x v="721"/>
    </i>
    <i>
      <x v="1582"/>
      <x v="1306"/>
    </i>
    <i>
      <x v="1583"/>
      <x v="462"/>
    </i>
    <i>
      <x v="1584"/>
      <x v="1458"/>
    </i>
    <i>
      <x v="1585"/>
      <x v="1494"/>
    </i>
    <i>
      <x v="1586"/>
      <x v="426"/>
    </i>
    <i>
      <x v="1587"/>
      <x v="427"/>
    </i>
    <i>
      <x v="1588"/>
      <x v="1781"/>
    </i>
    <i>
      <x v="1589"/>
      <x v="464"/>
    </i>
    <i>
      <x v="1590"/>
      <x v="985"/>
    </i>
    <i>
      <x v="1591"/>
      <x v="471"/>
    </i>
    <i>
      <x v="1592"/>
      <x v="238"/>
    </i>
    <i>
      <x v="1593"/>
      <x v="239"/>
    </i>
    <i>
      <x v="1594"/>
      <x v="240"/>
    </i>
    <i>
      <x v="1595"/>
      <x v="241"/>
    </i>
    <i>
      <x v="1596"/>
      <x v="1301"/>
    </i>
    <i>
      <x v="1597"/>
      <x v="190"/>
    </i>
    <i>
      <x v="1598"/>
      <x v="1281"/>
    </i>
    <i>
      <x v="1599"/>
      <x v="754"/>
    </i>
    <i>
      <x v="1600"/>
      <x v="758"/>
    </i>
    <i>
      <x v="1601"/>
      <x v="757"/>
    </i>
    <i>
      <x v="1602"/>
      <x v="761"/>
    </i>
    <i>
      <x v="1603"/>
      <x v="759"/>
    </i>
    <i>
      <x v="1604"/>
      <x v="1062"/>
    </i>
    <i>
      <x v="1605"/>
      <x v="920"/>
    </i>
    <i>
      <x v="1606"/>
      <x v="1175"/>
    </i>
    <i>
      <x v="1607"/>
      <x v="299"/>
    </i>
    <i>
      <x v="1608"/>
      <x v="668"/>
    </i>
    <i>
      <x v="1609"/>
      <x v="716"/>
    </i>
    <i>
      <x v="1610"/>
      <x v="483"/>
    </i>
    <i>
      <x v="1611"/>
      <x v="1664"/>
    </i>
    <i>
      <x v="1612"/>
      <x v="26"/>
    </i>
    <i>
      <x v="1613"/>
      <x v="1002"/>
    </i>
    <i>
      <x v="1614"/>
      <x v="756"/>
    </i>
    <i>
      <x v="1615"/>
      <x v="1001"/>
    </i>
    <i>
      <x v="1616"/>
      <x v="369"/>
    </i>
    <i>
      <x v="1617"/>
      <x v="762"/>
    </i>
    <i>
      <x v="1618"/>
      <x v="760"/>
    </i>
    <i>
      <x v="1619"/>
      <x v="1325"/>
    </i>
    <i>
      <x v="1620"/>
      <x v="380"/>
    </i>
    <i>
      <x v="1621"/>
      <x v="1311"/>
    </i>
    <i>
      <x v="1622"/>
      <x v="228"/>
    </i>
    <i>
      <x v="1623"/>
      <x v="492"/>
    </i>
    <i>
      <x v="1624"/>
      <x v="260"/>
    </i>
    <i>
      <x v="1625"/>
      <x v="18"/>
    </i>
    <i>
      <x v="1626"/>
      <x v="28"/>
    </i>
    <i>
      <x v="1627"/>
      <x v="92"/>
    </i>
    <i>
      <x v="1628"/>
      <x v="93"/>
    </i>
    <i>
      <x v="1629"/>
      <x v="131"/>
    </i>
    <i>
      <x v="1630"/>
      <x v="134"/>
    </i>
    <i>
      <x v="1631"/>
      <x v="375"/>
    </i>
    <i>
      <x v="1632"/>
      <x v="570"/>
    </i>
    <i>
      <x v="1633"/>
      <x v="571"/>
    </i>
    <i>
      <x v="1634"/>
      <x v="572"/>
    </i>
    <i>
      <x v="1635"/>
      <x v="656"/>
    </i>
    <i>
      <x v="1636"/>
      <x v="705"/>
    </i>
    <i>
      <x v="1637"/>
      <x v="1520"/>
    </i>
    <i>
      <x v="1638"/>
      <x v="1548"/>
    </i>
    <i>
      <x v="1639"/>
      <x v="1549"/>
    </i>
    <i>
      <x v="1640"/>
      <x v="1550"/>
    </i>
    <i>
      <x v="1641"/>
      <x v="1551"/>
    </i>
    <i>
      <x v="1642"/>
      <x v="1619"/>
    </i>
    <i>
      <x v="1643"/>
      <x v="1732"/>
    </i>
    <i>
      <x v="1644"/>
      <x v="1738"/>
    </i>
    <i>
      <x v="1645"/>
      <x v="1764"/>
    </i>
    <i>
      <x v="1646"/>
      <x v="1219"/>
    </i>
    <i>
      <x v="1647"/>
      <x v="1579"/>
    </i>
    <i>
      <x v="1648"/>
      <x v="1477"/>
    </i>
    <i>
      <x v="1649"/>
      <x v="834"/>
    </i>
    <i>
      <x v="1650"/>
      <x v="61"/>
    </i>
    <i>
      <x v="1651"/>
      <x v="835"/>
    </i>
    <i>
      <x v="1652"/>
      <x v="833"/>
    </i>
    <i>
      <x v="1653"/>
      <x v="742"/>
    </i>
    <i>
      <x v="1654"/>
      <x v="1677"/>
    </i>
    <i>
      <x v="1655"/>
      <x v="1743"/>
    </i>
    <i>
      <x v="1656"/>
      <x v="1679"/>
    </i>
    <i>
      <x v="1657"/>
      <x v="1121"/>
    </i>
    <i>
      <x v="1658"/>
      <x v="1122"/>
    </i>
    <i>
      <x v="1659"/>
      <x v="214"/>
    </i>
    <i>
      <x v="1660"/>
      <x v="215"/>
    </i>
    <i>
      <x v="1661"/>
      <x v="607"/>
    </i>
    <i>
      <x v="1662"/>
      <x v="1615"/>
    </i>
    <i>
      <x v="1663"/>
      <x v="1928"/>
    </i>
    <i>
      <x v="1664"/>
      <x v="1907"/>
    </i>
    <i>
      <x v="1665"/>
      <x v="1908"/>
    </i>
    <i>
      <x v="1666"/>
      <x v="1473"/>
    </i>
    <i>
      <x v="1667"/>
      <x v="1790"/>
    </i>
    <i>
      <x v="1668"/>
      <x v="608"/>
    </i>
    <i>
      <x v="1669"/>
      <x v="1830"/>
    </i>
    <i>
      <x v="1670"/>
      <x v="1832"/>
    </i>
    <i>
      <x v="1671"/>
      <x v="1833"/>
    </i>
    <i>
      <x v="1672"/>
      <x v="1835"/>
    </i>
    <i>
      <x v="1673"/>
      <x v="1422"/>
    </i>
    <i>
      <x v="1674"/>
      <x v="1412"/>
    </i>
    <i>
      <x v="1675"/>
      <x v="148"/>
    </i>
    <i>
      <x v="1676"/>
      <x v="1268"/>
    </i>
    <i>
      <x v="1677"/>
      <x v="1437"/>
    </i>
    <i>
      <x v="1678"/>
      <x v="1806"/>
    </i>
    <i>
      <x v="1679"/>
      <x v="1384"/>
    </i>
    <i>
      <x v="1680"/>
      <x v="1782"/>
    </i>
    <i>
      <x v="1681"/>
      <x v="1783"/>
    </i>
    <i>
      <x v="1682"/>
      <x v="1420"/>
    </i>
    <i>
      <x v="1683"/>
      <x v="1421"/>
    </i>
    <i>
      <x v="1684"/>
      <x v="184"/>
    </i>
    <i>
      <x v="1685"/>
      <x v="633"/>
    </i>
    <i>
      <x v="1686"/>
      <x v="635"/>
    </i>
    <i>
      <x v="1687"/>
      <x v="634"/>
    </i>
    <i>
      <x v="1688"/>
      <x v="635"/>
    </i>
    <i>
      <x v="1689"/>
      <x v="634"/>
    </i>
    <i>
      <x v="1690"/>
      <x v="672"/>
    </i>
    <i>
      <x v="1691"/>
      <x v="673"/>
    </i>
    <i>
      <x v="1692"/>
      <x v="1507"/>
    </i>
    <i>
      <x v="1693"/>
      <x v="331"/>
    </i>
    <i>
      <x v="1694"/>
      <x v="738"/>
    </i>
    <i>
      <x v="1695"/>
      <x v="332"/>
    </i>
    <i>
      <x v="1696"/>
      <x v="327"/>
    </i>
    <i>
      <x v="1697"/>
      <x v="1646"/>
    </i>
    <i>
      <x v="1698"/>
      <x v="1614"/>
    </i>
    <i>
      <x v="1699"/>
      <x v="564"/>
    </i>
    <i>
      <x v="1700"/>
      <x v="898"/>
    </i>
    <i>
      <x v="1701"/>
      <x v="595"/>
    </i>
    <i>
      <x v="1702"/>
      <x v="1523"/>
    </i>
    <i>
      <x v="1703"/>
      <x v="1525"/>
    </i>
    <i>
      <x v="1704"/>
      <x v="1518"/>
    </i>
    <i>
      <x v="1705"/>
      <x v="1335"/>
    </i>
    <i>
      <x v="1706"/>
      <x v="1933"/>
    </i>
    <i>
      <x v="1707"/>
      <x v="1934"/>
    </i>
    <i>
      <x v="1708"/>
      <x v="1935"/>
    </i>
    <i>
      <x v="1709"/>
      <x v="370"/>
    </i>
    <i>
      <x v="1710"/>
      <x v="385"/>
    </i>
    <i>
      <x v="1711"/>
      <x v="880"/>
    </i>
    <i>
      <x v="1712"/>
      <x v="881"/>
    </i>
    <i>
      <x v="1713"/>
      <x v="1560"/>
    </i>
    <i>
      <x v="1714"/>
      <x v="909"/>
    </i>
    <i>
      <x v="1715"/>
      <x v="1361"/>
    </i>
    <i>
      <x v="1716"/>
      <x v="1362"/>
    </i>
    <i>
      <x v="1717"/>
      <x v="1966"/>
    </i>
    <i>
      <x v="1718"/>
      <x v="1159"/>
    </i>
    <i>
      <x v="1719"/>
      <x v="1163"/>
    </i>
    <i>
      <x v="1720"/>
      <x v="1960"/>
    </i>
    <i>
      <x v="1721"/>
      <x v="1057"/>
    </i>
    <i>
      <x v="1722"/>
      <x v="1058"/>
    </i>
    <i>
      <x v="1723"/>
      <x v="1363"/>
    </i>
    <i>
      <x v="1724"/>
      <x v="1963"/>
    </i>
    <i>
      <x v="1725"/>
      <x v="94"/>
    </i>
    <i>
      <x v="1726"/>
      <x v="1584"/>
    </i>
    <i>
      <x v="1727"/>
      <x v="1302"/>
    </i>
    <i>
      <x v="1728"/>
      <x v="12"/>
    </i>
    <i>
      <x v="1729"/>
      <x v="611"/>
    </i>
    <i>
      <x v="1730"/>
      <x v="610"/>
    </i>
    <i>
      <x v="1731"/>
      <x v="609"/>
    </i>
    <i>
      <x v="1732"/>
      <x v="1263"/>
    </i>
    <i>
      <x v="1733"/>
      <x v="1262"/>
    </i>
    <i>
      <x v="1734"/>
      <x v="560"/>
    </i>
    <i>
      <x v="1735"/>
      <x v="43"/>
    </i>
    <i>
      <x v="1736"/>
      <x v="695"/>
    </i>
    <i>
      <x v="1737"/>
      <x v="650"/>
    </i>
    <i>
      <x v="1738"/>
      <x v="1642"/>
    </i>
    <i>
      <x v="1739"/>
      <x v="590"/>
    </i>
    <i>
      <x v="1740"/>
      <x v="219"/>
    </i>
    <i>
      <x v="1741"/>
      <x v="220"/>
    </i>
    <i>
      <x v="1742"/>
      <x v="1085"/>
    </i>
    <i>
      <x v="1743"/>
      <x v="371"/>
    </i>
    <i r="1">
      <x v="372"/>
    </i>
    <i>
      <x v="1744"/>
      <x v="1953"/>
    </i>
    <i>
      <x v="1745"/>
      <x v="1942"/>
    </i>
    <i>
      <x v="1746"/>
      <x v="1937"/>
    </i>
    <i>
      <x v="1747"/>
      <x v="918"/>
    </i>
    <i>
      <x v="1748"/>
      <x v="620"/>
    </i>
    <i>
      <x v="1749"/>
      <x v="1410"/>
    </i>
    <i>
      <x v="1750"/>
      <x v="576"/>
    </i>
    <i>
      <x v="1751"/>
      <x v="847"/>
    </i>
    <i>
      <x v="1752"/>
      <x v="800"/>
    </i>
    <i>
      <x v="1753"/>
      <x v="91"/>
    </i>
    <i>
      <x v="1754"/>
      <x v="1336"/>
    </i>
    <i>
      <x v="1755"/>
      <x v="1070"/>
    </i>
    <i>
      <x v="1756"/>
      <x v="711"/>
    </i>
    <i>
      <x v="1757"/>
      <x v="715"/>
    </i>
    <i>
      <x v="1758"/>
      <x v="1705"/>
    </i>
    <i>
      <x v="1759"/>
      <x v="1706"/>
    </i>
    <i>
      <x v="1760"/>
      <x v="1707"/>
    </i>
    <i>
      <x v="1761"/>
      <x v="1071"/>
    </i>
    <i>
      <x v="1762"/>
      <x v="1747"/>
    </i>
    <i>
      <x v="1763"/>
      <x v="1748"/>
    </i>
    <i>
      <x v="1764"/>
      <x v="310"/>
    </i>
    <i>
      <x v="1765"/>
      <x v="297"/>
    </i>
    <i>
      <x v="1766"/>
      <x v="2002"/>
    </i>
    <i>
      <x v="1767"/>
      <x v="298"/>
    </i>
    <i>
      <x v="1768"/>
      <x v="1983"/>
    </i>
    <i>
      <x v="1769"/>
      <x v="1982"/>
    </i>
    <i>
      <x v="1770"/>
      <x v="943"/>
    </i>
    <i>
      <x v="1771"/>
      <x v="1457"/>
    </i>
    <i>
      <x v="1772"/>
      <x v="1456"/>
    </i>
    <i>
      <x v="1773"/>
      <x v="713"/>
    </i>
    <i>
      <x v="1774"/>
      <x v="885"/>
    </i>
    <i>
      <x v="1775"/>
      <x v="1197"/>
    </i>
    <i>
      <x v="1776"/>
      <x v="1211"/>
    </i>
    <i>
      <x v="1777"/>
      <x v="1172"/>
    </i>
    <i>
      <x v="1778"/>
      <x v="1228"/>
    </i>
    <i>
      <x v="1779"/>
      <x v="172"/>
    </i>
    <i>
      <x v="1780"/>
      <x v="884"/>
    </i>
    <i>
      <x v="1781"/>
      <x v="480"/>
    </i>
    <i>
      <x v="1782"/>
      <x v="155"/>
    </i>
    <i>
      <x v="1783"/>
      <x v="600"/>
    </i>
    <i>
      <x v="1784"/>
      <x v="1411"/>
    </i>
    <i>
      <x v="1785"/>
      <x v="796"/>
    </i>
    <i>
      <x v="1786"/>
      <x v="1226"/>
    </i>
    <i>
      <x v="1787"/>
      <x v="1223"/>
    </i>
    <i>
      <x v="1788"/>
      <x v="1224"/>
    </i>
    <i>
      <x v="1789"/>
      <x v="1225"/>
    </i>
    <i>
      <x v="1790"/>
      <x v="1540"/>
    </i>
    <i>
      <x v="1791"/>
      <x v="1539"/>
    </i>
    <i>
      <x v="1792"/>
      <x v="1767"/>
    </i>
    <i>
      <x v="1793"/>
      <x v="1768"/>
    </i>
    <i>
      <x v="1794"/>
      <x v="1772"/>
    </i>
    <i>
      <x v="1795"/>
      <x v="956"/>
    </i>
    <i>
      <x v="1796"/>
      <x v="447"/>
    </i>
    <i>
      <x v="1797"/>
      <x v="1675"/>
    </i>
    <i>
      <x v="1798"/>
      <x v="1964"/>
    </i>
    <i>
      <x v="1799"/>
      <x v="1429"/>
    </i>
    <i>
      <x v="1800"/>
      <x v="216"/>
    </i>
    <i>
      <x v="1801"/>
      <x v="217"/>
    </i>
    <i>
      <x v="1802"/>
      <x v="303"/>
    </i>
    <i>
      <x v="1803"/>
      <x v="671"/>
    </i>
    <i>
      <x v="1804"/>
      <x v="1173"/>
    </i>
    <i>
      <x v="1805"/>
      <x v="1142"/>
    </i>
    <i>
      <x v="1806"/>
      <x v="1136"/>
    </i>
    <i>
      <x v="1807"/>
      <x v="329"/>
    </i>
    <i>
      <x v="1808"/>
      <x v="1905"/>
    </i>
    <i>
      <x v="1809"/>
      <x v="651"/>
    </i>
    <i>
      <x v="1810"/>
      <x v="330"/>
    </i>
    <i>
      <x v="1811"/>
      <x v="254"/>
    </i>
    <i>
      <x v="1812"/>
      <x v="255"/>
    </i>
    <i>
      <x v="1813"/>
      <x v="1604"/>
    </i>
    <i>
      <x v="1814"/>
      <x v="1500"/>
    </i>
    <i>
      <x v="1815"/>
      <x v="1502"/>
    </i>
    <i>
      <x v="1816"/>
      <x v="1665"/>
    </i>
    <i>
      <x v="1817"/>
      <x v="755"/>
    </i>
    <i>
      <x v="1818"/>
      <x v="322"/>
    </i>
    <i>
      <x v="1819"/>
      <x v="1210"/>
    </i>
    <i>
      <x v="1820"/>
      <x v="752"/>
    </i>
    <i>
      <x v="1821"/>
      <x v="923"/>
    </i>
    <i>
      <x v="1822"/>
      <x v="937"/>
    </i>
    <i>
      <x v="1823"/>
      <x v="938"/>
    </i>
    <i>
      <x v="1824"/>
      <x v="1086"/>
    </i>
    <i>
      <x v="1825"/>
      <x v="1033"/>
    </i>
    <i>
      <x v="1826"/>
      <x v="1018"/>
    </i>
    <i>
      <x v="1827"/>
      <x v="473"/>
    </i>
    <i>
      <x v="1828"/>
      <x v="690"/>
    </i>
    <i>
      <x v="1829"/>
      <x v="1496"/>
    </i>
    <i>
      <x v="1830"/>
      <x v="257"/>
    </i>
    <i>
      <x v="1831"/>
      <x v="1371"/>
    </i>
    <i>
      <x v="1832"/>
      <x v="233"/>
    </i>
    <i>
      <x v="1833"/>
      <x v="428"/>
    </i>
    <i>
      <x v="1834"/>
      <x v="1459"/>
    </i>
    <i>
      <x v="1835"/>
      <x v="463"/>
    </i>
    <i>
      <x v="1836"/>
      <x v="1300"/>
    </i>
    <i>
      <x v="1837"/>
      <x v="778"/>
    </i>
    <i>
      <x v="1838"/>
      <x v="218"/>
    </i>
    <i>
      <x v="1839"/>
      <x v="1008"/>
    </i>
    <i>
      <x v="1840"/>
      <x v="147"/>
    </i>
    <i>
      <x v="1841"/>
      <x v="1264"/>
    </i>
    <i>
      <x v="1842"/>
      <x v="1004"/>
    </i>
    <i>
      <x v="1843"/>
      <x v="261"/>
    </i>
    <i>
      <x v="1844"/>
      <x v="1066"/>
    </i>
    <i>
      <x v="1845"/>
      <x v="717"/>
    </i>
    <i>
      <x v="1846"/>
      <x v="982"/>
    </i>
    <i>
      <x v="1847"/>
      <x v="139"/>
    </i>
    <i>
      <x v="1848"/>
      <x v="472"/>
    </i>
    <i>
      <x v="1849"/>
      <x v="470"/>
    </i>
    <i>
      <x v="1850"/>
      <x v="1043"/>
    </i>
    <i>
      <x v="1851"/>
      <x v="821"/>
    </i>
    <i>
      <x v="1852"/>
      <x v="227"/>
    </i>
    <i>
      <x v="1853"/>
      <x v="1381"/>
    </i>
    <i>
      <x v="1854"/>
      <x v="601"/>
    </i>
    <i>
      <x v="1855"/>
      <x v="569"/>
    </i>
    <i>
      <x v="1856"/>
      <x v="1056"/>
    </i>
    <i>
      <x v="1857"/>
      <x v="979"/>
    </i>
    <i>
      <x v="1858"/>
      <x v="486"/>
    </i>
    <i>
      <x v="1859"/>
      <x v="501"/>
    </i>
    <i>
      <x v="1860"/>
      <x v="1277"/>
    </i>
    <i>
      <x v="1861"/>
      <x v="1185"/>
    </i>
    <i>
      <x v="1862"/>
      <x v="994"/>
    </i>
    <i>
      <x v="1863"/>
      <x v="696"/>
    </i>
    <i>
      <x v="1864"/>
      <x v="628"/>
    </i>
    <i>
      <x v="1865"/>
      <x v="1407"/>
    </i>
    <i>
      <x v="1866"/>
      <x v="1408"/>
    </i>
    <i>
      <x v="1867"/>
      <x v="1771"/>
    </i>
    <i>
      <x v="1868"/>
      <x v="1965"/>
    </i>
    <i>
      <x v="1869"/>
      <x v="1883"/>
    </i>
    <i>
      <x v="1870"/>
      <x v="1357"/>
    </i>
    <i>
      <x v="1871"/>
      <x v="1172"/>
    </i>
    <i>
      <x v="1872"/>
      <x v="801"/>
    </i>
    <i>
      <x v="1873"/>
      <x v="1108"/>
    </i>
    <i>
      <x v="1874"/>
      <x v="1012"/>
    </i>
    <i>
      <x v="1875"/>
      <x v="1251"/>
    </i>
    <i>
      <x v="1876"/>
      <x v="966"/>
    </i>
    <i>
      <x v="1877"/>
      <x v="703"/>
    </i>
    <i>
      <x v="1878"/>
      <x v="1430"/>
    </i>
    <i>
      <x v="1879"/>
      <x v="1047"/>
    </i>
    <i>
      <x v="1880"/>
      <x v="1303"/>
    </i>
    <i>
      <x v="1881"/>
      <x v="965"/>
    </i>
    <i>
      <x v="1882"/>
      <x v="736"/>
    </i>
    <i>
      <x v="1883"/>
      <x v="504"/>
    </i>
    <i>
      <x v="1884"/>
      <x v="917"/>
    </i>
    <i>
      <x v="1885"/>
      <x v="304"/>
    </i>
    <i>
      <x v="1886"/>
      <x v="450"/>
    </i>
    <i>
      <x v="1887"/>
      <x v="451"/>
    </i>
    <i>
      <x v="1888"/>
      <x v="60"/>
    </i>
    <i>
      <x v="1889"/>
      <x v="831"/>
    </i>
    <i>
      <x v="1890"/>
      <x v="845"/>
    </i>
    <i>
      <x v="1891"/>
      <x v="846"/>
    </i>
    <i>
      <x v="1892"/>
      <x v="838"/>
    </i>
    <i>
      <x v="1893"/>
      <x v="839"/>
    </i>
    <i>
      <x v="1894"/>
      <x v="840"/>
    </i>
    <i>
      <x v="1895"/>
      <x v="841"/>
    </i>
    <i>
      <x v="1896"/>
      <x v="842"/>
    </i>
    <i>
      <x v="1897"/>
      <x v="843"/>
    </i>
    <i>
      <x v="1898"/>
      <x v="844"/>
    </i>
    <i>
      <x v="1899"/>
      <x v="687"/>
    </i>
    <i>
      <x v="1900"/>
      <x v="1432"/>
    </i>
    <i>
      <x v="1901"/>
      <x v="1435"/>
    </i>
    <i>
      <x v="1902"/>
      <x v="1168"/>
    </i>
    <i>
      <x v="1903"/>
      <x v="1171"/>
    </i>
    <i>
      <x v="1904"/>
      <x v="1179"/>
    </i>
    <i>
      <x v="1905"/>
      <x v="1180"/>
    </i>
    <i>
      <x v="1906"/>
      <x v="1181"/>
    </i>
    <i>
      <x v="1907"/>
      <x v="325"/>
    </i>
    <i>
      <x v="1908"/>
      <x v="1990"/>
    </i>
    <i>
      <x v="1909"/>
      <x v="1750"/>
    </i>
    <i>
      <x v="1910"/>
      <x v="161"/>
    </i>
    <i>
      <x v="1911"/>
      <x v="1554"/>
    </i>
    <i>
      <x v="1912"/>
      <x v="443"/>
    </i>
    <i>
      <x v="1913"/>
      <x v="442"/>
    </i>
    <i>
      <x v="1914"/>
      <x v="441"/>
    </i>
    <i>
      <x v="1915"/>
      <x v="1055"/>
    </i>
    <i>
      <x v="1916"/>
      <x v="1164"/>
    </i>
    <i>
      <x v="1917"/>
      <x v="162"/>
    </i>
    <i>
      <x v="1918"/>
      <x v="1358"/>
    </i>
    <i>
      <x v="1919"/>
      <x v="1359"/>
    </i>
    <i>
      <x v="1920"/>
      <x v="1360"/>
    </i>
    <i>
      <x v="1921"/>
      <x v="3"/>
    </i>
    <i>
      <x v="1922"/>
      <x v="314"/>
    </i>
    <i>
      <x v="1923"/>
      <x v="1222"/>
    </i>
    <i>
      <x v="1924"/>
      <x v="990"/>
    </i>
    <i>
      <x v="1925"/>
      <x v="1501"/>
    </i>
    <i>
      <x v="1926"/>
      <x v="1503"/>
    </i>
    <i>
      <x v="1927"/>
      <x v="1938"/>
    </i>
    <i>
      <x v="1928"/>
      <x v="1068"/>
    </i>
    <i>
      <x v="1929"/>
      <x v="1324"/>
    </i>
    <i>
      <x v="1930"/>
      <x v="1322"/>
    </i>
    <i>
      <x v="1931"/>
      <x v="1323"/>
    </i>
    <i>
      <x v="1932"/>
      <x v="1203"/>
    </i>
    <i>
      <x v="1933"/>
      <x v="1202"/>
    </i>
    <i>
      <x v="1934"/>
      <x v="1204"/>
    </i>
    <i>
      <x v="1935"/>
      <x v="1205"/>
    </i>
    <i>
      <x v="1936"/>
      <x v="1207"/>
    </i>
    <i>
      <x v="1937"/>
      <x v="640"/>
    </i>
    <i>
      <x v="1938"/>
      <x v="1775"/>
    </i>
    <i>
      <x v="1939"/>
      <x v="1962"/>
    </i>
    <i>
      <x v="1940"/>
      <x v="599"/>
    </i>
    <i>
      <x v="1941"/>
      <x v="598"/>
    </i>
    <i>
      <x v="1942"/>
      <x v="637"/>
    </i>
    <i>
      <x v="1943"/>
      <x v="1476"/>
    </i>
    <i>
      <x v="1944"/>
      <x v="32"/>
    </i>
    <i>
      <x v="1945"/>
      <x v="90"/>
    </i>
    <i>
      <x v="1946"/>
      <x v="289"/>
    </i>
    <i>
      <x v="1947"/>
      <x v="1545"/>
    </i>
    <i>
      <x v="1948"/>
      <x v="482"/>
    </i>
    <i>
      <x v="1949"/>
      <x v="475"/>
    </i>
    <i>
      <x v="1950"/>
      <x v="1380"/>
    </i>
    <i>
      <x v="1951"/>
      <x v="208"/>
    </i>
    <i>
      <x v="1952"/>
      <x v="1769"/>
    </i>
    <i>
      <x v="1953"/>
      <x v="99"/>
    </i>
    <i>
      <x v="1954"/>
      <x v="100"/>
    </i>
    <i>
      <x v="1955"/>
      <x v="962"/>
    </i>
    <i>
      <x v="1956"/>
      <x v="963"/>
    </i>
    <i>
      <x v="1957"/>
      <x v="1169"/>
    </i>
    <i>
      <x v="1958"/>
      <x v="882"/>
    </i>
    <i>
      <x v="1959"/>
      <x v="1433"/>
    </i>
    <i>
      <x v="1960"/>
      <x v="1431"/>
    </i>
    <i>
      <x v="1961"/>
      <x v="1201"/>
    </i>
    <i>
      <x v="1962"/>
      <x v="999"/>
    </i>
    <i>
      <x v="1963"/>
      <x v="1571"/>
    </i>
    <i>
      <x v="1964"/>
      <x v="992"/>
    </i>
    <i>
      <x v="1965"/>
      <x v="1409"/>
    </i>
    <i>
      <x v="1966"/>
      <x v="993"/>
    </i>
    <i>
      <x v="1967"/>
      <x v="1413"/>
    </i>
    <i>
      <x v="1968"/>
      <x v="1414"/>
    </i>
    <i>
      <x v="1969"/>
      <x v="295"/>
    </i>
    <i>
      <x v="1970"/>
      <x v="790"/>
    </i>
    <i>
      <x v="1971"/>
      <x v="1844"/>
    </i>
    <i>
      <x v="1972"/>
      <x v="1481"/>
    </i>
    <i>
      <x v="1973"/>
      <x v="31"/>
    </i>
    <i>
      <x v="1974"/>
      <x v="950"/>
    </i>
    <i>
      <x v="1975"/>
      <x v="949"/>
    </i>
    <i>
      <x v="1976"/>
      <x v="894"/>
    </i>
    <i>
      <x v="1977"/>
      <x v="1249"/>
    </i>
    <i>
      <x v="1978"/>
      <x v="23"/>
    </i>
    <i>
      <x v="1979"/>
      <x v="1454"/>
    </i>
    <i>
      <x v="1980"/>
      <x v="1749"/>
    </i>
    <i>
      <x v="1981"/>
      <x v="498"/>
    </i>
    <i>
      <x v="1982"/>
      <x v="1147"/>
    </i>
    <i>
      <x v="1983"/>
      <x v="1206"/>
    </i>
    <i>
      <x v="1984"/>
      <x v="1208"/>
    </i>
    <i>
      <x v="1985"/>
      <x v="352"/>
    </i>
    <i>
      <x v="1986"/>
      <x v="1756"/>
    </i>
    <i>
      <x v="1987"/>
      <x v="1616"/>
    </i>
    <i>
      <x v="1988"/>
      <x v="1174"/>
    </i>
    <i>
      <x v="1989"/>
      <x v="264"/>
    </i>
    <i>
      <x v="1990"/>
      <x v="1765"/>
    </i>
    <i>
      <x v="1991"/>
      <x v="558"/>
    </i>
    <i>
      <x v="1992"/>
      <x v="1480"/>
    </i>
    <i>
      <x v="1993"/>
      <x v="1049"/>
    </i>
    <i>
      <x v="1994"/>
      <x v="1119"/>
    </i>
    <i>
      <x v="1995"/>
      <x v="1527"/>
    </i>
    <i>
      <x v="1996"/>
      <x v="737"/>
    </i>
    <i>
      <x v="1997"/>
      <x v="95"/>
    </i>
    <i>
      <x v="1998"/>
      <x v="491"/>
    </i>
    <i>
      <x v="1999"/>
      <x v="951"/>
    </i>
    <i>
      <x v="2000"/>
      <x v="261"/>
    </i>
    <i>
      <x v="2001"/>
      <x v="699"/>
    </i>
    <i>
      <x v="2002"/>
      <x v="702"/>
    </i>
    <i>
      <x v="2003"/>
      <x v="700"/>
    </i>
    <i>
      <x v="2004"/>
      <x v="1434"/>
    </i>
    <i>
      <x v="2005"/>
      <x v="883"/>
    </i>
    <i>
      <x v="2006"/>
      <x v="1170"/>
    </i>
    <i>
      <x v="2007"/>
      <x v="974"/>
    </i>
    <i>
      <x v="2008"/>
      <x v="195"/>
    </i>
    <i>
      <x v="2009"/>
      <x v="194"/>
    </i>
    <i>
      <x v="2010"/>
      <x v="193"/>
    </i>
    <i>
      <x v="2011"/>
      <x v="921"/>
    </i>
    <i>
      <x v="2012"/>
      <x v="2005"/>
    </i>
  </rowItems>
  <colItems count="1">
    <i/>
  </colItems>
  <dataFields count="1">
    <dataField name="Promedio de Precios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C2021"/>
  <sheetViews>
    <sheetView workbookViewId="0">
      <selection activeCell="C1677" sqref="C1677"/>
    </sheetView>
  </sheetViews>
  <sheetFormatPr baseColWidth="10" defaultColWidth="11.44140625" defaultRowHeight="14.4" x14ac:dyDescent="0.3"/>
  <cols>
    <col min="1" max="1" width="13" customWidth="1"/>
    <col min="2" max="2" width="45.44140625" bestFit="1" customWidth="1"/>
    <col min="3" max="3" width="19.44140625" style="12" bestFit="1" customWidth="1"/>
  </cols>
  <sheetData>
    <row r="3" spans="1:3" x14ac:dyDescent="0.3">
      <c r="A3" s="11" t="s">
        <v>0</v>
      </c>
      <c r="B3" s="11" t="s">
        <v>1</v>
      </c>
      <c r="C3" s="12" t="s">
        <v>2</v>
      </c>
    </row>
    <row r="4" spans="1:3" x14ac:dyDescent="0.3">
      <c r="A4">
        <v>1000000</v>
      </c>
      <c r="B4" t="s">
        <v>3</v>
      </c>
      <c r="C4" s="12">
        <v>26.390453270660998</v>
      </c>
    </row>
    <row r="5" spans="1:3" x14ac:dyDescent="0.3">
      <c r="A5">
        <v>1000002</v>
      </c>
      <c r="B5" t="s">
        <v>4</v>
      </c>
      <c r="C5" s="12">
        <v>6077.2897501105699</v>
      </c>
    </row>
    <row r="6" spans="1:3" x14ac:dyDescent="0.3">
      <c r="A6">
        <v>1000003</v>
      </c>
      <c r="B6" t="s">
        <v>5</v>
      </c>
      <c r="C6" s="12">
        <v>15675.6737962963</v>
      </c>
    </row>
    <row r="7" spans="1:3" x14ac:dyDescent="0.3">
      <c r="A7">
        <v>1000004</v>
      </c>
      <c r="B7" t="s">
        <v>6</v>
      </c>
      <c r="C7" s="12">
        <v>419.97463762376236</v>
      </c>
    </row>
    <row r="8" spans="1:3" x14ac:dyDescent="0.3">
      <c r="A8">
        <v>1000005</v>
      </c>
      <c r="B8" t="s">
        <v>7</v>
      </c>
      <c r="C8" s="12">
        <v>479.62639845537512</v>
      </c>
    </row>
    <row r="9" spans="1:3" x14ac:dyDescent="0.3">
      <c r="A9">
        <v>1000007</v>
      </c>
      <c r="B9" t="s">
        <v>8</v>
      </c>
      <c r="C9" s="12">
        <v>910.82349197461735</v>
      </c>
    </row>
    <row r="10" spans="1:3" x14ac:dyDescent="0.3">
      <c r="A10">
        <v>1000009</v>
      </c>
      <c r="B10" t="s">
        <v>9</v>
      </c>
      <c r="C10" s="12">
        <v>105.5</v>
      </c>
    </row>
    <row r="11" spans="1:3" x14ac:dyDescent="0.3">
      <c r="A11">
        <v>1000010</v>
      </c>
      <c r="B11" t="s">
        <v>10</v>
      </c>
      <c r="C11" s="12">
        <v>583.28</v>
      </c>
    </row>
    <row r="12" spans="1:3" x14ac:dyDescent="0.3">
      <c r="A12">
        <v>1000011</v>
      </c>
      <c r="B12" t="s">
        <v>11</v>
      </c>
      <c r="C12" s="12">
        <v>4234</v>
      </c>
    </row>
    <row r="13" spans="1:3" x14ac:dyDescent="0.3">
      <c r="A13">
        <v>1000014</v>
      </c>
      <c r="B13" t="s">
        <v>12</v>
      </c>
      <c r="C13" s="12">
        <v>22.558</v>
      </c>
    </row>
    <row r="14" spans="1:3" x14ac:dyDescent="0.3">
      <c r="A14">
        <v>1000016</v>
      </c>
      <c r="B14" t="s">
        <v>13</v>
      </c>
      <c r="C14" s="12">
        <v>170.83057953255101</v>
      </c>
    </row>
    <row r="15" spans="1:3" x14ac:dyDescent="0.3">
      <c r="A15">
        <v>1000017</v>
      </c>
      <c r="B15" t="s">
        <v>14</v>
      </c>
      <c r="C15" s="12">
        <v>85.418704318936875</v>
      </c>
    </row>
    <row r="16" spans="1:3" x14ac:dyDescent="0.3">
      <c r="A16">
        <v>1000018</v>
      </c>
      <c r="B16" t="s">
        <v>15</v>
      </c>
      <c r="C16" s="12">
        <v>808.61311949522451</v>
      </c>
    </row>
    <row r="17" spans="1:3" x14ac:dyDescent="0.3">
      <c r="A17">
        <v>1000019</v>
      </c>
      <c r="B17" t="s">
        <v>16</v>
      </c>
      <c r="C17" s="12">
        <v>34196.400000000001</v>
      </c>
    </row>
    <row r="18" spans="1:3" x14ac:dyDescent="0.3">
      <c r="A18">
        <v>1000020</v>
      </c>
      <c r="B18" t="s">
        <v>17</v>
      </c>
      <c r="C18" s="12">
        <v>28</v>
      </c>
    </row>
    <row r="19" spans="1:3" x14ac:dyDescent="0.3">
      <c r="A19">
        <v>1000023</v>
      </c>
      <c r="B19" t="s">
        <v>18</v>
      </c>
      <c r="C19" s="12">
        <v>7481.3243999999995</v>
      </c>
    </row>
    <row r="20" spans="1:3" x14ac:dyDescent="0.3">
      <c r="A20">
        <v>1000026</v>
      </c>
      <c r="B20" t="s">
        <v>19</v>
      </c>
      <c r="C20" s="12">
        <v>2431.25</v>
      </c>
    </row>
    <row r="21" spans="1:3" x14ac:dyDescent="0.3">
      <c r="A21">
        <v>1000027</v>
      </c>
      <c r="B21" t="s">
        <v>20</v>
      </c>
      <c r="C21" s="12">
        <v>1914.6761111111109</v>
      </c>
    </row>
    <row r="22" spans="1:3" x14ac:dyDescent="0.3">
      <c r="A22">
        <v>1000029</v>
      </c>
      <c r="B22" t="s">
        <v>21</v>
      </c>
      <c r="C22" s="12">
        <v>3.98571428571428</v>
      </c>
    </row>
    <row r="23" spans="1:3" x14ac:dyDescent="0.3">
      <c r="A23">
        <v>1000030</v>
      </c>
      <c r="B23" t="s">
        <v>22</v>
      </c>
      <c r="C23" s="12">
        <v>1</v>
      </c>
    </row>
    <row r="24" spans="1:3" x14ac:dyDescent="0.3">
      <c r="A24">
        <v>1000031</v>
      </c>
      <c r="B24" t="s">
        <v>23</v>
      </c>
      <c r="C24" s="12">
        <v>0.71428571428571397</v>
      </c>
    </row>
    <row r="25" spans="1:3" x14ac:dyDescent="0.3">
      <c r="A25">
        <v>1000032</v>
      </c>
      <c r="B25" t="s">
        <v>24</v>
      </c>
      <c r="C25" s="12">
        <v>3.9668136853397602</v>
      </c>
    </row>
    <row r="26" spans="1:3" x14ac:dyDescent="0.3">
      <c r="A26">
        <v>1000033</v>
      </c>
      <c r="B26" t="s">
        <v>25</v>
      </c>
      <c r="C26" s="12">
        <v>4.32</v>
      </c>
    </row>
    <row r="27" spans="1:3" x14ac:dyDescent="0.3">
      <c r="A27">
        <v>1000034</v>
      </c>
      <c r="B27" t="s">
        <v>26</v>
      </c>
      <c r="C27" s="12">
        <v>3.8652631578947401</v>
      </c>
    </row>
    <row r="28" spans="1:3" x14ac:dyDescent="0.3">
      <c r="A28">
        <v>1000035</v>
      </c>
      <c r="B28" t="s">
        <v>27</v>
      </c>
      <c r="C28" s="12">
        <v>0.71428571428571397</v>
      </c>
    </row>
    <row r="29" spans="1:3" x14ac:dyDescent="0.3">
      <c r="A29">
        <v>1000038</v>
      </c>
      <c r="B29" t="s">
        <v>28</v>
      </c>
      <c r="C29" s="12">
        <v>40.936898357283397</v>
      </c>
    </row>
    <row r="30" spans="1:3" x14ac:dyDescent="0.3">
      <c r="A30">
        <v>1000039</v>
      </c>
      <c r="B30" t="s">
        <v>29</v>
      </c>
      <c r="C30" s="12">
        <v>5.3000400000000001</v>
      </c>
    </row>
    <row r="31" spans="1:3" x14ac:dyDescent="0.3">
      <c r="A31">
        <v>1000040</v>
      </c>
      <c r="B31" t="s">
        <v>30</v>
      </c>
      <c r="C31" s="12">
        <v>27.155020128152749</v>
      </c>
    </row>
    <row r="32" spans="1:3" x14ac:dyDescent="0.3">
      <c r="A32">
        <v>1000041</v>
      </c>
      <c r="B32" t="s">
        <v>31</v>
      </c>
      <c r="C32" s="12">
        <v>34.313737339619301</v>
      </c>
    </row>
    <row r="33" spans="1:3" x14ac:dyDescent="0.3">
      <c r="A33">
        <v>1000042</v>
      </c>
      <c r="B33" t="s">
        <v>32</v>
      </c>
      <c r="C33" s="12">
        <v>15</v>
      </c>
    </row>
    <row r="34" spans="1:3" x14ac:dyDescent="0.3">
      <c r="A34">
        <v>1000043</v>
      </c>
      <c r="B34" t="s">
        <v>33</v>
      </c>
      <c r="C34" s="12">
        <v>154.1350000000005</v>
      </c>
    </row>
    <row r="35" spans="1:3" x14ac:dyDescent="0.3">
      <c r="A35">
        <v>1000044</v>
      </c>
      <c r="B35" t="s">
        <v>34</v>
      </c>
      <c r="C35" s="12">
        <v>263.14</v>
      </c>
    </row>
    <row r="36" spans="1:3" x14ac:dyDescent="0.3">
      <c r="A36">
        <v>1000046</v>
      </c>
      <c r="B36" t="s">
        <v>35</v>
      </c>
      <c r="C36" s="12">
        <v>213.03791963545149</v>
      </c>
    </row>
    <row r="37" spans="1:3" x14ac:dyDescent="0.3">
      <c r="A37">
        <v>1000047</v>
      </c>
      <c r="B37" t="s">
        <v>36</v>
      </c>
      <c r="C37" s="12">
        <v>563.98098591549297</v>
      </c>
    </row>
    <row r="38" spans="1:3" x14ac:dyDescent="0.3">
      <c r="A38">
        <v>1000049</v>
      </c>
      <c r="B38" t="s">
        <v>37</v>
      </c>
      <c r="C38" s="12">
        <v>462.42484816272963</v>
      </c>
    </row>
    <row r="39" spans="1:3" x14ac:dyDescent="0.3">
      <c r="A39">
        <v>1000050</v>
      </c>
      <c r="B39" t="s">
        <v>38</v>
      </c>
      <c r="C39" s="12">
        <v>32.812147826086957</v>
      </c>
    </row>
    <row r="40" spans="1:3" x14ac:dyDescent="0.3">
      <c r="A40">
        <v>1000052</v>
      </c>
      <c r="B40" t="s">
        <v>39</v>
      </c>
      <c r="C40" s="12">
        <v>37.144260444809497</v>
      </c>
    </row>
    <row r="41" spans="1:3" x14ac:dyDescent="0.3">
      <c r="A41">
        <v>1000054</v>
      </c>
      <c r="B41" t="s">
        <v>40</v>
      </c>
      <c r="C41" s="12">
        <v>80.485441846934506</v>
      </c>
    </row>
    <row r="42" spans="1:3" x14ac:dyDescent="0.3">
      <c r="A42">
        <v>1000055</v>
      </c>
      <c r="B42" t="s">
        <v>41</v>
      </c>
      <c r="C42" s="12">
        <v>82.376756613262302</v>
      </c>
    </row>
    <row r="43" spans="1:3" x14ac:dyDescent="0.3">
      <c r="A43">
        <v>1000063</v>
      </c>
      <c r="B43" t="s">
        <v>42</v>
      </c>
      <c r="C43" s="12">
        <v>1622.5</v>
      </c>
    </row>
    <row r="44" spans="1:3" x14ac:dyDescent="0.3">
      <c r="A44">
        <v>1000068</v>
      </c>
      <c r="B44" t="s">
        <v>43</v>
      </c>
      <c r="C44" s="12">
        <v>126.44</v>
      </c>
    </row>
    <row r="45" spans="1:3" x14ac:dyDescent="0.3">
      <c r="A45">
        <v>1000069</v>
      </c>
      <c r="B45" t="s">
        <v>44</v>
      </c>
      <c r="C45" s="12">
        <v>639.77001312335904</v>
      </c>
    </row>
    <row r="46" spans="1:3" x14ac:dyDescent="0.3">
      <c r="A46">
        <v>1000073</v>
      </c>
      <c r="B46" t="s">
        <v>45</v>
      </c>
      <c r="C46" s="12">
        <v>49.101423665777403</v>
      </c>
    </row>
    <row r="47" spans="1:3" x14ac:dyDescent="0.3">
      <c r="A47">
        <v>1000083</v>
      </c>
      <c r="B47" t="s">
        <v>46</v>
      </c>
      <c r="C47" s="12">
        <v>1986.9659541226099</v>
      </c>
    </row>
    <row r="48" spans="1:3" x14ac:dyDescent="0.3">
      <c r="A48">
        <v>1000085</v>
      </c>
      <c r="B48" t="s">
        <v>47</v>
      </c>
      <c r="C48" s="12">
        <v>0</v>
      </c>
    </row>
    <row r="49" spans="1:3" x14ac:dyDescent="0.3">
      <c r="A49">
        <v>1000086</v>
      </c>
      <c r="B49" t="s">
        <v>48</v>
      </c>
      <c r="C49" s="12">
        <v>386.92874999999998</v>
      </c>
    </row>
    <row r="50" spans="1:3" x14ac:dyDescent="0.3">
      <c r="A50">
        <v>1000091</v>
      </c>
      <c r="B50" t="s">
        <v>49</v>
      </c>
      <c r="C50" s="12">
        <v>238.02338446491899</v>
      </c>
    </row>
    <row r="51" spans="1:3" x14ac:dyDescent="0.3">
      <c r="A51">
        <v>1000092</v>
      </c>
      <c r="B51" t="s">
        <v>50</v>
      </c>
      <c r="C51" s="12">
        <v>0</v>
      </c>
    </row>
    <row r="52" spans="1:3" x14ac:dyDescent="0.3">
      <c r="A52">
        <v>1000093</v>
      </c>
      <c r="B52" t="s">
        <v>51</v>
      </c>
      <c r="C52" s="12">
        <v>160.90289923027501</v>
      </c>
    </row>
    <row r="53" spans="1:3" x14ac:dyDescent="0.3">
      <c r="A53">
        <v>1000094</v>
      </c>
      <c r="B53" t="s">
        <v>52</v>
      </c>
      <c r="C53" s="12">
        <v>35</v>
      </c>
    </row>
    <row r="54" spans="1:3" x14ac:dyDescent="0.3">
      <c r="A54">
        <v>1000095</v>
      </c>
      <c r="B54" t="s">
        <v>53</v>
      </c>
      <c r="C54" s="12">
        <v>568.94880000000001</v>
      </c>
    </row>
    <row r="55" spans="1:3" x14ac:dyDescent="0.3">
      <c r="A55">
        <v>1000096</v>
      </c>
      <c r="B55" t="s">
        <v>54</v>
      </c>
      <c r="C55" s="12">
        <v>1250.93</v>
      </c>
    </row>
    <row r="56" spans="1:3" x14ac:dyDescent="0.3">
      <c r="A56">
        <v>1000097</v>
      </c>
      <c r="B56" t="s">
        <v>55</v>
      </c>
      <c r="C56" s="12">
        <v>1158.6115381494665</v>
      </c>
    </row>
    <row r="57" spans="1:3" x14ac:dyDescent="0.3">
      <c r="A57">
        <v>1000098</v>
      </c>
      <c r="B57" t="s">
        <v>56</v>
      </c>
      <c r="C57" s="12">
        <v>1515.9571539294302</v>
      </c>
    </row>
    <row r="58" spans="1:3" x14ac:dyDescent="0.3">
      <c r="A58">
        <v>1000099</v>
      </c>
      <c r="B58" t="s">
        <v>57</v>
      </c>
      <c r="C58" s="12">
        <v>24.1175</v>
      </c>
    </row>
    <row r="59" spans="1:3" x14ac:dyDescent="0.3">
      <c r="A59">
        <v>1000100</v>
      </c>
      <c r="B59" t="s">
        <v>58</v>
      </c>
      <c r="C59" s="12">
        <v>70.22</v>
      </c>
    </row>
    <row r="60" spans="1:3" x14ac:dyDescent="0.3">
      <c r="A60">
        <v>1000101</v>
      </c>
      <c r="B60" t="s">
        <v>59</v>
      </c>
      <c r="C60" s="12">
        <v>135.06290042997099</v>
      </c>
    </row>
    <row r="61" spans="1:3" x14ac:dyDescent="0.3">
      <c r="A61">
        <v>1000102</v>
      </c>
      <c r="B61" t="s">
        <v>60</v>
      </c>
      <c r="C61" s="12">
        <v>392.960046262258</v>
      </c>
    </row>
    <row r="62" spans="1:3" x14ac:dyDescent="0.3">
      <c r="A62">
        <v>1000103</v>
      </c>
      <c r="B62" t="s">
        <v>61</v>
      </c>
      <c r="C62" s="12">
        <v>378.43493315340601</v>
      </c>
    </row>
    <row r="63" spans="1:3" x14ac:dyDescent="0.3">
      <c r="A63">
        <v>1000104</v>
      </c>
      <c r="B63" t="s">
        <v>62</v>
      </c>
      <c r="C63" s="12">
        <v>2717.3232499999999</v>
      </c>
    </row>
    <row r="64" spans="1:3" x14ac:dyDescent="0.3">
      <c r="A64">
        <v>1000107</v>
      </c>
      <c r="B64" t="s">
        <v>63</v>
      </c>
      <c r="C64" s="12">
        <v>8372.0645999999997</v>
      </c>
    </row>
    <row r="65" spans="1:3" x14ac:dyDescent="0.3">
      <c r="A65">
        <v>1000111</v>
      </c>
      <c r="B65" t="s">
        <v>64</v>
      </c>
      <c r="C65" s="12">
        <v>0</v>
      </c>
    </row>
    <row r="66" spans="1:3" x14ac:dyDescent="0.3">
      <c r="A66">
        <v>1000117</v>
      </c>
      <c r="B66" t="s">
        <v>65</v>
      </c>
      <c r="C66" s="12">
        <v>571.67876960033504</v>
      </c>
    </row>
    <row r="67" spans="1:3" x14ac:dyDescent="0.3">
      <c r="A67">
        <v>1000122</v>
      </c>
      <c r="B67" t="s">
        <v>66</v>
      </c>
      <c r="C67" s="12">
        <v>0</v>
      </c>
    </row>
    <row r="68" spans="1:3" x14ac:dyDescent="0.3">
      <c r="A68">
        <v>1000123</v>
      </c>
      <c r="B68" t="s">
        <v>67</v>
      </c>
      <c r="C68" s="12">
        <v>0</v>
      </c>
    </row>
    <row r="69" spans="1:3" x14ac:dyDescent="0.3">
      <c r="A69">
        <v>1000124</v>
      </c>
      <c r="B69" t="s">
        <v>68</v>
      </c>
      <c r="C69" s="12">
        <v>224.01710021750799</v>
      </c>
    </row>
    <row r="70" spans="1:3" x14ac:dyDescent="0.3">
      <c r="A70">
        <v>1000129</v>
      </c>
      <c r="B70" t="s">
        <v>69</v>
      </c>
      <c r="C70" s="12">
        <v>51.61306673571837</v>
      </c>
    </row>
    <row r="71" spans="1:3" x14ac:dyDescent="0.3">
      <c r="A71">
        <v>1000130</v>
      </c>
      <c r="B71" t="s">
        <v>70</v>
      </c>
      <c r="C71" s="12">
        <v>66.114473720538101</v>
      </c>
    </row>
    <row r="72" spans="1:3" x14ac:dyDescent="0.3">
      <c r="A72">
        <v>1000134</v>
      </c>
      <c r="B72" t="s">
        <v>71</v>
      </c>
      <c r="C72" s="12">
        <v>19.72</v>
      </c>
    </row>
    <row r="73" spans="1:3" x14ac:dyDescent="0.3">
      <c r="A73">
        <v>1000136</v>
      </c>
      <c r="B73" t="s">
        <v>72</v>
      </c>
      <c r="C73" s="12">
        <v>368.34518573017698</v>
      </c>
    </row>
    <row r="74" spans="1:3" x14ac:dyDescent="0.3">
      <c r="A74">
        <v>1000137</v>
      </c>
      <c r="B74" t="s">
        <v>73</v>
      </c>
      <c r="C74" s="12">
        <v>97.338791801510197</v>
      </c>
    </row>
    <row r="75" spans="1:3" x14ac:dyDescent="0.3">
      <c r="A75">
        <v>1000138</v>
      </c>
      <c r="B75" t="s">
        <v>74</v>
      </c>
      <c r="C75" s="12">
        <v>345.524789473684</v>
      </c>
    </row>
    <row r="76" spans="1:3" x14ac:dyDescent="0.3">
      <c r="A76">
        <v>1000140</v>
      </c>
      <c r="B76" t="s">
        <v>75</v>
      </c>
      <c r="C76" s="12">
        <v>172.84</v>
      </c>
    </row>
    <row r="77" spans="1:3" x14ac:dyDescent="0.3">
      <c r="A77">
        <v>1000141</v>
      </c>
      <c r="B77" t="s">
        <v>76</v>
      </c>
      <c r="C77" s="12">
        <v>660.14113243367672</v>
      </c>
    </row>
    <row r="78" spans="1:3" x14ac:dyDescent="0.3">
      <c r="A78">
        <v>1000142</v>
      </c>
      <c r="B78" t="s">
        <v>77</v>
      </c>
      <c r="C78" s="12">
        <v>70.965220330224497</v>
      </c>
    </row>
    <row r="79" spans="1:3" x14ac:dyDescent="0.3">
      <c r="A79">
        <v>1000143</v>
      </c>
      <c r="B79" t="s">
        <v>78</v>
      </c>
      <c r="C79" s="12">
        <v>0</v>
      </c>
    </row>
    <row r="80" spans="1:3" x14ac:dyDescent="0.3">
      <c r="A80">
        <v>1000144</v>
      </c>
      <c r="B80" t="s">
        <v>79</v>
      </c>
      <c r="C80" s="12">
        <v>75.667866666666697</v>
      </c>
    </row>
    <row r="81" spans="1:3" x14ac:dyDescent="0.3">
      <c r="A81">
        <v>1000145</v>
      </c>
      <c r="B81" t="s">
        <v>80</v>
      </c>
      <c r="C81" s="12">
        <v>233.85217763899601</v>
      </c>
    </row>
    <row r="82" spans="1:3" x14ac:dyDescent="0.3">
      <c r="A82">
        <v>1000147</v>
      </c>
      <c r="B82" t="s">
        <v>81</v>
      </c>
      <c r="C82" s="12">
        <v>7.4340000000000002</v>
      </c>
    </row>
    <row r="83" spans="1:3" x14ac:dyDescent="0.3">
      <c r="A83">
        <v>1000150</v>
      </c>
      <c r="B83" t="s">
        <v>82</v>
      </c>
      <c r="C83" s="12">
        <v>170.49877729257642</v>
      </c>
    </row>
    <row r="84" spans="1:3" x14ac:dyDescent="0.3">
      <c r="A84">
        <v>1000156</v>
      </c>
      <c r="B84" t="s">
        <v>83</v>
      </c>
      <c r="C84" s="12">
        <v>21.491568888888899</v>
      </c>
    </row>
    <row r="85" spans="1:3" x14ac:dyDescent="0.3">
      <c r="A85">
        <v>1000159</v>
      </c>
      <c r="B85" t="s">
        <v>84</v>
      </c>
      <c r="C85" s="12">
        <v>98.155553385930602</v>
      </c>
    </row>
    <row r="86" spans="1:3" x14ac:dyDescent="0.3">
      <c r="A86">
        <v>1000160</v>
      </c>
      <c r="B86" t="s">
        <v>85</v>
      </c>
      <c r="C86" s="12">
        <v>188.91487421332451</v>
      </c>
    </row>
    <row r="87" spans="1:3" x14ac:dyDescent="0.3">
      <c r="A87">
        <v>1000161</v>
      </c>
      <c r="B87" t="s">
        <v>86</v>
      </c>
      <c r="C87" s="12">
        <v>321.69328105773099</v>
      </c>
    </row>
    <row r="88" spans="1:3" x14ac:dyDescent="0.3">
      <c r="A88">
        <v>1000163</v>
      </c>
      <c r="B88" t="s">
        <v>87</v>
      </c>
      <c r="C88" s="12">
        <v>53.415878183946688</v>
      </c>
    </row>
    <row r="89" spans="1:3" x14ac:dyDescent="0.3">
      <c r="A89">
        <v>1000164</v>
      </c>
      <c r="B89" t="s">
        <v>88</v>
      </c>
      <c r="C89" s="12">
        <v>96.153631072850658</v>
      </c>
    </row>
    <row r="90" spans="1:3" x14ac:dyDescent="0.3">
      <c r="A90">
        <v>1000165</v>
      </c>
      <c r="B90" t="s">
        <v>89</v>
      </c>
      <c r="C90" s="12">
        <v>122.7504236238711</v>
      </c>
    </row>
    <row r="91" spans="1:3" x14ac:dyDescent="0.3">
      <c r="A91">
        <v>1000173</v>
      </c>
      <c r="B91" t="s">
        <v>90</v>
      </c>
      <c r="C91" s="12">
        <v>410.86283080856498</v>
      </c>
    </row>
    <row r="92" spans="1:3" x14ac:dyDescent="0.3">
      <c r="A92">
        <v>1000176</v>
      </c>
      <c r="B92" t="s">
        <v>91</v>
      </c>
      <c r="C92" s="12">
        <v>5141.0529999999999</v>
      </c>
    </row>
    <row r="93" spans="1:3" x14ac:dyDescent="0.3">
      <c r="A93">
        <v>1000177</v>
      </c>
      <c r="B93" t="s">
        <v>92</v>
      </c>
      <c r="C93" s="12">
        <v>800.00584760101003</v>
      </c>
    </row>
    <row r="94" spans="1:3" x14ac:dyDescent="0.3">
      <c r="A94">
        <v>1000179</v>
      </c>
      <c r="B94" t="s">
        <v>93</v>
      </c>
      <c r="C94" s="12">
        <v>229.341360818288</v>
      </c>
    </row>
    <row r="95" spans="1:3" x14ac:dyDescent="0.3">
      <c r="A95">
        <v>1000181</v>
      </c>
      <c r="B95" t="s">
        <v>94</v>
      </c>
      <c r="C95" s="12">
        <v>13705.836744856</v>
      </c>
    </row>
    <row r="96" spans="1:3" x14ac:dyDescent="0.3">
      <c r="A96">
        <v>1000189</v>
      </c>
      <c r="B96" t="s">
        <v>95</v>
      </c>
      <c r="C96" s="12">
        <v>173029.650339482</v>
      </c>
    </row>
    <row r="97" spans="1:3" x14ac:dyDescent="0.3">
      <c r="A97">
        <v>1000190</v>
      </c>
      <c r="B97" t="s">
        <v>96</v>
      </c>
      <c r="C97" s="12">
        <v>5000</v>
      </c>
    </row>
    <row r="98" spans="1:3" x14ac:dyDescent="0.3">
      <c r="A98">
        <v>1000192</v>
      </c>
      <c r="B98" t="s">
        <v>97</v>
      </c>
      <c r="C98" s="12">
        <v>165.2</v>
      </c>
    </row>
    <row r="99" spans="1:3" x14ac:dyDescent="0.3">
      <c r="A99">
        <v>1000193</v>
      </c>
      <c r="B99" t="s">
        <v>98</v>
      </c>
      <c r="C99" s="12">
        <v>0</v>
      </c>
    </row>
    <row r="100" spans="1:3" x14ac:dyDescent="0.3">
      <c r="A100">
        <v>1000199</v>
      </c>
      <c r="B100" t="s">
        <v>99</v>
      </c>
      <c r="C100" s="12">
        <v>723.82158536585302</v>
      </c>
    </row>
    <row r="101" spans="1:3" x14ac:dyDescent="0.3">
      <c r="A101">
        <v>1000200</v>
      </c>
      <c r="B101" t="s">
        <v>100</v>
      </c>
      <c r="C101" s="12">
        <v>10780.566877099664</v>
      </c>
    </row>
    <row r="102" spans="1:3" x14ac:dyDescent="0.3">
      <c r="A102">
        <v>1000201</v>
      </c>
      <c r="B102" t="s">
        <v>101</v>
      </c>
      <c r="C102" s="12">
        <v>2070.6</v>
      </c>
    </row>
    <row r="103" spans="1:3" x14ac:dyDescent="0.3">
      <c r="A103">
        <v>1000202</v>
      </c>
      <c r="B103" t="s">
        <v>102</v>
      </c>
      <c r="C103" s="12">
        <v>0</v>
      </c>
    </row>
    <row r="104" spans="1:3" x14ac:dyDescent="0.3">
      <c r="A104">
        <v>1000209</v>
      </c>
      <c r="B104" t="s">
        <v>103</v>
      </c>
      <c r="C104" s="12">
        <v>2338.2600000000002</v>
      </c>
    </row>
    <row r="105" spans="1:3" x14ac:dyDescent="0.3">
      <c r="A105">
        <v>1000211</v>
      </c>
      <c r="B105" t="s">
        <v>104</v>
      </c>
      <c r="C105" s="12">
        <v>281.01</v>
      </c>
    </row>
    <row r="106" spans="1:3" x14ac:dyDescent="0.3">
      <c r="A106">
        <v>1000212</v>
      </c>
      <c r="B106" t="s">
        <v>105</v>
      </c>
      <c r="C106" s="12">
        <v>890.45173913043504</v>
      </c>
    </row>
    <row r="107" spans="1:3" x14ac:dyDescent="0.3">
      <c r="A107">
        <v>1000213</v>
      </c>
      <c r="B107" t="s">
        <v>106</v>
      </c>
      <c r="C107" s="12">
        <v>890.45184285714299</v>
      </c>
    </row>
    <row r="108" spans="1:3" x14ac:dyDescent="0.3">
      <c r="A108">
        <v>1000214</v>
      </c>
      <c r="B108" t="s">
        <v>107</v>
      </c>
      <c r="C108" s="12">
        <v>890.45173913043504</v>
      </c>
    </row>
    <row r="109" spans="1:3" x14ac:dyDescent="0.3">
      <c r="A109">
        <v>1000215</v>
      </c>
      <c r="B109" t="s">
        <v>108</v>
      </c>
      <c r="C109" s="12">
        <v>1914</v>
      </c>
    </row>
    <row r="110" spans="1:3" x14ac:dyDescent="0.3">
      <c r="A110">
        <v>1000217</v>
      </c>
      <c r="B110" t="s">
        <v>109</v>
      </c>
      <c r="C110" s="12">
        <v>1856</v>
      </c>
    </row>
    <row r="111" spans="1:3" x14ac:dyDescent="0.3">
      <c r="A111">
        <v>1000218</v>
      </c>
      <c r="B111" t="s">
        <v>110</v>
      </c>
      <c r="C111" s="12">
        <v>3480.64672759942</v>
      </c>
    </row>
    <row r="112" spans="1:3" x14ac:dyDescent="0.3">
      <c r="A112">
        <v>1000219</v>
      </c>
      <c r="B112" t="s">
        <v>111</v>
      </c>
      <c r="C112" s="12">
        <v>3731.4668724110902</v>
      </c>
    </row>
    <row r="113" spans="1:3" x14ac:dyDescent="0.3">
      <c r="A113">
        <v>1000220</v>
      </c>
      <c r="B113" t="s">
        <v>112</v>
      </c>
      <c r="C113" s="12">
        <v>3773.1989406071698</v>
      </c>
    </row>
    <row r="114" spans="1:3" x14ac:dyDescent="0.3">
      <c r="A114">
        <v>1000221</v>
      </c>
      <c r="B114" t="s">
        <v>113</v>
      </c>
      <c r="C114" s="12">
        <v>3446.8197272120801</v>
      </c>
    </row>
    <row r="115" spans="1:3" x14ac:dyDescent="0.3">
      <c r="A115">
        <v>1000222</v>
      </c>
      <c r="B115" t="s">
        <v>114</v>
      </c>
      <c r="C115" s="12">
        <v>3468.47059942735</v>
      </c>
    </row>
    <row r="116" spans="1:3" x14ac:dyDescent="0.3">
      <c r="A116">
        <v>1000223</v>
      </c>
      <c r="B116" t="s">
        <v>115</v>
      </c>
      <c r="C116" s="12">
        <v>3396.8832351585202</v>
      </c>
    </row>
    <row r="117" spans="1:3" x14ac:dyDescent="0.3">
      <c r="A117">
        <v>1000224</v>
      </c>
      <c r="B117" t="s">
        <v>116</v>
      </c>
      <c r="C117" s="12">
        <v>2654.9447265065301</v>
      </c>
    </row>
    <row r="118" spans="1:3" x14ac:dyDescent="0.3">
      <c r="A118">
        <v>1000225</v>
      </c>
      <c r="B118" t="s">
        <v>117</v>
      </c>
      <c r="C118" s="12">
        <v>3122.5606955471799</v>
      </c>
    </row>
    <row r="119" spans="1:3" x14ac:dyDescent="0.3">
      <c r="A119">
        <v>1000226</v>
      </c>
      <c r="B119" t="s">
        <v>118</v>
      </c>
      <c r="C119" s="12">
        <v>2903.4975250965299</v>
      </c>
    </row>
    <row r="120" spans="1:3" x14ac:dyDescent="0.3">
      <c r="A120">
        <v>1000227</v>
      </c>
      <c r="B120" t="s">
        <v>119</v>
      </c>
      <c r="C120" s="12">
        <v>2638.39618922306</v>
      </c>
    </row>
    <row r="121" spans="1:3" x14ac:dyDescent="0.3">
      <c r="A121">
        <v>1000228</v>
      </c>
      <c r="B121" t="s">
        <v>120</v>
      </c>
      <c r="C121" s="12">
        <v>360.73680000000002</v>
      </c>
    </row>
    <row r="122" spans="1:3" x14ac:dyDescent="0.3">
      <c r="A122">
        <v>1000229</v>
      </c>
      <c r="B122" t="s">
        <v>121</v>
      </c>
      <c r="C122" s="12">
        <v>487.2</v>
      </c>
    </row>
    <row r="123" spans="1:3" x14ac:dyDescent="0.3">
      <c r="A123">
        <v>1000230</v>
      </c>
      <c r="B123" t="s">
        <v>122</v>
      </c>
      <c r="C123" s="12">
        <v>487.2</v>
      </c>
    </row>
    <row r="124" spans="1:3" x14ac:dyDescent="0.3">
      <c r="A124">
        <v>1000231</v>
      </c>
      <c r="B124" t="s">
        <v>123</v>
      </c>
      <c r="C124" s="12">
        <v>487.2</v>
      </c>
    </row>
    <row r="125" spans="1:3" x14ac:dyDescent="0.3">
      <c r="A125">
        <v>1000232</v>
      </c>
      <c r="B125" t="s">
        <v>124</v>
      </c>
      <c r="C125" s="12">
        <v>487.2</v>
      </c>
    </row>
    <row r="126" spans="1:3" x14ac:dyDescent="0.3">
      <c r="A126">
        <v>1000233</v>
      </c>
      <c r="B126" t="s">
        <v>125</v>
      </c>
      <c r="C126" s="12">
        <v>487.2</v>
      </c>
    </row>
    <row r="127" spans="1:3" x14ac:dyDescent="0.3">
      <c r="A127">
        <v>1000234</v>
      </c>
      <c r="B127" t="s">
        <v>126</v>
      </c>
      <c r="C127" s="12">
        <v>504.6</v>
      </c>
    </row>
    <row r="128" spans="1:3" x14ac:dyDescent="0.3">
      <c r="A128">
        <v>1000235</v>
      </c>
      <c r="B128" t="s">
        <v>127</v>
      </c>
      <c r="C128" s="12">
        <v>493.25217391304301</v>
      </c>
    </row>
    <row r="129" spans="1:3" x14ac:dyDescent="0.3">
      <c r="A129">
        <v>1000236</v>
      </c>
      <c r="B129" t="s">
        <v>128</v>
      </c>
      <c r="C129" s="12">
        <v>504.34903846153799</v>
      </c>
    </row>
    <row r="130" spans="1:3" x14ac:dyDescent="0.3">
      <c r="A130">
        <v>1000237</v>
      </c>
      <c r="B130" t="s">
        <v>129</v>
      </c>
      <c r="C130" s="12">
        <v>469.8</v>
      </c>
    </row>
    <row r="131" spans="1:3" x14ac:dyDescent="0.3">
      <c r="A131">
        <v>1000238</v>
      </c>
      <c r="B131" t="s">
        <v>130</v>
      </c>
      <c r="C131" s="12">
        <v>460.01249999999999</v>
      </c>
    </row>
    <row r="132" spans="1:3" x14ac:dyDescent="0.3">
      <c r="A132">
        <v>1000239</v>
      </c>
      <c r="B132" t="s">
        <v>131</v>
      </c>
      <c r="C132" s="12">
        <v>481.4</v>
      </c>
    </row>
    <row r="133" spans="1:3" x14ac:dyDescent="0.3">
      <c r="A133">
        <v>1000240</v>
      </c>
      <c r="B133" t="s">
        <v>132</v>
      </c>
      <c r="C133" s="12">
        <v>481.4</v>
      </c>
    </row>
    <row r="134" spans="1:3" x14ac:dyDescent="0.3">
      <c r="A134">
        <v>1000241</v>
      </c>
      <c r="B134" t="s">
        <v>133</v>
      </c>
      <c r="C134" s="12">
        <v>481.4</v>
      </c>
    </row>
    <row r="135" spans="1:3" x14ac:dyDescent="0.3">
      <c r="A135">
        <v>1000242</v>
      </c>
      <c r="B135" t="s">
        <v>134</v>
      </c>
      <c r="C135" s="12">
        <v>481.4</v>
      </c>
    </row>
    <row r="136" spans="1:3" x14ac:dyDescent="0.3">
      <c r="A136">
        <v>1000243</v>
      </c>
      <c r="B136" t="s">
        <v>135</v>
      </c>
      <c r="C136" s="12">
        <v>481.4</v>
      </c>
    </row>
    <row r="137" spans="1:3" x14ac:dyDescent="0.3">
      <c r="A137">
        <v>1000245</v>
      </c>
      <c r="B137" t="s">
        <v>136</v>
      </c>
      <c r="C137" s="12">
        <v>592.75450236966606</v>
      </c>
    </row>
    <row r="138" spans="1:3" x14ac:dyDescent="0.3">
      <c r="A138">
        <v>1000246</v>
      </c>
      <c r="B138" t="s">
        <v>137</v>
      </c>
      <c r="C138" s="12">
        <v>555.57894736842002</v>
      </c>
    </row>
    <row r="139" spans="1:3" x14ac:dyDescent="0.3">
      <c r="A139">
        <v>1000247</v>
      </c>
      <c r="B139" t="s">
        <v>138</v>
      </c>
      <c r="C139" s="12">
        <v>592.33153153153</v>
      </c>
    </row>
    <row r="140" spans="1:3" x14ac:dyDescent="0.3">
      <c r="A140">
        <v>1000248</v>
      </c>
      <c r="B140" t="s">
        <v>139</v>
      </c>
      <c r="C140" s="12">
        <v>603.19999999999902</v>
      </c>
    </row>
    <row r="141" spans="1:3" x14ac:dyDescent="0.3">
      <c r="A141">
        <v>1000249</v>
      </c>
      <c r="B141" t="s">
        <v>140</v>
      </c>
      <c r="C141" s="12">
        <v>575.90588235294103</v>
      </c>
    </row>
    <row r="142" spans="1:3" x14ac:dyDescent="0.3">
      <c r="A142">
        <v>1000255</v>
      </c>
      <c r="B142" t="s">
        <v>141</v>
      </c>
      <c r="C142" s="12">
        <v>527.15503903904198</v>
      </c>
    </row>
    <row r="143" spans="1:3" x14ac:dyDescent="0.3">
      <c r="A143">
        <v>1000256</v>
      </c>
      <c r="B143" t="s">
        <v>142</v>
      </c>
      <c r="C143" s="12">
        <v>489.78862348702398</v>
      </c>
    </row>
    <row r="144" spans="1:3" x14ac:dyDescent="0.3">
      <c r="A144">
        <v>1000257</v>
      </c>
      <c r="B144" t="s">
        <v>143</v>
      </c>
      <c r="C144" s="12">
        <v>453.70502459615801</v>
      </c>
    </row>
    <row r="145" spans="1:3" x14ac:dyDescent="0.3">
      <c r="A145">
        <v>1000258</v>
      </c>
      <c r="B145" t="s">
        <v>144</v>
      </c>
      <c r="C145" s="12">
        <v>469.74334142533502</v>
      </c>
    </row>
    <row r="146" spans="1:3" x14ac:dyDescent="0.3">
      <c r="A146">
        <v>1000259</v>
      </c>
      <c r="B146" t="s">
        <v>145</v>
      </c>
      <c r="C146" s="12">
        <v>394.33435774534098</v>
      </c>
    </row>
    <row r="147" spans="1:3" x14ac:dyDescent="0.3">
      <c r="A147">
        <v>1000260</v>
      </c>
      <c r="B147" t="s">
        <v>146</v>
      </c>
      <c r="C147" s="12">
        <v>351.68941179737197</v>
      </c>
    </row>
    <row r="148" spans="1:3" x14ac:dyDescent="0.3">
      <c r="A148">
        <v>1000262</v>
      </c>
      <c r="B148" t="s">
        <v>147</v>
      </c>
      <c r="C148" s="12">
        <v>497.20193487190198</v>
      </c>
    </row>
    <row r="149" spans="1:3" x14ac:dyDescent="0.3">
      <c r="A149">
        <v>1000263</v>
      </c>
      <c r="B149" t="s">
        <v>148</v>
      </c>
      <c r="C149" s="12">
        <v>493.56368306878301</v>
      </c>
    </row>
    <row r="150" spans="1:3" x14ac:dyDescent="0.3">
      <c r="A150">
        <v>1000264</v>
      </c>
      <c r="B150" t="s">
        <v>149</v>
      </c>
      <c r="C150" s="12">
        <v>451.24</v>
      </c>
    </row>
    <row r="151" spans="1:3" x14ac:dyDescent="0.3">
      <c r="A151">
        <v>1000265</v>
      </c>
      <c r="B151" t="s">
        <v>150</v>
      </c>
      <c r="C151" s="12">
        <v>1248.1071666666701</v>
      </c>
    </row>
    <row r="152" spans="1:3" x14ac:dyDescent="0.3">
      <c r="A152">
        <v>1000266</v>
      </c>
      <c r="B152" t="s">
        <v>151</v>
      </c>
      <c r="C152" s="12">
        <v>486.28560036891201</v>
      </c>
    </row>
    <row r="153" spans="1:3" x14ac:dyDescent="0.3">
      <c r="A153">
        <v>1000267</v>
      </c>
      <c r="B153" t="s">
        <v>152</v>
      </c>
      <c r="C153" s="12">
        <v>439.75440467842736</v>
      </c>
    </row>
    <row r="154" spans="1:3" x14ac:dyDescent="0.3">
      <c r="A154">
        <v>1000269</v>
      </c>
      <c r="B154" t="s">
        <v>153</v>
      </c>
      <c r="C154" s="12">
        <v>363.599285714286</v>
      </c>
    </row>
    <row r="155" spans="1:3" x14ac:dyDescent="0.3">
      <c r="A155">
        <v>1000271</v>
      </c>
      <c r="B155" t="s">
        <v>154</v>
      </c>
      <c r="C155" s="12">
        <v>892.52261324515109</v>
      </c>
    </row>
    <row r="156" spans="1:3" x14ac:dyDescent="0.3">
      <c r="A156">
        <v>1000272</v>
      </c>
      <c r="B156" t="s">
        <v>155</v>
      </c>
      <c r="C156" s="12">
        <v>356.26</v>
      </c>
    </row>
    <row r="157" spans="1:3" x14ac:dyDescent="0.3">
      <c r="A157">
        <v>1000274</v>
      </c>
      <c r="B157" t="s">
        <v>156</v>
      </c>
      <c r="C157" s="12">
        <v>4710.76</v>
      </c>
    </row>
    <row r="158" spans="1:3" x14ac:dyDescent="0.3">
      <c r="A158">
        <v>1000275</v>
      </c>
      <c r="B158" t="s">
        <v>157</v>
      </c>
      <c r="C158" s="12">
        <v>3853.9549999999999</v>
      </c>
    </row>
    <row r="159" spans="1:3" x14ac:dyDescent="0.3">
      <c r="A159">
        <v>1000276</v>
      </c>
      <c r="B159" t="s">
        <v>158</v>
      </c>
      <c r="C159" s="12">
        <v>2010.9749190705099</v>
      </c>
    </row>
    <row r="160" spans="1:3" x14ac:dyDescent="0.3">
      <c r="A160">
        <v>1000277</v>
      </c>
      <c r="B160" t="s">
        <v>159</v>
      </c>
      <c r="C160" s="12">
        <v>1723</v>
      </c>
    </row>
    <row r="161" spans="1:3" x14ac:dyDescent="0.3">
      <c r="A161">
        <v>1000278</v>
      </c>
      <c r="B161" t="s">
        <v>160</v>
      </c>
      <c r="C161" s="12">
        <v>3746.5921739130399</v>
      </c>
    </row>
    <row r="162" spans="1:3" x14ac:dyDescent="0.3">
      <c r="A162">
        <v>1000279</v>
      </c>
      <c r="B162" t="s">
        <v>161</v>
      </c>
      <c r="C162" s="12">
        <v>1734.2</v>
      </c>
    </row>
    <row r="163" spans="1:3" x14ac:dyDescent="0.3">
      <c r="A163">
        <v>1000280</v>
      </c>
      <c r="B163" t="s">
        <v>162</v>
      </c>
      <c r="C163" s="12">
        <v>2545.7142857142899</v>
      </c>
    </row>
    <row r="164" spans="1:3" x14ac:dyDescent="0.3">
      <c r="A164">
        <v>1000282</v>
      </c>
      <c r="B164" t="s">
        <v>163</v>
      </c>
      <c r="C164" s="12">
        <v>350</v>
      </c>
    </row>
    <row r="165" spans="1:3" x14ac:dyDescent="0.3">
      <c r="A165">
        <v>1000286</v>
      </c>
      <c r="B165" t="s">
        <v>164</v>
      </c>
      <c r="C165" s="12">
        <v>1276</v>
      </c>
    </row>
    <row r="166" spans="1:3" x14ac:dyDescent="0.3">
      <c r="A166">
        <v>1000288</v>
      </c>
      <c r="B166" t="s">
        <v>165</v>
      </c>
      <c r="C166" s="12">
        <v>2320</v>
      </c>
    </row>
    <row r="167" spans="1:3" x14ac:dyDescent="0.3">
      <c r="A167">
        <v>1000289</v>
      </c>
      <c r="B167" t="s">
        <v>166</v>
      </c>
      <c r="C167" s="12">
        <v>17205</v>
      </c>
    </row>
    <row r="168" spans="1:3" x14ac:dyDescent="0.3">
      <c r="A168">
        <v>1000291</v>
      </c>
      <c r="B168" t="s">
        <v>167</v>
      </c>
      <c r="C168" s="12">
        <v>3224</v>
      </c>
    </row>
    <row r="169" spans="1:3" x14ac:dyDescent="0.3">
      <c r="A169">
        <v>1000293</v>
      </c>
      <c r="B169" t="s">
        <v>168</v>
      </c>
      <c r="C169" s="12">
        <v>4464</v>
      </c>
    </row>
    <row r="170" spans="1:3" x14ac:dyDescent="0.3">
      <c r="A170">
        <v>1000294</v>
      </c>
      <c r="B170" t="s">
        <v>169</v>
      </c>
      <c r="C170" s="12">
        <v>7308</v>
      </c>
    </row>
    <row r="171" spans="1:3" x14ac:dyDescent="0.3">
      <c r="A171">
        <v>1000295</v>
      </c>
      <c r="B171" t="s">
        <v>170</v>
      </c>
      <c r="C171" s="12">
        <v>10451.153750000001</v>
      </c>
    </row>
    <row r="172" spans="1:3" x14ac:dyDescent="0.3">
      <c r="A172">
        <v>1000296</v>
      </c>
      <c r="B172" t="s">
        <v>171</v>
      </c>
      <c r="C172" s="12">
        <v>2830.2233333333302</v>
      </c>
    </row>
    <row r="173" spans="1:3" x14ac:dyDescent="0.3">
      <c r="A173">
        <v>1000298</v>
      </c>
      <c r="B173" t="s">
        <v>172</v>
      </c>
      <c r="C173" s="12">
        <v>12196.5714285714</v>
      </c>
    </row>
    <row r="174" spans="1:3" x14ac:dyDescent="0.3">
      <c r="A174">
        <v>1000299</v>
      </c>
      <c r="B174" t="s">
        <v>173</v>
      </c>
      <c r="C174" s="12">
        <v>4464</v>
      </c>
    </row>
    <row r="175" spans="1:3" x14ac:dyDescent="0.3">
      <c r="A175">
        <v>1000300</v>
      </c>
      <c r="B175" t="s">
        <v>174</v>
      </c>
      <c r="C175" s="12">
        <v>664.64516129032245</v>
      </c>
    </row>
    <row r="176" spans="1:3" x14ac:dyDescent="0.3">
      <c r="A176">
        <v>1000303</v>
      </c>
      <c r="B176" t="s">
        <v>175</v>
      </c>
      <c r="C176" s="12">
        <v>118.380675294002</v>
      </c>
    </row>
    <row r="177" spans="1:3" x14ac:dyDescent="0.3">
      <c r="A177">
        <v>1000304</v>
      </c>
      <c r="B177" t="s">
        <v>176</v>
      </c>
      <c r="C177" s="12">
        <v>190.32352941176501</v>
      </c>
    </row>
    <row r="178" spans="1:3" x14ac:dyDescent="0.3">
      <c r="A178">
        <v>1000308</v>
      </c>
      <c r="B178" t="s">
        <v>177</v>
      </c>
      <c r="C178" s="12">
        <v>1453.73</v>
      </c>
    </row>
    <row r="179" spans="1:3" x14ac:dyDescent="0.3">
      <c r="A179">
        <v>1000312</v>
      </c>
      <c r="B179" t="s">
        <v>178</v>
      </c>
      <c r="C179" s="12">
        <v>4243.57</v>
      </c>
    </row>
    <row r="180" spans="1:3" x14ac:dyDescent="0.3">
      <c r="A180">
        <v>1000313</v>
      </c>
      <c r="B180" t="s">
        <v>179</v>
      </c>
      <c r="C180" s="12">
        <v>4828.9250000000002</v>
      </c>
    </row>
    <row r="181" spans="1:3" x14ac:dyDescent="0.3">
      <c r="A181">
        <v>1000319</v>
      </c>
      <c r="B181" t="s">
        <v>180</v>
      </c>
      <c r="C181" s="12">
        <v>3306.8954046259701</v>
      </c>
    </row>
    <row r="182" spans="1:3" x14ac:dyDescent="0.3">
      <c r="A182">
        <v>1000320</v>
      </c>
      <c r="B182" t="s">
        <v>181</v>
      </c>
      <c r="C182" s="12">
        <v>3274.1039794527201</v>
      </c>
    </row>
    <row r="183" spans="1:3" x14ac:dyDescent="0.3">
      <c r="A183">
        <v>1000321</v>
      </c>
      <c r="B183" t="s">
        <v>182</v>
      </c>
      <c r="C183" s="12">
        <v>3435.0194372365499</v>
      </c>
    </row>
    <row r="184" spans="1:3" x14ac:dyDescent="0.3">
      <c r="A184">
        <v>1000322</v>
      </c>
      <c r="B184" t="s">
        <v>183</v>
      </c>
      <c r="C184" s="12">
        <v>3730.0773782051301</v>
      </c>
    </row>
    <row r="185" spans="1:3" x14ac:dyDescent="0.3">
      <c r="A185">
        <v>1000323</v>
      </c>
      <c r="B185" t="s">
        <v>184</v>
      </c>
      <c r="C185" s="12">
        <v>6599.97615703474</v>
      </c>
    </row>
    <row r="186" spans="1:3" x14ac:dyDescent="0.3">
      <c r="A186">
        <v>1000324</v>
      </c>
      <c r="B186" t="s">
        <v>185</v>
      </c>
      <c r="C186" s="12">
        <v>6179.8838093779405</v>
      </c>
    </row>
    <row r="187" spans="1:3" x14ac:dyDescent="0.3">
      <c r="A187">
        <v>1000325</v>
      </c>
      <c r="B187" t="s">
        <v>186</v>
      </c>
      <c r="C187" s="12">
        <v>7240.3239891987396</v>
      </c>
    </row>
    <row r="188" spans="1:3" x14ac:dyDescent="0.3">
      <c r="A188">
        <v>1000326</v>
      </c>
      <c r="B188" t="s">
        <v>187</v>
      </c>
      <c r="C188" s="12">
        <v>3366.9109742574301</v>
      </c>
    </row>
    <row r="189" spans="1:3" x14ac:dyDescent="0.3">
      <c r="A189">
        <v>1000328</v>
      </c>
      <c r="B189" t="s">
        <v>188</v>
      </c>
      <c r="C189" s="12">
        <v>1061.597691935119</v>
      </c>
    </row>
    <row r="190" spans="1:3" x14ac:dyDescent="0.3">
      <c r="A190">
        <v>1000330</v>
      </c>
      <c r="B190" t="s">
        <v>189</v>
      </c>
      <c r="C190" s="12">
        <v>246.13400190229501</v>
      </c>
    </row>
    <row r="191" spans="1:3" x14ac:dyDescent="0.3">
      <c r="A191">
        <v>1000331</v>
      </c>
      <c r="B191" t="s">
        <v>190</v>
      </c>
      <c r="C191" s="12">
        <v>189.18222244898001</v>
      </c>
    </row>
    <row r="192" spans="1:3" x14ac:dyDescent="0.3">
      <c r="A192">
        <v>1000332</v>
      </c>
      <c r="B192" t="s">
        <v>191</v>
      </c>
      <c r="C192" s="12">
        <v>189.184047463768</v>
      </c>
    </row>
    <row r="193" spans="1:3" x14ac:dyDescent="0.3">
      <c r="A193">
        <v>1000334</v>
      </c>
      <c r="B193" t="s">
        <v>192</v>
      </c>
      <c r="C193" s="12">
        <v>82.231195281540394</v>
      </c>
    </row>
    <row r="194" spans="1:3" x14ac:dyDescent="0.3">
      <c r="A194">
        <v>1000335</v>
      </c>
      <c r="B194" t="s">
        <v>193</v>
      </c>
      <c r="C194" s="12">
        <v>1383.442679162315</v>
      </c>
    </row>
    <row r="195" spans="1:3" x14ac:dyDescent="0.3">
      <c r="A195">
        <v>1000339</v>
      </c>
      <c r="B195" t="s">
        <v>194</v>
      </c>
      <c r="C195" s="12">
        <v>116.19319237375301</v>
      </c>
    </row>
    <row r="196" spans="1:3" x14ac:dyDescent="0.3">
      <c r="A196">
        <v>1000340</v>
      </c>
      <c r="B196" t="s">
        <v>195</v>
      </c>
      <c r="C196" s="12">
        <v>132.41989485699401</v>
      </c>
    </row>
    <row r="197" spans="1:3" x14ac:dyDescent="0.3">
      <c r="A197">
        <v>1000343</v>
      </c>
      <c r="B197" t="s">
        <v>196</v>
      </c>
      <c r="C197" s="12">
        <v>1345.6</v>
      </c>
    </row>
    <row r="198" spans="1:3" x14ac:dyDescent="0.3">
      <c r="A198">
        <v>1000345</v>
      </c>
      <c r="B198" t="s">
        <v>197</v>
      </c>
      <c r="C198" s="12">
        <v>352.84615471930903</v>
      </c>
    </row>
    <row r="199" spans="1:3" x14ac:dyDescent="0.3">
      <c r="A199">
        <v>1000347</v>
      </c>
      <c r="B199" t="s">
        <v>198</v>
      </c>
      <c r="C199" s="12">
        <v>1696.3900917431192</v>
      </c>
    </row>
    <row r="200" spans="1:3" x14ac:dyDescent="0.3">
      <c r="A200">
        <v>1000349</v>
      </c>
      <c r="B200" t="s">
        <v>199</v>
      </c>
      <c r="C200" s="12">
        <v>2366.2886714975848</v>
      </c>
    </row>
    <row r="201" spans="1:3" x14ac:dyDescent="0.3">
      <c r="A201">
        <v>1000351</v>
      </c>
      <c r="B201" t="s">
        <v>200</v>
      </c>
      <c r="C201" s="12">
        <v>604.98461538461504</v>
      </c>
    </row>
    <row r="202" spans="1:3" x14ac:dyDescent="0.3">
      <c r="A202">
        <v>1000352</v>
      </c>
      <c r="B202" t="s">
        <v>201</v>
      </c>
      <c r="C202" s="12">
        <v>626.4</v>
      </c>
    </row>
    <row r="203" spans="1:3" x14ac:dyDescent="0.3">
      <c r="A203">
        <v>1000353</v>
      </c>
      <c r="B203" t="s">
        <v>202</v>
      </c>
      <c r="C203" s="12">
        <v>621.63134549689505</v>
      </c>
    </row>
    <row r="204" spans="1:3" x14ac:dyDescent="0.3">
      <c r="A204">
        <v>1000354</v>
      </c>
      <c r="B204" t="s">
        <v>203</v>
      </c>
      <c r="C204" s="12">
        <v>626.400000000001</v>
      </c>
    </row>
    <row r="205" spans="1:3" x14ac:dyDescent="0.3">
      <c r="A205">
        <v>1000355</v>
      </c>
      <c r="B205" t="s">
        <v>204</v>
      </c>
      <c r="C205" s="12">
        <v>626.39999999999895</v>
      </c>
    </row>
    <row r="206" spans="1:3" x14ac:dyDescent="0.3">
      <c r="A206">
        <v>1000356</v>
      </c>
      <c r="B206" t="s">
        <v>205</v>
      </c>
      <c r="C206" s="12">
        <v>610.668493150686</v>
      </c>
    </row>
    <row r="207" spans="1:3" x14ac:dyDescent="0.3">
      <c r="A207">
        <v>1000357</v>
      </c>
      <c r="B207" t="s">
        <v>206</v>
      </c>
      <c r="C207" s="12">
        <v>590.875</v>
      </c>
    </row>
    <row r="208" spans="1:3" x14ac:dyDescent="0.3">
      <c r="A208">
        <v>1000358</v>
      </c>
      <c r="B208" t="s">
        <v>207</v>
      </c>
      <c r="C208" s="12">
        <v>544.93148148148202</v>
      </c>
    </row>
    <row r="209" spans="1:3" x14ac:dyDescent="0.3">
      <c r="A209">
        <v>1000359</v>
      </c>
      <c r="B209" t="s">
        <v>208</v>
      </c>
      <c r="C209" s="12">
        <v>591.6</v>
      </c>
    </row>
    <row r="210" spans="1:3" x14ac:dyDescent="0.3">
      <c r="A210">
        <v>1000360</v>
      </c>
      <c r="B210" t="s">
        <v>209</v>
      </c>
      <c r="C210" s="12">
        <v>468.135185185186</v>
      </c>
    </row>
    <row r="211" spans="1:3" x14ac:dyDescent="0.3">
      <c r="A211">
        <v>1000361</v>
      </c>
      <c r="B211" t="s">
        <v>210</v>
      </c>
      <c r="C211" s="12">
        <v>481.39999999999901</v>
      </c>
    </row>
    <row r="212" spans="1:3" x14ac:dyDescent="0.3">
      <c r="A212">
        <v>1000362</v>
      </c>
      <c r="B212" t="s">
        <v>211</v>
      </c>
      <c r="C212" s="12">
        <v>424.76470588235298</v>
      </c>
    </row>
    <row r="213" spans="1:3" x14ac:dyDescent="0.3">
      <c r="A213">
        <v>1000363</v>
      </c>
      <c r="B213" t="s">
        <v>212</v>
      </c>
      <c r="C213" s="12">
        <v>481.39999999999799</v>
      </c>
    </row>
    <row r="214" spans="1:3" x14ac:dyDescent="0.3">
      <c r="A214">
        <v>1000364</v>
      </c>
      <c r="B214" t="s">
        <v>213</v>
      </c>
      <c r="C214" s="12">
        <v>481.400000000001</v>
      </c>
    </row>
    <row r="215" spans="1:3" x14ac:dyDescent="0.3">
      <c r="A215">
        <v>1000365</v>
      </c>
      <c r="B215" t="s">
        <v>214</v>
      </c>
      <c r="C215" s="12">
        <v>481.400000000001</v>
      </c>
    </row>
    <row r="216" spans="1:3" x14ac:dyDescent="0.3">
      <c r="A216">
        <v>1000366</v>
      </c>
      <c r="B216" t="s">
        <v>215</v>
      </c>
      <c r="C216" s="12">
        <v>481.4</v>
      </c>
    </row>
    <row r="217" spans="1:3" x14ac:dyDescent="0.3">
      <c r="A217">
        <v>1000367</v>
      </c>
      <c r="B217" t="s">
        <v>216</v>
      </c>
      <c r="C217" s="12">
        <v>481.4</v>
      </c>
    </row>
    <row r="218" spans="1:3" x14ac:dyDescent="0.3">
      <c r="A218">
        <v>1000368</v>
      </c>
      <c r="B218" t="s">
        <v>217</v>
      </c>
      <c r="C218" s="12">
        <v>481.4</v>
      </c>
    </row>
    <row r="219" spans="1:3" x14ac:dyDescent="0.3">
      <c r="A219">
        <v>1000377</v>
      </c>
      <c r="B219" t="s">
        <v>218</v>
      </c>
      <c r="C219" s="12">
        <v>1059.2714513440901</v>
      </c>
    </row>
    <row r="220" spans="1:3" x14ac:dyDescent="0.3">
      <c r="A220">
        <v>1000378</v>
      </c>
      <c r="B220" t="s">
        <v>219</v>
      </c>
      <c r="C220" s="12">
        <v>985.30935420516505</v>
      </c>
    </row>
    <row r="221" spans="1:3" x14ac:dyDescent="0.3">
      <c r="A221">
        <v>1000379</v>
      </c>
      <c r="B221" t="s">
        <v>220</v>
      </c>
      <c r="C221" s="12">
        <v>582.37721212121198</v>
      </c>
    </row>
    <row r="222" spans="1:3" x14ac:dyDescent="0.3">
      <c r="A222">
        <v>1000380</v>
      </c>
      <c r="B222" t="s">
        <v>221</v>
      </c>
      <c r="C222" s="12">
        <v>1184.1075356116901</v>
      </c>
    </row>
    <row r="223" spans="1:3" x14ac:dyDescent="0.3">
      <c r="A223">
        <v>1000382</v>
      </c>
      <c r="B223" t="s">
        <v>222</v>
      </c>
      <c r="C223" s="12">
        <v>1706.6408674670422</v>
      </c>
    </row>
    <row r="224" spans="1:3" x14ac:dyDescent="0.3">
      <c r="A224">
        <v>1000383</v>
      </c>
      <c r="B224" t="s">
        <v>223</v>
      </c>
      <c r="C224" s="12">
        <v>968.93226942628905</v>
      </c>
    </row>
    <row r="225" spans="1:3" x14ac:dyDescent="0.3">
      <c r="A225">
        <v>1000388</v>
      </c>
      <c r="B225" t="s">
        <v>224</v>
      </c>
      <c r="C225" s="12">
        <v>5355.3732097455668</v>
      </c>
    </row>
    <row r="226" spans="1:3" x14ac:dyDescent="0.3">
      <c r="A226">
        <v>1000389</v>
      </c>
      <c r="B226" t="s">
        <v>225</v>
      </c>
      <c r="C226" s="12">
        <v>348.14647697618801</v>
      </c>
    </row>
    <row r="227" spans="1:3" x14ac:dyDescent="0.3">
      <c r="A227">
        <v>1000391</v>
      </c>
      <c r="B227" t="s">
        <v>226</v>
      </c>
      <c r="C227" s="12">
        <v>4122.5411316169202</v>
      </c>
    </row>
    <row r="228" spans="1:3" x14ac:dyDescent="0.3">
      <c r="A228">
        <v>1000392</v>
      </c>
      <c r="B228" t="s">
        <v>227</v>
      </c>
      <c r="C228" s="12">
        <v>3873.5675048076901</v>
      </c>
    </row>
    <row r="229" spans="1:3" x14ac:dyDescent="0.3">
      <c r="A229">
        <v>1000393</v>
      </c>
      <c r="B229" t="s">
        <v>228</v>
      </c>
      <c r="C229" s="12">
        <v>3987.0193777777799</v>
      </c>
    </row>
    <row r="230" spans="1:3" x14ac:dyDescent="0.3">
      <c r="A230">
        <v>1000394</v>
      </c>
      <c r="B230" t="s">
        <v>229</v>
      </c>
      <c r="C230" s="12">
        <v>3941.2412454212499</v>
      </c>
    </row>
    <row r="231" spans="1:3" x14ac:dyDescent="0.3">
      <c r="A231">
        <v>1000395</v>
      </c>
      <c r="B231" t="s">
        <v>230</v>
      </c>
      <c r="C231" s="12">
        <v>3865.01166666667</v>
      </c>
    </row>
    <row r="232" spans="1:3" x14ac:dyDescent="0.3">
      <c r="A232">
        <v>1000396</v>
      </c>
      <c r="B232" t="s">
        <v>231</v>
      </c>
      <c r="C232" s="12">
        <v>4119.0836363636399</v>
      </c>
    </row>
    <row r="233" spans="1:3" x14ac:dyDescent="0.3">
      <c r="A233">
        <v>1000397</v>
      </c>
      <c r="B233" t="s">
        <v>232</v>
      </c>
      <c r="C233" s="12">
        <v>4160.6660507246297</v>
      </c>
    </row>
    <row r="234" spans="1:3" x14ac:dyDescent="0.3">
      <c r="A234">
        <v>1000398</v>
      </c>
      <c r="B234" t="s">
        <v>233</v>
      </c>
      <c r="C234" s="12">
        <v>4163.3921139971098</v>
      </c>
    </row>
    <row r="235" spans="1:3" x14ac:dyDescent="0.3">
      <c r="A235">
        <v>1000399</v>
      </c>
      <c r="B235" t="s">
        <v>234</v>
      </c>
      <c r="C235" s="12">
        <v>3929.8493255649701</v>
      </c>
    </row>
    <row r="236" spans="1:3" x14ac:dyDescent="0.3">
      <c r="A236">
        <v>1000400</v>
      </c>
      <c r="B236" t="s">
        <v>235</v>
      </c>
      <c r="C236" s="12">
        <v>4038.8831111111099</v>
      </c>
    </row>
    <row r="237" spans="1:3" x14ac:dyDescent="0.3">
      <c r="A237">
        <v>1000401</v>
      </c>
      <c r="B237" t="s">
        <v>236</v>
      </c>
      <c r="C237" s="12">
        <v>3844.19545532245</v>
      </c>
    </row>
    <row r="238" spans="1:3" x14ac:dyDescent="0.3">
      <c r="A238">
        <v>1000402</v>
      </c>
      <c r="B238" t="s">
        <v>237</v>
      </c>
      <c r="C238" s="12">
        <v>3764.5716197377501</v>
      </c>
    </row>
    <row r="239" spans="1:3" x14ac:dyDescent="0.3">
      <c r="A239">
        <v>1000403</v>
      </c>
      <c r="B239" t="s">
        <v>238</v>
      </c>
      <c r="C239" s="12">
        <v>64.900000000000006</v>
      </c>
    </row>
    <row r="240" spans="1:3" x14ac:dyDescent="0.3">
      <c r="A240">
        <v>1000405</v>
      </c>
      <c r="B240" t="s">
        <v>239</v>
      </c>
      <c r="C240" s="12">
        <v>129.53370493991989</v>
      </c>
    </row>
    <row r="241" spans="1:3" x14ac:dyDescent="0.3">
      <c r="A241">
        <v>1000406</v>
      </c>
      <c r="B241" t="s">
        <v>240</v>
      </c>
      <c r="C241" s="12">
        <v>368.8</v>
      </c>
    </row>
    <row r="242" spans="1:3" x14ac:dyDescent="0.3">
      <c r="A242">
        <v>1000408</v>
      </c>
      <c r="B242" t="s">
        <v>241</v>
      </c>
      <c r="C242" s="12">
        <v>1239.4785147480711</v>
      </c>
    </row>
    <row r="243" spans="1:3" x14ac:dyDescent="0.3">
      <c r="A243">
        <v>1000409</v>
      </c>
      <c r="B243" t="s">
        <v>242</v>
      </c>
      <c r="C243" s="12">
        <v>188.59746666666666</v>
      </c>
    </row>
    <row r="244" spans="1:3" x14ac:dyDescent="0.3">
      <c r="A244">
        <v>1000410</v>
      </c>
      <c r="B244" t="s">
        <v>243</v>
      </c>
      <c r="C244" s="12">
        <v>283.59141454904989</v>
      </c>
    </row>
    <row r="245" spans="1:3" x14ac:dyDescent="0.3">
      <c r="A245">
        <v>1000411</v>
      </c>
      <c r="B245" t="s">
        <v>244</v>
      </c>
      <c r="C245" s="12">
        <v>466.35083898610753</v>
      </c>
    </row>
    <row r="246" spans="1:3" x14ac:dyDescent="0.3">
      <c r="A246">
        <v>1000412</v>
      </c>
      <c r="B246" t="s">
        <v>245</v>
      </c>
      <c r="C246" s="12">
        <v>2106.1637948717898</v>
      </c>
    </row>
    <row r="247" spans="1:3" x14ac:dyDescent="0.3">
      <c r="A247">
        <v>1000413</v>
      </c>
      <c r="B247" t="s">
        <v>246</v>
      </c>
      <c r="C247" s="12">
        <v>1439.0190887725623</v>
      </c>
    </row>
    <row r="248" spans="1:3" x14ac:dyDescent="0.3">
      <c r="A248">
        <v>1000415</v>
      </c>
      <c r="B248" t="s">
        <v>247</v>
      </c>
      <c r="C248" s="12">
        <v>6993.9246569280103</v>
      </c>
    </row>
    <row r="249" spans="1:3" x14ac:dyDescent="0.3">
      <c r="A249">
        <v>1000419</v>
      </c>
      <c r="B249" t="s">
        <v>248</v>
      </c>
      <c r="C249" s="12">
        <v>214.6</v>
      </c>
    </row>
    <row r="250" spans="1:3" x14ac:dyDescent="0.3">
      <c r="A250">
        <v>1000420</v>
      </c>
      <c r="B250" t="s">
        <v>249</v>
      </c>
      <c r="C250" s="12">
        <v>303.24693393473598</v>
      </c>
    </row>
    <row r="251" spans="1:3" x14ac:dyDescent="0.3">
      <c r="A251">
        <v>1000422</v>
      </c>
      <c r="B251" t="s">
        <v>250</v>
      </c>
      <c r="C251" s="12">
        <v>13.845161290322601</v>
      </c>
    </row>
    <row r="252" spans="1:3" x14ac:dyDescent="0.3">
      <c r="A252">
        <v>1000423</v>
      </c>
      <c r="B252" t="s">
        <v>251</v>
      </c>
      <c r="C252" s="12">
        <v>285.21477679629101</v>
      </c>
    </row>
    <row r="253" spans="1:3" x14ac:dyDescent="0.3">
      <c r="A253">
        <v>1000424</v>
      </c>
      <c r="B253" t="s">
        <v>252</v>
      </c>
      <c r="C253" s="12">
        <v>28208.934644021701</v>
      </c>
    </row>
    <row r="254" spans="1:3" x14ac:dyDescent="0.3">
      <c r="A254">
        <v>1000429</v>
      </c>
      <c r="B254" t="s">
        <v>253</v>
      </c>
      <c r="C254" s="12">
        <v>20412.958618421053</v>
      </c>
    </row>
    <row r="255" spans="1:3" x14ac:dyDescent="0.3">
      <c r="A255">
        <v>1000430</v>
      </c>
      <c r="B255" t="s">
        <v>254</v>
      </c>
      <c r="C255" s="12">
        <v>7670</v>
      </c>
    </row>
    <row r="256" spans="1:3" x14ac:dyDescent="0.3">
      <c r="A256">
        <v>1000432</v>
      </c>
      <c r="B256" t="s">
        <v>255</v>
      </c>
      <c r="C256" s="12">
        <v>3530.8173642476067</v>
      </c>
    </row>
    <row r="257" spans="1:3" x14ac:dyDescent="0.3">
      <c r="A257">
        <v>1000433</v>
      </c>
      <c r="B257" t="s">
        <v>256</v>
      </c>
      <c r="C257" s="12">
        <v>4762.2087191254104</v>
      </c>
    </row>
    <row r="258" spans="1:3" x14ac:dyDescent="0.3">
      <c r="A258">
        <v>1000434</v>
      </c>
      <c r="B258" t="s">
        <v>257</v>
      </c>
      <c r="C258" s="12">
        <v>6398.8016137094901</v>
      </c>
    </row>
    <row r="259" spans="1:3" x14ac:dyDescent="0.3">
      <c r="A259">
        <v>1000436</v>
      </c>
      <c r="B259" t="s">
        <v>258</v>
      </c>
      <c r="C259" s="12">
        <v>22945.02375</v>
      </c>
    </row>
    <row r="260" spans="1:3" x14ac:dyDescent="0.3">
      <c r="A260">
        <v>1000437</v>
      </c>
      <c r="B260" t="s">
        <v>259</v>
      </c>
      <c r="C260" s="12">
        <v>29975.784242424201</v>
      </c>
    </row>
    <row r="261" spans="1:3" x14ac:dyDescent="0.3">
      <c r="A261">
        <v>1000438</v>
      </c>
      <c r="B261" t="s">
        <v>260</v>
      </c>
      <c r="C261" s="12">
        <v>10998.31</v>
      </c>
    </row>
    <row r="262" spans="1:3" x14ac:dyDescent="0.3">
      <c r="A262">
        <v>1000439</v>
      </c>
      <c r="B262" t="s">
        <v>261</v>
      </c>
      <c r="C262" s="12">
        <v>69934.214583333334</v>
      </c>
    </row>
    <row r="263" spans="1:3" x14ac:dyDescent="0.3">
      <c r="A263">
        <v>1000440</v>
      </c>
      <c r="B263" t="s">
        <v>262</v>
      </c>
      <c r="C263" s="12">
        <v>37462.132866666667</v>
      </c>
    </row>
    <row r="264" spans="1:3" x14ac:dyDescent="0.3">
      <c r="A264">
        <v>1000443</v>
      </c>
      <c r="B264" t="s">
        <v>263</v>
      </c>
      <c r="C264" s="12">
        <v>24271.132967032965</v>
      </c>
    </row>
    <row r="265" spans="1:3" x14ac:dyDescent="0.3">
      <c r="A265">
        <v>1000444</v>
      </c>
      <c r="B265" t="s">
        <v>264</v>
      </c>
      <c r="C265" s="12">
        <v>16885.933687789351</v>
      </c>
    </row>
    <row r="266" spans="1:3" x14ac:dyDescent="0.3">
      <c r="A266">
        <v>1000446</v>
      </c>
      <c r="B266" t="s">
        <v>265</v>
      </c>
      <c r="C266" s="12">
        <v>814.58561590608497</v>
      </c>
    </row>
    <row r="267" spans="1:3" x14ac:dyDescent="0.3">
      <c r="A267">
        <v>1000447</v>
      </c>
      <c r="B267" t="s">
        <v>266</v>
      </c>
      <c r="C267" s="12">
        <v>82.6</v>
      </c>
    </row>
    <row r="268" spans="1:3" x14ac:dyDescent="0.3">
      <c r="A268">
        <v>1000448</v>
      </c>
      <c r="B268" t="s">
        <v>267</v>
      </c>
      <c r="C268" s="12">
        <v>0</v>
      </c>
    </row>
    <row r="269" spans="1:3" x14ac:dyDescent="0.3">
      <c r="A269">
        <v>1000457</v>
      </c>
      <c r="B269" t="s">
        <v>268</v>
      </c>
      <c r="C269" s="12">
        <v>0</v>
      </c>
    </row>
    <row r="270" spans="1:3" x14ac:dyDescent="0.3">
      <c r="A270">
        <v>1000459</v>
      </c>
      <c r="B270" t="s">
        <v>269</v>
      </c>
      <c r="C270" s="12">
        <v>0</v>
      </c>
    </row>
    <row r="271" spans="1:3" x14ac:dyDescent="0.3">
      <c r="A271">
        <v>1000462</v>
      </c>
      <c r="B271" t="s">
        <v>270</v>
      </c>
      <c r="C271" s="12">
        <v>5415.2982259955397</v>
      </c>
    </row>
    <row r="272" spans="1:3" x14ac:dyDescent="0.3">
      <c r="A272">
        <v>1000463</v>
      </c>
      <c r="B272" t="s">
        <v>271</v>
      </c>
      <c r="C272" s="12">
        <v>3480</v>
      </c>
    </row>
    <row r="273" spans="1:3" x14ac:dyDescent="0.3">
      <c r="A273">
        <v>1000464</v>
      </c>
      <c r="B273" t="s">
        <v>272</v>
      </c>
      <c r="C273" s="12">
        <v>4215.4087052716504</v>
      </c>
    </row>
    <row r="274" spans="1:3" x14ac:dyDescent="0.3">
      <c r="A274">
        <v>1000465</v>
      </c>
      <c r="B274" t="s">
        <v>273</v>
      </c>
      <c r="C274" s="12">
        <v>2842.8178269779046</v>
      </c>
    </row>
    <row r="275" spans="1:3" x14ac:dyDescent="0.3">
      <c r="A275">
        <v>1000467</v>
      </c>
      <c r="B275" t="s">
        <v>274</v>
      </c>
      <c r="C275" s="12">
        <v>70.180000000000007</v>
      </c>
    </row>
    <row r="276" spans="1:3" x14ac:dyDescent="0.3">
      <c r="A276">
        <v>1000470</v>
      </c>
      <c r="B276" t="s">
        <v>275</v>
      </c>
      <c r="C276" s="12">
        <v>2475.3094050599047</v>
      </c>
    </row>
    <row r="277" spans="1:3" x14ac:dyDescent="0.3">
      <c r="A277">
        <v>1000476</v>
      </c>
      <c r="B277" t="s">
        <v>276</v>
      </c>
      <c r="C277" s="12">
        <v>4857.5640000000003</v>
      </c>
    </row>
    <row r="278" spans="1:3" x14ac:dyDescent="0.3">
      <c r="A278">
        <v>1000478</v>
      </c>
      <c r="B278" t="s">
        <v>277</v>
      </c>
      <c r="C278" s="12">
        <v>7572.2849999999999</v>
      </c>
    </row>
    <row r="279" spans="1:3" x14ac:dyDescent="0.3">
      <c r="A279">
        <v>1000479</v>
      </c>
      <c r="B279" t="s">
        <v>278</v>
      </c>
      <c r="C279" s="12">
        <v>8826.7099999999991</v>
      </c>
    </row>
    <row r="280" spans="1:3" x14ac:dyDescent="0.3">
      <c r="A280">
        <v>1000480</v>
      </c>
      <c r="B280" t="s">
        <v>279</v>
      </c>
      <c r="C280" s="12">
        <v>7572.2852307692301</v>
      </c>
    </row>
    <row r="281" spans="1:3" x14ac:dyDescent="0.3">
      <c r="A281">
        <v>1000484</v>
      </c>
      <c r="B281" t="s">
        <v>280</v>
      </c>
      <c r="C281" s="12">
        <v>1174.69</v>
      </c>
    </row>
    <row r="282" spans="1:3" x14ac:dyDescent="0.3">
      <c r="A282">
        <v>1000486</v>
      </c>
      <c r="B282" t="s">
        <v>281</v>
      </c>
      <c r="C282" s="12">
        <v>588.21833333333336</v>
      </c>
    </row>
    <row r="283" spans="1:3" x14ac:dyDescent="0.3">
      <c r="A283">
        <v>1000487</v>
      </c>
      <c r="B283" t="s">
        <v>282</v>
      </c>
      <c r="C283" s="12">
        <v>22529.065684210502</v>
      </c>
    </row>
    <row r="284" spans="1:3" x14ac:dyDescent="0.3">
      <c r="A284">
        <v>1000488</v>
      </c>
      <c r="B284" t="s">
        <v>283</v>
      </c>
      <c r="C284" s="12">
        <v>47.160000000000004</v>
      </c>
    </row>
    <row r="285" spans="1:3" x14ac:dyDescent="0.3">
      <c r="A285">
        <v>1000489</v>
      </c>
      <c r="B285" t="s">
        <v>284</v>
      </c>
      <c r="C285" s="12">
        <v>50</v>
      </c>
    </row>
    <row r="286" spans="1:3" x14ac:dyDescent="0.3">
      <c r="A286">
        <v>1000490</v>
      </c>
      <c r="B286" t="s">
        <v>285</v>
      </c>
      <c r="C286" s="12">
        <v>103.99458933871813</v>
      </c>
    </row>
    <row r="287" spans="1:3" x14ac:dyDescent="0.3">
      <c r="A287">
        <v>1000491</v>
      </c>
      <c r="B287" t="s">
        <v>286</v>
      </c>
      <c r="C287" s="12">
        <v>75.899224833119916</v>
      </c>
    </row>
    <row r="288" spans="1:3" x14ac:dyDescent="0.3">
      <c r="A288">
        <v>1000493</v>
      </c>
      <c r="B288" t="s">
        <v>287</v>
      </c>
      <c r="C288" s="12">
        <v>564.46059232853895</v>
      </c>
    </row>
    <row r="289" spans="1:3" x14ac:dyDescent="0.3">
      <c r="A289">
        <v>1000495</v>
      </c>
      <c r="B289" t="s">
        <v>288</v>
      </c>
      <c r="C289" s="12">
        <v>0</v>
      </c>
    </row>
    <row r="290" spans="1:3" x14ac:dyDescent="0.3">
      <c r="A290">
        <v>1000499</v>
      </c>
      <c r="B290" t="s">
        <v>289</v>
      </c>
      <c r="C290" s="12">
        <v>0</v>
      </c>
    </row>
    <row r="291" spans="1:3" x14ac:dyDescent="0.3">
      <c r="A291">
        <v>1000500</v>
      </c>
      <c r="B291" t="s">
        <v>290</v>
      </c>
      <c r="C291" s="12">
        <v>187.57003069715901</v>
      </c>
    </row>
    <row r="292" spans="1:3" x14ac:dyDescent="0.3">
      <c r="A292">
        <v>1000501</v>
      </c>
      <c r="B292" t="s">
        <v>291</v>
      </c>
      <c r="C292" s="12">
        <v>115.976666666667</v>
      </c>
    </row>
    <row r="293" spans="1:3" x14ac:dyDescent="0.3">
      <c r="A293">
        <v>1000502</v>
      </c>
      <c r="B293" t="s">
        <v>292</v>
      </c>
      <c r="C293" s="12">
        <v>1388.1439766170799</v>
      </c>
    </row>
    <row r="294" spans="1:3" x14ac:dyDescent="0.3">
      <c r="A294">
        <v>1000503</v>
      </c>
      <c r="B294" t="s">
        <v>293</v>
      </c>
      <c r="C294" s="12">
        <v>1274.3999999999999</v>
      </c>
    </row>
    <row r="295" spans="1:3" x14ac:dyDescent="0.3">
      <c r="A295">
        <v>1000504</v>
      </c>
      <c r="B295" t="s">
        <v>294</v>
      </c>
      <c r="C295" s="12">
        <v>288.77</v>
      </c>
    </row>
    <row r="296" spans="1:3" x14ac:dyDescent="0.3">
      <c r="A296">
        <v>1000505</v>
      </c>
      <c r="B296" t="s">
        <v>295</v>
      </c>
      <c r="C296" s="12">
        <v>179.8</v>
      </c>
    </row>
    <row r="297" spans="1:3" x14ac:dyDescent="0.3">
      <c r="A297">
        <v>1000508</v>
      </c>
      <c r="B297" t="s">
        <v>296</v>
      </c>
      <c r="C297" s="12">
        <v>660.80612967934428</v>
      </c>
    </row>
    <row r="298" spans="1:3" x14ac:dyDescent="0.3">
      <c r="A298">
        <v>1000509</v>
      </c>
      <c r="B298" t="s">
        <v>297</v>
      </c>
      <c r="C298" s="12">
        <v>650</v>
      </c>
    </row>
    <row r="299" spans="1:3" x14ac:dyDescent="0.3">
      <c r="A299">
        <v>1000510</v>
      </c>
      <c r="B299" t="s">
        <v>298</v>
      </c>
      <c r="C299" s="12">
        <v>367.68</v>
      </c>
    </row>
    <row r="300" spans="1:3" x14ac:dyDescent="0.3">
      <c r="A300">
        <v>1000511</v>
      </c>
      <c r="B300" t="s">
        <v>299</v>
      </c>
      <c r="C300" s="12">
        <v>862.5</v>
      </c>
    </row>
    <row r="301" spans="1:3" x14ac:dyDescent="0.3">
      <c r="A301">
        <v>1000512</v>
      </c>
      <c r="B301" t="s">
        <v>300</v>
      </c>
      <c r="C301" s="12">
        <v>230</v>
      </c>
    </row>
    <row r="302" spans="1:3" x14ac:dyDescent="0.3">
      <c r="A302">
        <v>1000513</v>
      </c>
      <c r="B302" t="s">
        <v>301</v>
      </c>
      <c r="C302" s="12">
        <v>1890</v>
      </c>
    </row>
    <row r="303" spans="1:3" x14ac:dyDescent="0.3">
      <c r="A303">
        <v>1000516</v>
      </c>
      <c r="B303" t="s">
        <v>302</v>
      </c>
      <c r="C303" s="12">
        <v>164.28571428571399</v>
      </c>
    </row>
    <row r="304" spans="1:3" x14ac:dyDescent="0.3">
      <c r="A304">
        <v>1000517</v>
      </c>
      <c r="B304" t="s">
        <v>303</v>
      </c>
      <c r="C304" s="12">
        <v>230</v>
      </c>
    </row>
    <row r="305" spans="1:3" x14ac:dyDescent="0.3">
      <c r="A305">
        <v>1000518</v>
      </c>
      <c r="B305" t="s">
        <v>304</v>
      </c>
      <c r="C305" s="12">
        <v>224</v>
      </c>
    </row>
    <row r="306" spans="1:3" x14ac:dyDescent="0.3">
      <c r="A306">
        <v>1000520</v>
      </c>
      <c r="B306" t="s">
        <v>305</v>
      </c>
      <c r="C306" s="12">
        <v>104.914285714286</v>
      </c>
    </row>
    <row r="307" spans="1:3" x14ac:dyDescent="0.3">
      <c r="A307">
        <v>1000525</v>
      </c>
      <c r="B307" t="s">
        <v>306</v>
      </c>
      <c r="C307" s="12">
        <v>121570.84</v>
      </c>
    </row>
    <row r="308" spans="1:3" x14ac:dyDescent="0.3">
      <c r="A308">
        <v>1000528</v>
      </c>
      <c r="B308" t="s">
        <v>307</v>
      </c>
      <c r="C308" s="12">
        <v>730.8</v>
      </c>
    </row>
    <row r="309" spans="1:3" x14ac:dyDescent="0.3">
      <c r="A309">
        <v>1000531</v>
      </c>
      <c r="B309" t="s">
        <v>308</v>
      </c>
      <c r="C309" s="12">
        <v>4247.3754360713701</v>
      </c>
    </row>
    <row r="310" spans="1:3" x14ac:dyDescent="0.3">
      <c r="A310">
        <v>1000533</v>
      </c>
      <c r="B310" t="s">
        <v>309</v>
      </c>
      <c r="C310" s="12">
        <v>2639.8163928692702</v>
      </c>
    </row>
    <row r="311" spans="1:3" x14ac:dyDescent="0.3">
      <c r="A311">
        <v>1000534</v>
      </c>
      <c r="B311" t="s">
        <v>310</v>
      </c>
      <c r="C311" s="12">
        <v>2859.5879382183912</v>
      </c>
    </row>
    <row r="312" spans="1:3" x14ac:dyDescent="0.3">
      <c r="A312">
        <v>1000537</v>
      </c>
      <c r="B312" t="s">
        <v>311</v>
      </c>
      <c r="C312" s="12">
        <v>2913.3758666666668</v>
      </c>
    </row>
    <row r="313" spans="1:3" x14ac:dyDescent="0.3">
      <c r="A313">
        <v>1000539</v>
      </c>
      <c r="B313" t="s">
        <v>312</v>
      </c>
      <c r="C313" s="12">
        <v>5848.2367833379667</v>
      </c>
    </row>
    <row r="314" spans="1:3" x14ac:dyDescent="0.3">
      <c r="A314">
        <v>1000542</v>
      </c>
      <c r="B314" t="s">
        <v>313</v>
      </c>
      <c r="C314" s="12">
        <v>1543.4890279471501</v>
      </c>
    </row>
    <row r="315" spans="1:3" x14ac:dyDescent="0.3">
      <c r="A315">
        <v>1000543</v>
      </c>
      <c r="B315" t="s">
        <v>314</v>
      </c>
      <c r="C315" s="12">
        <v>0</v>
      </c>
    </row>
    <row r="316" spans="1:3" x14ac:dyDescent="0.3">
      <c r="A316">
        <v>1000545</v>
      </c>
      <c r="B316" t="s">
        <v>315</v>
      </c>
      <c r="C316" s="12">
        <v>600.01791100172886</v>
      </c>
    </row>
    <row r="317" spans="1:3" x14ac:dyDescent="0.3">
      <c r="A317">
        <v>1000548</v>
      </c>
      <c r="B317" t="s">
        <v>316</v>
      </c>
      <c r="C317" s="12">
        <v>11.02</v>
      </c>
    </row>
    <row r="318" spans="1:3" x14ac:dyDescent="0.3">
      <c r="A318">
        <v>1000553</v>
      </c>
      <c r="B318" t="s">
        <v>317</v>
      </c>
      <c r="C318" s="12">
        <v>50307.94933333333</v>
      </c>
    </row>
    <row r="319" spans="1:3" x14ac:dyDescent="0.3">
      <c r="A319">
        <v>1000554</v>
      </c>
      <c r="B319" t="s">
        <v>318</v>
      </c>
      <c r="C319" s="12">
        <v>43968.251212121213</v>
      </c>
    </row>
    <row r="320" spans="1:3" x14ac:dyDescent="0.3">
      <c r="A320">
        <v>1000555</v>
      </c>
      <c r="B320" t="s">
        <v>319</v>
      </c>
      <c r="C320" s="12">
        <v>38618.899973404259</v>
      </c>
    </row>
    <row r="321" spans="1:3" x14ac:dyDescent="0.3">
      <c r="A321">
        <v>1000563</v>
      </c>
      <c r="B321" t="s">
        <v>320</v>
      </c>
      <c r="C321" s="12">
        <v>312.37200000000001</v>
      </c>
    </row>
    <row r="322" spans="1:3" x14ac:dyDescent="0.3">
      <c r="A322">
        <v>1000568</v>
      </c>
      <c r="B322" t="s">
        <v>321</v>
      </c>
      <c r="C322" s="12">
        <v>16225</v>
      </c>
    </row>
    <row r="323" spans="1:3" x14ac:dyDescent="0.3">
      <c r="A323">
        <v>1000572</v>
      </c>
      <c r="B323" t="s">
        <v>322</v>
      </c>
      <c r="C323" s="12">
        <v>3724.0145324074051</v>
      </c>
    </row>
    <row r="324" spans="1:3" x14ac:dyDescent="0.3">
      <c r="A324">
        <v>1000573</v>
      </c>
      <c r="B324" t="s">
        <v>323</v>
      </c>
      <c r="C324" s="12">
        <v>7942.2495833333296</v>
      </c>
    </row>
    <row r="325" spans="1:3" x14ac:dyDescent="0.3">
      <c r="A325">
        <v>1000574</v>
      </c>
      <c r="B325" t="s">
        <v>324</v>
      </c>
      <c r="C325" s="12">
        <v>2196.601814814815</v>
      </c>
    </row>
    <row r="326" spans="1:3" x14ac:dyDescent="0.3">
      <c r="A326">
        <v>1000578</v>
      </c>
      <c r="B326" t="s">
        <v>325</v>
      </c>
      <c r="C326" s="12">
        <v>3.2952441509270365</v>
      </c>
    </row>
    <row r="327" spans="1:3" x14ac:dyDescent="0.3">
      <c r="A327">
        <v>1000579</v>
      </c>
      <c r="B327" t="s">
        <v>326</v>
      </c>
      <c r="C327" s="12">
        <v>4.63</v>
      </c>
    </row>
    <row r="328" spans="1:3" x14ac:dyDescent="0.3">
      <c r="A328">
        <v>1000584</v>
      </c>
      <c r="B328" t="s">
        <v>327</v>
      </c>
      <c r="C328" s="12">
        <v>12582.594999999999</v>
      </c>
    </row>
    <row r="329" spans="1:3" x14ac:dyDescent="0.3">
      <c r="A329">
        <v>1000585</v>
      </c>
      <c r="B329" t="s">
        <v>328</v>
      </c>
      <c r="C329" s="12">
        <v>975.19308777198853</v>
      </c>
    </row>
    <row r="330" spans="1:3" x14ac:dyDescent="0.3">
      <c r="A330">
        <v>1000586</v>
      </c>
      <c r="B330" t="s">
        <v>329</v>
      </c>
      <c r="C330" s="12">
        <v>234.89999999999998</v>
      </c>
    </row>
    <row r="331" spans="1:3" x14ac:dyDescent="0.3">
      <c r="A331">
        <v>1000587</v>
      </c>
      <c r="B331" t="s">
        <v>330</v>
      </c>
      <c r="C331" s="12">
        <v>49.392834586466179</v>
      </c>
    </row>
    <row r="332" spans="1:3" x14ac:dyDescent="0.3">
      <c r="A332">
        <v>1000588</v>
      </c>
      <c r="B332" t="s">
        <v>331</v>
      </c>
      <c r="C332" s="12">
        <v>2014.15238898148</v>
      </c>
    </row>
    <row r="333" spans="1:3" x14ac:dyDescent="0.3">
      <c r="A333">
        <v>1000595</v>
      </c>
      <c r="B333" t="s">
        <v>332</v>
      </c>
      <c r="C333" s="12">
        <v>3817.5727272727299</v>
      </c>
    </row>
    <row r="334" spans="1:3" x14ac:dyDescent="0.3">
      <c r="A334">
        <v>1000602</v>
      </c>
      <c r="B334" t="s">
        <v>333</v>
      </c>
      <c r="C334" s="12">
        <v>4370.28</v>
      </c>
    </row>
    <row r="335" spans="1:3" x14ac:dyDescent="0.3">
      <c r="A335">
        <v>1000609</v>
      </c>
      <c r="B335" t="s">
        <v>334</v>
      </c>
      <c r="C335" s="12">
        <v>2565.5380425993999</v>
      </c>
    </row>
    <row r="336" spans="1:3" x14ac:dyDescent="0.3">
      <c r="A336">
        <v>1000610</v>
      </c>
      <c r="B336" t="s">
        <v>335</v>
      </c>
      <c r="C336" s="12">
        <v>2552.1930833421748</v>
      </c>
    </row>
    <row r="337" spans="1:3" x14ac:dyDescent="0.3">
      <c r="A337">
        <v>1000613</v>
      </c>
      <c r="B337" t="s">
        <v>336</v>
      </c>
      <c r="C337" s="12">
        <v>5082.7552338409168</v>
      </c>
    </row>
    <row r="338" spans="1:3" x14ac:dyDescent="0.3">
      <c r="A338">
        <v>1000614</v>
      </c>
      <c r="B338" t="s">
        <v>337</v>
      </c>
      <c r="C338" s="12">
        <v>6398.79</v>
      </c>
    </row>
    <row r="339" spans="1:3" x14ac:dyDescent="0.3">
      <c r="A339">
        <v>1000618</v>
      </c>
      <c r="B339" t="s">
        <v>338</v>
      </c>
      <c r="C339" s="12">
        <v>1796.5725</v>
      </c>
    </row>
    <row r="340" spans="1:3" x14ac:dyDescent="0.3">
      <c r="A340">
        <v>1000627</v>
      </c>
      <c r="B340" t="s">
        <v>339</v>
      </c>
      <c r="C340" s="12">
        <v>8476.2417698412701</v>
      </c>
    </row>
    <row r="341" spans="1:3" x14ac:dyDescent="0.3">
      <c r="A341">
        <v>1000628</v>
      </c>
      <c r="B341" t="s">
        <v>340</v>
      </c>
      <c r="C341" s="12">
        <v>4626.5252930194802</v>
      </c>
    </row>
    <row r="342" spans="1:3" x14ac:dyDescent="0.3">
      <c r="A342">
        <v>1000631</v>
      </c>
      <c r="B342" t="s">
        <v>341</v>
      </c>
      <c r="C342" s="12">
        <v>9896.7382619047603</v>
      </c>
    </row>
    <row r="343" spans="1:3" x14ac:dyDescent="0.3">
      <c r="A343">
        <v>1000632</v>
      </c>
      <c r="B343" t="s">
        <v>342</v>
      </c>
      <c r="C343" s="12">
        <v>10607.318962584999</v>
      </c>
    </row>
    <row r="344" spans="1:3" x14ac:dyDescent="0.3">
      <c r="A344">
        <v>1000634</v>
      </c>
      <c r="B344" t="s">
        <v>343</v>
      </c>
      <c r="C344" s="12">
        <v>10979.7045969388</v>
      </c>
    </row>
    <row r="345" spans="1:3" x14ac:dyDescent="0.3">
      <c r="A345">
        <v>1000635</v>
      </c>
      <c r="B345" t="s">
        <v>344</v>
      </c>
      <c r="C345" s="12">
        <v>4443.8647849702402</v>
      </c>
    </row>
    <row r="346" spans="1:3" x14ac:dyDescent="0.3">
      <c r="A346">
        <v>1000637</v>
      </c>
      <c r="B346" t="s">
        <v>345</v>
      </c>
      <c r="C346" s="12">
        <v>7123.5461590476198</v>
      </c>
    </row>
    <row r="347" spans="1:3" x14ac:dyDescent="0.3">
      <c r="A347">
        <v>1000639</v>
      </c>
      <c r="B347" t="s">
        <v>346</v>
      </c>
      <c r="C347" s="12">
        <v>0</v>
      </c>
    </row>
    <row r="348" spans="1:3" x14ac:dyDescent="0.3">
      <c r="A348">
        <v>1000640</v>
      </c>
      <c r="B348" t="s">
        <v>347</v>
      </c>
      <c r="C348" s="12">
        <v>0</v>
      </c>
    </row>
    <row r="349" spans="1:3" x14ac:dyDescent="0.3">
      <c r="A349">
        <v>1000641</v>
      </c>
      <c r="B349" t="s">
        <v>348</v>
      </c>
      <c r="C349" s="12">
        <v>10732.273583333301</v>
      </c>
    </row>
    <row r="350" spans="1:3" x14ac:dyDescent="0.3">
      <c r="A350">
        <v>1000645</v>
      </c>
      <c r="B350" t="s">
        <v>349</v>
      </c>
      <c r="C350" s="12">
        <v>8459.8647104700794</v>
      </c>
    </row>
    <row r="351" spans="1:3" x14ac:dyDescent="0.3">
      <c r="A351">
        <v>1000648</v>
      </c>
      <c r="B351" t="s">
        <v>350</v>
      </c>
      <c r="C351" s="12">
        <v>45.117771807838189</v>
      </c>
    </row>
    <row r="352" spans="1:3" x14ac:dyDescent="0.3">
      <c r="A352">
        <v>1000649</v>
      </c>
      <c r="B352" t="s">
        <v>351</v>
      </c>
      <c r="C352" s="12">
        <v>0</v>
      </c>
    </row>
    <row r="353" spans="1:3" x14ac:dyDescent="0.3">
      <c r="A353">
        <v>1000650</v>
      </c>
      <c r="B353" t="s">
        <v>352</v>
      </c>
      <c r="C353" s="12">
        <v>0</v>
      </c>
    </row>
    <row r="354" spans="1:3" x14ac:dyDescent="0.3">
      <c r="A354">
        <v>1000653</v>
      </c>
      <c r="B354" t="s">
        <v>353</v>
      </c>
      <c r="C354" s="12">
        <v>0</v>
      </c>
    </row>
    <row r="355" spans="1:3" x14ac:dyDescent="0.3">
      <c r="A355">
        <v>1000654</v>
      </c>
      <c r="B355" t="s">
        <v>354</v>
      </c>
      <c r="C355" s="12">
        <v>4053.64</v>
      </c>
    </row>
    <row r="356" spans="1:3" x14ac:dyDescent="0.3">
      <c r="A356">
        <v>1000655</v>
      </c>
      <c r="B356" t="s">
        <v>355</v>
      </c>
      <c r="C356" s="12">
        <v>5778.1511764705883</v>
      </c>
    </row>
    <row r="357" spans="1:3" x14ac:dyDescent="0.3">
      <c r="A357">
        <v>1000656</v>
      </c>
      <c r="B357" t="s">
        <v>356</v>
      </c>
      <c r="C357" s="12">
        <v>0</v>
      </c>
    </row>
    <row r="358" spans="1:3" x14ac:dyDescent="0.3">
      <c r="A358">
        <v>1000658</v>
      </c>
      <c r="B358" t="s">
        <v>357</v>
      </c>
      <c r="C358" s="12">
        <v>3630.13</v>
      </c>
    </row>
    <row r="359" spans="1:3" x14ac:dyDescent="0.3">
      <c r="A359">
        <v>1000660</v>
      </c>
      <c r="B359" t="s">
        <v>358</v>
      </c>
      <c r="C359" s="12">
        <v>6375.1682619047597</v>
      </c>
    </row>
    <row r="360" spans="1:3" x14ac:dyDescent="0.3">
      <c r="A360">
        <v>1000662</v>
      </c>
      <c r="B360" t="s">
        <v>359</v>
      </c>
      <c r="C360" s="12">
        <v>4370.8100000000004</v>
      </c>
    </row>
    <row r="361" spans="1:3" x14ac:dyDescent="0.3">
      <c r="A361">
        <v>1000663</v>
      </c>
      <c r="B361" t="s">
        <v>360</v>
      </c>
      <c r="C361" s="12">
        <v>0</v>
      </c>
    </row>
    <row r="362" spans="1:3" x14ac:dyDescent="0.3">
      <c r="A362">
        <v>1000664</v>
      </c>
      <c r="B362" t="s">
        <v>361</v>
      </c>
      <c r="C362" s="12">
        <v>3.1785714285714302</v>
      </c>
    </row>
    <row r="363" spans="1:3" x14ac:dyDescent="0.3">
      <c r="A363">
        <v>1000667</v>
      </c>
      <c r="B363" t="s">
        <v>362</v>
      </c>
      <c r="C363" s="12">
        <v>1409.50714285714</v>
      </c>
    </row>
    <row r="364" spans="1:3" x14ac:dyDescent="0.3">
      <c r="A364">
        <v>1000670</v>
      </c>
      <c r="B364" t="s">
        <v>363</v>
      </c>
      <c r="C364" s="12">
        <v>206.852253090565</v>
      </c>
    </row>
    <row r="365" spans="1:3" x14ac:dyDescent="0.3">
      <c r="A365">
        <v>1000671</v>
      </c>
      <c r="B365" t="s">
        <v>364</v>
      </c>
      <c r="C365" s="12">
        <v>96.403869188224405</v>
      </c>
    </row>
    <row r="366" spans="1:3" x14ac:dyDescent="0.3">
      <c r="A366">
        <v>1000672</v>
      </c>
      <c r="B366" t="s">
        <v>365</v>
      </c>
      <c r="C366" s="12">
        <v>83.133239936167854</v>
      </c>
    </row>
    <row r="367" spans="1:3" x14ac:dyDescent="0.3">
      <c r="A367">
        <v>1000673</v>
      </c>
      <c r="B367" t="s">
        <v>366</v>
      </c>
      <c r="C367" s="12">
        <v>878.57077683615819</v>
      </c>
    </row>
    <row r="368" spans="1:3" x14ac:dyDescent="0.3">
      <c r="A368">
        <v>1000674</v>
      </c>
      <c r="B368" t="s">
        <v>367</v>
      </c>
      <c r="C368" s="12">
        <v>87.553581724748796</v>
      </c>
    </row>
    <row r="369" spans="1:3" x14ac:dyDescent="0.3">
      <c r="A369">
        <v>1000675</v>
      </c>
      <c r="B369" t="s">
        <v>368</v>
      </c>
      <c r="C369" s="12">
        <v>89.43545921636175</v>
      </c>
    </row>
    <row r="370" spans="1:3" x14ac:dyDescent="0.3">
      <c r="A370">
        <v>1000676</v>
      </c>
      <c r="B370" t="s">
        <v>369</v>
      </c>
      <c r="C370" s="12">
        <v>706.52618305814622</v>
      </c>
    </row>
    <row r="371" spans="1:3" x14ac:dyDescent="0.3">
      <c r="A371">
        <v>1000677</v>
      </c>
      <c r="B371" t="s">
        <v>370</v>
      </c>
      <c r="C371" s="12">
        <v>101.28864344921153</v>
      </c>
    </row>
    <row r="372" spans="1:3" x14ac:dyDescent="0.3">
      <c r="A372">
        <v>1000678</v>
      </c>
      <c r="B372" t="s">
        <v>371</v>
      </c>
      <c r="C372" s="12">
        <v>103.3817935026477</v>
      </c>
    </row>
    <row r="373" spans="1:3" x14ac:dyDescent="0.3">
      <c r="A373">
        <v>1000679</v>
      </c>
      <c r="B373" t="s">
        <v>372</v>
      </c>
      <c r="C373" s="12">
        <v>49.979964170961999</v>
      </c>
    </row>
    <row r="374" spans="1:3" x14ac:dyDescent="0.3">
      <c r="A374">
        <v>1000680</v>
      </c>
      <c r="B374" t="s">
        <v>373</v>
      </c>
      <c r="C374" s="12">
        <v>119.41636646906824</v>
      </c>
    </row>
    <row r="375" spans="1:3" x14ac:dyDescent="0.3">
      <c r="A375">
        <v>1000681</v>
      </c>
      <c r="B375" t="s">
        <v>374</v>
      </c>
      <c r="C375" s="12">
        <v>85.173420824952444</v>
      </c>
    </row>
    <row r="376" spans="1:3" x14ac:dyDescent="0.3">
      <c r="A376">
        <v>1000682</v>
      </c>
      <c r="B376" t="s">
        <v>375</v>
      </c>
      <c r="C376" s="12">
        <v>149.74549098447901</v>
      </c>
    </row>
    <row r="377" spans="1:3" x14ac:dyDescent="0.3">
      <c r="A377">
        <v>1000683</v>
      </c>
      <c r="B377" t="s">
        <v>376</v>
      </c>
      <c r="C377" s="12">
        <v>118.62955628290086</v>
      </c>
    </row>
    <row r="378" spans="1:3" x14ac:dyDescent="0.3">
      <c r="A378">
        <v>1000684</v>
      </c>
      <c r="B378" t="s">
        <v>377</v>
      </c>
      <c r="C378" s="12">
        <v>84.774166666666645</v>
      </c>
    </row>
    <row r="379" spans="1:3" x14ac:dyDescent="0.3">
      <c r="A379">
        <v>1000685</v>
      </c>
      <c r="B379" t="s">
        <v>378</v>
      </c>
      <c r="C379" s="12">
        <v>193.30463368131052</v>
      </c>
    </row>
    <row r="380" spans="1:3" x14ac:dyDescent="0.3">
      <c r="A380">
        <v>1000686</v>
      </c>
      <c r="B380" t="s">
        <v>379</v>
      </c>
      <c r="C380" s="12">
        <v>209.94153450292396</v>
      </c>
    </row>
    <row r="381" spans="1:3" x14ac:dyDescent="0.3">
      <c r="A381">
        <v>1000687</v>
      </c>
      <c r="B381" t="s">
        <v>380</v>
      </c>
      <c r="C381" s="12">
        <v>96.8850665343099</v>
      </c>
    </row>
    <row r="382" spans="1:3" x14ac:dyDescent="0.3">
      <c r="A382">
        <v>1000688</v>
      </c>
      <c r="B382" t="s">
        <v>381</v>
      </c>
      <c r="C382" s="12">
        <v>114.957666666667</v>
      </c>
    </row>
    <row r="383" spans="1:3" x14ac:dyDescent="0.3">
      <c r="A383">
        <v>1000689</v>
      </c>
      <c r="B383" t="s">
        <v>382</v>
      </c>
      <c r="C383" s="12">
        <v>195.40256294796299</v>
      </c>
    </row>
    <row r="384" spans="1:3" x14ac:dyDescent="0.3">
      <c r="A384">
        <v>1000690</v>
      </c>
      <c r="B384" t="s">
        <v>383</v>
      </c>
      <c r="C384" s="12">
        <v>88.984030168462198</v>
      </c>
    </row>
    <row r="385" spans="1:3" x14ac:dyDescent="0.3">
      <c r="A385">
        <v>1000699</v>
      </c>
      <c r="B385" t="s">
        <v>384</v>
      </c>
      <c r="C385" s="12">
        <v>106.2</v>
      </c>
    </row>
    <row r="386" spans="1:3" x14ac:dyDescent="0.3">
      <c r="A386">
        <v>1000700</v>
      </c>
      <c r="B386" t="s">
        <v>385</v>
      </c>
      <c r="C386" s="12">
        <v>264.13114561766736</v>
      </c>
    </row>
    <row r="387" spans="1:3" x14ac:dyDescent="0.3">
      <c r="A387">
        <v>1000701</v>
      </c>
      <c r="B387" t="s">
        <v>386</v>
      </c>
      <c r="C387" s="12">
        <v>355.44798165137615</v>
      </c>
    </row>
    <row r="388" spans="1:3" x14ac:dyDescent="0.3">
      <c r="A388">
        <v>1000702</v>
      </c>
      <c r="B388" t="s">
        <v>387</v>
      </c>
      <c r="C388" s="12">
        <v>252.52</v>
      </c>
    </row>
    <row r="389" spans="1:3" x14ac:dyDescent="0.3">
      <c r="A389">
        <v>1000703</v>
      </c>
      <c r="B389" t="s">
        <v>388</v>
      </c>
      <c r="C389" s="12">
        <v>368.39867786852324</v>
      </c>
    </row>
    <row r="390" spans="1:3" x14ac:dyDescent="0.3">
      <c r="A390">
        <v>1000704</v>
      </c>
      <c r="B390" t="s">
        <v>389</v>
      </c>
      <c r="C390" s="12">
        <v>74.85874261356804</v>
      </c>
    </row>
    <row r="391" spans="1:3" x14ac:dyDescent="0.3">
      <c r="A391">
        <v>1000705</v>
      </c>
      <c r="B391" t="s">
        <v>390</v>
      </c>
      <c r="C391" s="12">
        <v>126.07</v>
      </c>
    </row>
    <row r="392" spans="1:3" x14ac:dyDescent="0.3">
      <c r="A392">
        <v>1000706</v>
      </c>
      <c r="B392" t="s">
        <v>391</v>
      </c>
      <c r="C392" s="12">
        <v>220.4</v>
      </c>
    </row>
    <row r="393" spans="1:3" x14ac:dyDescent="0.3">
      <c r="A393">
        <v>1000709</v>
      </c>
      <c r="B393" t="s">
        <v>392</v>
      </c>
      <c r="C393" s="12">
        <v>147.65</v>
      </c>
    </row>
    <row r="394" spans="1:3" x14ac:dyDescent="0.3">
      <c r="A394">
        <v>1000712</v>
      </c>
      <c r="B394" t="s">
        <v>393</v>
      </c>
      <c r="C394" s="12">
        <v>6.8091428571428603</v>
      </c>
    </row>
    <row r="395" spans="1:3" x14ac:dyDescent="0.3">
      <c r="A395">
        <v>1000715</v>
      </c>
      <c r="B395" t="s">
        <v>394</v>
      </c>
      <c r="C395" s="12">
        <v>1806.2700000000002</v>
      </c>
    </row>
    <row r="396" spans="1:3" x14ac:dyDescent="0.3">
      <c r="A396">
        <v>1000720</v>
      </c>
      <c r="B396" t="s">
        <v>395</v>
      </c>
      <c r="C396" s="12">
        <v>1</v>
      </c>
    </row>
    <row r="397" spans="1:3" x14ac:dyDescent="0.3">
      <c r="A397">
        <v>1000721</v>
      </c>
      <c r="B397" t="s">
        <v>396</v>
      </c>
      <c r="C397" s="12">
        <v>14495.092500000001</v>
      </c>
    </row>
    <row r="398" spans="1:3" x14ac:dyDescent="0.3">
      <c r="A398">
        <v>1000723</v>
      </c>
      <c r="B398" t="s">
        <v>397</v>
      </c>
      <c r="C398" s="12">
        <v>10790.784</v>
      </c>
    </row>
    <row r="399" spans="1:3" x14ac:dyDescent="0.3">
      <c r="A399">
        <v>1000724</v>
      </c>
      <c r="B399" t="s">
        <v>398</v>
      </c>
      <c r="C399" s="12">
        <v>8623.2333333333299</v>
      </c>
    </row>
    <row r="400" spans="1:3" x14ac:dyDescent="0.3">
      <c r="A400">
        <v>1000725</v>
      </c>
      <c r="B400" t="s">
        <v>399</v>
      </c>
      <c r="C400" s="12">
        <v>4248.0914464285697</v>
      </c>
    </row>
    <row r="401" spans="1:3" x14ac:dyDescent="0.3">
      <c r="A401">
        <v>1000726</v>
      </c>
      <c r="B401" t="s">
        <v>400</v>
      </c>
      <c r="C401" s="12">
        <v>3211.7356529445401</v>
      </c>
    </row>
    <row r="402" spans="1:3" x14ac:dyDescent="0.3">
      <c r="A402">
        <v>1000729</v>
      </c>
      <c r="B402" t="s">
        <v>401</v>
      </c>
      <c r="C402" s="12">
        <v>173.93075462350399</v>
      </c>
    </row>
    <row r="403" spans="1:3" x14ac:dyDescent="0.3">
      <c r="A403">
        <v>1000734</v>
      </c>
      <c r="B403" t="s">
        <v>402</v>
      </c>
      <c r="C403" s="12">
        <v>1238.8</v>
      </c>
    </row>
    <row r="404" spans="1:3" x14ac:dyDescent="0.3">
      <c r="A404">
        <v>1000735</v>
      </c>
      <c r="B404" t="s">
        <v>403</v>
      </c>
      <c r="C404" s="12">
        <v>942.82</v>
      </c>
    </row>
    <row r="405" spans="1:3" x14ac:dyDescent="0.3">
      <c r="A405">
        <v>1000737</v>
      </c>
      <c r="B405" t="s">
        <v>404</v>
      </c>
      <c r="C405" s="12">
        <v>157.01006746066344</v>
      </c>
    </row>
    <row r="406" spans="1:3" x14ac:dyDescent="0.3">
      <c r="A406">
        <v>1000738</v>
      </c>
      <c r="B406" t="s">
        <v>405</v>
      </c>
      <c r="C406" s="12">
        <v>538.29167987909955</v>
      </c>
    </row>
    <row r="407" spans="1:3" x14ac:dyDescent="0.3">
      <c r="A407">
        <v>1000739</v>
      </c>
      <c r="B407" t="s">
        <v>406</v>
      </c>
      <c r="C407" s="12">
        <v>299.22000000000003</v>
      </c>
    </row>
    <row r="408" spans="1:3" x14ac:dyDescent="0.3">
      <c r="A408">
        <v>1000740</v>
      </c>
      <c r="B408" t="s">
        <v>407</v>
      </c>
      <c r="C408" s="12">
        <v>466.06668124154635</v>
      </c>
    </row>
    <row r="409" spans="1:3" x14ac:dyDescent="0.3">
      <c r="A409">
        <v>1000741</v>
      </c>
      <c r="B409" t="s">
        <v>408</v>
      </c>
      <c r="C409" s="12">
        <v>444.99985714285697</v>
      </c>
    </row>
    <row r="410" spans="1:3" x14ac:dyDescent="0.3">
      <c r="A410">
        <v>1000742</v>
      </c>
      <c r="B410" t="s">
        <v>409</v>
      </c>
      <c r="C410" s="12">
        <v>435.56883088708969</v>
      </c>
    </row>
    <row r="411" spans="1:3" x14ac:dyDescent="0.3">
      <c r="A411">
        <v>1000743</v>
      </c>
      <c r="B411" t="s">
        <v>410</v>
      </c>
      <c r="C411" s="12">
        <v>206.21999999999997</v>
      </c>
    </row>
    <row r="412" spans="1:3" x14ac:dyDescent="0.3">
      <c r="A412">
        <v>1000744</v>
      </c>
      <c r="B412" t="s">
        <v>411</v>
      </c>
      <c r="C412" s="12">
        <v>154.81</v>
      </c>
    </row>
    <row r="413" spans="1:3" x14ac:dyDescent="0.3">
      <c r="A413">
        <v>1000745</v>
      </c>
      <c r="B413" t="s">
        <v>412</v>
      </c>
      <c r="C413" s="12">
        <v>0</v>
      </c>
    </row>
    <row r="414" spans="1:3" x14ac:dyDescent="0.3">
      <c r="A414">
        <v>1000746</v>
      </c>
      <c r="B414" t="s">
        <v>413</v>
      </c>
      <c r="C414" s="12">
        <v>321.61494708343588</v>
      </c>
    </row>
    <row r="415" spans="1:3" x14ac:dyDescent="0.3">
      <c r="A415">
        <v>1000750</v>
      </c>
      <c r="B415" t="s">
        <v>414</v>
      </c>
      <c r="C415" s="12">
        <v>1.5714285714285701</v>
      </c>
    </row>
    <row r="416" spans="1:3" x14ac:dyDescent="0.3">
      <c r="A416">
        <v>1000751</v>
      </c>
      <c r="B416" t="s">
        <v>415</v>
      </c>
      <c r="C416" s="12">
        <v>359.29290083769814</v>
      </c>
    </row>
    <row r="417" spans="1:3" x14ac:dyDescent="0.3">
      <c r="A417">
        <v>1000752</v>
      </c>
      <c r="B417" t="s">
        <v>416</v>
      </c>
      <c r="C417" s="12">
        <v>727.15166666666698</v>
      </c>
    </row>
    <row r="418" spans="1:3" x14ac:dyDescent="0.3">
      <c r="A418">
        <v>1000755</v>
      </c>
      <c r="B418" t="s">
        <v>417</v>
      </c>
      <c r="C418" s="12">
        <v>3388.1645834859601</v>
      </c>
    </row>
    <row r="419" spans="1:3" x14ac:dyDescent="0.3">
      <c r="A419">
        <v>1000756</v>
      </c>
      <c r="B419" t="s">
        <v>418</v>
      </c>
      <c r="C419" s="12">
        <v>7864.1750000000002</v>
      </c>
    </row>
    <row r="420" spans="1:3" x14ac:dyDescent="0.3">
      <c r="A420">
        <v>1000758</v>
      </c>
      <c r="B420" t="s">
        <v>419</v>
      </c>
      <c r="C420" s="12">
        <v>14162.95</v>
      </c>
    </row>
    <row r="421" spans="1:3" x14ac:dyDescent="0.3">
      <c r="A421">
        <v>1000764</v>
      </c>
      <c r="B421" t="s">
        <v>420</v>
      </c>
      <c r="C421" s="12">
        <v>10603.662857142899</v>
      </c>
    </row>
    <row r="422" spans="1:3" x14ac:dyDescent="0.3">
      <c r="A422">
        <v>1000765</v>
      </c>
      <c r="B422" t="s">
        <v>421</v>
      </c>
      <c r="C422" s="12">
        <v>169.42383233532934</v>
      </c>
    </row>
    <row r="423" spans="1:3" x14ac:dyDescent="0.3">
      <c r="A423">
        <v>1000767</v>
      </c>
      <c r="B423" t="s">
        <v>422</v>
      </c>
      <c r="C423" s="12">
        <v>46.44</v>
      </c>
    </row>
    <row r="424" spans="1:3" x14ac:dyDescent="0.3">
      <c r="A424">
        <v>1000768</v>
      </c>
      <c r="B424" t="s">
        <v>423</v>
      </c>
      <c r="C424" s="12">
        <v>46.44</v>
      </c>
    </row>
    <row r="425" spans="1:3" x14ac:dyDescent="0.3">
      <c r="A425">
        <v>1000774</v>
      </c>
      <c r="B425" t="s">
        <v>424</v>
      </c>
      <c r="C425" s="12">
        <v>19762.249266666699</v>
      </c>
    </row>
    <row r="426" spans="1:3" x14ac:dyDescent="0.3">
      <c r="A426">
        <v>1000775</v>
      </c>
      <c r="B426" t="s">
        <v>425</v>
      </c>
      <c r="C426" s="12">
        <v>13424.697761904799</v>
      </c>
    </row>
    <row r="427" spans="1:3" x14ac:dyDescent="0.3">
      <c r="A427">
        <v>1000777</v>
      </c>
      <c r="B427" t="s">
        <v>426</v>
      </c>
      <c r="C427" s="12">
        <v>12775.373577712609</v>
      </c>
    </row>
    <row r="428" spans="1:3" x14ac:dyDescent="0.3">
      <c r="A428">
        <v>1000778</v>
      </c>
      <c r="B428" t="s">
        <v>427</v>
      </c>
      <c r="C428" s="12">
        <v>9428.9623684210528</v>
      </c>
    </row>
    <row r="429" spans="1:3" x14ac:dyDescent="0.3">
      <c r="A429">
        <v>1000779</v>
      </c>
      <c r="B429" t="s">
        <v>428</v>
      </c>
      <c r="C429" s="12">
        <v>1799.54</v>
      </c>
    </row>
    <row r="430" spans="1:3" x14ac:dyDescent="0.3">
      <c r="A430">
        <v>1000780</v>
      </c>
      <c r="B430" t="s">
        <v>429</v>
      </c>
      <c r="C430" s="12">
        <v>3097.2369504208341</v>
      </c>
    </row>
    <row r="431" spans="1:3" x14ac:dyDescent="0.3">
      <c r="A431">
        <v>1000781</v>
      </c>
      <c r="B431" t="s">
        <v>430</v>
      </c>
      <c r="C431" s="12">
        <v>14.224573211729286</v>
      </c>
    </row>
    <row r="432" spans="1:3" x14ac:dyDescent="0.3">
      <c r="A432">
        <v>1000782</v>
      </c>
      <c r="B432" t="s">
        <v>431</v>
      </c>
      <c r="C432" s="12">
        <v>11981.68</v>
      </c>
    </row>
    <row r="433" spans="1:3" x14ac:dyDescent="0.3">
      <c r="A433">
        <v>1000783</v>
      </c>
      <c r="B433" t="s">
        <v>432</v>
      </c>
      <c r="C433" s="12">
        <v>1</v>
      </c>
    </row>
    <row r="434" spans="1:3" x14ac:dyDescent="0.3">
      <c r="A434">
        <v>1000785</v>
      </c>
      <c r="B434" t="s">
        <v>433</v>
      </c>
      <c r="C434" s="12">
        <v>19929</v>
      </c>
    </row>
    <row r="435" spans="1:3" x14ac:dyDescent="0.3">
      <c r="A435">
        <v>1000786</v>
      </c>
      <c r="B435" t="s">
        <v>434</v>
      </c>
      <c r="C435" s="12">
        <v>10666.666666666701</v>
      </c>
    </row>
    <row r="436" spans="1:3" x14ac:dyDescent="0.3">
      <c r="A436">
        <v>1000788</v>
      </c>
      <c r="B436" t="s">
        <v>435</v>
      </c>
      <c r="C436" s="12">
        <v>16308.8</v>
      </c>
    </row>
    <row r="437" spans="1:3" x14ac:dyDescent="0.3">
      <c r="A437">
        <v>1000794</v>
      </c>
      <c r="B437" t="s">
        <v>436</v>
      </c>
      <c r="C437" s="12">
        <v>3182.02</v>
      </c>
    </row>
    <row r="438" spans="1:3" x14ac:dyDescent="0.3">
      <c r="A438">
        <v>1000795</v>
      </c>
      <c r="B438" t="s">
        <v>437</v>
      </c>
      <c r="C438" s="12">
        <v>0</v>
      </c>
    </row>
    <row r="439" spans="1:3" x14ac:dyDescent="0.3">
      <c r="A439">
        <v>1000796</v>
      </c>
      <c r="B439" t="s">
        <v>438</v>
      </c>
      <c r="C439" s="12">
        <v>66.745978748727651</v>
      </c>
    </row>
    <row r="440" spans="1:3" x14ac:dyDescent="0.3">
      <c r="A440">
        <v>1000799</v>
      </c>
      <c r="B440" t="s">
        <v>439</v>
      </c>
      <c r="C440" s="12">
        <v>74614.69</v>
      </c>
    </row>
    <row r="441" spans="1:3" x14ac:dyDescent="0.3">
      <c r="A441">
        <v>1000800</v>
      </c>
      <c r="B441" t="s">
        <v>440</v>
      </c>
      <c r="C441" s="12">
        <v>16788.21608275058</v>
      </c>
    </row>
    <row r="442" spans="1:3" x14ac:dyDescent="0.3">
      <c r="A442">
        <v>1000802</v>
      </c>
      <c r="B442" t="s">
        <v>441</v>
      </c>
      <c r="C442" s="12">
        <v>22933.3</v>
      </c>
    </row>
    <row r="443" spans="1:3" x14ac:dyDescent="0.3">
      <c r="A443">
        <v>1000805</v>
      </c>
      <c r="B443" t="s">
        <v>442</v>
      </c>
      <c r="C443" s="12">
        <v>1164</v>
      </c>
    </row>
    <row r="444" spans="1:3" x14ac:dyDescent="0.3">
      <c r="A444">
        <v>1000806</v>
      </c>
      <c r="B444" t="s">
        <v>443</v>
      </c>
      <c r="C444" s="12">
        <v>1608.1431271477663</v>
      </c>
    </row>
    <row r="445" spans="1:3" x14ac:dyDescent="0.3">
      <c r="A445">
        <v>1000807</v>
      </c>
      <c r="B445" t="s">
        <v>444</v>
      </c>
      <c r="C445" s="12">
        <v>2004.1779933049299</v>
      </c>
    </row>
    <row r="446" spans="1:3" x14ac:dyDescent="0.3">
      <c r="A446">
        <v>1000808</v>
      </c>
      <c r="B446" t="s">
        <v>445</v>
      </c>
      <c r="C446" s="12">
        <v>0</v>
      </c>
    </row>
    <row r="447" spans="1:3" x14ac:dyDescent="0.3">
      <c r="A447">
        <v>1000809</v>
      </c>
      <c r="B447" t="s">
        <v>446</v>
      </c>
      <c r="C447" s="12">
        <v>1033.6531547555776</v>
      </c>
    </row>
    <row r="448" spans="1:3" x14ac:dyDescent="0.3">
      <c r="A448">
        <v>1000813</v>
      </c>
      <c r="B448" t="s">
        <v>447</v>
      </c>
      <c r="C448" s="12">
        <v>2520.61333333333</v>
      </c>
    </row>
    <row r="449" spans="1:3" x14ac:dyDescent="0.3">
      <c r="A449">
        <v>1000814</v>
      </c>
      <c r="B449" t="s">
        <v>448</v>
      </c>
      <c r="C449" s="12">
        <v>62.554186046511603</v>
      </c>
    </row>
    <row r="450" spans="1:3" x14ac:dyDescent="0.3">
      <c r="A450">
        <v>1000815</v>
      </c>
      <c r="B450" t="s">
        <v>449</v>
      </c>
      <c r="C450" s="12">
        <v>17.584944979367261</v>
      </c>
    </row>
    <row r="451" spans="1:3" x14ac:dyDescent="0.3">
      <c r="A451">
        <v>1000816</v>
      </c>
      <c r="B451" t="s">
        <v>450</v>
      </c>
      <c r="C451" s="12">
        <v>41.211957615042316</v>
      </c>
    </row>
    <row r="452" spans="1:3" x14ac:dyDescent="0.3">
      <c r="A452">
        <v>1000817</v>
      </c>
      <c r="B452" t="s">
        <v>451</v>
      </c>
      <c r="C452" s="12">
        <v>3072.7533749999998</v>
      </c>
    </row>
    <row r="453" spans="1:3" x14ac:dyDescent="0.3">
      <c r="A453">
        <v>1000819</v>
      </c>
      <c r="B453" t="s">
        <v>452</v>
      </c>
      <c r="C453" s="12">
        <v>16.422774086378737</v>
      </c>
    </row>
    <row r="454" spans="1:3" x14ac:dyDescent="0.3">
      <c r="A454">
        <v>1000820</v>
      </c>
      <c r="B454" t="s">
        <v>453</v>
      </c>
      <c r="C454" s="12">
        <v>0</v>
      </c>
    </row>
    <row r="455" spans="1:3" x14ac:dyDescent="0.3">
      <c r="A455">
        <v>1000826</v>
      </c>
      <c r="B455" t="s">
        <v>454</v>
      </c>
      <c r="C455" s="12">
        <v>0.66666666666666696</v>
      </c>
    </row>
    <row r="456" spans="1:3" x14ac:dyDescent="0.3">
      <c r="A456">
        <v>1000843</v>
      </c>
      <c r="B456" t="s">
        <v>455</v>
      </c>
      <c r="C456" s="12">
        <v>104184.107058824</v>
      </c>
    </row>
    <row r="457" spans="1:3" x14ac:dyDescent="0.3">
      <c r="A457">
        <v>1000846</v>
      </c>
      <c r="B457" t="s">
        <v>456</v>
      </c>
      <c r="C457" s="12">
        <v>142570.00483913801</v>
      </c>
    </row>
    <row r="458" spans="1:3" x14ac:dyDescent="0.3">
      <c r="A458">
        <v>1000848</v>
      </c>
      <c r="B458" t="s">
        <v>457</v>
      </c>
      <c r="C458" s="12">
        <v>224425.75718333299</v>
      </c>
    </row>
    <row r="459" spans="1:3" x14ac:dyDescent="0.3">
      <c r="A459">
        <v>1000859</v>
      </c>
      <c r="B459" t="s">
        <v>458</v>
      </c>
      <c r="C459" s="12">
        <v>164008.106111111</v>
      </c>
    </row>
    <row r="460" spans="1:3" x14ac:dyDescent="0.3">
      <c r="A460">
        <v>1000860</v>
      </c>
      <c r="B460" t="s">
        <v>459</v>
      </c>
      <c r="C460" s="12">
        <v>4670.93</v>
      </c>
    </row>
    <row r="461" spans="1:3" x14ac:dyDescent="0.3">
      <c r="A461">
        <v>1000863</v>
      </c>
      <c r="B461" t="s">
        <v>460</v>
      </c>
      <c r="C461" s="12">
        <v>0</v>
      </c>
    </row>
    <row r="462" spans="1:3" x14ac:dyDescent="0.3">
      <c r="A462">
        <v>1000866</v>
      </c>
      <c r="B462" t="s">
        <v>461</v>
      </c>
      <c r="C462" s="12">
        <v>28436.18</v>
      </c>
    </row>
    <row r="463" spans="1:3" x14ac:dyDescent="0.3">
      <c r="A463">
        <v>1000867</v>
      </c>
      <c r="B463" t="s">
        <v>462</v>
      </c>
      <c r="C463" s="12">
        <v>2782.6906296296302</v>
      </c>
    </row>
    <row r="464" spans="1:3" x14ac:dyDescent="0.3">
      <c r="A464">
        <v>1000868</v>
      </c>
      <c r="B464" t="s">
        <v>463</v>
      </c>
      <c r="C464" s="12">
        <v>2551.1102042327998</v>
      </c>
    </row>
    <row r="465" spans="1:3" x14ac:dyDescent="0.3">
      <c r="A465">
        <v>1000869</v>
      </c>
      <c r="B465" t="s">
        <v>464</v>
      </c>
      <c r="C465" s="12">
        <v>2551.1106249999998</v>
      </c>
    </row>
    <row r="466" spans="1:3" x14ac:dyDescent="0.3">
      <c r="A466">
        <v>1000870</v>
      </c>
      <c r="B466" t="s">
        <v>465</v>
      </c>
      <c r="C466" s="12">
        <v>2551.1048148148102</v>
      </c>
    </row>
    <row r="467" spans="1:3" x14ac:dyDescent="0.3">
      <c r="A467">
        <v>1000872</v>
      </c>
      <c r="B467" t="s">
        <v>466</v>
      </c>
      <c r="C467" s="12">
        <v>2551.11055555556</v>
      </c>
    </row>
    <row r="468" spans="1:3" x14ac:dyDescent="0.3">
      <c r="A468">
        <v>1000874</v>
      </c>
      <c r="B468" t="s">
        <v>467</v>
      </c>
      <c r="C468" s="12">
        <v>44426.123096153839</v>
      </c>
    </row>
    <row r="469" spans="1:3" x14ac:dyDescent="0.3">
      <c r="A469">
        <v>1000875</v>
      </c>
      <c r="B469" t="s">
        <v>468</v>
      </c>
      <c r="C469" s="12">
        <v>639757.96</v>
      </c>
    </row>
    <row r="470" spans="1:3" x14ac:dyDescent="0.3">
      <c r="A470">
        <v>1000876</v>
      </c>
      <c r="B470" t="s">
        <v>469</v>
      </c>
      <c r="C470" s="12">
        <v>48013.870296431851</v>
      </c>
    </row>
    <row r="471" spans="1:3" x14ac:dyDescent="0.3">
      <c r="A471">
        <v>1000877</v>
      </c>
      <c r="B471" t="s">
        <v>470</v>
      </c>
      <c r="C471" s="12">
        <v>4.78</v>
      </c>
    </row>
    <row r="472" spans="1:3" x14ac:dyDescent="0.3">
      <c r="A472">
        <v>1000878</v>
      </c>
      <c r="B472" t="s">
        <v>471</v>
      </c>
      <c r="C472" s="12">
        <v>7.124978441898195</v>
      </c>
    </row>
    <row r="473" spans="1:3" x14ac:dyDescent="0.3">
      <c r="A473">
        <v>1000879</v>
      </c>
      <c r="B473" t="s">
        <v>472</v>
      </c>
      <c r="C473" s="12">
        <v>12.4854777788335</v>
      </c>
    </row>
    <row r="474" spans="1:3" x14ac:dyDescent="0.3">
      <c r="A474">
        <v>1000880</v>
      </c>
      <c r="B474" t="s">
        <v>473</v>
      </c>
      <c r="C474" s="12">
        <v>9.9789117531743496</v>
      </c>
    </row>
    <row r="475" spans="1:3" x14ac:dyDescent="0.3">
      <c r="A475">
        <v>1000881</v>
      </c>
      <c r="B475" t="s">
        <v>474</v>
      </c>
      <c r="C475" s="12">
        <v>10.876763493027999</v>
      </c>
    </row>
    <row r="476" spans="1:3" x14ac:dyDescent="0.3">
      <c r="A476">
        <v>1000882</v>
      </c>
      <c r="B476" t="s">
        <v>475</v>
      </c>
      <c r="C476" s="12">
        <v>2.1666666666666701</v>
      </c>
    </row>
    <row r="477" spans="1:3" x14ac:dyDescent="0.3">
      <c r="A477">
        <v>1000883</v>
      </c>
      <c r="B477" t="s">
        <v>476</v>
      </c>
      <c r="C477" s="12">
        <v>9.86</v>
      </c>
    </row>
    <row r="478" spans="1:3" x14ac:dyDescent="0.3">
      <c r="A478">
        <v>1000884</v>
      </c>
      <c r="B478" t="s">
        <v>477</v>
      </c>
      <c r="C478" s="12">
        <v>10.8834603472457</v>
      </c>
    </row>
    <row r="479" spans="1:3" x14ac:dyDescent="0.3">
      <c r="A479">
        <v>1000885</v>
      </c>
      <c r="B479" t="s">
        <v>478</v>
      </c>
      <c r="C479" s="12">
        <v>3.72009302325581</v>
      </c>
    </row>
    <row r="480" spans="1:3" x14ac:dyDescent="0.3">
      <c r="A480">
        <v>1000887</v>
      </c>
      <c r="B480" t="s">
        <v>479</v>
      </c>
      <c r="C480" s="12">
        <v>109.62</v>
      </c>
    </row>
    <row r="481" spans="1:3" x14ac:dyDescent="0.3">
      <c r="A481">
        <v>1000888</v>
      </c>
      <c r="B481" t="s">
        <v>480</v>
      </c>
      <c r="C481" s="12">
        <v>3.9386648935734918</v>
      </c>
    </row>
    <row r="482" spans="1:3" x14ac:dyDescent="0.3">
      <c r="A482">
        <v>1000889</v>
      </c>
      <c r="B482" t="s">
        <v>481</v>
      </c>
      <c r="C482" s="12">
        <v>15.805</v>
      </c>
    </row>
    <row r="483" spans="1:3" x14ac:dyDescent="0.3">
      <c r="A483">
        <v>1000890</v>
      </c>
      <c r="B483" t="s">
        <v>482</v>
      </c>
      <c r="C483" s="12">
        <v>10.9510179611189</v>
      </c>
    </row>
    <row r="484" spans="1:3" x14ac:dyDescent="0.3">
      <c r="A484">
        <v>1000896</v>
      </c>
      <c r="B484" t="s">
        <v>483</v>
      </c>
      <c r="C484" s="12">
        <v>534.26091666666696</v>
      </c>
    </row>
    <row r="485" spans="1:3" x14ac:dyDescent="0.3">
      <c r="A485">
        <v>1000897</v>
      </c>
      <c r="B485" t="s">
        <v>484</v>
      </c>
      <c r="C485" s="12">
        <v>6.1788203099282573</v>
      </c>
    </row>
    <row r="486" spans="1:3" x14ac:dyDescent="0.3">
      <c r="A486">
        <v>1000898</v>
      </c>
      <c r="B486" t="s">
        <v>485</v>
      </c>
      <c r="C486" s="12">
        <v>6.0897991958914011</v>
      </c>
    </row>
    <row r="487" spans="1:3" x14ac:dyDescent="0.3">
      <c r="A487">
        <v>1000900</v>
      </c>
      <c r="B487" t="s">
        <v>486</v>
      </c>
      <c r="C487" s="12">
        <v>10.4979996423733</v>
      </c>
    </row>
    <row r="488" spans="1:3" x14ac:dyDescent="0.3">
      <c r="A488">
        <v>1000903</v>
      </c>
      <c r="B488" t="s">
        <v>487</v>
      </c>
      <c r="C488" s="12">
        <v>12.300989464896345</v>
      </c>
    </row>
    <row r="489" spans="1:3" x14ac:dyDescent="0.3">
      <c r="A489">
        <v>1000904</v>
      </c>
      <c r="B489" t="s">
        <v>488</v>
      </c>
      <c r="C489" s="12">
        <v>0.48197465253234301</v>
      </c>
    </row>
    <row r="490" spans="1:3" x14ac:dyDescent="0.3">
      <c r="A490">
        <v>1000905</v>
      </c>
      <c r="B490" t="s">
        <v>489</v>
      </c>
      <c r="C490" s="12">
        <v>3.0291094076705498</v>
      </c>
    </row>
    <row r="491" spans="1:3" x14ac:dyDescent="0.3">
      <c r="A491">
        <v>1000908</v>
      </c>
      <c r="B491" t="s">
        <v>490</v>
      </c>
      <c r="C491" s="12">
        <v>2126.8030279706791</v>
      </c>
    </row>
    <row r="492" spans="1:3" x14ac:dyDescent="0.3">
      <c r="A492">
        <v>1000909</v>
      </c>
      <c r="B492" t="s">
        <v>491</v>
      </c>
      <c r="C492" s="12">
        <v>1889.55</v>
      </c>
    </row>
    <row r="493" spans="1:3" x14ac:dyDescent="0.3">
      <c r="A493">
        <v>1000911</v>
      </c>
      <c r="B493" t="s">
        <v>492</v>
      </c>
      <c r="C493" s="12">
        <v>25.445995082908802</v>
      </c>
    </row>
    <row r="494" spans="1:3" x14ac:dyDescent="0.3">
      <c r="A494">
        <v>1000916</v>
      </c>
      <c r="B494" t="s">
        <v>493</v>
      </c>
      <c r="C494" s="12">
        <v>398.99</v>
      </c>
    </row>
    <row r="495" spans="1:3" x14ac:dyDescent="0.3">
      <c r="A495">
        <v>1000917</v>
      </c>
      <c r="B495" t="s">
        <v>494</v>
      </c>
      <c r="C495" s="12">
        <v>422.11597711882018</v>
      </c>
    </row>
    <row r="496" spans="1:3" x14ac:dyDescent="0.3">
      <c r="A496">
        <v>1000919</v>
      </c>
      <c r="B496" t="s">
        <v>495</v>
      </c>
      <c r="C496" s="12">
        <v>54</v>
      </c>
    </row>
    <row r="497" spans="1:3" x14ac:dyDescent="0.3">
      <c r="A497">
        <v>1000921</v>
      </c>
      <c r="B497" t="s">
        <v>496</v>
      </c>
      <c r="C497" s="12">
        <v>125</v>
      </c>
    </row>
    <row r="498" spans="1:3" x14ac:dyDescent="0.3">
      <c r="A498">
        <v>1000922</v>
      </c>
      <c r="B498" t="s">
        <v>497</v>
      </c>
      <c r="C498" s="12">
        <v>226.95627626529631</v>
      </c>
    </row>
    <row r="499" spans="1:3" x14ac:dyDescent="0.3">
      <c r="A499">
        <v>1000923</v>
      </c>
      <c r="B499" t="s">
        <v>498</v>
      </c>
      <c r="C499" s="12">
        <v>71.356583260278626</v>
      </c>
    </row>
    <row r="500" spans="1:3" x14ac:dyDescent="0.3">
      <c r="A500">
        <v>1000925</v>
      </c>
      <c r="B500" t="s">
        <v>499</v>
      </c>
      <c r="C500" s="12">
        <v>365.00557849802402</v>
      </c>
    </row>
    <row r="501" spans="1:3" x14ac:dyDescent="0.3">
      <c r="A501">
        <v>1000927</v>
      </c>
      <c r="B501" t="s">
        <v>500</v>
      </c>
      <c r="C501" s="12">
        <v>34630.949999999997</v>
      </c>
    </row>
    <row r="502" spans="1:3" x14ac:dyDescent="0.3">
      <c r="A502">
        <v>1000928</v>
      </c>
      <c r="B502" t="s">
        <v>501</v>
      </c>
      <c r="C502" s="12">
        <v>42791.5</v>
      </c>
    </row>
    <row r="503" spans="1:3" x14ac:dyDescent="0.3">
      <c r="A503">
        <v>1000930</v>
      </c>
      <c r="B503" t="s">
        <v>502</v>
      </c>
      <c r="C503" s="12">
        <v>1348.5</v>
      </c>
    </row>
    <row r="504" spans="1:3" x14ac:dyDescent="0.3">
      <c r="A504">
        <v>1000933</v>
      </c>
      <c r="B504" t="s">
        <v>503</v>
      </c>
      <c r="C504" s="12">
        <v>9920.0877777777805</v>
      </c>
    </row>
    <row r="505" spans="1:3" x14ac:dyDescent="0.3">
      <c r="A505">
        <v>1000936</v>
      </c>
      <c r="B505" t="s">
        <v>504</v>
      </c>
      <c r="C505" s="12">
        <v>725.79316666666705</v>
      </c>
    </row>
    <row r="506" spans="1:3" x14ac:dyDescent="0.3">
      <c r="A506">
        <v>1000941</v>
      </c>
      <c r="B506" t="s">
        <v>505</v>
      </c>
      <c r="C506" s="12">
        <v>32489.0655555556</v>
      </c>
    </row>
    <row r="507" spans="1:3" x14ac:dyDescent="0.3">
      <c r="A507">
        <v>1000942</v>
      </c>
      <c r="B507" t="s">
        <v>506</v>
      </c>
      <c r="C507" s="12">
        <v>87</v>
      </c>
    </row>
    <row r="508" spans="1:3" x14ac:dyDescent="0.3">
      <c r="A508">
        <v>1000944</v>
      </c>
      <c r="B508" t="s">
        <v>507</v>
      </c>
      <c r="C508" s="12">
        <v>2176.0279999999998</v>
      </c>
    </row>
    <row r="509" spans="1:3" x14ac:dyDescent="0.3">
      <c r="A509">
        <v>1000945</v>
      </c>
      <c r="B509" t="s">
        <v>508</v>
      </c>
      <c r="C509" s="12">
        <v>2147.02766666667</v>
      </c>
    </row>
    <row r="510" spans="1:3" x14ac:dyDescent="0.3">
      <c r="A510">
        <v>1000947</v>
      </c>
      <c r="B510" t="s">
        <v>509</v>
      </c>
      <c r="C510" s="12">
        <v>1913.1718000000001</v>
      </c>
    </row>
    <row r="511" spans="1:3" x14ac:dyDescent="0.3">
      <c r="A511">
        <v>1000948</v>
      </c>
      <c r="B511" t="s">
        <v>510</v>
      </c>
      <c r="C511" s="12">
        <v>64.031999999999996</v>
      </c>
    </row>
    <row r="512" spans="1:3" x14ac:dyDescent="0.3">
      <c r="A512">
        <v>1000949</v>
      </c>
      <c r="B512" t="s">
        <v>511</v>
      </c>
      <c r="C512" s="12">
        <v>2210.4066666666699</v>
      </c>
    </row>
    <row r="513" spans="1:3" x14ac:dyDescent="0.3">
      <c r="A513">
        <v>1000962</v>
      </c>
      <c r="B513" t="s">
        <v>512</v>
      </c>
      <c r="C513" s="12">
        <v>24468.966340659299</v>
      </c>
    </row>
    <row r="514" spans="1:3" x14ac:dyDescent="0.3">
      <c r="A514">
        <v>1000966</v>
      </c>
      <c r="B514" t="s">
        <v>513</v>
      </c>
      <c r="C514" s="12">
        <v>2262</v>
      </c>
    </row>
    <row r="515" spans="1:3" x14ac:dyDescent="0.3">
      <c r="A515">
        <v>1000969</v>
      </c>
      <c r="B515" t="s">
        <v>514</v>
      </c>
      <c r="C515" s="12">
        <v>1220.0218749999999</v>
      </c>
    </row>
    <row r="516" spans="1:3" x14ac:dyDescent="0.3">
      <c r="A516">
        <v>1000972</v>
      </c>
      <c r="B516" t="s">
        <v>515</v>
      </c>
      <c r="C516" s="12">
        <v>2520.61333333333</v>
      </c>
    </row>
    <row r="517" spans="1:3" x14ac:dyDescent="0.3">
      <c r="A517">
        <v>1000973</v>
      </c>
      <c r="B517" t="s">
        <v>516</v>
      </c>
      <c r="C517" s="12">
        <v>39205.120000000003</v>
      </c>
    </row>
    <row r="518" spans="1:3" x14ac:dyDescent="0.3">
      <c r="A518">
        <v>1000974</v>
      </c>
      <c r="B518" t="s">
        <v>517</v>
      </c>
      <c r="C518" s="12">
        <v>25865.314999999999</v>
      </c>
    </row>
    <row r="519" spans="1:3" x14ac:dyDescent="0.3">
      <c r="A519">
        <v>1000977</v>
      </c>
      <c r="B519" t="s">
        <v>518</v>
      </c>
      <c r="C519" s="12">
        <v>512.5</v>
      </c>
    </row>
    <row r="520" spans="1:3" x14ac:dyDescent="0.3">
      <c r="A520">
        <v>1000990</v>
      </c>
      <c r="B520" t="s">
        <v>519</v>
      </c>
      <c r="C520" s="12">
        <v>16093.26</v>
      </c>
    </row>
    <row r="521" spans="1:3" x14ac:dyDescent="0.3">
      <c r="A521">
        <v>1000992</v>
      </c>
      <c r="B521" t="s">
        <v>520</v>
      </c>
      <c r="C521" s="12">
        <v>565.88841538461497</v>
      </c>
    </row>
    <row r="522" spans="1:3" x14ac:dyDescent="0.3">
      <c r="A522">
        <v>1000994</v>
      </c>
      <c r="B522" t="s">
        <v>521</v>
      </c>
      <c r="C522" s="12">
        <v>174.905</v>
      </c>
    </row>
    <row r="523" spans="1:3" x14ac:dyDescent="0.3">
      <c r="A523">
        <v>1000995</v>
      </c>
      <c r="B523" t="s">
        <v>522</v>
      </c>
      <c r="C523" s="12">
        <v>174.905</v>
      </c>
    </row>
    <row r="524" spans="1:3" x14ac:dyDescent="0.3">
      <c r="A524">
        <v>1001003</v>
      </c>
      <c r="B524" t="s">
        <v>523</v>
      </c>
      <c r="C524" s="12">
        <v>13243.7771769462</v>
      </c>
    </row>
    <row r="525" spans="1:3" x14ac:dyDescent="0.3">
      <c r="A525">
        <v>1001007</v>
      </c>
      <c r="B525" t="s">
        <v>524</v>
      </c>
      <c r="C525" s="12">
        <v>37529.71</v>
      </c>
    </row>
    <row r="526" spans="1:3" x14ac:dyDescent="0.3">
      <c r="A526">
        <v>1001008</v>
      </c>
      <c r="B526" t="s">
        <v>525</v>
      </c>
      <c r="C526" s="12">
        <v>22031.463333333333</v>
      </c>
    </row>
    <row r="527" spans="1:3" x14ac:dyDescent="0.3">
      <c r="A527">
        <v>1001009</v>
      </c>
      <c r="B527" t="s">
        <v>526</v>
      </c>
      <c r="C527" s="12">
        <v>3225.7066666666701</v>
      </c>
    </row>
    <row r="528" spans="1:3" x14ac:dyDescent="0.3">
      <c r="A528">
        <v>1001010</v>
      </c>
      <c r="B528" t="s">
        <v>527</v>
      </c>
      <c r="C528" s="12">
        <v>286.346</v>
      </c>
    </row>
    <row r="529" spans="1:3" x14ac:dyDescent="0.3">
      <c r="A529">
        <v>1001013</v>
      </c>
      <c r="B529" t="s">
        <v>528</v>
      </c>
      <c r="C529" s="12">
        <v>2520.61333333333</v>
      </c>
    </row>
    <row r="530" spans="1:3" x14ac:dyDescent="0.3">
      <c r="A530">
        <v>1001014</v>
      </c>
      <c r="B530" t="s">
        <v>529</v>
      </c>
      <c r="C530" s="12">
        <v>2520.61333333333</v>
      </c>
    </row>
    <row r="531" spans="1:3" x14ac:dyDescent="0.3">
      <c r="A531">
        <v>1001015</v>
      </c>
      <c r="B531" t="s">
        <v>530</v>
      </c>
      <c r="C531" s="12">
        <v>2520.61333333333</v>
      </c>
    </row>
    <row r="532" spans="1:3" x14ac:dyDescent="0.3">
      <c r="A532">
        <v>1001021</v>
      </c>
      <c r="B532" t="s">
        <v>531</v>
      </c>
      <c r="C532" s="12">
        <v>282.51744124262655</v>
      </c>
    </row>
    <row r="533" spans="1:3" x14ac:dyDescent="0.3">
      <c r="A533">
        <v>1001024</v>
      </c>
      <c r="B533" t="s">
        <v>532</v>
      </c>
      <c r="C533" s="12">
        <v>29551</v>
      </c>
    </row>
    <row r="534" spans="1:3" x14ac:dyDescent="0.3">
      <c r="A534">
        <v>1001026</v>
      </c>
      <c r="B534" t="s">
        <v>533</v>
      </c>
      <c r="C534" s="12">
        <v>62085.52</v>
      </c>
    </row>
    <row r="535" spans="1:3" x14ac:dyDescent="0.3">
      <c r="A535">
        <v>1001027</v>
      </c>
      <c r="B535" t="s">
        <v>534</v>
      </c>
      <c r="C535" s="12">
        <v>32224.799999999999</v>
      </c>
    </row>
    <row r="536" spans="1:3" x14ac:dyDescent="0.3">
      <c r="A536">
        <v>1001035</v>
      </c>
      <c r="B536" t="s">
        <v>535</v>
      </c>
      <c r="C536" s="12">
        <v>21248.622222222199</v>
      </c>
    </row>
    <row r="537" spans="1:3" x14ac:dyDescent="0.3">
      <c r="A537">
        <v>1001036</v>
      </c>
      <c r="B537" t="s">
        <v>536</v>
      </c>
      <c r="C537" s="12">
        <v>22828.799999999999</v>
      </c>
    </row>
    <row r="538" spans="1:3" x14ac:dyDescent="0.3">
      <c r="A538">
        <v>1001041</v>
      </c>
      <c r="B538" t="s">
        <v>537</v>
      </c>
      <c r="C538" s="12">
        <v>85724</v>
      </c>
    </row>
    <row r="539" spans="1:3" x14ac:dyDescent="0.3">
      <c r="A539">
        <v>1001050</v>
      </c>
      <c r="B539" t="s">
        <v>538</v>
      </c>
      <c r="C539" s="12">
        <v>0</v>
      </c>
    </row>
    <row r="540" spans="1:3" x14ac:dyDescent="0.3">
      <c r="A540">
        <v>1001075</v>
      </c>
      <c r="B540" t="s">
        <v>539</v>
      </c>
      <c r="C540" s="12">
        <v>17525.88</v>
      </c>
    </row>
    <row r="541" spans="1:3" x14ac:dyDescent="0.3">
      <c r="A541">
        <v>1001081</v>
      </c>
      <c r="B541" t="s">
        <v>540</v>
      </c>
      <c r="C541" s="12">
        <v>247.29023809523801</v>
      </c>
    </row>
    <row r="542" spans="1:3" x14ac:dyDescent="0.3">
      <c r="A542">
        <v>1001106</v>
      </c>
      <c r="B542" t="s">
        <v>541</v>
      </c>
      <c r="C542" s="12">
        <v>94228.80383694348</v>
      </c>
    </row>
    <row r="543" spans="1:3" x14ac:dyDescent="0.3">
      <c r="A543">
        <v>1001111</v>
      </c>
      <c r="B543" t="s">
        <v>542</v>
      </c>
      <c r="C543" s="12">
        <v>13117.812222222223</v>
      </c>
    </row>
    <row r="544" spans="1:3" x14ac:dyDescent="0.3">
      <c r="A544">
        <v>1001113</v>
      </c>
      <c r="B544" t="s">
        <v>543</v>
      </c>
      <c r="C544" s="12">
        <v>34202.300000000003</v>
      </c>
    </row>
    <row r="545" spans="1:3" x14ac:dyDescent="0.3">
      <c r="A545">
        <v>1001114</v>
      </c>
      <c r="B545" t="s">
        <v>544</v>
      </c>
      <c r="C545" s="12">
        <v>777.2</v>
      </c>
    </row>
    <row r="546" spans="1:3" x14ac:dyDescent="0.3">
      <c r="A546">
        <v>1001126</v>
      </c>
      <c r="B546" t="s">
        <v>545</v>
      </c>
      <c r="C546" s="12">
        <v>13059.736000000001</v>
      </c>
    </row>
    <row r="547" spans="1:3" x14ac:dyDescent="0.3">
      <c r="A547">
        <v>1001129</v>
      </c>
      <c r="B547" t="s">
        <v>546</v>
      </c>
      <c r="C547" s="12">
        <v>8534.5</v>
      </c>
    </row>
    <row r="548" spans="1:3" x14ac:dyDescent="0.3">
      <c r="A548">
        <v>1001133</v>
      </c>
      <c r="B548" t="s">
        <v>547</v>
      </c>
      <c r="C548" s="12">
        <v>1534</v>
      </c>
    </row>
    <row r="549" spans="1:3" x14ac:dyDescent="0.3">
      <c r="A549">
        <v>1001141</v>
      </c>
      <c r="B549" t="s">
        <v>548</v>
      </c>
      <c r="C549" s="12">
        <v>21960.54</v>
      </c>
    </row>
    <row r="550" spans="1:3" x14ac:dyDescent="0.3">
      <c r="A550">
        <v>1001149</v>
      </c>
      <c r="B550" t="s">
        <v>549</v>
      </c>
      <c r="C550" s="12">
        <v>26606.388571428601</v>
      </c>
    </row>
    <row r="551" spans="1:3" x14ac:dyDescent="0.3">
      <c r="A551">
        <v>1001153</v>
      </c>
      <c r="B551" t="s">
        <v>550</v>
      </c>
      <c r="C551" s="12">
        <v>15341</v>
      </c>
    </row>
    <row r="552" spans="1:3" x14ac:dyDescent="0.3">
      <c r="A552">
        <v>1001171</v>
      </c>
      <c r="B552" t="s">
        <v>551</v>
      </c>
      <c r="C552" s="12">
        <v>10137.595172413796</v>
      </c>
    </row>
    <row r="553" spans="1:3" x14ac:dyDescent="0.3">
      <c r="A553">
        <v>1001175</v>
      </c>
      <c r="B553" t="s">
        <v>552</v>
      </c>
      <c r="C553" s="12">
        <v>25734.6</v>
      </c>
    </row>
    <row r="554" spans="1:3" x14ac:dyDescent="0.3">
      <c r="A554">
        <v>1001178</v>
      </c>
      <c r="B554" t="s">
        <v>553</v>
      </c>
      <c r="C554" s="12">
        <v>6410.75</v>
      </c>
    </row>
    <row r="555" spans="1:3" x14ac:dyDescent="0.3">
      <c r="A555">
        <v>1001182</v>
      </c>
      <c r="B555" t="s">
        <v>554</v>
      </c>
      <c r="C555" s="12">
        <v>755.16</v>
      </c>
    </row>
    <row r="556" spans="1:3" x14ac:dyDescent="0.3">
      <c r="A556">
        <v>1001183</v>
      </c>
      <c r="B556" t="s">
        <v>555</v>
      </c>
      <c r="C556" s="12">
        <v>644.28</v>
      </c>
    </row>
    <row r="557" spans="1:3" x14ac:dyDescent="0.3">
      <c r="A557">
        <v>1001184</v>
      </c>
      <c r="B557" t="s">
        <v>556</v>
      </c>
      <c r="C557" s="12">
        <v>710.36</v>
      </c>
    </row>
    <row r="558" spans="1:3" x14ac:dyDescent="0.3">
      <c r="A558">
        <v>1001187</v>
      </c>
      <c r="B558" t="s">
        <v>557</v>
      </c>
      <c r="C558" s="12">
        <v>812.09957894736851</v>
      </c>
    </row>
    <row r="559" spans="1:3" x14ac:dyDescent="0.3">
      <c r="A559">
        <v>1001188</v>
      </c>
      <c r="B559" t="s">
        <v>558</v>
      </c>
      <c r="C559" s="12">
        <v>38.0085714285714</v>
      </c>
    </row>
    <row r="560" spans="1:3" x14ac:dyDescent="0.3">
      <c r="A560">
        <v>1001190</v>
      </c>
      <c r="B560" t="s">
        <v>559</v>
      </c>
      <c r="C560" s="12">
        <v>81.064999999999998</v>
      </c>
    </row>
    <row r="561" spans="1:3" x14ac:dyDescent="0.3">
      <c r="A561">
        <v>1001191</v>
      </c>
      <c r="B561" t="s">
        <v>560</v>
      </c>
      <c r="C561" s="12">
        <v>178.76</v>
      </c>
    </row>
    <row r="562" spans="1:3" x14ac:dyDescent="0.3">
      <c r="A562">
        <v>1001194</v>
      </c>
      <c r="B562" t="s">
        <v>561</v>
      </c>
      <c r="C562" s="12">
        <v>788.18508813719609</v>
      </c>
    </row>
    <row r="563" spans="1:3" x14ac:dyDescent="0.3">
      <c r="A563">
        <v>1001196</v>
      </c>
      <c r="B563" t="s">
        <v>562</v>
      </c>
      <c r="C563" s="12">
        <v>5.0032034294621974</v>
      </c>
    </row>
    <row r="564" spans="1:3" x14ac:dyDescent="0.3">
      <c r="A564">
        <v>1001197</v>
      </c>
      <c r="B564" t="s">
        <v>563</v>
      </c>
      <c r="C564" s="12">
        <v>1.9100000000000001</v>
      </c>
    </row>
    <row r="565" spans="1:3" x14ac:dyDescent="0.3">
      <c r="A565">
        <v>1001198</v>
      </c>
      <c r="B565" t="s">
        <v>564</v>
      </c>
      <c r="C565" s="12">
        <v>17.172643563153894</v>
      </c>
    </row>
    <row r="566" spans="1:3" x14ac:dyDescent="0.3">
      <c r="A566">
        <v>1001199</v>
      </c>
      <c r="B566" t="s">
        <v>565</v>
      </c>
      <c r="C566" s="12">
        <v>51.315151515151513</v>
      </c>
    </row>
    <row r="567" spans="1:3" x14ac:dyDescent="0.3">
      <c r="A567">
        <v>1001201</v>
      </c>
      <c r="B567" t="s">
        <v>566</v>
      </c>
      <c r="C567" s="12">
        <v>7.89</v>
      </c>
    </row>
    <row r="568" spans="1:3" x14ac:dyDescent="0.3">
      <c r="A568">
        <v>1001203</v>
      </c>
      <c r="B568" t="s">
        <v>567</v>
      </c>
      <c r="C568" s="12">
        <v>1</v>
      </c>
    </row>
    <row r="569" spans="1:3" x14ac:dyDescent="0.3">
      <c r="A569">
        <v>1001204</v>
      </c>
      <c r="B569" t="s">
        <v>568</v>
      </c>
      <c r="C569" s="12">
        <v>355.66064170376683</v>
      </c>
    </row>
    <row r="570" spans="1:3" x14ac:dyDescent="0.3">
      <c r="A570">
        <v>1001205</v>
      </c>
      <c r="B570" t="s">
        <v>569</v>
      </c>
      <c r="C570" s="12">
        <v>0.71428571428571397</v>
      </c>
    </row>
    <row r="571" spans="1:3" x14ac:dyDescent="0.3">
      <c r="A571">
        <v>1001206</v>
      </c>
      <c r="B571" t="s">
        <v>570</v>
      </c>
      <c r="C571" s="12">
        <v>16.484545454545454</v>
      </c>
    </row>
    <row r="572" spans="1:3" x14ac:dyDescent="0.3">
      <c r="A572">
        <v>1001212</v>
      </c>
      <c r="B572" t="s">
        <v>571</v>
      </c>
      <c r="C572" s="12">
        <v>0</v>
      </c>
    </row>
    <row r="573" spans="1:3" x14ac:dyDescent="0.3">
      <c r="A573">
        <v>1001217</v>
      </c>
      <c r="B573" t="s">
        <v>572</v>
      </c>
      <c r="C573" s="12">
        <v>242.83999999999997</v>
      </c>
    </row>
    <row r="574" spans="1:3" x14ac:dyDescent="0.3">
      <c r="A574">
        <v>1001219</v>
      </c>
      <c r="B574" t="s">
        <v>573</v>
      </c>
      <c r="C574" s="12">
        <v>5.45</v>
      </c>
    </row>
    <row r="575" spans="1:3" x14ac:dyDescent="0.3">
      <c r="A575">
        <v>1001220</v>
      </c>
      <c r="B575" t="s">
        <v>574</v>
      </c>
      <c r="C575" s="12">
        <v>69.25</v>
      </c>
    </row>
    <row r="576" spans="1:3" x14ac:dyDescent="0.3">
      <c r="A576">
        <v>1001221</v>
      </c>
      <c r="B576" t="s">
        <v>575</v>
      </c>
      <c r="C576" s="12">
        <v>468.66836339550002</v>
      </c>
    </row>
    <row r="577" spans="1:3" x14ac:dyDescent="0.3">
      <c r="A577">
        <v>1001222</v>
      </c>
      <c r="B577" t="s">
        <v>576</v>
      </c>
      <c r="C577" s="12">
        <v>1512.7250069367369</v>
      </c>
    </row>
    <row r="578" spans="1:3" x14ac:dyDescent="0.3">
      <c r="A578">
        <v>1001223</v>
      </c>
      <c r="B578" t="s">
        <v>577</v>
      </c>
      <c r="C578" s="12">
        <v>267.62697402151389</v>
      </c>
    </row>
    <row r="579" spans="1:3" x14ac:dyDescent="0.3">
      <c r="A579">
        <v>1001224</v>
      </c>
      <c r="B579" t="s">
        <v>578</v>
      </c>
      <c r="C579" s="12">
        <v>657.52820699708457</v>
      </c>
    </row>
    <row r="580" spans="1:3" x14ac:dyDescent="0.3">
      <c r="A580">
        <v>1001225</v>
      </c>
      <c r="B580" t="s">
        <v>579</v>
      </c>
      <c r="C580" s="12">
        <v>666.99500470366877</v>
      </c>
    </row>
    <row r="581" spans="1:3" x14ac:dyDescent="0.3">
      <c r="A581">
        <v>1001226</v>
      </c>
      <c r="B581" t="s">
        <v>580</v>
      </c>
      <c r="C581" s="12">
        <v>296.54381611339522</v>
      </c>
    </row>
    <row r="582" spans="1:3" x14ac:dyDescent="0.3">
      <c r="A582">
        <v>1001227</v>
      </c>
      <c r="B582" t="s">
        <v>581</v>
      </c>
      <c r="C582" s="12">
        <v>41.727272727272698</v>
      </c>
    </row>
    <row r="583" spans="1:3" x14ac:dyDescent="0.3">
      <c r="A583">
        <v>1001228</v>
      </c>
      <c r="B583" t="s">
        <v>582</v>
      </c>
      <c r="C583" s="12">
        <v>0</v>
      </c>
    </row>
    <row r="584" spans="1:3" x14ac:dyDescent="0.3">
      <c r="A584">
        <v>1001229</v>
      </c>
      <c r="B584" t="s">
        <v>583</v>
      </c>
      <c r="C584" s="12">
        <v>467.766152330735</v>
      </c>
    </row>
    <row r="585" spans="1:3" x14ac:dyDescent="0.3">
      <c r="A585">
        <v>1001230</v>
      </c>
      <c r="B585" t="s">
        <v>584</v>
      </c>
      <c r="C585" s="12">
        <v>330.25</v>
      </c>
    </row>
    <row r="586" spans="1:3" x14ac:dyDescent="0.3">
      <c r="A586">
        <v>1001231</v>
      </c>
      <c r="B586" t="s">
        <v>585</v>
      </c>
      <c r="C586" s="12">
        <v>851.28790216915399</v>
      </c>
    </row>
    <row r="587" spans="1:3" x14ac:dyDescent="0.3">
      <c r="A587">
        <v>1001232</v>
      </c>
      <c r="B587" t="s">
        <v>586</v>
      </c>
      <c r="C587" s="12">
        <v>616.95557246230248</v>
      </c>
    </row>
    <row r="588" spans="1:3" x14ac:dyDescent="0.3">
      <c r="A588">
        <v>1001233</v>
      </c>
      <c r="B588" t="s">
        <v>587</v>
      </c>
      <c r="C588" s="12">
        <v>9084.73</v>
      </c>
    </row>
    <row r="589" spans="1:3" x14ac:dyDescent="0.3">
      <c r="A589">
        <v>1001234</v>
      </c>
      <c r="B589" t="s">
        <v>588</v>
      </c>
      <c r="C589" s="12">
        <v>1809.5646072762261</v>
      </c>
    </row>
    <row r="590" spans="1:3" x14ac:dyDescent="0.3">
      <c r="A590">
        <v>1001235</v>
      </c>
      <c r="B590" t="s">
        <v>589</v>
      </c>
      <c r="C590" s="12">
        <v>1328.4850611648162</v>
      </c>
    </row>
    <row r="591" spans="1:3" x14ac:dyDescent="0.3">
      <c r="A591">
        <v>1001236</v>
      </c>
      <c r="B591" t="s">
        <v>590</v>
      </c>
      <c r="C591" s="12">
        <v>58.841754052867834</v>
      </c>
    </row>
    <row r="592" spans="1:3" x14ac:dyDescent="0.3">
      <c r="A592">
        <v>1001238</v>
      </c>
      <c r="B592" t="s">
        <v>591</v>
      </c>
      <c r="C592" s="12">
        <v>1014.5609140754273</v>
      </c>
    </row>
    <row r="593" spans="1:3" x14ac:dyDescent="0.3">
      <c r="A593">
        <v>1001241</v>
      </c>
      <c r="B593" t="s">
        <v>592</v>
      </c>
      <c r="C593" s="12">
        <v>157.29661207830299</v>
      </c>
    </row>
    <row r="594" spans="1:3" x14ac:dyDescent="0.3">
      <c r="A594">
        <v>1001242</v>
      </c>
      <c r="B594" t="s">
        <v>593</v>
      </c>
      <c r="C594" s="12">
        <v>178.43707481102399</v>
      </c>
    </row>
    <row r="595" spans="1:3" x14ac:dyDescent="0.3">
      <c r="A595">
        <v>1001243</v>
      </c>
      <c r="B595" t="s">
        <v>594</v>
      </c>
      <c r="C595" s="12">
        <v>1328.1999999999998</v>
      </c>
    </row>
    <row r="596" spans="1:3" x14ac:dyDescent="0.3">
      <c r="A596">
        <v>1001244</v>
      </c>
      <c r="B596" t="s">
        <v>595</v>
      </c>
      <c r="C596" s="12">
        <v>1660.4836859077061</v>
      </c>
    </row>
    <row r="597" spans="1:3" x14ac:dyDescent="0.3">
      <c r="A597">
        <v>1001245</v>
      </c>
      <c r="B597" t="s">
        <v>596</v>
      </c>
      <c r="C597" s="12">
        <v>500.60279130434799</v>
      </c>
    </row>
    <row r="598" spans="1:3" x14ac:dyDescent="0.3">
      <c r="A598">
        <v>1001246</v>
      </c>
      <c r="B598" t="s">
        <v>597</v>
      </c>
      <c r="C598" s="12">
        <v>3055.44</v>
      </c>
    </row>
    <row r="599" spans="1:3" x14ac:dyDescent="0.3">
      <c r="A599">
        <v>1001253</v>
      </c>
      <c r="B599" t="s">
        <v>598</v>
      </c>
      <c r="C599" s="12">
        <v>103.06</v>
      </c>
    </row>
    <row r="600" spans="1:3" x14ac:dyDescent="0.3">
      <c r="A600">
        <v>1001254</v>
      </c>
      <c r="B600" t="s">
        <v>599</v>
      </c>
      <c r="C600" s="12">
        <v>47.693999515720897</v>
      </c>
    </row>
    <row r="601" spans="1:3" x14ac:dyDescent="0.3">
      <c r="A601">
        <v>1001256</v>
      </c>
      <c r="B601" t="s">
        <v>600</v>
      </c>
      <c r="C601" s="12">
        <v>524.61339026470102</v>
      </c>
    </row>
    <row r="602" spans="1:3" x14ac:dyDescent="0.3">
      <c r="A602">
        <v>1001257</v>
      </c>
      <c r="B602" t="s">
        <v>601</v>
      </c>
      <c r="C602" s="12">
        <v>21.153241958036698</v>
      </c>
    </row>
    <row r="603" spans="1:3" x14ac:dyDescent="0.3">
      <c r="A603">
        <v>1001259</v>
      </c>
      <c r="B603" t="s">
        <v>602</v>
      </c>
      <c r="C603" s="12">
        <v>1450</v>
      </c>
    </row>
    <row r="604" spans="1:3" x14ac:dyDescent="0.3">
      <c r="A604">
        <v>1001261</v>
      </c>
      <c r="B604" t="s">
        <v>603</v>
      </c>
      <c r="C604" s="12">
        <v>865.33333333333303</v>
      </c>
    </row>
    <row r="605" spans="1:3" x14ac:dyDescent="0.3">
      <c r="A605">
        <v>1001262</v>
      </c>
      <c r="B605" t="s">
        <v>604</v>
      </c>
      <c r="C605" s="12">
        <v>0</v>
      </c>
    </row>
    <row r="606" spans="1:3" x14ac:dyDescent="0.3">
      <c r="A606">
        <v>1001263</v>
      </c>
      <c r="B606" t="s">
        <v>605</v>
      </c>
      <c r="C606" s="12">
        <v>167.91684447219424</v>
      </c>
    </row>
    <row r="607" spans="1:3" x14ac:dyDescent="0.3">
      <c r="A607">
        <v>1001264</v>
      </c>
      <c r="B607" t="s">
        <v>606</v>
      </c>
      <c r="C607" s="12">
        <v>116</v>
      </c>
    </row>
    <row r="608" spans="1:3" x14ac:dyDescent="0.3">
      <c r="A608">
        <v>1001265</v>
      </c>
      <c r="B608" t="s">
        <v>607</v>
      </c>
      <c r="C608" s="12">
        <v>101.430769230769</v>
      </c>
    </row>
    <row r="609" spans="1:3" x14ac:dyDescent="0.3">
      <c r="A609">
        <v>1001266</v>
      </c>
      <c r="B609" t="s">
        <v>608</v>
      </c>
      <c r="C609" s="12">
        <v>2335.7933333333299</v>
      </c>
    </row>
    <row r="610" spans="1:3" x14ac:dyDescent="0.3">
      <c r="A610">
        <v>1001267</v>
      </c>
      <c r="B610" t="s">
        <v>609</v>
      </c>
      <c r="C610" s="12">
        <v>2437.8760000000002</v>
      </c>
    </row>
    <row r="611" spans="1:3" x14ac:dyDescent="0.3">
      <c r="A611">
        <v>1001268</v>
      </c>
      <c r="B611" t="s">
        <v>610</v>
      </c>
      <c r="C611" s="12">
        <v>8958.0499999999902</v>
      </c>
    </row>
    <row r="612" spans="1:3" x14ac:dyDescent="0.3">
      <c r="A612">
        <v>1001269</v>
      </c>
      <c r="B612" t="s">
        <v>611</v>
      </c>
      <c r="C612" s="12">
        <v>441.1</v>
      </c>
    </row>
    <row r="613" spans="1:3" x14ac:dyDescent="0.3">
      <c r="A613">
        <v>1001270</v>
      </c>
      <c r="B613" t="s">
        <v>612</v>
      </c>
      <c r="C613" s="12">
        <v>1067.93</v>
      </c>
    </row>
    <row r="614" spans="1:3" x14ac:dyDescent="0.3">
      <c r="A614">
        <v>1001271</v>
      </c>
      <c r="B614" t="s">
        <v>613</v>
      </c>
      <c r="C614" s="12">
        <v>73.567148487131618</v>
      </c>
    </row>
    <row r="615" spans="1:3" x14ac:dyDescent="0.3">
      <c r="A615">
        <v>1001275</v>
      </c>
      <c r="B615" t="s">
        <v>614</v>
      </c>
      <c r="C615" s="12">
        <v>9001</v>
      </c>
    </row>
    <row r="616" spans="1:3" x14ac:dyDescent="0.3">
      <c r="A616">
        <v>1001276</v>
      </c>
      <c r="B616" t="s">
        <v>615</v>
      </c>
      <c r="C616" s="12">
        <v>2090.4123076923102</v>
      </c>
    </row>
    <row r="617" spans="1:3" x14ac:dyDescent="0.3">
      <c r="A617">
        <v>1001277</v>
      </c>
      <c r="B617" t="s">
        <v>616</v>
      </c>
      <c r="C617" s="12">
        <v>1082.99</v>
      </c>
    </row>
    <row r="618" spans="1:3" x14ac:dyDescent="0.3">
      <c r="A618">
        <v>1001278</v>
      </c>
      <c r="B618" t="s">
        <v>617</v>
      </c>
      <c r="C618" s="12">
        <v>220.46542485378598</v>
      </c>
    </row>
    <row r="619" spans="1:3" x14ac:dyDescent="0.3">
      <c r="A619">
        <v>1001280</v>
      </c>
      <c r="B619" t="s">
        <v>618</v>
      </c>
      <c r="C619" s="12">
        <v>0</v>
      </c>
    </row>
    <row r="620" spans="1:3" x14ac:dyDescent="0.3">
      <c r="A620">
        <v>1001282</v>
      </c>
      <c r="B620" t="s">
        <v>619</v>
      </c>
      <c r="C620" s="12">
        <v>250</v>
      </c>
    </row>
    <row r="621" spans="1:3" x14ac:dyDescent="0.3">
      <c r="A621">
        <v>1001285</v>
      </c>
      <c r="B621" t="s">
        <v>620</v>
      </c>
      <c r="C621" s="12">
        <v>200</v>
      </c>
    </row>
    <row r="622" spans="1:3" x14ac:dyDescent="0.3">
      <c r="A622">
        <v>1001286</v>
      </c>
      <c r="B622" t="s">
        <v>621</v>
      </c>
      <c r="C622" s="12">
        <v>1025.0340756908231</v>
      </c>
    </row>
    <row r="623" spans="1:3" x14ac:dyDescent="0.3">
      <c r="A623">
        <v>1001287</v>
      </c>
      <c r="B623" t="s">
        <v>622</v>
      </c>
      <c r="C623" s="12">
        <v>335.22981277149159</v>
      </c>
    </row>
    <row r="624" spans="1:3" x14ac:dyDescent="0.3">
      <c r="A624">
        <v>1001291</v>
      </c>
      <c r="B624" t="s">
        <v>623</v>
      </c>
      <c r="C624" s="12">
        <v>35.036129032258067</v>
      </c>
    </row>
    <row r="625" spans="1:3" x14ac:dyDescent="0.3">
      <c r="A625">
        <v>1001292</v>
      </c>
      <c r="B625" t="s">
        <v>624</v>
      </c>
      <c r="C625" s="12">
        <v>35.865369951167054</v>
      </c>
    </row>
    <row r="626" spans="1:3" x14ac:dyDescent="0.3">
      <c r="A626">
        <v>1001293</v>
      </c>
      <c r="B626" t="s">
        <v>625</v>
      </c>
      <c r="C626" s="12">
        <v>0</v>
      </c>
    </row>
    <row r="627" spans="1:3" x14ac:dyDescent="0.3">
      <c r="A627">
        <v>1001294</v>
      </c>
      <c r="B627" t="s">
        <v>626</v>
      </c>
      <c r="C627" s="12">
        <v>71.345885032003906</v>
      </c>
    </row>
    <row r="628" spans="1:3" x14ac:dyDescent="0.3">
      <c r="A628">
        <v>1001295</v>
      </c>
      <c r="B628" t="s">
        <v>627</v>
      </c>
      <c r="C628" s="12">
        <v>2360</v>
      </c>
    </row>
    <row r="629" spans="1:3" x14ac:dyDescent="0.3">
      <c r="A629">
        <v>1001298</v>
      </c>
      <c r="B629" t="s">
        <v>628</v>
      </c>
      <c r="C629" s="12">
        <v>542.23</v>
      </c>
    </row>
    <row r="630" spans="1:3" x14ac:dyDescent="0.3">
      <c r="A630">
        <v>1001300</v>
      </c>
      <c r="B630" t="s">
        <v>629</v>
      </c>
      <c r="C630" s="12">
        <v>1183.9884040816326</v>
      </c>
    </row>
    <row r="631" spans="1:3" x14ac:dyDescent="0.3">
      <c r="A631">
        <v>1001301</v>
      </c>
      <c r="B631" t="s">
        <v>630</v>
      </c>
      <c r="C631" s="12">
        <v>1350</v>
      </c>
    </row>
    <row r="632" spans="1:3" x14ac:dyDescent="0.3">
      <c r="A632">
        <v>1001302</v>
      </c>
      <c r="B632" t="s">
        <v>631</v>
      </c>
      <c r="C632" s="12">
        <v>1276</v>
      </c>
    </row>
    <row r="633" spans="1:3" x14ac:dyDescent="0.3">
      <c r="A633">
        <v>1001303</v>
      </c>
      <c r="B633" t="s">
        <v>632</v>
      </c>
      <c r="C633" s="12">
        <v>12.1</v>
      </c>
    </row>
    <row r="634" spans="1:3" x14ac:dyDescent="0.3">
      <c r="A634">
        <v>1001304</v>
      </c>
      <c r="B634" t="s">
        <v>633</v>
      </c>
      <c r="C634" s="12">
        <v>0</v>
      </c>
    </row>
    <row r="635" spans="1:3" x14ac:dyDescent="0.3">
      <c r="A635">
        <v>1001305</v>
      </c>
      <c r="B635" t="s">
        <v>634</v>
      </c>
      <c r="C635" s="12">
        <v>870.58360362554106</v>
      </c>
    </row>
    <row r="636" spans="1:3" x14ac:dyDescent="0.3">
      <c r="A636">
        <v>1001306</v>
      </c>
      <c r="B636" t="s">
        <v>635</v>
      </c>
      <c r="C636" s="12">
        <v>2598.4</v>
      </c>
    </row>
    <row r="637" spans="1:3" x14ac:dyDescent="0.3">
      <c r="A637">
        <v>1001307</v>
      </c>
      <c r="B637" t="s">
        <v>636</v>
      </c>
      <c r="C637" s="12">
        <v>7670</v>
      </c>
    </row>
    <row r="638" spans="1:3" x14ac:dyDescent="0.3">
      <c r="A638">
        <v>1001308</v>
      </c>
      <c r="B638" t="s">
        <v>637</v>
      </c>
      <c r="C638" s="12">
        <v>116.48902323688802</v>
      </c>
    </row>
    <row r="639" spans="1:3" x14ac:dyDescent="0.3">
      <c r="A639">
        <v>1001309</v>
      </c>
      <c r="B639" t="s">
        <v>638</v>
      </c>
      <c r="C639" s="12">
        <v>88.633564532104401</v>
      </c>
    </row>
    <row r="640" spans="1:3" x14ac:dyDescent="0.3">
      <c r="A640">
        <v>1001311</v>
      </c>
      <c r="B640" t="s">
        <v>639</v>
      </c>
      <c r="C640" s="12">
        <v>773.49002779540797</v>
      </c>
    </row>
    <row r="641" spans="1:3" x14ac:dyDescent="0.3">
      <c r="A641">
        <v>1001312</v>
      </c>
      <c r="B641" t="s">
        <v>640</v>
      </c>
      <c r="C641" s="12">
        <v>702.34095145547394</v>
      </c>
    </row>
    <row r="642" spans="1:3" x14ac:dyDescent="0.3">
      <c r="A642">
        <v>1001313</v>
      </c>
      <c r="B642" t="s">
        <v>641</v>
      </c>
      <c r="C642" s="12">
        <v>48.388571428571403</v>
      </c>
    </row>
    <row r="643" spans="1:3" x14ac:dyDescent="0.3">
      <c r="A643">
        <v>1001314</v>
      </c>
      <c r="B643" t="s">
        <v>642</v>
      </c>
      <c r="C643" s="12">
        <v>635.83299789560078</v>
      </c>
    </row>
    <row r="644" spans="1:3" x14ac:dyDescent="0.3">
      <c r="A644">
        <v>1001315</v>
      </c>
      <c r="B644" t="s">
        <v>643</v>
      </c>
      <c r="C644" s="12">
        <v>353.28999999999996</v>
      </c>
    </row>
    <row r="645" spans="1:3" x14ac:dyDescent="0.3">
      <c r="A645">
        <v>1001318</v>
      </c>
      <c r="B645" t="s">
        <v>644</v>
      </c>
      <c r="C645" s="12">
        <v>222.56224165363773</v>
      </c>
    </row>
    <row r="646" spans="1:3" x14ac:dyDescent="0.3">
      <c r="A646">
        <v>1001319</v>
      </c>
      <c r="B646" t="s">
        <v>645</v>
      </c>
      <c r="C646" s="12">
        <v>587.96607466573857</v>
      </c>
    </row>
    <row r="647" spans="1:3" x14ac:dyDescent="0.3">
      <c r="A647">
        <v>1001320</v>
      </c>
      <c r="B647" t="s">
        <v>646</v>
      </c>
      <c r="C647" s="12">
        <v>257.88156027336652</v>
      </c>
    </row>
    <row r="648" spans="1:3" x14ac:dyDescent="0.3">
      <c r="A648">
        <v>1001322</v>
      </c>
      <c r="B648" t="s">
        <v>647</v>
      </c>
      <c r="C648" s="12">
        <v>3979.6497981103598</v>
      </c>
    </row>
    <row r="649" spans="1:3" x14ac:dyDescent="0.3">
      <c r="A649">
        <v>1001323</v>
      </c>
      <c r="B649" t="s">
        <v>648</v>
      </c>
      <c r="C649" s="12">
        <v>2546.1821800708499</v>
      </c>
    </row>
    <row r="650" spans="1:3" x14ac:dyDescent="0.3">
      <c r="A650">
        <v>1001324</v>
      </c>
      <c r="B650" t="s">
        <v>649</v>
      </c>
      <c r="C650" s="12">
        <v>1468.2788171651982</v>
      </c>
    </row>
    <row r="651" spans="1:3" x14ac:dyDescent="0.3">
      <c r="A651">
        <v>1001326</v>
      </c>
      <c r="B651" t="s">
        <v>650</v>
      </c>
      <c r="C651" s="12">
        <v>3404.2723526353875</v>
      </c>
    </row>
    <row r="652" spans="1:3" x14ac:dyDescent="0.3">
      <c r="A652">
        <v>1001329</v>
      </c>
      <c r="B652" t="s">
        <v>651</v>
      </c>
      <c r="C652" s="12">
        <v>3884.8742434061701</v>
      </c>
    </row>
    <row r="653" spans="1:3" x14ac:dyDescent="0.3">
      <c r="A653">
        <v>1001330</v>
      </c>
      <c r="B653" t="s">
        <v>652</v>
      </c>
      <c r="C653" s="12">
        <v>440.8</v>
      </c>
    </row>
    <row r="654" spans="1:3" x14ac:dyDescent="0.3">
      <c r="A654">
        <v>1001333</v>
      </c>
      <c r="B654" t="s">
        <v>653</v>
      </c>
      <c r="C654" s="12">
        <v>626.82962962962995</v>
      </c>
    </row>
    <row r="655" spans="1:3" x14ac:dyDescent="0.3">
      <c r="A655">
        <v>1001341</v>
      </c>
      <c r="B655" t="s">
        <v>654</v>
      </c>
      <c r="C655" s="12">
        <v>323.142857142857</v>
      </c>
    </row>
    <row r="656" spans="1:3" x14ac:dyDescent="0.3">
      <c r="A656">
        <v>1001344</v>
      </c>
      <c r="B656" t="s">
        <v>655</v>
      </c>
      <c r="C656" s="12">
        <v>100.3</v>
      </c>
    </row>
    <row r="657" spans="1:3" x14ac:dyDescent="0.3">
      <c r="A657">
        <v>1001349</v>
      </c>
      <c r="B657" t="s">
        <v>656</v>
      </c>
      <c r="C657" s="12">
        <v>81.2</v>
      </c>
    </row>
    <row r="658" spans="1:3" x14ac:dyDescent="0.3">
      <c r="A658">
        <v>1001358</v>
      </c>
      <c r="B658" t="s">
        <v>657</v>
      </c>
      <c r="C658" s="12">
        <v>86.05</v>
      </c>
    </row>
    <row r="659" spans="1:3" x14ac:dyDescent="0.3">
      <c r="A659">
        <v>1001363</v>
      </c>
      <c r="B659" t="s">
        <v>658</v>
      </c>
      <c r="C659" s="12">
        <v>2081.94333333333</v>
      </c>
    </row>
    <row r="660" spans="1:3" x14ac:dyDescent="0.3">
      <c r="A660">
        <v>1001366</v>
      </c>
      <c r="B660" t="s">
        <v>659</v>
      </c>
      <c r="C660" s="12">
        <v>1484.84</v>
      </c>
    </row>
    <row r="661" spans="1:3" x14ac:dyDescent="0.3">
      <c r="A661">
        <v>1001374</v>
      </c>
      <c r="B661" t="s">
        <v>660</v>
      </c>
      <c r="C661" s="12">
        <v>1870.3046493059701</v>
      </c>
    </row>
    <row r="662" spans="1:3" x14ac:dyDescent="0.3">
      <c r="A662">
        <v>1001378</v>
      </c>
      <c r="B662" t="s">
        <v>661</v>
      </c>
      <c r="C662" s="12">
        <v>63.8</v>
      </c>
    </row>
    <row r="663" spans="1:3" x14ac:dyDescent="0.3">
      <c r="A663">
        <v>1001383</v>
      </c>
      <c r="B663" t="s">
        <v>662</v>
      </c>
      <c r="C663" s="12">
        <v>610.00999999999897</v>
      </c>
    </row>
    <row r="664" spans="1:3" x14ac:dyDescent="0.3">
      <c r="A664">
        <v>1001386</v>
      </c>
      <c r="B664" t="s">
        <v>663</v>
      </c>
      <c r="C664" s="12">
        <v>647.22857142857094</v>
      </c>
    </row>
    <row r="665" spans="1:3" x14ac:dyDescent="0.3">
      <c r="A665">
        <v>1001387</v>
      </c>
      <c r="B665" t="s">
        <v>664</v>
      </c>
      <c r="C665" s="12">
        <v>584.1</v>
      </c>
    </row>
    <row r="666" spans="1:3" x14ac:dyDescent="0.3">
      <c r="A666">
        <v>1001389</v>
      </c>
      <c r="B666" t="s">
        <v>665</v>
      </c>
      <c r="C666" s="12">
        <v>503.44</v>
      </c>
    </row>
    <row r="667" spans="1:3" x14ac:dyDescent="0.3">
      <c r="A667">
        <v>1001390</v>
      </c>
      <c r="B667" t="s">
        <v>666</v>
      </c>
      <c r="C667" s="12">
        <v>66.099999999999994</v>
      </c>
    </row>
    <row r="668" spans="1:3" x14ac:dyDescent="0.3">
      <c r="A668">
        <v>1001393</v>
      </c>
      <c r="B668" t="s">
        <v>667</v>
      </c>
      <c r="C668" s="12">
        <v>4.3499999999999996</v>
      </c>
    </row>
    <row r="669" spans="1:3" x14ac:dyDescent="0.3">
      <c r="A669">
        <v>1001395</v>
      </c>
      <c r="B669" t="s">
        <v>668</v>
      </c>
      <c r="C669" s="12">
        <v>0</v>
      </c>
    </row>
    <row r="670" spans="1:3" x14ac:dyDescent="0.3">
      <c r="A670">
        <v>1001396</v>
      </c>
      <c r="B670" t="s">
        <v>669</v>
      </c>
      <c r="C670" s="12">
        <v>46.4</v>
      </c>
    </row>
    <row r="671" spans="1:3" x14ac:dyDescent="0.3">
      <c r="A671">
        <v>1001397</v>
      </c>
      <c r="B671" t="s">
        <v>670</v>
      </c>
      <c r="C671" s="12">
        <v>220.008088235294</v>
      </c>
    </row>
    <row r="672" spans="1:3" x14ac:dyDescent="0.3">
      <c r="A672">
        <v>1001403</v>
      </c>
      <c r="B672" t="s">
        <v>671</v>
      </c>
      <c r="C672" s="12">
        <v>27865.295019345202</v>
      </c>
    </row>
    <row r="673" spans="1:3" x14ac:dyDescent="0.3">
      <c r="A673">
        <v>1001404</v>
      </c>
      <c r="B673" t="s">
        <v>672</v>
      </c>
      <c r="C673" s="12">
        <v>52033.773111904797</v>
      </c>
    </row>
    <row r="674" spans="1:3" x14ac:dyDescent="0.3">
      <c r="A674">
        <v>1001406</v>
      </c>
      <c r="B674" t="s">
        <v>673</v>
      </c>
      <c r="C674" s="12">
        <v>1681.5</v>
      </c>
    </row>
    <row r="675" spans="1:3" x14ac:dyDescent="0.3">
      <c r="A675">
        <v>1001411</v>
      </c>
      <c r="B675" t="s">
        <v>674</v>
      </c>
      <c r="C675" s="12">
        <v>0</v>
      </c>
    </row>
    <row r="676" spans="1:3" x14ac:dyDescent="0.3">
      <c r="A676">
        <v>1001413</v>
      </c>
      <c r="B676" t="s">
        <v>675</v>
      </c>
      <c r="C676" s="12">
        <v>4096.5614863334804</v>
      </c>
    </row>
    <row r="677" spans="1:3" x14ac:dyDescent="0.3">
      <c r="A677">
        <v>1001419</v>
      </c>
      <c r="B677" t="s">
        <v>676</v>
      </c>
      <c r="C677" s="12">
        <v>2471.2369205146701</v>
      </c>
    </row>
    <row r="678" spans="1:3" x14ac:dyDescent="0.3">
      <c r="A678">
        <v>1001420</v>
      </c>
      <c r="B678" t="s">
        <v>677</v>
      </c>
      <c r="C678" s="12">
        <v>772.61904761904782</v>
      </c>
    </row>
    <row r="679" spans="1:3" x14ac:dyDescent="0.3">
      <c r="A679">
        <v>1001422</v>
      </c>
      <c r="B679" t="s">
        <v>678</v>
      </c>
      <c r="C679" s="12">
        <v>10889.51081632653</v>
      </c>
    </row>
    <row r="680" spans="1:3" x14ac:dyDescent="0.3">
      <c r="A680">
        <v>1001423</v>
      </c>
      <c r="B680" t="s">
        <v>679</v>
      </c>
      <c r="C680" s="12">
        <v>2966.5891532805454</v>
      </c>
    </row>
    <row r="681" spans="1:3" x14ac:dyDescent="0.3">
      <c r="A681">
        <v>1001425</v>
      </c>
      <c r="B681" t="s">
        <v>680</v>
      </c>
      <c r="C681" s="12">
        <v>990.02</v>
      </c>
    </row>
    <row r="682" spans="1:3" x14ac:dyDescent="0.3">
      <c r="A682">
        <v>1001430</v>
      </c>
      <c r="B682" t="s">
        <v>681</v>
      </c>
      <c r="C682" s="12">
        <v>880.54588462205515</v>
      </c>
    </row>
    <row r="683" spans="1:3" x14ac:dyDescent="0.3">
      <c r="A683">
        <v>1001431</v>
      </c>
      <c r="B683" t="s">
        <v>682</v>
      </c>
      <c r="C683" s="12">
        <v>378.15999999999997</v>
      </c>
    </row>
    <row r="684" spans="1:3" x14ac:dyDescent="0.3">
      <c r="A684">
        <v>1001438</v>
      </c>
      <c r="B684" t="s">
        <v>683</v>
      </c>
      <c r="C684" s="12">
        <v>0</v>
      </c>
    </row>
    <row r="685" spans="1:3" x14ac:dyDescent="0.3">
      <c r="A685">
        <v>1001443</v>
      </c>
      <c r="B685" t="s">
        <v>684</v>
      </c>
      <c r="C685" s="12">
        <v>9150.6730985686409</v>
      </c>
    </row>
    <row r="686" spans="1:3" x14ac:dyDescent="0.3">
      <c r="A686">
        <v>1001445</v>
      </c>
      <c r="B686" t="s">
        <v>685</v>
      </c>
      <c r="C686" s="12">
        <v>17412.007830506634</v>
      </c>
    </row>
    <row r="687" spans="1:3" x14ac:dyDescent="0.3">
      <c r="A687">
        <v>1001446</v>
      </c>
      <c r="B687" t="s">
        <v>686</v>
      </c>
      <c r="C687" s="12">
        <v>18968.5</v>
      </c>
    </row>
    <row r="688" spans="1:3" x14ac:dyDescent="0.3">
      <c r="A688">
        <v>1001447</v>
      </c>
      <c r="B688" t="s">
        <v>687</v>
      </c>
      <c r="C688" s="12">
        <v>4289.4475000000002</v>
      </c>
    </row>
    <row r="689" spans="1:3" x14ac:dyDescent="0.3">
      <c r="A689">
        <v>1001451</v>
      </c>
      <c r="B689" t="s">
        <v>688</v>
      </c>
      <c r="C689" s="12">
        <v>800.00852272727298</v>
      </c>
    </row>
    <row r="690" spans="1:3" x14ac:dyDescent="0.3">
      <c r="A690">
        <v>1001452</v>
      </c>
      <c r="B690" t="s">
        <v>689</v>
      </c>
      <c r="C690" s="12">
        <v>1883.84</v>
      </c>
    </row>
    <row r="691" spans="1:3" x14ac:dyDescent="0.3">
      <c r="A691">
        <v>1001454</v>
      </c>
      <c r="B691" t="s">
        <v>690</v>
      </c>
      <c r="C691" s="12">
        <v>363.38</v>
      </c>
    </row>
    <row r="692" spans="1:3" x14ac:dyDescent="0.3">
      <c r="A692">
        <v>1001457</v>
      </c>
      <c r="B692" t="s">
        <v>691</v>
      </c>
      <c r="C692" s="12">
        <v>14117.25</v>
      </c>
    </row>
    <row r="693" spans="1:3" x14ac:dyDescent="0.3">
      <c r="A693">
        <v>1001458</v>
      </c>
      <c r="B693" t="s">
        <v>692</v>
      </c>
      <c r="C693" s="12">
        <v>213.44</v>
      </c>
    </row>
    <row r="694" spans="1:3" x14ac:dyDescent="0.3">
      <c r="A694">
        <v>1001459</v>
      </c>
      <c r="B694" t="s">
        <v>693</v>
      </c>
      <c r="C694" s="12">
        <v>300.68161363636352</v>
      </c>
    </row>
    <row r="695" spans="1:3" x14ac:dyDescent="0.3">
      <c r="A695">
        <v>1001461</v>
      </c>
      <c r="B695" t="s">
        <v>694</v>
      </c>
      <c r="C695" s="12">
        <v>56028</v>
      </c>
    </row>
    <row r="696" spans="1:3" x14ac:dyDescent="0.3">
      <c r="A696">
        <v>1001462</v>
      </c>
      <c r="B696" t="s">
        <v>695</v>
      </c>
      <c r="C696" s="12">
        <v>0</v>
      </c>
    </row>
    <row r="697" spans="1:3" x14ac:dyDescent="0.3">
      <c r="A697">
        <v>1001465</v>
      </c>
      <c r="B697" t="s">
        <v>696</v>
      </c>
      <c r="C697" s="12">
        <v>52.121667893566467</v>
      </c>
    </row>
    <row r="698" spans="1:3" x14ac:dyDescent="0.3">
      <c r="A698">
        <v>1001480</v>
      </c>
      <c r="B698" t="s">
        <v>697</v>
      </c>
      <c r="C698" s="12">
        <v>139.24</v>
      </c>
    </row>
    <row r="699" spans="1:3" x14ac:dyDescent="0.3">
      <c r="A699">
        <v>1001481</v>
      </c>
      <c r="B699" t="s">
        <v>698</v>
      </c>
      <c r="C699" s="12">
        <v>1844.4</v>
      </c>
    </row>
    <row r="700" spans="1:3" x14ac:dyDescent="0.3">
      <c r="A700">
        <v>1001482</v>
      </c>
      <c r="B700" t="s">
        <v>699</v>
      </c>
      <c r="C700" s="12">
        <v>232</v>
      </c>
    </row>
    <row r="701" spans="1:3" x14ac:dyDescent="0.3">
      <c r="A701">
        <v>1001483</v>
      </c>
      <c r="B701" t="s">
        <v>700</v>
      </c>
      <c r="C701" s="12">
        <v>0</v>
      </c>
    </row>
    <row r="702" spans="1:3" x14ac:dyDescent="0.3">
      <c r="A702">
        <v>1001484</v>
      </c>
      <c r="B702" t="s">
        <v>701</v>
      </c>
      <c r="C702" s="12">
        <v>1268.5</v>
      </c>
    </row>
    <row r="703" spans="1:3" x14ac:dyDescent="0.3">
      <c r="A703">
        <v>1001485</v>
      </c>
      <c r="B703" t="s">
        <v>702</v>
      </c>
      <c r="C703" s="12">
        <v>247.8</v>
      </c>
    </row>
    <row r="704" spans="1:3" x14ac:dyDescent="0.3">
      <c r="A704">
        <v>1001486</v>
      </c>
      <c r="B704" t="s">
        <v>703</v>
      </c>
      <c r="C704" s="12">
        <v>19163.2</v>
      </c>
    </row>
    <row r="705" spans="1:3" x14ac:dyDescent="0.3">
      <c r="A705">
        <v>1001491</v>
      </c>
      <c r="B705" t="s">
        <v>704</v>
      </c>
      <c r="C705" s="12">
        <v>1183.2</v>
      </c>
    </row>
    <row r="706" spans="1:3" x14ac:dyDescent="0.3">
      <c r="A706">
        <v>1001499</v>
      </c>
      <c r="B706" t="s">
        <v>705</v>
      </c>
      <c r="C706" s="12">
        <v>145</v>
      </c>
    </row>
    <row r="707" spans="1:3" x14ac:dyDescent="0.3">
      <c r="A707">
        <v>1001501</v>
      </c>
      <c r="B707" t="s">
        <v>706</v>
      </c>
      <c r="C707" s="12">
        <v>177</v>
      </c>
    </row>
    <row r="708" spans="1:3" x14ac:dyDescent="0.3">
      <c r="A708">
        <v>1001503</v>
      </c>
      <c r="B708" t="s">
        <v>707</v>
      </c>
      <c r="C708" s="12">
        <v>213.84</v>
      </c>
    </row>
    <row r="709" spans="1:3" x14ac:dyDescent="0.3">
      <c r="A709">
        <v>1001504</v>
      </c>
      <c r="B709" t="s">
        <v>708</v>
      </c>
      <c r="C709" s="12">
        <v>66.866666666666703</v>
      </c>
    </row>
    <row r="710" spans="1:3" x14ac:dyDescent="0.3">
      <c r="A710">
        <v>1001505</v>
      </c>
      <c r="B710" t="s">
        <v>709</v>
      </c>
      <c r="C710" s="12">
        <v>394.4</v>
      </c>
    </row>
    <row r="711" spans="1:3" x14ac:dyDescent="0.3">
      <c r="A711">
        <v>1001506</v>
      </c>
      <c r="B711" t="s">
        <v>710</v>
      </c>
      <c r="C711" s="12">
        <v>3042.9205168887047</v>
      </c>
    </row>
    <row r="712" spans="1:3" x14ac:dyDescent="0.3">
      <c r="A712">
        <v>1001507</v>
      </c>
      <c r="B712" t="s">
        <v>711</v>
      </c>
      <c r="C712" s="12">
        <v>616.69206896551702</v>
      </c>
    </row>
    <row r="713" spans="1:3" x14ac:dyDescent="0.3">
      <c r="A713">
        <v>1001508</v>
      </c>
      <c r="B713" t="s">
        <v>712</v>
      </c>
      <c r="C713" s="12">
        <v>920.4</v>
      </c>
    </row>
    <row r="714" spans="1:3" x14ac:dyDescent="0.3">
      <c r="A714">
        <v>1001509</v>
      </c>
      <c r="B714" t="s">
        <v>713</v>
      </c>
      <c r="C714" s="12">
        <v>0</v>
      </c>
    </row>
    <row r="715" spans="1:3" x14ac:dyDescent="0.3">
      <c r="A715">
        <v>1001511</v>
      </c>
      <c r="B715" t="s">
        <v>714</v>
      </c>
      <c r="C715" s="12">
        <v>1809.4288095238101</v>
      </c>
    </row>
    <row r="716" spans="1:3" x14ac:dyDescent="0.3">
      <c r="A716">
        <v>1001512</v>
      </c>
      <c r="B716" t="s">
        <v>715</v>
      </c>
      <c r="C716" s="12">
        <v>2241.8815454545502</v>
      </c>
    </row>
    <row r="717" spans="1:3" x14ac:dyDescent="0.3">
      <c r="A717">
        <v>1001513</v>
      </c>
      <c r="B717" t="s">
        <v>716</v>
      </c>
      <c r="C717" s="12">
        <v>2432.3174957483002</v>
      </c>
    </row>
    <row r="718" spans="1:3" x14ac:dyDescent="0.3">
      <c r="A718">
        <v>1001514</v>
      </c>
      <c r="B718" t="s">
        <v>717</v>
      </c>
      <c r="C718" s="12">
        <v>800.4</v>
      </c>
    </row>
    <row r="719" spans="1:3" x14ac:dyDescent="0.3">
      <c r="A719">
        <v>1001516</v>
      </c>
      <c r="B719" t="s">
        <v>718</v>
      </c>
      <c r="C719" s="12">
        <v>730.8</v>
      </c>
    </row>
    <row r="720" spans="1:3" x14ac:dyDescent="0.3">
      <c r="A720">
        <v>1001517</v>
      </c>
      <c r="B720" t="s">
        <v>719</v>
      </c>
      <c r="C720" s="12">
        <v>881.6</v>
      </c>
    </row>
    <row r="721" spans="1:3" x14ac:dyDescent="0.3">
      <c r="A721">
        <v>1001518</v>
      </c>
      <c r="B721" t="s">
        <v>720</v>
      </c>
      <c r="C721" s="12">
        <v>2145.9201373675801</v>
      </c>
    </row>
    <row r="722" spans="1:3" x14ac:dyDescent="0.3">
      <c r="A722">
        <v>1001523</v>
      </c>
      <c r="B722" t="s">
        <v>721</v>
      </c>
      <c r="C722" s="12">
        <v>6726</v>
      </c>
    </row>
    <row r="723" spans="1:3" x14ac:dyDescent="0.3">
      <c r="A723">
        <v>1001524</v>
      </c>
      <c r="B723" t="s">
        <v>722</v>
      </c>
      <c r="C723" s="12">
        <v>3426.9751777777801</v>
      </c>
    </row>
    <row r="724" spans="1:3" x14ac:dyDescent="0.3">
      <c r="A724">
        <v>1001526</v>
      </c>
      <c r="B724" t="s">
        <v>723</v>
      </c>
      <c r="C724" s="12">
        <v>2342.9326666666698</v>
      </c>
    </row>
    <row r="725" spans="1:3" x14ac:dyDescent="0.3">
      <c r="A725">
        <v>1001527</v>
      </c>
      <c r="B725" t="s">
        <v>724</v>
      </c>
      <c r="C725" s="12">
        <v>1794.1386155555599</v>
      </c>
    </row>
    <row r="726" spans="1:3" x14ac:dyDescent="0.3">
      <c r="A726">
        <v>1001528</v>
      </c>
      <c r="B726" t="s">
        <v>725</v>
      </c>
      <c r="C726" s="12">
        <v>2342.9288571428601</v>
      </c>
    </row>
    <row r="727" spans="1:3" x14ac:dyDescent="0.3">
      <c r="A727">
        <v>1001529</v>
      </c>
      <c r="B727" t="s">
        <v>726</v>
      </c>
      <c r="C727" s="12">
        <v>2126.33559254183</v>
      </c>
    </row>
    <row r="728" spans="1:3" x14ac:dyDescent="0.3">
      <c r="A728">
        <v>1001531</v>
      </c>
      <c r="B728" t="s">
        <v>727</v>
      </c>
      <c r="C728" s="12">
        <v>282.06</v>
      </c>
    </row>
    <row r="729" spans="1:3" x14ac:dyDescent="0.3">
      <c r="A729">
        <v>1001536</v>
      </c>
      <c r="B729" t="s">
        <v>728</v>
      </c>
      <c r="C729" s="12">
        <v>846.8</v>
      </c>
    </row>
    <row r="730" spans="1:3" x14ac:dyDescent="0.3">
      <c r="A730">
        <v>1001537</v>
      </c>
      <c r="B730" t="s">
        <v>729</v>
      </c>
      <c r="C730" s="12">
        <v>173.34</v>
      </c>
    </row>
    <row r="731" spans="1:3" x14ac:dyDescent="0.3">
      <c r="A731">
        <v>1001543</v>
      </c>
      <c r="B731" t="s">
        <v>730</v>
      </c>
      <c r="C731" s="12">
        <v>126.9</v>
      </c>
    </row>
    <row r="732" spans="1:3" x14ac:dyDescent="0.3">
      <c r="A732">
        <v>1001544</v>
      </c>
      <c r="B732" t="s">
        <v>731</v>
      </c>
      <c r="C732" s="12">
        <v>256.08951807972392</v>
      </c>
    </row>
    <row r="733" spans="1:3" x14ac:dyDescent="0.3">
      <c r="A733">
        <v>1001546</v>
      </c>
      <c r="B733" t="s">
        <v>732</v>
      </c>
      <c r="C733" s="12">
        <v>18073.761553362572</v>
      </c>
    </row>
    <row r="734" spans="1:3" x14ac:dyDescent="0.3">
      <c r="A734">
        <v>1001552</v>
      </c>
      <c r="B734" t="s">
        <v>733</v>
      </c>
      <c r="C734" s="12">
        <v>7177.5</v>
      </c>
    </row>
    <row r="735" spans="1:3" x14ac:dyDescent="0.3">
      <c r="A735">
        <v>1001554</v>
      </c>
      <c r="B735" t="s">
        <v>734</v>
      </c>
      <c r="C735" s="12">
        <v>3986.7469206349201</v>
      </c>
    </row>
    <row r="736" spans="1:3" x14ac:dyDescent="0.3">
      <c r="A736">
        <v>1001556</v>
      </c>
      <c r="B736" t="s">
        <v>735</v>
      </c>
      <c r="C736" s="12">
        <v>268.998260869565</v>
      </c>
    </row>
    <row r="737" spans="1:3" x14ac:dyDescent="0.3">
      <c r="A737">
        <v>1001558</v>
      </c>
      <c r="B737" t="s">
        <v>736</v>
      </c>
      <c r="C737" s="12">
        <v>145</v>
      </c>
    </row>
    <row r="738" spans="1:3" x14ac:dyDescent="0.3">
      <c r="A738">
        <v>1001562</v>
      </c>
      <c r="B738" t="s">
        <v>737</v>
      </c>
      <c r="C738" s="12">
        <v>0</v>
      </c>
    </row>
    <row r="739" spans="1:3" x14ac:dyDescent="0.3">
      <c r="A739">
        <v>1001563</v>
      </c>
      <c r="B739" t="s">
        <v>738</v>
      </c>
      <c r="C739" s="12">
        <v>4003.2206352182552</v>
      </c>
    </row>
    <row r="740" spans="1:3" x14ac:dyDescent="0.3">
      <c r="A740">
        <v>1001566</v>
      </c>
      <c r="B740" t="s">
        <v>739</v>
      </c>
      <c r="C740" s="12">
        <v>494.1</v>
      </c>
    </row>
    <row r="741" spans="1:3" x14ac:dyDescent="0.3">
      <c r="A741">
        <v>1001567</v>
      </c>
      <c r="B741" t="s">
        <v>740</v>
      </c>
      <c r="C741" s="12">
        <v>628.85454545454502</v>
      </c>
    </row>
    <row r="742" spans="1:3" x14ac:dyDescent="0.3">
      <c r="A742">
        <v>1001570</v>
      </c>
      <c r="B742" t="s">
        <v>741</v>
      </c>
      <c r="C742" s="12">
        <v>121.8</v>
      </c>
    </row>
    <row r="743" spans="1:3" x14ac:dyDescent="0.3">
      <c r="A743">
        <v>1001571</v>
      </c>
      <c r="B743" t="s">
        <v>742</v>
      </c>
      <c r="C743" s="12">
        <v>205.50611702127651</v>
      </c>
    </row>
    <row r="744" spans="1:3" x14ac:dyDescent="0.3">
      <c r="A744">
        <v>1001572</v>
      </c>
      <c r="B744" t="s">
        <v>743</v>
      </c>
      <c r="C744" s="12">
        <v>266.8</v>
      </c>
    </row>
    <row r="745" spans="1:3" x14ac:dyDescent="0.3">
      <c r="A745">
        <v>1001573</v>
      </c>
      <c r="B745" t="s">
        <v>744</v>
      </c>
      <c r="C745" s="12">
        <v>221.91304347826099</v>
      </c>
    </row>
    <row r="746" spans="1:3" x14ac:dyDescent="0.3">
      <c r="A746">
        <v>1001574</v>
      </c>
      <c r="B746" t="s">
        <v>745</v>
      </c>
      <c r="C746" s="12">
        <v>3000</v>
      </c>
    </row>
    <row r="747" spans="1:3" x14ac:dyDescent="0.3">
      <c r="A747">
        <v>1001575</v>
      </c>
      <c r="B747" t="s">
        <v>746</v>
      </c>
      <c r="C747" s="12">
        <v>122.96</v>
      </c>
    </row>
    <row r="748" spans="1:3" x14ac:dyDescent="0.3">
      <c r="A748">
        <v>1001576</v>
      </c>
      <c r="B748" t="s">
        <v>747</v>
      </c>
      <c r="C748" s="12">
        <v>0</v>
      </c>
    </row>
    <row r="749" spans="1:3" x14ac:dyDescent="0.3">
      <c r="A749">
        <v>1001585</v>
      </c>
      <c r="B749" t="s">
        <v>748</v>
      </c>
      <c r="C749" s="12">
        <v>398.79030092592598</v>
      </c>
    </row>
    <row r="750" spans="1:3" x14ac:dyDescent="0.3">
      <c r="A750">
        <v>1001586</v>
      </c>
      <c r="B750" t="s">
        <v>749</v>
      </c>
      <c r="C750" s="12">
        <v>309.31</v>
      </c>
    </row>
    <row r="751" spans="1:3" x14ac:dyDescent="0.3">
      <c r="A751">
        <v>1001587</v>
      </c>
      <c r="B751" t="s">
        <v>750</v>
      </c>
      <c r="C751" s="12">
        <v>320.81333333333299</v>
      </c>
    </row>
    <row r="752" spans="1:3" x14ac:dyDescent="0.3">
      <c r="A752">
        <v>1001588</v>
      </c>
      <c r="B752" t="s">
        <v>751</v>
      </c>
      <c r="C752" s="12">
        <v>2076.4</v>
      </c>
    </row>
    <row r="753" spans="1:3" x14ac:dyDescent="0.3">
      <c r="A753">
        <v>1001589</v>
      </c>
      <c r="B753" t="s">
        <v>752</v>
      </c>
      <c r="C753" s="12">
        <v>1003</v>
      </c>
    </row>
    <row r="754" spans="1:3" x14ac:dyDescent="0.3">
      <c r="A754">
        <v>1001590</v>
      </c>
      <c r="B754" t="s">
        <v>753</v>
      </c>
      <c r="C754" s="12">
        <v>423.32499999999999</v>
      </c>
    </row>
    <row r="755" spans="1:3" x14ac:dyDescent="0.3">
      <c r="A755">
        <v>1001592</v>
      </c>
      <c r="B755" t="s">
        <v>754</v>
      </c>
      <c r="C755" s="12">
        <v>888.83999999999992</v>
      </c>
    </row>
    <row r="756" spans="1:3" x14ac:dyDescent="0.3">
      <c r="A756">
        <v>1001593</v>
      </c>
      <c r="B756" t="s">
        <v>755</v>
      </c>
      <c r="C756" s="12">
        <v>136.88</v>
      </c>
    </row>
    <row r="757" spans="1:3" x14ac:dyDescent="0.3">
      <c r="A757">
        <v>1001594</v>
      </c>
      <c r="B757" t="s">
        <v>756</v>
      </c>
      <c r="C757" s="12">
        <v>1125.2</v>
      </c>
    </row>
    <row r="758" spans="1:3" x14ac:dyDescent="0.3">
      <c r="A758">
        <v>1001598</v>
      </c>
      <c r="B758" t="s">
        <v>757</v>
      </c>
      <c r="C758" s="12">
        <v>10646.129000000001</v>
      </c>
    </row>
    <row r="759" spans="1:3" x14ac:dyDescent="0.3">
      <c r="A759">
        <v>1001599</v>
      </c>
      <c r="B759" t="s">
        <v>758</v>
      </c>
      <c r="C759" s="12">
        <v>16152.559642857143</v>
      </c>
    </row>
    <row r="760" spans="1:3" x14ac:dyDescent="0.3">
      <c r="A760">
        <v>1001600</v>
      </c>
      <c r="B760" t="s">
        <v>759</v>
      </c>
      <c r="C760" s="12">
        <v>15819</v>
      </c>
    </row>
    <row r="761" spans="1:3" x14ac:dyDescent="0.3">
      <c r="A761">
        <v>1001601</v>
      </c>
      <c r="B761" t="s">
        <v>760</v>
      </c>
      <c r="C761" s="12">
        <v>89.433333333333294</v>
      </c>
    </row>
    <row r="762" spans="1:3" x14ac:dyDescent="0.3">
      <c r="A762">
        <v>1001606</v>
      </c>
      <c r="B762" t="s">
        <v>761</v>
      </c>
      <c r="C762" s="12">
        <v>2536.8490000000002</v>
      </c>
    </row>
    <row r="763" spans="1:3" x14ac:dyDescent="0.3">
      <c r="A763">
        <v>1001607</v>
      </c>
      <c r="B763" t="s">
        <v>762</v>
      </c>
      <c r="C763" s="12">
        <v>2939.386</v>
      </c>
    </row>
    <row r="764" spans="1:3" x14ac:dyDescent="0.3">
      <c r="A764">
        <v>1001609</v>
      </c>
      <c r="B764" t="s">
        <v>763</v>
      </c>
      <c r="C764" s="12">
        <v>350</v>
      </c>
    </row>
    <row r="765" spans="1:3" x14ac:dyDescent="0.3">
      <c r="A765">
        <v>1001612</v>
      </c>
      <c r="B765" t="s">
        <v>764</v>
      </c>
      <c r="C765" s="12">
        <v>141.6</v>
      </c>
    </row>
    <row r="766" spans="1:3" x14ac:dyDescent="0.3">
      <c r="A766">
        <v>1001620</v>
      </c>
      <c r="B766" t="s">
        <v>765</v>
      </c>
      <c r="C766" s="12">
        <v>767</v>
      </c>
    </row>
    <row r="767" spans="1:3" x14ac:dyDescent="0.3">
      <c r="A767">
        <v>1001634</v>
      </c>
      <c r="B767" t="s">
        <v>766</v>
      </c>
      <c r="C767" s="12">
        <v>35662.699258370551</v>
      </c>
    </row>
    <row r="768" spans="1:3" x14ac:dyDescent="0.3">
      <c r="A768">
        <v>1001637</v>
      </c>
      <c r="B768" t="s">
        <v>767</v>
      </c>
      <c r="C768" s="12">
        <v>8700</v>
      </c>
    </row>
    <row r="769" spans="1:3" x14ac:dyDescent="0.3">
      <c r="A769">
        <v>1001639</v>
      </c>
      <c r="B769" t="s">
        <v>768</v>
      </c>
      <c r="C769" s="12">
        <v>22626.7862916667</v>
      </c>
    </row>
    <row r="770" spans="1:3" x14ac:dyDescent="0.3">
      <c r="A770">
        <v>1001651</v>
      </c>
      <c r="B770" t="s">
        <v>769</v>
      </c>
      <c r="C770" s="12">
        <v>24794.643553418799</v>
      </c>
    </row>
    <row r="771" spans="1:3" x14ac:dyDescent="0.3">
      <c r="A771">
        <v>1001652</v>
      </c>
      <c r="B771" t="s">
        <v>770</v>
      </c>
      <c r="C771" s="12">
        <v>25871.6333752137</v>
      </c>
    </row>
    <row r="772" spans="1:3" x14ac:dyDescent="0.3">
      <c r="A772">
        <v>1001653</v>
      </c>
      <c r="B772" t="s">
        <v>771</v>
      </c>
      <c r="C772" s="12">
        <v>24972.934493011893</v>
      </c>
    </row>
    <row r="773" spans="1:3" x14ac:dyDescent="0.3">
      <c r="A773">
        <v>1001654</v>
      </c>
      <c r="B773" t="s">
        <v>772</v>
      </c>
      <c r="C773" s="12">
        <v>11594.567926015483</v>
      </c>
    </row>
    <row r="774" spans="1:3" x14ac:dyDescent="0.3">
      <c r="A774">
        <v>1001664</v>
      </c>
      <c r="B774" t="s">
        <v>773</v>
      </c>
      <c r="C774" s="12">
        <v>77676.497142857144</v>
      </c>
    </row>
    <row r="775" spans="1:3" x14ac:dyDescent="0.3">
      <c r="A775">
        <v>1001670</v>
      </c>
      <c r="B775" t="s">
        <v>774</v>
      </c>
      <c r="C775" s="12">
        <v>1</v>
      </c>
    </row>
    <row r="776" spans="1:3" x14ac:dyDescent="0.3">
      <c r="A776">
        <v>1001681</v>
      </c>
      <c r="B776" t="s">
        <v>775</v>
      </c>
      <c r="C776" s="12">
        <v>18953.118637556548</v>
      </c>
    </row>
    <row r="777" spans="1:3" x14ac:dyDescent="0.3">
      <c r="A777">
        <v>1001682</v>
      </c>
      <c r="B777" t="s">
        <v>776</v>
      </c>
      <c r="C777" s="12">
        <v>4458.74053292181</v>
      </c>
    </row>
    <row r="778" spans="1:3" x14ac:dyDescent="0.3">
      <c r="A778">
        <v>1001684</v>
      </c>
      <c r="B778" t="s">
        <v>777</v>
      </c>
      <c r="C778" s="12">
        <v>3196.7280000000001</v>
      </c>
    </row>
    <row r="779" spans="1:3" x14ac:dyDescent="0.3">
      <c r="A779">
        <v>1001687</v>
      </c>
      <c r="B779" t="s">
        <v>778</v>
      </c>
      <c r="C779" s="12">
        <v>590</v>
      </c>
    </row>
    <row r="780" spans="1:3" x14ac:dyDescent="0.3">
      <c r="A780">
        <v>1001697</v>
      </c>
      <c r="B780" t="s">
        <v>779</v>
      </c>
      <c r="C780" s="12">
        <v>245067.25907894701</v>
      </c>
    </row>
    <row r="781" spans="1:3" x14ac:dyDescent="0.3">
      <c r="A781">
        <v>1001702</v>
      </c>
      <c r="B781" t="s">
        <v>780</v>
      </c>
      <c r="C781" s="12">
        <v>12552.708124999999</v>
      </c>
    </row>
    <row r="782" spans="1:3" x14ac:dyDescent="0.3">
      <c r="A782">
        <v>1001703</v>
      </c>
      <c r="B782" t="s">
        <v>781</v>
      </c>
      <c r="C782" s="12">
        <v>6558</v>
      </c>
    </row>
    <row r="783" spans="1:3" x14ac:dyDescent="0.3">
      <c r="A783">
        <v>1001707</v>
      </c>
      <c r="B783" t="s">
        <v>782</v>
      </c>
      <c r="C783" s="12">
        <v>661.19999999999993</v>
      </c>
    </row>
    <row r="784" spans="1:3" x14ac:dyDescent="0.3">
      <c r="A784">
        <v>1001708</v>
      </c>
      <c r="B784" t="s">
        <v>783</v>
      </c>
      <c r="C784" s="12">
        <v>672.76324312575002</v>
      </c>
    </row>
    <row r="785" spans="1:3" x14ac:dyDescent="0.3">
      <c r="A785">
        <v>1001710</v>
      </c>
      <c r="B785" t="s">
        <v>784</v>
      </c>
      <c r="C785" s="12">
        <v>2.4312499999999999</v>
      </c>
    </row>
    <row r="786" spans="1:3" x14ac:dyDescent="0.3">
      <c r="A786">
        <v>1001711</v>
      </c>
      <c r="B786" t="s">
        <v>785</v>
      </c>
      <c r="C786" s="12">
        <v>63.026489316848142</v>
      </c>
    </row>
    <row r="787" spans="1:3" x14ac:dyDescent="0.3">
      <c r="A787">
        <v>1001712</v>
      </c>
      <c r="B787" t="s">
        <v>786</v>
      </c>
      <c r="C787" s="12">
        <v>24.65</v>
      </c>
    </row>
    <row r="788" spans="1:3" x14ac:dyDescent="0.3">
      <c r="A788">
        <v>1001713</v>
      </c>
      <c r="B788" t="s">
        <v>787</v>
      </c>
      <c r="C788" s="12">
        <v>345.49</v>
      </c>
    </row>
    <row r="789" spans="1:3" x14ac:dyDescent="0.3">
      <c r="A789">
        <v>1001715</v>
      </c>
      <c r="B789" t="s">
        <v>788</v>
      </c>
      <c r="C789" s="12">
        <v>2073.4066666666699</v>
      </c>
    </row>
    <row r="790" spans="1:3" x14ac:dyDescent="0.3">
      <c r="A790">
        <v>1001717</v>
      </c>
      <c r="B790" t="s">
        <v>789</v>
      </c>
      <c r="C790" s="12">
        <v>384.75085454545456</v>
      </c>
    </row>
    <row r="791" spans="1:3" x14ac:dyDescent="0.3">
      <c r="A791">
        <v>1001718</v>
      </c>
      <c r="B791" t="s">
        <v>790</v>
      </c>
      <c r="C791" s="12">
        <v>2027.4567460317501</v>
      </c>
    </row>
    <row r="792" spans="1:3" x14ac:dyDescent="0.3">
      <c r="A792">
        <v>1001719</v>
      </c>
      <c r="B792" t="s">
        <v>791</v>
      </c>
      <c r="C792" s="12">
        <v>1180.92857142857</v>
      </c>
    </row>
    <row r="793" spans="1:3" x14ac:dyDescent="0.3">
      <c r="A793">
        <v>1001720</v>
      </c>
      <c r="B793" t="s">
        <v>792</v>
      </c>
      <c r="C793" s="12">
        <v>1110.9114736363399</v>
      </c>
    </row>
    <row r="794" spans="1:3" x14ac:dyDescent="0.3">
      <c r="A794">
        <v>1001722</v>
      </c>
      <c r="B794" t="s">
        <v>793</v>
      </c>
      <c r="C794" s="12">
        <v>1274.9721450685652</v>
      </c>
    </row>
    <row r="795" spans="1:3" x14ac:dyDescent="0.3">
      <c r="A795">
        <v>1001726</v>
      </c>
      <c r="B795" t="s">
        <v>794</v>
      </c>
      <c r="C795" s="12">
        <v>37.799999999999997</v>
      </c>
    </row>
    <row r="796" spans="1:3" x14ac:dyDescent="0.3">
      <c r="A796">
        <v>1001727</v>
      </c>
      <c r="B796" t="s">
        <v>795</v>
      </c>
      <c r="C796" s="12">
        <v>350</v>
      </c>
    </row>
    <row r="797" spans="1:3" x14ac:dyDescent="0.3">
      <c r="A797">
        <v>1001730</v>
      </c>
      <c r="B797" t="s">
        <v>796</v>
      </c>
      <c r="C797" s="12">
        <v>61.280116223692445</v>
      </c>
    </row>
    <row r="798" spans="1:3" x14ac:dyDescent="0.3">
      <c r="A798">
        <v>1001731</v>
      </c>
      <c r="B798" t="s">
        <v>797</v>
      </c>
      <c r="C798" s="12">
        <v>50.931856244444489</v>
      </c>
    </row>
    <row r="799" spans="1:3" x14ac:dyDescent="0.3">
      <c r="A799">
        <v>1001732</v>
      </c>
      <c r="B799" t="s">
        <v>798</v>
      </c>
      <c r="C799" s="12">
        <v>58.184102838778792</v>
      </c>
    </row>
    <row r="800" spans="1:3" x14ac:dyDescent="0.3">
      <c r="A800">
        <v>1001733</v>
      </c>
      <c r="B800" t="s">
        <v>799</v>
      </c>
      <c r="C800" s="12">
        <v>3712.9701886792454</v>
      </c>
    </row>
    <row r="801" spans="1:3" x14ac:dyDescent="0.3">
      <c r="A801">
        <v>1001734</v>
      </c>
      <c r="B801" t="s">
        <v>800</v>
      </c>
      <c r="C801" s="12">
        <v>96.08</v>
      </c>
    </row>
    <row r="802" spans="1:3" x14ac:dyDescent="0.3">
      <c r="A802">
        <v>1001738</v>
      </c>
      <c r="B802" t="s">
        <v>801</v>
      </c>
      <c r="C802" s="12">
        <v>2766.6</v>
      </c>
    </row>
    <row r="803" spans="1:3" x14ac:dyDescent="0.3">
      <c r="A803">
        <v>1001739</v>
      </c>
      <c r="B803" t="s">
        <v>802</v>
      </c>
      <c r="C803" s="12">
        <v>40.050584098951298</v>
      </c>
    </row>
    <row r="804" spans="1:3" x14ac:dyDescent="0.3">
      <c r="A804">
        <v>1001740</v>
      </c>
      <c r="B804" t="s">
        <v>803</v>
      </c>
      <c r="C804" s="12">
        <v>34.745706901622299</v>
      </c>
    </row>
    <row r="805" spans="1:3" x14ac:dyDescent="0.3">
      <c r="A805">
        <v>1001741</v>
      </c>
      <c r="B805" t="s">
        <v>804</v>
      </c>
      <c r="C805" s="12">
        <v>22.1428571428571</v>
      </c>
    </row>
    <row r="806" spans="1:3" x14ac:dyDescent="0.3">
      <c r="A806">
        <v>1001743</v>
      </c>
      <c r="B806" t="s">
        <v>805</v>
      </c>
      <c r="C806" s="12">
        <v>8.625</v>
      </c>
    </row>
    <row r="807" spans="1:3" x14ac:dyDescent="0.3">
      <c r="A807">
        <v>1001744</v>
      </c>
      <c r="B807" t="s">
        <v>806</v>
      </c>
      <c r="C807" s="12">
        <v>11.266677217501318</v>
      </c>
    </row>
    <row r="808" spans="1:3" x14ac:dyDescent="0.3">
      <c r="A808">
        <v>1001745</v>
      </c>
      <c r="B808" t="s">
        <v>807</v>
      </c>
      <c r="C808" s="12">
        <v>21.84</v>
      </c>
    </row>
    <row r="809" spans="1:3" x14ac:dyDescent="0.3">
      <c r="A809">
        <v>1001746</v>
      </c>
      <c r="B809" t="s">
        <v>808</v>
      </c>
      <c r="C809" s="12">
        <v>35.96</v>
      </c>
    </row>
    <row r="810" spans="1:3" x14ac:dyDescent="0.3">
      <c r="A810">
        <v>1001747</v>
      </c>
      <c r="B810" t="s">
        <v>809</v>
      </c>
      <c r="C810" s="12">
        <v>45.280642935935703</v>
      </c>
    </row>
    <row r="811" spans="1:3" x14ac:dyDescent="0.3">
      <c r="A811">
        <v>1001748</v>
      </c>
      <c r="B811" t="s">
        <v>810</v>
      </c>
      <c r="C811" s="12">
        <v>8.92</v>
      </c>
    </row>
    <row r="812" spans="1:3" x14ac:dyDescent="0.3">
      <c r="A812">
        <v>1001749</v>
      </c>
      <c r="B812" t="s">
        <v>811</v>
      </c>
      <c r="C812" s="12">
        <v>20.254999999999999</v>
      </c>
    </row>
    <row r="813" spans="1:3" x14ac:dyDescent="0.3">
      <c r="A813">
        <v>1001750</v>
      </c>
      <c r="B813" t="s">
        <v>812</v>
      </c>
      <c r="C813" s="12">
        <v>4.9874866045831103</v>
      </c>
    </row>
    <row r="814" spans="1:3" x14ac:dyDescent="0.3">
      <c r="A814">
        <v>1001753</v>
      </c>
      <c r="B814" t="s">
        <v>813</v>
      </c>
      <c r="C814" s="12">
        <v>65.586641569861428</v>
      </c>
    </row>
    <row r="815" spans="1:3" x14ac:dyDescent="0.3">
      <c r="A815">
        <v>1001754</v>
      </c>
      <c r="B815" t="s">
        <v>814</v>
      </c>
      <c r="C815" s="12">
        <v>74.113275125313521</v>
      </c>
    </row>
    <row r="816" spans="1:3" x14ac:dyDescent="0.3">
      <c r="A816">
        <v>1001755</v>
      </c>
      <c r="B816" t="s">
        <v>815</v>
      </c>
      <c r="C816" s="12">
        <v>215.42381835032438</v>
      </c>
    </row>
    <row r="817" spans="1:3" x14ac:dyDescent="0.3">
      <c r="A817">
        <v>1001756</v>
      </c>
      <c r="B817" t="s">
        <v>816</v>
      </c>
      <c r="C817" s="12">
        <v>793.50650930308473</v>
      </c>
    </row>
    <row r="818" spans="1:3" x14ac:dyDescent="0.3">
      <c r="A818">
        <v>1001757</v>
      </c>
      <c r="B818" t="s">
        <v>817</v>
      </c>
      <c r="C818" s="12">
        <v>44.25</v>
      </c>
    </row>
    <row r="819" spans="1:3" x14ac:dyDescent="0.3">
      <c r="A819">
        <v>1001758</v>
      </c>
      <c r="B819" t="s">
        <v>818</v>
      </c>
      <c r="C819" s="12">
        <v>98.955961538461537</v>
      </c>
    </row>
    <row r="820" spans="1:3" x14ac:dyDescent="0.3">
      <c r="A820">
        <v>1001759</v>
      </c>
      <c r="B820" t="s">
        <v>819</v>
      </c>
      <c r="C820" s="12">
        <v>40.021973478939159</v>
      </c>
    </row>
    <row r="821" spans="1:3" x14ac:dyDescent="0.3">
      <c r="A821">
        <v>1001760</v>
      </c>
      <c r="B821" t="s">
        <v>820</v>
      </c>
      <c r="C821" s="12">
        <v>212.4</v>
      </c>
    </row>
    <row r="822" spans="1:3" x14ac:dyDescent="0.3">
      <c r="A822">
        <v>1001761</v>
      </c>
      <c r="B822" t="s">
        <v>821</v>
      </c>
      <c r="C822" s="12">
        <v>0</v>
      </c>
    </row>
    <row r="823" spans="1:3" x14ac:dyDescent="0.3">
      <c r="A823">
        <v>1001762</v>
      </c>
      <c r="B823" t="s">
        <v>822</v>
      </c>
      <c r="C823" s="12">
        <v>292.43866185897434</v>
      </c>
    </row>
    <row r="824" spans="1:3" x14ac:dyDescent="0.3">
      <c r="A824">
        <v>1001763</v>
      </c>
      <c r="B824" t="s">
        <v>823</v>
      </c>
      <c r="C824" s="12">
        <v>622.01773303521099</v>
      </c>
    </row>
    <row r="825" spans="1:3" x14ac:dyDescent="0.3">
      <c r="A825">
        <v>1001764</v>
      </c>
      <c r="B825" t="s">
        <v>824</v>
      </c>
      <c r="C825" s="12">
        <v>27.387203389830511</v>
      </c>
    </row>
    <row r="826" spans="1:3" x14ac:dyDescent="0.3">
      <c r="A826">
        <v>1001765</v>
      </c>
      <c r="B826" t="s">
        <v>825</v>
      </c>
      <c r="C826" s="12">
        <v>1.6815510610201221</v>
      </c>
    </row>
    <row r="827" spans="1:3" x14ac:dyDescent="0.3">
      <c r="A827">
        <v>1001766</v>
      </c>
      <c r="B827" t="s">
        <v>826</v>
      </c>
      <c r="C827" s="12">
        <v>0</v>
      </c>
    </row>
    <row r="828" spans="1:3" x14ac:dyDescent="0.3">
      <c r="A828">
        <v>1001767</v>
      </c>
      <c r="B828" t="s">
        <v>827</v>
      </c>
      <c r="C828" s="12">
        <v>0</v>
      </c>
    </row>
    <row r="829" spans="1:3" x14ac:dyDescent="0.3">
      <c r="A829">
        <v>1001768</v>
      </c>
      <c r="B829" t="s">
        <v>828</v>
      </c>
      <c r="C829" s="12">
        <v>8.197810810810811</v>
      </c>
    </row>
    <row r="830" spans="1:3" x14ac:dyDescent="0.3">
      <c r="A830">
        <v>1001769</v>
      </c>
      <c r="B830" t="s">
        <v>829</v>
      </c>
      <c r="C830" s="12">
        <v>1698.1261999999999</v>
      </c>
    </row>
    <row r="831" spans="1:3" x14ac:dyDescent="0.3">
      <c r="A831">
        <v>1001771</v>
      </c>
      <c r="B831" t="s">
        <v>830</v>
      </c>
      <c r="C831" s="12">
        <v>333.74383937733796</v>
      </c>
    </row>
    <row r="832" spans="1:3" x14ac:dyDescent="0.3">
      <c r="A832">
        <v>1001772</v>
      </c>
      <c r="B832" t="s">
        <v>831</v>
      </c>
      <c r="C832" s="12">
        <v>670.27581205866375</v>
      </c>
    </row>
    <row r="833" spans="1:3" x14ac:dyDescent="0.3">
      <c r="A833">
        <v>1001777</v>
      </c>
      <c r="B833" t="s">
        <v>832</v>
      </c>
      <c r="C833" s="12">
        <v>0</v>
      </c>
    </row>
    <row r="834" spans="1:3" x14ac:dyDescent="0.3">
      <c r="A834">
        <v>1001778</v>
      </c>
      <c r="B834" t="s">
        <v>833</v>
      </c>
      <c r="C834" s="12">
        <v>201.10813559322034</v>
      </c>
    </row>
    <row r="835" spans="1:3" x14ac:dyDescent="0.3">
      <c r="A835">
        <v>1001780</v>
      </c>
      <c r="B835" t="s">
        <v>834</v>
      </c>
      <c r="C835" s="12">
        <v>139.66867924528302</v>
      </c>
    </row>
    <row r="836" spans="1:3" x14ac:dyDescent="0.3">
      <c r="A836">
        <v>1001781</v>
      </c>
      <c r="B836" t="s">
        <v>835</v>
      </c>
      <c r="C836" s="12">
        <v>94.690768706242778</v>
      </c>
    </row>
    <row r="837" spans="1:3" x14ac:dyDescent="0.3">
      <c r="A837">
        <v>1001786</v>
      </c>
      <c r="B837" t="s">
        <v>836</v>
      </c>
      <c r="C837" s="12">
        <v>0</v>
      </c>
    </row>
    <row r="838" spans="1:3" x14ac:dyDescent="0.3">
      <c r="A838">
        <v>1001787</v>
      </c>
      <c r="B838" t="s">
        <v>837</v>
      </c>
      <c r="C838" s="12">
        <v>37.154472738527296</v>
      </c>
    </row>
    <row r="839" spans="1:3" x14ac:dyDescent="0.3">
      <c r="A839">
        <v>1001789</v>
      </c>
      <c r="B839" t="s">
        <v>838</v>
      </c>
      <c r="C839" s="12">
        <v>144.64500000000001</v>
      </c>
    </row>
    <row r="840" spans="1:3" x14ac:dyDescent="0.3">
      <c r="A840">
        <v>1001791</v>
      </c>
      <c r="B840" t="s">
        <v>839</v>
      </c>
      <c r="C840" s="12">
        <v>65.490000000000009</v>
      </c>
    </row>
    <row r="841" spans="1:3" x14ac:dyDescent="0.3">
      <c r="A841">
        <v>1001793</v>
      </c>
      <c r="B841" t="s">
        <v>840</v>
      </c>
      <c r="C841" s="12">
        <v>300</v>
      </c>
    </row>
    <row r="842" spans="1:3" x14ac:dyDescent="0.3">
      <c r="A842">
        <v>1001794</v>
      </c>
      <c r="B842" t="s">
        <v>841</v>
      </c>
      <c r="C842" s="12">
        <v>0</v>
      </c>
    </row>
    <row r="843" spans="1:3" x14ac:dyDescent="0.3">
      <c r="A843">
        <v>1001795</v>
      </c>
      <c r="B843" t="s">
        <v>842</v>
      </c>
      <c r="C843" s="12">
        <v>849.06310526315781</v>
      </c>
    </row>
    <row r="844" spans="1:3" x14ac:dyDescent="0.3">
      <c r="A844">
        <v>1001800</v>
      </c>
      <c r="B844" t="s">
        <v>843</v>
      </c>
      <c r="C844" s="12">
        <v>0</v>
      </c>
    </row>
    <row r="845" spans="1:3" x14ac:dyDescent="0.3">
      <c r="A845">
        <v>1001804</v>
      </c>
      <c r="B845" t="s">
        <v>844</v>
      </c>
      <c r="C845" s="12">
        <v>0</v>
      </c>
    </row>
    <row r="846" spans="1:3" x14ac:dyDescent="0.3">
      <c r="A846">
        <v>1001806</v>
      </c>
      <c r="B846" t="s">
        <v>845</v>
      </c>
      <c r="C846" s="12">
        <v>6.46</v>
      </c>
    </row>
    <row r="847" spans="1:3" x14ac:dyDescent="0.3">
      <c r="A847">
        <v>1001807</v>
      </c>
      <c r="B847" t="s">
        <v>846</v>
      </c>
      <c r="C847" s="12">
        <v>0</v>
      </c>
    </row>
    <row r="848" spans="1:3" x14ac:dyDescent="0.3">
      <c r="A848">
        <v>1001817</v>
      </c>
      <c r="B848" t="s">
        <v>847</v>
      </c>
      <c r="C848" s="12">
        <v>70.220678358247241</v>
      </c>
    </row>
    <row r="849" spans="1:3" x14ac:dyDescent="0.3">
      <c r="A849">
        <v>1001818</v>
      </c>
      <c r="B849" t="s">
        <v>848</v>
      </c>
      <c r="C849" s="12">
        <v>149.1777423150661</v>
      </c>
    </row>
    <row r="850" spans="1:3" x14ac:dyDescent="0.3">
      <c r="A850">
        <v>1001821</v>
      </c>
      <c r="B850" t="s">
        <v>849</v>
      </c>
      <c r="C850" s="12">
        <v>0</v>
      </c>
    </row>
    <row r="851" spans="1:3" x14ac:dyDescent="0.3">
      <c r="A851">
        <v>1001831</v>
      </c>
      <c r="B851" t="s">
        <v>850</v>
      </c>
      <c r="C851" s="12">
        <v>64.960000000000008</v>
      </c>
    </row>
    <row r="852" spans="1:3" x14ac:dyDescent="0.3">
      <c r="A852">
        <v>1001832</v>
      </c>
      <c r="B852" t="s">
        <v>851</v>
      </c>
      <c r="C852" s="12">
        <v>87</v>
      </c>
    </row>
    <row r="853" spans="1:3" x14ac:dyDescent="0.3">
      <c r="A853">
        <v>1001834</v>
      </c>
      <c r="B853" t="s">
        <v>852</v>
      </c>
      <c r="C853" s="12">
        <v>1</v>
      </c>
    </row>
    <row r="854" spans="1:3" x14ac:dyDescent="0.3">
      <c r="A854">
        <v>1001835</v>
      </c>
      <c r="B854" t="s">
        <v>853</v>
      </c>
      <c r="C854" s="12">
        <v>0</v>
      </c>
    </row>
    <row r="855" spans="1:3" x14ac:dyDescent="0.3">
      <c r="A855">
        <v>1001836</v>
      </c>
      <c r="B855" t="s">
        <v>854</v>
      </c>
      <c r="C855" s="12">
        <v>0</v>
      </c>
    </row>
    <row r="856" spans="1:3" x14ac:dyDescent="0.3">
      <c r="A856">
        <v>1001837</v>
      </c>
      <c r="B856" t="s">
        <v>855</v>
      </c>
      <c r="C856" s="12">
        <v>0</v>
      </c>
    </row>
    <row r="857" spans="1:3" x14ac:dyDescent="0.3">
      <c r="A857">
        <v>1001840</v>
      </c>
      <c r="B857" t="s">
        <v>856</v>
      </c>
      <c r="C857" s="12">
        <v>158.4563548746292</v>
      </c>
    </row>
    <row r="858" spans="1:3" x14ac:dyDescent="0.3">
      <c r="A858">
        <v>1001845</v>
      </c>
      <c r="B858" t="s">
        <v>857</v>
      </c>
      <c r="C858" s="12">
        <v>0</v>
      </c>
    </row>
    <row r="859" spans="1:3" x14ac:dyDescent="0.3">
      <c r="A859">
        <v>1001847</v>
      </c>
      <c r="B859" t="s">
        <v>858</v>
      </c>
      <c r="C859" s="12">
        <v>153.736885901292</v>
      </c>
    </row>
    <row r="860" spans="1:3" x14ac:dyDescent="0.3">
      <c r="A860">
        <v>1001848</v>
      </c>
      <c r="B860" t="s">
        <v>859</v>
      </c>
      <c r="C860" s="12">
        <v>0</v>
      </c>
    </row>
    <row r="861" spans="1:3" x14ac:dyDescent="0.3">
      <c r="A861">
        <v>1001849</v>
      </c>
      <c r="B861" t="s">
        <v>860</v>
      </c>
      <c r="C861" s="12">
        <v>0</v>
      </c>
    </row>
    <row r="862" spans="1:3" x14ac:dyDescent="0.3">
      <c r="A862">
        <v>1001850</v>
      </c>
      <c r="B862" t="s">
        <v>861</v>
      </c>
      <c r="C862" s="12">
        <v>1</v>
      </c>
    </row>
    <row r="863" spans="1:3" x14ac:dyDescent="0.3">
      <c r="A863">
        <v>1001851</v>
      </c>
      <c r="B863" t="s">
        <v>862</v>
      </c>
      <c r="C863" s="12">
        <v>1038.2</v>
      </c>
    </row>
    <row r="864" spans="1:3" x14ac:dyDescent="0.3">
      <c r="A864">
        <v>1001854</v>
      </c>
      <c r="B864" t="s">
        <v>863</v>
      </c>
      <c r="C864" s="12">
        <v>0</v>
      </c>
    </row>
    <row r="865" spans="1:3" x14ac:dyDescent="0.3">
      <c r="A865">
        <v>1001856</v>
      </c>
      <c r="B865" t="s">
        <v>864</v>
      </c>
      <c r="C865" s="12">
        <v>0</v>
      </c>
    </row>
    <row r="866" spans="1:3" x14ac:dyDescent="0.3">
      <c r="A866">
        <v>1001865</v>
      </c>
      <c r="B866" t="s">
        <v>865</v>
      </c>
      <c r="C866" s="12">
        <v>0</v>
      </c>
    </row>
    <row r="867" spans="1:3" x14ac:dyDescent="0.3">
      <c r="A867">
        <v>1001867</v>
      </c>
      <c r="B867" t="s">
        <v>866</v>
      </c>
      <c r="C867" s="12">
        <v>0</v>
      </c>
    </row>
    <row r="868" spans="1:3" x14ac:dyDescent="0.3">
      <c r="A868">
        <v>1001871</v>
      </c>
      <c r="B868" t="s">
        <v>867</v>
      </c>
      <c r="C868" s="12">
        <v>0</v>
      </c>
    </row>
    <row r="869" spans="1:3" x14ac:dyDescent="0.3">
      <c r="A869">
        <v>1001873</v>
      </c>
      <c r="B869" t="s">
        <v>868</v>
      </c>
      <c r="C869" s="12">
        <v>0</v>
      </c>
    </row>
    <row r="870" spans="1:3" x14ac:dyDescent="0.3">
      <c r="A870">
        <v>1001875</v>
      </c>
      <c r="B870" t="s">
        <v>869</v>
      </c>
      <c r="C870" s="12">
        <v>0</v>
      </c>
    </row>
    <row r="871" spans="1:3" x14ac:dyDescent="0.3">
      <c r="A871">
        <v>1001883</v>
      </c>
      <c r="B871" t="s">
        <v>870</v>
      </c>
      <c r="C871" s="12">
        <v>0</v>
      </c>
    </row>
    <row r="872" spans="1:3" x14ac:dyDescent="0.3">
      <c r="A872">
        <v>1001884</v>
      </c>
      <c r="B872" t="s">
        <v>871</v>
      </c>
      <c r="C872" s="12">
        <v>15.430357829535456</v>
      </c>
    </row>
    <row r="873" spans="1:3" x14ac:dyDescent="0.3">
      <c r="A873">
        <v>1001889</v>
      </c>
      <c r="B873" t="s">
        <v>872</v>
      </c>
      <c r="C873" s="12">
        <v>0</v>
      </c>
    </row>
    <row r="874" spans="1:3" x14ac:dyDescent="0.3">
      <c r="A874">
        <v>1001891</v>
      </c>
      <c r="B874" t="s">
        <v>873</v>
      </c>
      <c r="C874" s="12">
        <v>184.3965002349741</v>
      </c>
    </row>
    <row r="875" spans="1:3" x14ac:dyDescent="0.3">
      <c r="A875">
        <v>1001892</v>
      </c>
      <c r="B875" t="s">
        <v>874</v>
      </c>
      <c r="C875" s="12">
        <v>279.63047128826003</v>
      </c>
    </row>
    <row r="876" spans="1:3" x14ac:dyDescent="0.3">
      <c r="A876">
        <v>1001894</v>
      </c>
      <c r="B876" t="s">
        <v>875</v>
      </c>
      <c r="C876" s="12">
        <v>7.2182320309993688</v>
      </c>
    </row>
    <row r="877" spans="1:3" x14ac:dyDescent="0.3">
      <c r="A877">
        <v>1001899</v>
      </c>
      <c r="B877" t="s">
        <v>876</v>
      </c>
      <c r="C877" s="12">
        <v>0</v>
      </c>
    </row>
    <row r="878" spans="1:3" x14ac:dyDescent="0.3">
      <c r="A878">
        <v>1001901</v>
      </c>
      <c r="B878" t="s">
        <v>877</v>
      </c>
      <c r="C878" s="12">
        <v>0</v>
      </c>
    </row>
    <row r="879" spans="1:3" x14ac:dyDescent="0.3">
      <c r="A879">
        <v>1001902</v>
      </c>
      <c r="B879" t="s">
        <v>878</v>
      </c>
      <c r="C879" s="12">
        <v>0</v>
      </c>
    </row>
    <row r="880" spans="1:3" x14ac:dyDescent="0.3">
      <c r="A880">
        <v>1001903</v>
      </c>
      <c r="B880" t="s">
        <v>879</v>
      </c>
      <c r="C880" s="12">
        <v>2805.6116344428142</v>
      </c>
    </row>
    <row r="881" spans="1:3" x14ac:dyDescent="0.3">
      <c r="A881">
        <v>1001904</v>
      </c>
      <c r="B881" t="s">
        <v>880</v>
      </c>
      <c r="C881" s="12">
        <v>1086.761281550524</v>
      </c>
    </row>
    <row r="882" spans="1:3" x14ac:dyDescent="0.3">
      <c r="A882">
        <v>1001906</v>
      </c>
      <c r="B882" t="s">
        <v>881</v>
      </c>
      <c r="C882" s="12">
        <v>1</v>
      </c>
    </row>
    <row r="883" spans="1:3" x14ac:dyDescent="0.3">
      <c r="A883">
        <v>1001907</v>
      </c>
      <c r="B883" t="s">
        <v>882</v>
      </c>
      <c r="C883" s="12">
        <v>1953.6133135400951</v>
      </c>
    </row>
    <row r="884" spans="1:3" x14ac:dyDescent="0.3">
      <c r="A884">
        <v>1001908</v>
      </c>
      <c r="B884" t="s">
        <v>883</v>
      </c>
      <c r="C884" s="12">
        <v>1990.482304179086</v>
      </c>
    </row>
    <row r="885" spans="1:3" x14ac:dyDescent="0.3">
      <c r="A885">
        <v>1001909</v>
      </c>
      <c r="B885" t="s">
        <v>884</v>
      </c>
      <c r="C885" s="12">
        <v>0</v>
      </c>
    </row>
    <row r="886" spans="1:3" x14ac:dyDescent="0.3">
      <c r="A886">
        <v>1001910</v>
      </c>
      <c r="B886" t="s">
        <v>885</v>
      </c>
      <c r="C886" s="12">
        <v>65.88</v>
      </c>
    </row>
    <row r="887" spans="1:3" x14ac:dyDescent="0.3">
      <c r="A887">
        <v>1001911</v>
      </c>
      <c r="B887" t="s">
        <v>886</v>
      </c>
      <c r="C887" s="12">
        <v>87.47999999999999</v>
      </c>
    </row>
    <row r="888" spans="1:3" x14ac:dyDescent="0.3">
      <c r="A888">
        <v>1001912</v>
      </c>
      <c r="B888" t="s">
        <v>887</v>
      </c>
      <c r="C888" s="12">
        <v>64.599999999999994</v>
      </c>
    </row>
    <row r="889" spans="1:3" x14ac:dyDescent="0.3">
      <c r="A889">
        <v>1001913</v>
      </c>
      <c r="B889" t="s">
        <v>888</v>
      </c>
      <c r="C889" s="12">
        <v>299.05454545454501</v>
      </c>
    </row>
    <row r="890" spans="1:3" x14ac:dyDescent="0.3">
      <c r="A890">
        <v>1001914</v>
      </c>
      <c r="B890" t="s">
        <v>889</v>
      </c>
      <c r="C890" s="12">
        <v>45.4</v>
      </c>
    </row>
    <row r="891" spans="1:3" x14ac:dyDescent="0.3">
      <c r="A891">
        <v>1001915</v>
      </c>
      <c r="B891" t="s">
        <v>890</v>
      </c>
      <c r="C891" s="12">
        <v>45.4</v>
      </c>
    </row>
    <row r="892" spans="1:3" x14ac:dyDescent="0.3">
      <c r="A892">
        <v>1001916</v>
      </c>
      <c r="B892" t="s">
        <v>891</v>
      </c>
      <c r="C892" s="12">
        <v>1</v>
      </c>
    </row>
    <row r="893" spans="1:3" x14ac:dyDescent="0.3">
      <c r="A893">
        <v>1001917</v>
      </c>
      <c r="B893" t="s">
        <v>892</v>
      </c>
      <c r="C893" s="12">
        <v>898</v>
      </c>
    </row>
    <row r="894" spans="1:3" x14ac:dyDescent="0.3">
      <c r="A894">
        <v>1001919</v>
      </c>
      <c r="B894" t="s">
        <v>893</v>
      </c>
      <c r="C894" s="12">
        <v>0</v>
      </c>
    </row>
    <row r="895" spans="1:3" x14ac:dyDescent="0.3">
      <c r="A895">
        <v>1001921</v>
      </c>
      <c r="B895" t="s">
        <v>894</v>
      </c>
      <c r="C895" s="12">
        <v>124.33999999999999</v>
      </c>
    </row>
    <row r="896" spans="1:3" x14ac:dyDescent="0.3">
      <c r="A896">
        <v>1001922</v>
      </c>
      <c r="B896" t="s">
        <v>895</v>
      </c>
      <c r="C896" s="12">
        <v>212.28000000000003</v>
      </c>
    </row>
    <row r="897" spans="1:3" x14ac:dyDescent="0.3">
      <c r="A897">
        <v>1001925</v>
      </c>
      <c r="B897" t="s">
        <v>896</v>
      </c>
      <c r="C897" s="12">
        <v>23.3333333333333</v>
      </c>
    </row>
    <row r="898" spans="1:3" x14ac:dyDescent="0.3">
      <c r="A898">
        <v>1001926</v>
      </c>
      <c r="B898" t="s">
        <v>897</v>
      </c>
      <c r="C898" s="12">
        <v>30</v>
      </c>
    </row>
    <row r="899" spans="1:3" x14ac:dyDescent="0.3">
      <c r="A899">
        <v>1001927</v>
      </c>
      <c r="B899" t="s">
        <v>898</v>
      </c>
      <c r="C899" s="12">
        <v>26</v>
      </c>
    </row>
    <row r="900" spans="1:3" x14ac:dyDescent="0.3">
      <c r="A900">
        <v>1001928</v>
      </c>
      <c r="B900" t="s">
        <v>899</v>
      </c>
      <c r="C900" s="12">
        <v>260.98265362318801</v>
      </c>
    </row>
    <row r="901" spans="1:3" x14ac:dyDescent="0.3">
      <c r="A901">
        <v>1001930</v>
      </c>
      <c r="B901" t="s">
        <v>900</v>
      </c>
      <c r="C901" s="12">
        <v>1267.4970385397867</v>
      </c>
    </row>
    <row r="902" spans="1:3" x14ac:dyDescent="0.3">
      <c r="A902">
        <v>1001933</v>
      </c>
      <c r="B902" t="s">
        <v>901</v>
      </c>
      <c r="C902" s="12">
        <v>378.10743735599078</v>
      </c>
    </row>
    <row r="903" spans="1:3" x14ac:dyDescent="0.3">
      <c r="A903">
        <v>1001934</v>
      </c>
      <c r="B903" t="s">
        <v>902</v>
      </c>
      <c r="C903" s="12">
        <v>22.1428571428571</v>
      </c>
    </row>
    <row r="904" spans="1:3" x14ac:dyDescent="0.3">
      <c r="A904">
        <v>1001936</v>
      </c>
      <c r="B904" t="s">
        <v>903</v>
      </c>
      <c r="C904" s="12">
        <v>580.35975384615404</v>
      </c>
    </row>
    <row r="905" spans="1:3" x14ac:dyDescent="0.3">
      <c r="A905">
        <v>1001937</v>
      </c>
      <c r="B905" t="s">
        <v>904</v>
      </c>
      <c r="C905" s="12">
        <v>51.300981818181803</v>
      </c>
    </row>
    <row r="906" spans="1:3" x14ac:dyDescent="0.3">
      <c r="A906">
        <v>1001938</v>
      </c>
      <c r="B906" t="s">
        <v>905</v>
      </c>
      <c r="C906" s="12">
        <v>301.608</v>
      </c>
    </row>
    <row r="907" spans="1:3" x14ac:dyDescent="0.3">
      <c r="A907">
        <v>1001939</v>
      </c>
      <c r="B907" t="s">
        <v>906</v>
      </c>
      <c r="C907" s="12">
        <v>1091.5487796735899</v>
      </c>
    </row>
    <row r="908" spans="1:3" x14ac:dyDescent="0.3">
      <c r="A908">
        <v>1001940</v>
      </c>
      <c r="B908" t="s">
        <v>907</v>
      </c>
      <c r="C908" s="12">
        <v>410.32309999999995</v>
      </c>
    </row>
    <row r="909" spans="1:3" x14ac:dyDescent="0.3">
      <c r="A909">
        <v>1001941</v>
      </c>
      <c r="B909" t="s">
        <v>908</v>
      </c>
      <c r="C909" s="12">
        <v>50</v>
      </c>
    </row>
    <row r="910" spans="1:3" x14ac:dyDescent="0.3">
      <c r="A910">
        <v>1001942</v>
      </c>
      <c r="B910" t="s">
        <v>909</v>
      </c>
      <c r="C910" s="12">
        <v>4.96428571428571</v>
      </c>
    </row>
    <row r="911" spans="1:3" x14ac:dyDescent="0.3">
      <c r="A911">
        <v>1001943</v>
      </c>
      <c r="B911" t="s">
        <v>910</v>
      </c>
      <c r="C911" s="12">
        <v>25.066398466439789</v>
      </c>
    </row>
    <row r="912" spans="1:3" x14ac:dyDescent="0.3">
      <c r="A912">
        <v>1001945</v>
      </c>
      <c r="B912" t="s">
        <v>911</v>
      </c>
      <c r="C912" s="12">
        <v>12.6421129069151</v>
      </c>
    </row>
    <row r="913" spans="1:3" x14ac:dyDescent="0.3">
      <c r="A913">
        <v>1001948</v>
      </c>
      <c r="B913" t="s">
        <v>912</v>
      </c>
      <c r="C913" s="12">
        <v>2.259245068823613</v>
      </c>
    </row>
    <row r="914" spans="1:3" x14ac:dyDescent="0.3">
      <c r="A914">
        <v>1001949</v>
      </c>
      <c r="B914" t="s">
        <v>913</v>
      </c>
      <c r="C914" s="12">
        <v>234.76</v>
      </c>
    </row>
    <row r="915" spans="1:3" x14ac:dyDescent="0.3">
      <c r="A915">
        <v>1001950</v>
      </c>
      <c r="B915" t="s">
        <v>914</v>
      </c>
      <c r="C915" s="12">
        <v>3588.5833333333298</v>
      </c>
    </row>
    <row r="916" spans="1:3" x14ac:dyDescent="0.3">
      <c r="A916">
        <v>1001952</v>
      </c>
      <c r="B916" t="s">
        <v>915</v>
      </c>
      <c r="C916" s="12">
        <v>2600.3254987212276</v>
      </c>
    </row>
    <row r="917" spans="1:3" x14ac:dyDescent="0.3">
      <c r="A917">
        <v>1001953</v>
      </c>
      <c r="B917" t="s">
        <v>916</v>
      </c>
      <c r="C917" s="12">
        <v>105.02</v>
      </c>
    </row>
    <row r="918" spans="1:3" x14ac:dyDescent="0.3">
      <c r="A918">
        <v>1001955</v>
      </c>
      <c r="B918" t="s">
        <v>917</v>
      </c>
      <c r="C918" s="12">
        <v>1365.9771369980499</v>
      </c>
    </row>
    <row r="919" spans="1:3" x14ac:dyDescent="0.3">
      <c r="A919">
        <v>1001956</v>
      </c>
      <c r="B919" t="s">
        <v>918</v>
      </c>
      <c r="C919" s="12">
        <v>990.10408263894169</v>
      </c>
    </row>
    <row r="920" spans="1:3" x14ac:dyDescent="0.3">
      <c r="A920">
        <v>1001959</v>
      </c>
      <c r="B920" t="s">
        <v>919</v>
      </c>
      <c r="C920" s="12">
        <v>119.48</v>
      </c>
    </row>
    <row r="921" spans="1:3" x14ac:dyDescent="0.3">
      <c r="A921">
        <v>1001960</v>
      </c>
      <c r="B921" t="s">
        <v>920</v>
      </c>
      <c r="C921" s="12">
        <v>1342.00545454545</v>
      </c>
    </row>
    <row r="922" spans="1:3" x14ac:dyDescent="0.3">
      <c r="A922">
        <v>1001964</v>
      </c>
      <c r="B922" t="s">
        <v>921</v>
      </c>
      <c r="C922" s="12">
        <v>0</v>
      </c>
    </row>
    <row r="923" spans="1:3" x14ac:dyDescent="0.3">
      <c r="A923">
        <v>1001966</v>
      </c>
      <c r="B923" t="s">
        <v>922</v>
      </c>
      <c r="C923" s="12">
        <v>4248</v>
      </c>
    </row>
    <row r="924" spans="1:3" x14ac:dyDescent="0.3">
      <c r="A924">
        <v>1001967</v>
      </c>
      <c r="B924" t="s">
        <v>923</v>
      </c>
      <c r="C924" s="12">
        <v>1152.1924071856299</v>
      </c>
    </row>
    <row r="925" spans="1:3" x14ac:dyDescent="0.3">
      <c r="A925">
        <v>1001968</v>
      </c>
      <c r="B925" t="s">
        <v>924</v>
      </c>
      <c r="C925" s="12">
        <v>72.697176683809005</v>
      </c>
    </row>
    <row r="926" spans="1:3" x14ac:dyDescent="0.3">
      <c r="A926">
        <v>1001970</v>
      </c>
      <c r="B926" t="s">
        <v>925</v>
      </c>
      <c r="C926" s="12">
        <v>269.23472409909925</v>
      </c>
    </row>
    <row r="927" spans="1:3" x14ac:dyDescent="0.3">
      <c r="A927">
        <v>1001971</v>
      </c>
      <c r="B927" t="s">
        <v>926</v>
      </c>
      <c r="C927" s="12">
        <v>1572.36</v>
      </c>
    </row>
    <row r="928" spans="1:3" x14ac:dyDescent="0.3">
      <c r="A928">
        <v>1001972</v>
      </c>
      <c r="B928" t="s">
        <v>927</v>
      </c>
      <c r="C928" s="12">
        <v>812.86916264687704</v>
      </c>
    </row>
    <row r="929" spans="1:3" x14ac:dyDescent="0.3">
      <c r="A929">
        <v>1001973</v>
      </c>
      <c r="B929" t="s">
        <v>928</v>
      </c>
      <c r="C929" s="12">
        <v>106.2</v>
      </c>
    </row>
    <row r="930" spans="1:3" x14ac:dyDescent="0.3">
      <c r="A930">
        <v>1001975</v>
      </c>
      <c r="B930" t="s">
        <v>929</v>
      </c>
      <c r="C930" s="12">
        <v>40.80274457801341</v>
      </c>
    </row>
    <row r="931" spans="1:3" x14ac:dyDescent="0.3">
      <c r="A931">
        <v>1001976</v>
      </c>
      <c r="B931" t="s">
        <v>930</v>
      </c>
      <c r="C931" s="12">
        <v>765.30738773686005</v>
      </c>
    </row>
    <row r="932" spans="1:3" x14ac:dyDescent="0.3">
      <c r="A932">
        <v>1001977</v>
      </c>
      <c r="B932" t="s">
        <v>931</v>
      </c>
      <c r="C932" s="12">
        <v>1358.9214285714299</v>
      </c>
    </row>
    <row r="933" spans="1:3" x14ac:dyDescent="0.3">
      <c r="A933">
        <v>1001978</v>
      </c>
      <c r="B933" t="s">
        <v>932</v>
      </c>
      <c r="C933" s="12">
        <v>1591.4178947368421</v>
      </c>
    </row>
    <row r="934" spans="1:3" x14ac:dyDescent="0.3">
      <c r="A934">
        <v>1001980</v>
      </c>
      <c r="B934" t="s">
        <v>933</v>
      </c>
      <c r="C934" s="12">
        <v>0</v>
      </c>
    </row>
    <row r="935" spans="1:3" x14ac:dyDescent="0.3">
      <c r="A935">
        <v>1001982</v>
      </c>
      <c r="B935" t="s">
        <v>934</v>
      </c>
      <c r="C935" s="12">
        <v>335.97623327044101</v>
      </c>
    </row>
    <row r="936" spans="1:3" x14ac:dyDescent="0.3">
      <c r="A936">
        <v>1001985</v>
      </c>
      <c r="B936" t="s">
        <v>935</v>
      </c>
      <c r="C936" s="12">
        <v>0</v>
      </c>
    </row>
    <row r="937" spans="1:3" x14ac:dyDescent="0.3">
      <c r="A937">
        <v>1001986</v>
      </c>
      <c r="B937" t="s">
        <v>936</v>
      </c>
      <c r="C937" s="12">
        <v>1.46</v>
      </c>
    </row>
    <row r="938" spans="1:3" x14ac:dyDescent="0.3">
      <c r="A938">
        <v>1001987</v>
      </c>
      <c r="B938" t="s">
        <v>937</v>
      </c>
      <c r="C938" s="12">
        <v>4.5193998796320178</v>
      </c>
    </row>
    <row r="939" spans="1:3" x14ac:dyDescent="0.3">
      <c r="A939">
        <v>1001989</v>
      </c>
      <c r="B939" t="s">
        <v>938</v>
      </c>
      <c r="C939" s="12">
        <v>4.5725950978025596</v>
      </c>
    </row>
    <row r="940" spans="1:3" x14ac:dyDescent="0.3">
      <c r="A940">
        <v>1001990</v>
      </c>
      <c r="B940" t="s">
        <v>939</v>
      </c>
      <c r="C940" s="12">
        <v>3.1152000000000002</v>
      </c>
    </row>
    <row r="941" spans="1:3" x14ac:dyDescent="0.3">
      <c r="A941">
        <v>1001994</v>
      </c>
      <c r="B941" t="s">
        <v>940</v>
      </c>
      <c r="C941" s="12">
        <v>5083.77264731589</v>
      </c>
    </row>
    <row r="942" spans="1:3" x14ac:dyDescent="0.3">
      <c r="A942">
        <v>1001998</v>
      </c>
      <c r="B942" t="s">
        <v>941</v>
      </c>
      <c r="C942" s="12">
        <v>1493.6977856547392</v>
      </c>
    </row>
    <row r="943" spans="1:3" x14ac:dyDescent="0.3">
      <c r="A943">
        <v>1001999</v>
      </c>
      <c r="B943" t="s">
        <v>942</v>
      </c>
      <c r="C943" s="12">
        <v>1371.3</v>
      </c>
    </row>
    <row r="944" spans="1:3" x14ac:dyDescent="0.3">
      <c r="A944">
        <v>1002003</v>
      </c>
      <c r="B944" t="s">
        <v>943</v>
      </c>
      <c r="C944" s="12">
        <v>764.73849391124884</v>
      </c>
    </row>
    <row r="945" spans="1:3" x14ac:dyDescent="0.3">
      <c r="A945">
        <v>1002008</v>
      </c>
      <c r="B945" t="s">
        <v>944</v>
      </c>
      <c r="C945" s="12">
        <v>2.9780848060530514</v>
      </c>
    </row>
    <row r="946" spans="1:3" x14ac:dyDescent="0.3">
      <c r="A946">
        <v>1002010</v>
      </c>
      <c r="B946" t="s">
        <v>945</v>
      </c>
      <c r="C946" s="12">
        <v>966.25592326869969</v>
      </c>
    </row>
    <row r="947" spans="1:3" x14ac:dyDescent="0.3">
      <c r="A947">
        <v>1002012</v>
      </c>
      <c r="B947" t="s">
        <v>946</v>
      </c>
      <c r="C947" s="12">
        <v>1</v>
      </c>
    </row>
    <row r="948" spans="1:3" x14ac:dyDescent="0.3">
      <c r="A948">
        <v>1002013</v>
      </c>
      <c r="B948" t="s">
        <v>947</v>
      </c>
      <c r="C948" s="12">
        <v>0.77777777777777801</v>
      </c>
    </row>
    <row r="949" spans="1:3" x14ac:dyDescent="0.3">
      <c r="A949">
        <v>1002015</v>
      </c>
      <c r="B949" t="s">
        <v>948</v>
      </c>
      <c r="C949" s="12">
        <v>94.05</v>
      </c>
    </row>
    <row r="950" spans="1:3" x14ac:dyDescent="0.3">
      <c r="A950">
        <v>1002016</v>
      </c>
      <c r="B950" t="s">
        <v>949</v>
      </c>
      <c r="C950" s="12">
        <v>434.37178569134699</v>
      </c>
    </row>
    <row r="951" spans="1:3" x14ac:dyDescent="0.3">
      <c r="A951">
        <v>1002019</v>
      </c>
      <c r="B951" t="s">
        <v>950</v>
      </c>
      <c r="C951" s="12">
        <v>146.75674854625188</v>
      </c>
    </row>
    <row r="952" spans="1:3" x14ac:dyDescent="0.3">
      <c r="A952">
        <v>1002020</v>
      </c>
      <c r="B952" t="s">
        <v>951</v>
      </c>
      <c r="C952" s="12">
        <v>296.64500653708023</v>
      </c>
    </row>
    <row r="953" spans="1:3" x14ac:dyDescent="0.3">
      <c r="A953">
        <v>1002021</v>
      </c>
      <c r="B953" t="s">
        <v>952</v>
      </c>
      <c r="C953" s="12">
        <v>1562.7605997855001</v>
      </c>
    </row>
    <row r="954" spans="1:3" x14ac:dyDescent="0.3">
      <c r="A954">
        <v>1002022</v>
      </c>
      <c r="B954" t="s">
        <v>953</v>
      </c>
      <c r="C954" s="12">
        <v>2205.30125</v>
      </c>
    </row>
    <row r="955" spans="1:3" x14ac:dyDescent="0.3">
      <c r="A955">
        <v>1002023</v>
      </c>
      <c r="B955" t="s">
        <v>954</v>
      </c>
      <c r="C955" s="12">
        <v>478.72</v>
      </c>
    </row>
    <row r="956" spans="1:3" x14ac:dyDescent="0.3">
      <c r="A956">
        <v>1002024</v>
      </c>
      <c r="B956" t="s">
        <v>955</v>
      </c>
      <c r="C956" s="12">
        <v>1599.358135927743</v>
      </c>
    </row>
    <row r="957" spans="1:3" x14ac:dyDescent="0.3">
      <c r="A957">
        <v>1002028</v>
      </c>
      <c r="B957" t="s">
        <v>956</v>
      </c>
      <c r="C957" s="12">
        <v>1146.9314179273699</v>
      </c>
    </row>
    <row r="958" spans="1:3" x14ac:dyDescent="0.3">
      <c r="A958">
        <v>1002029</v>
      </c>
      <c r="B958" t="s">
        <v>957</v>
      </c>
      <c r="C958" s="12">
        <v>0.77777777777777801</v>
      </c>
    </row>
    <row r="959" spans="1:3" x14ac:dyDescent="0.3">
      <c r="A959">
        <v>1002031</v>
      </c>
      <c r="B959" t="s">
        <v>958</v>
      </c>
      <c r="C959" s="12">
        <v>0</v>
      </c>
    </row>
    <row r="960" spans="1:3" x14ac:dyDescent="0.3">
      <c r="A960">
        <v>1002038</v>
      </c>
      <c r="B960" t="s">
        <v>959</v>
      </c>
      <c r="C960" s="12">
        <v>1482.29</v>
      </c>
    </row>
    <row r="961" spans="1:3" x14ac:dyDescent="0.3">
      <c r="A961">
        <v>1002039</v>
      </c>
      <c r="B961" t="s">
        <v>960</v>
      </c>
      <c r="C961" s="12">
        <v>1169.0261540959</v>
      </c>
    </row>
    <row r="962" spans="1:3" x14ac:dyDescent="0.3">
      <c r="A962">
        <v>1002040</v>
      </c>
      <c r="B962" t="s">
        <v>961</v>
      </c>
      <c r="C962" s="12">
        <v>47.524499999999996</v>
      </c>
    </row>
    <row r="963" spans="1:3" x14ac:dyDescent="0.3">
      <c r="A963">
        <v>1002048</v>
      </c>
      <c r="B963" t="s">
        <v>962</v>
      </c>
      <c r="C963" s="12">
        <v>0</v>
      </c>
    </row>
    <row r="964" spans="1:3" x14ac:dyDescent="0.3">
      <c r="A964">
        <v>1002049</v>
      </c>
      <c r="B964" t="s">
        <v>963</v>
      </c>
      <c r="C964" s="12">
        <v>991.69999999999993</v>
      </c>
    </row>
    <row r="965" spans="1:3" x14ac:dyDescent="0.3">
      <c r="A965">
        <v>1002050</v>
      </c>
      <c r="B965" t="s">
        <v>964</v>
      </c>
      <c r="C965" s="12">
        <v>81.154171929824543</v>
      </c>
    </row>
    <row r="966" spans="1:3" x14ac:dyDescent="0.3">
      <c r="A966">
        <v>1002051</v>
      </c>
      <c r="B966" t="s">
        <v>965</v>
      </c>
      <c r="C966" s="12">
        <v>135.24</v>
      </c>
    </row>
    <row r="967" spans="1:3" x14ac:dyDescent="0.3">
      <c r="A967">
        <v>1002052</v>
      </c>
      <c r="B967" t="s">
        <v>966</v>
      </c>
      <c r="C967" s="12">
        <v>963.58465517241382</v>
      </c>
    </row>
    <row r="968" spans="1:3" x14ac:dyDescent="0.3">
      <c r="A968">
        <v>1002053</v>
      </c>
      <c r="B968" t="s">
        <v>967</v>
      </c>
      <c r="C968" s="12">
        <v>30452.81</v>
      </c>
    </row>
    <row r="969" spans="1:3" x14ac:dyDescent="0.3">
      <c r="A969">
        <v>1002068</v>
      </c>
      <c r="B969" t="s">
        <v>968</v>
      </c>
      <c r="C969" s="12">
        <v>5758.73</v>
      </c>
    </row>
    <row r="970" spans="1:3" x14ac:dyDescent="0.3">
      <c r="A970">
        <v>1002069</v>
      </c>
      <c r="B970" t="s">
        <v>969</v>
      </c>
      <c r="C970" s="12">
        <v>5313.2940812013303</v>
      </c>
    </row>
    <row r="971" spans="1:3" x14ac:dyDescent="0.3">
      <c r="A971">
        <v>1002073</v>
      </c>
      <c r="B971" t="s">
        <v>970</v>
      </c>
      <c r="C971" s="12">
        <v>5583.89</v>
      </c>
    </row>
    <row r="972" spans="1:3" x14ac:dyDescent="0.3">
      <c r="A972">
        <v>1002074</v>
      </c>
      <c r="B972" t="s">
        <v>971</v>
      </c>
      <c r="C972" s="12">
        <v>10996.97</v>
      </c>
    </row>
    <row r="973" spans="1:3" x14ac:dyDescent="0.3">
      <c r="A973">
        <v>1002075</v>
      </c>
      <c r="B973" t="s">
        <v>972</v>
      </c>
      <c r="C973" s="12">
        <v>10996.97</v>
      </c>
    </row>
    <row r="974" spans="1:3" x14ac:dyDescent="0.3">
      <c r="A974">
        <v>1002076</v>
      </c>
      <c r="B974" t="s">
        <v>973</v>
      </c>
      <c r="C974" s="12">
        <v>147.918662222222</v>
      </c>
    </row>
    <row r="975" spans="1:3" x14ac:dyDescent="0.3">
      <c r="A975">
        <v>1002077</v>
      </c>
      <c r="B975" t="s">
        <v>974</v>
      </c>
      <c r="C975" s="12">
        <v>480.63308463315195</v>
      </c>
    </row>
    <row r="976" spans="1:3" x14ac:dyDescent="0.3">
      <c r="A976">
        <v>1002079</v>
      </c>
      <c r="B976" t="s">
        <v>975</v>
      </c>
      <c r="C976" s="12">
        <v>0</v>
      </c>
    </row>
    <row r="977" spans="1:3" x14ac:dyDescent="0.3">
      <c r="A977">
        <v>1002080</v>
      </c>
      <c r="B977" t="s">
        <v>976</v>
      </c>
      <c r="C977" s="12">
        <v>1909.42035087719</v>
      </c>
    </row>
    <row r="978" spans="1:3" x14ac:dyDescent="0.3">
      <c r="A978">
        <v>1002082</v>
      </c>
      <c r="B978" t="s">
        <v>977</v>
      </c>
      <c r="C978" s="12">
        <v>1659.91264428107</v>
      </c>
    </row>
    <row r="979" spans="1:3" x14ac:dyDescent="0.3">
      <c r="A979">
        <v>1002083</v>
      </c>
      <c r="B979" t="s">
        <v>978</v>
      </c>
      <c r="C979" s="12">
        <v>2361.6746982230002</v>
      </c>
    </row>
    <row r="980" spans="1:3" x14ac:dyDescent="0.3">
      <c r="A980">
        <v>1002084</v>
      </c>
      <c r="B980" t="s">
        <v>979</v>
      </c>
      <c r="C980" s="12">
        <v>18565.106135416667</v>
      </c>
    </row>
    <row r="981" spans="1:3" x14ac:dyDescent="0.3">
      <c r="A981">
        <v>1002085</v>
      </c>
      <c r="B981" t="s">
        <v>980</v>
      </c>
      <c r="C981" s="12">
        <v>2265.50073385013</v>
      </c>
    </row>
    <row r="982" spans="1:3" x14ac:dyDescent="0.3">
      <c r="A982">
        <v>1002087</v>
      </c>
      <c r="B982" t="s">
        <v>981</v>
      </c>
      <c r="C982" s="12">
        <v>1272.5381463378701</v>
      </c>
    </row>
    <row r="983" spans="1:3" x14ac:dyDescent="0.3">
      <c r="A983">
        <v>1002088</v>
      </c>
      <c r="B983" t="s">
        <v>982</v>
      </c>
      <c r="C983" s="12">
        <v>4833.6803710061513</v>
      </c>
    </row>
    <row r="984" spans="1:3" x14ac:dyDescent="0.3">
      <c r="A984">
        <v>1002089</v>
      </c>
      <c r="B984" t="s">
        <v>983</v>
      </c>
      <c r="C984" s="12">
        <v>1937.9574207297001</v>
      </c>
    </row>
    <row r="985" spans="1:3" x14ac:dyDescent="0.3">
      <c r="A985">
        <v>1002095</v>
      </c>
      <c r="B985" t="s">
        <v>984</v>
      </c>
      <c r="C985" s="12">
        <v>10281.369999999999</v>
      </c>
    </row>
    <row r="986" spans="1:3" x14ac:dyDescent="0.3">
      <c r="A986">
        <v>1002097</v>
      </c>
      <c r="B986" t="s">
        <v>985</v>
      </c>
      <c r="C986" s="12">
        <v>15254.4743041208</v>
      </c>
    </row>
    <row r="987" spans="1:3" x14ac:dyDescent="0.3">
      <c r="A987">
        <v>1002098</v>
      </c>
      <c r="B987" t="s">
        <v>986</v>
      </c>
      <c r="C987" s="12">
        <v>21266.626139494801</v>
      </c>
    </row>
    <row r="988" spans="1:3" x14ac:dyDescent="0.3">
      <c r="A988">
        <v>1002099</v>
      </c>
      <c r="B988" t="s">
        <v>987</v>
      </c>
      <c r="C988" s="12">
        <v>38599.595833333296</v>
      </c>
    </row>
    <row r="989" spans="1:3" x14ac:dyDescent="0.3">
      <c r="A989">
        <v>1002100</v>
      </c>
      <c r="B989" t="s">
        <v>988</v>
      </c>
      <c r="C989" s="12">
        <v>27564.3</v>
      </c>
    </row>
    <row r="990" spans="1:3" x14ac:dyDescent="0.3">
      <c r="A990">
        <v>1002101</v>
      </c>
      <c r="B990" t="s">
        <v>989</v>
      </c>
      <c r="C990" s="12">
        <v>35203.22</v>
      </c>
    </row>
    <row r="991" spans="1:3" x14ac:dyDescent="0.3">
      <c r="A991">
        <v>1002102</v>
      </c>
      <c r="B991" t="s">
        <v>990</v>
      </c>
      <c r="C991" s="12">
        <v>33611.491072069897</v>
      </c>
    </row>
    <row r="992" spans="1:3" x14ac:dyDescent="0.3">
      <c r="A992">
        <v>1002103</v>
      </c>
      <c r="B992" t="s">
        <v>991</v>
      </c>
      <c r="C992" s="12">
        <v>37886.506886415402</v>
      </c>
    </row>
    <row r="993" spans="1:3" x14ac:dyDescent="0.3">
      <c r="A993">
        <v>1002104</v>
      </c>
      <c r="B993" t="s">
        <v>992</v>
      </c>
      <c r="C993" s="12">
        <v>40997.8014422263</v>
      </c>
    </row>
    <row r="994" spans="1:3" x14ac:dyDescent="0.3">
      <c r="A994">
        <v>1002105</v>
      </c>
      <c r="B994" t="s">
        <v>993</v>
      </c>
      <c r="C994" s="12">
        <v>0</v>
      </c>
    </row>
    <row r="995" spans="1:3" x14ac:dyDescent="0.3">
      <c r="A995">
        <v>1002106</v>
      </c>
      <c r="B995" t="s">
        <v>994</v>
      </c>
      <c r="C995" s="12">
        <v>0</v>
      </c>
    </row>
    <row r="996" spans="1:3" x14ac:dyDescent="0.3">
      <c r="A996">
        <v>1002107</v>
      </c>
      <c r="B996" t="s">
        <v>995</v>
      </c>
      <c r="C996" s="12">
        <v>15304.02</v>
      </c>
    </row>
    <row r="997" spans="1:3" x14ac:dyDescent="0.3">
      <c r="A997">
        <v>1002108</v>
      </c>
      <c r="B997" t="s">
        <v>996</v>
      </c>
      <c r="C997" s="12">
        <v>18500.519710775101</v>
      </c>
    </row>
    <row r="998" spans="1:3" x14ac:dyDescent="0.3">
      <c r="A998">
        <v>1002109</v>
      </c>
      <c r="B998" t="s">
        <v>997</v>
      </c>
      <c r="C998" s="12">
        <v>19377.939943152422</v>
      </c>
    </row>
    <row r="999" spans="1:3" x14ac:dyDescent="0.3">
      <c r="A999">
        <v>1002110</v>
      </c>
      <c r="B999" t="s">
        <v>998</v>
      </c>
      <c r="C999" s="12">
        <v>26889.285381929083</v>
      </c>
    </row>
    <row r="1000" spans="1:3" x14ac:dyDescent="0.3">
      <c r="A1000">
        <v>1002111</v>
      </c>
      <c r="B1000" t="s">
        <v>999</v>
      </c>
      <c r="C1000" s="12">
        <v>0</v>
      </c>
    </row>
    <row r="1001" spans="1:3" x14ac:dyDescent="0.3">
      <c r="A1001">
        <v>1002112</v>
      </c>
      <c r="B1001" t="s">
        <v>1000</v>
      </c>
      <c r="C1001" s="12">
        <v>33950.442644721399</v>
      </c>
    </row>
    <row r="1002" spans="1:3" x14ac:dyDescent="0.3">
      <c r="A1002">
        <v>1002113</v>
      </c>
      <c r="B1002" t="s">
        <v>1001</v>
      </c>
      <c r="C1002" s="12">
        <v>0</v>
      </c>
    </row>
    <row r="1003" spans="1:3" x14ac:dyDescent="0.3">
      <c r="A1003">
        <v>1002116</v>
      </c>
      <c r="B1003" t="s">
        <v>1002</v>
      </c>
      <c r="C1003" s="12">
        <v>0</v>
      </c>
    </row>
    <row r="1004" spans="1:3" x14ac:dyDescent="0.3">
      <c r="A1004">
        <v>1002117</v>
      </c>
      <c r="B1004" t="s">
        <v>1003</v>
      </c>
      <c r="C1004" s="12">
        <v>0</v>
      </c>
    </row>
    <row r="1005" spans="1:3" x14ac:dyDescent="0.3">
      <c r="A1005">
        <v>1002118</v>
      </c>
      <c r="B1005" t="s">
        <v>1004</v>
      </c>
      <c r="C1005" s="12">
        <v>0</v>
      </c>
    </row>
    <row r="1006" spans="1:3" x14ac:dyDescent="0.3">
      <c r="A1006">
        <v>1002119</v>
      </c>
      <c r="B1006" t="s">
        <v>1005</v>
      </c>
      <c r="C1006" s="12">
        <v>8000</v>
      </c>
    </row>
    <row r="1007" spans="1:3" x14ac:dyDescent="0.3">
      <c r="A1007">
        <v>1002120</v>
      </c>
      <c r="B1007" t="s">
        <v>1006</v>
      </c>
      <c r="C1007" s="12">
        <v>0</v>
      </c>
    </row>
    <row r="1008" spans="1:3" x14ac:dyDescent="0.3">
      <c r="A1008">
        <v>1002121</v>
      </c>
      <c r="B1008" t="s">
        <v>1007</v>
      </c>
      <c r="C1008" s="12">
        <v>0</v>
      </c>
    </row>
    <row r="1009" spans="1:3" x14ac:dyDescent="0.3">
      <c r="A1009">
        <v>1002122</v>
      </c>
      <c r="B1009" t="s">
        <v>1008</v>
      </c>
      <c r="C1009" s="12">
        <v>0</v>
      </c>
    </row>
    <row r="1010" spans="1:3" x14ac:dyDescent="0.3">
      <c r="A1010">
        <v>1002124</v>
      </c>
      <c r="B1010" t="s">
        <v>1009</v>
      </c>
      <c r="C1010" s="12">
        <v>0</v>
      </c>
    </row>
    <row r="1011" spans="1:3" x14ac:dyDescent="0.3">
      <c r="A1011">
        <v>1002125</v>
      </c>
      <c r="B1011" t="s">
        <v>1010</v>
      </c>
      <c r="C1011" s="12">
        <v>55000</v>
      </c>
    </row>
    <row r="1012" spans="1:3" x14ac:dyDescent="0.3">
      <c r="A1012">
        <v>1002127</v>
      </c>
      <c r="B1012" t="s">
        <v>1011</v>
      </c>
      <c r="C1012" s="12">
        <v>34810</v>
      </c>
    </row>
    <row r="1013" spans="1:3" x14ac:dyDescent="0.3">
      <c r="A1013">
        <v>1002129</v>
      </c>
      <c r="B1013" t="s">
        <v>1012</v>
      </c>
      <c r="C1013" s="12">
        <v>60921.05</v>
      </c>
    </row>
    <row r="1014" spans="1:3" x14ac:dyDescent="0.3">
      <c r="A1014">
        <v>1002130</v>
      </c>
      <c r="B1014" t="s">
        <v>1013</v>
      </c>
      <c r="C1014" s="12">
        <v>5129.8222222222203</v>
      </c>
    </row>
    <row r="1015" spans="1:3" x14ac:dyDescent="0.3">
      <c r="A1015">
        <v>1002131</v>
      </c>
      <c r="B1015" t="s">
        <v>1014</v>
      </c>
      <c r="C1015" s="12">
        <v>585.00753841991354</v>
      </c>
    </row>
    <row r="1016" spans="1:3" x14ac:dyDescent="0.3">
      <c r="A1016">
        <v>1002132</v>
      </c>
      <c r="B1016" t="s">
        <v>1015</v>
      </c>
      <c r="C1016" s="12">
        <v>69.143193717277484</v>
      </c>
    </row>
    <row r="1017" spans="1:3" x14ac:dyDescent="0.3">
      <c r="A1017">
        <v>1002137</v>
      </c>
      <c r="B1017" t="s">
        <v>1016</v>
      </c>
      <c r="C1017" s="12">
        <v>158099.85775</v>
      </c>
    </row>
    <row r="1018" spans="1:3" x14ac:dyDescent="0.3">
      <c r="A1018">
        <v>1002140</v>
      </c>
      <c r="B1018" t="s">
        <v>1017</v>
      </c>
      <c r="C1018" s="12">
        <v>63.839999999999996</v>
      </c>
    </row>
    <row r="1019" spans="1:3" x14ac:dyDescent="0.3">
      <c r="A1019">
        <v>1002147</v>
      </c>
      <c r="B1019" t="s">
        <v>1018</v>
      </c>
      <c r="C1019" s="12">
        <v>28436.18</v>
      </c>
    </row>
    <row r="1020" spans="1:3" x14ac:dyDescent="0.3">
      <c r="A1020">
        <v>1002148</v>
      </c>
      <c r="B1020" t="s">
        <v>1019</v>
      </c>
      <c r="C1020" s="12">
        <v>8049.2672278684095</v>
      </c>
    </row>
    <row r="1021" spans="1:3" x14ac:dyDescent="0.3">
      <c r="A1021">
        <v>1002149</v>
      </c>
      <c r="B1021" t="s">
        <v>1020</v>
      </c>
      <c r="C1021" s="12">
        <v>7931.8999415296103</v>
      </c>
    </row>
    <row r="1022" spans="1:3" x14ac:dyDescent="0.3">
      <c r="A1022">
        <v>1002150</v>
      </c>
      <c r="B1022" t="s">
        <v>1021</v>
      </c>
      <c r="C1022" s="12">
        <v>10944.501474315115</v>
      </c>
    </row>
    <row r="1023" spans="1:3" x14ac:dyDescent="0.3">
      <c r="A1023">
        <v>1002155</v>
      </c>
      <c r="B1023" t="s">
        <v>1022</v>
      </c>
      <c r="C1023" s="12">
        <v>18063.578644296591</v>
      </c>
    </row>
    <row r="1024" spans="1:3" x14ac:dyDescent="0.3">
      <c r="A1024">
        <v>1002156</v>
      </c>
      <c r="B1024" t="s">
        <v>1023</v>
      </c>
      <c r="C1024" s="12">
        <v>13518.28</v>
      </c>
    </row>
    <row r="1025" spans="1:3" x14ac:dyDescent="0.3">
      <c r="A1025">
        <v>1002158</v>
      </c>
      <c r="B1025" t="s">
        <v>1024</v>
      </c>
      <c r="C1025" s="12">
        <v>537202.07999999996</v>
      </c>
    </row>
    <row r="1026" spans="1:3" x14ac:dyDescent="0.3">
      <c r="A1026">
        <v>1002159</v>
      </c>
      <c r="B1026" t="s">
        <v>1025</v>
      </c>
      <c r="C1026" s="12">
        <v>112949.79</v>
      </c>
    </row>
    <row r="1027" spans="1:3" x14ac:dyDescent="0.3">
      <c r="A1027">
        <v>1002171</v>
      </c>
      <c r="B1027" t="s">
        <v>1026</v>
      </c>
      <c r="C1027" s="12">
        <v>15114.5053691021</v>
      </c>
    </row>
    <row r="1028" spans="1:3" x14ac:dyDescent="0.3">
      <c r="A1028">
        <v>1002172</v>
      </c>
      <c r="B1028" t="s">
        <v>1027</v>
      </c>
      <c r="C1028" s="12">
        <v>884.98517500000003</v>
      </c>
    </row>
    <row r="1029" spans="1:3" x14ac:dyDescent="0.3">
      <c r="A1029">
        <v>1002174</v>
      </c>
      <c r="B1029" t="s">
        <v>1028</v>
      </c>
      <c r="C1029" s="12">
        <v>15156.2755</v>
      </c>
    </row>
    <row r="1030" spans="1:3" x14ac:dyDescent="0.3">
      <c r="A1030">
        <v>1002182</v>
      </c>
      <c r="B1030" t="s">
        <v>1029</v>
      </c>
      <c r="C1030" s="12">
        <v>0</v>
      </c>
    </row>
    <row r="1031" spans="1:3" x14ac:dyDescent="0.3">
      <c r="A1031">
        <v>1002183</v>
      </c>
      <c r="B1031" t="s">
        <v>1030</v>
      </c>
      <c r="C1031" s="12">
        <v>9.8498447872984212</v>
      </c>
    </row>
    <row r="1032" spans="1:3" x14ac:dyDescent="0.3">
      <c r="A1032">
        <v>1002184</v>
      </c>
      <c r="B1032" t="s">
        <v>1031</v>
      </c>
      <c r="C1032" s="12">
        <v>13.335510407537233</v>
      </c>
    </row>
    <row r="1033" spans="1:3" x14ac:dyDescent="0.3">
      <c r="A1033">
        <v>1002185</v>
      </c>
      <c r="B1033" t="s">
        <v>1032</v>
      </c>
      <c r="C1033" s="12">
        <v>65.885893830685063</v>
      </c>
    </row>
    <row r="1034" spans="1:3" x14ac:dyDescent="0.3">
      <c r="A1034">
        <v>1002186</v>
      </c>
      <c r="B1034" t="s">
        <v>1033</v>
      </c>
      <c r="C1034" s="12">
        <v>325.80137483476199</v>
      </c>
    </row>
    <row r="1035" spans="1:3" x14ac:dyDescent="0.3">
      <c r="A1035">
        <v>1002187</v>
      </c>
      <c r="B1035" t="s">
        <v>1034</v>
      </c>
      <c r="C1035" s="12">
        <v>33.002000820344549</v>
      </c>
    </row>
    <row r="1036" spans="1:3" x14ac:dyDescent="0.3">
      <c r="A1036">
        <v>1002190</v>
      </c>
      <c r="B1036" t="s">
        <v>1035</v>
      </c>
      <c r="C1036" s="12">
        <v>22.05305405999318</v>
      </c>
    </row>
    <row r="1037" spans="1:3" x14ac:dyDescent="0.3">
      <c r="A1037">
        <v>1002191</v>
      </c>
      <c r="B1037" t="s">
        <v>1036</v>
      </c>
      <c r="C1037" s="12">
        <v>15.0759493794506</v>
      </c>
    </row>
    <row r="1038" spans="1:3" x14ac:dyDescent="0.3">
      <c r="A1038">
        <v>1002192</v>
      </c>
      <c r="B1038" t="s">
        <v>1037</v>
      </c>
      <c r="C1038" s="12">
        <v>247.8</v>
      </c>
    </row>
    <row r="1039" spans="1:3" x14ac:dyDescent="0.3">
      <c r="A1039">
        <v>1002194</v>
      </c>
      <c r="B1039" t="s">
        <v>1038</v>
      </c>
      <c r="C1039" s="12">
        <v>13.077598752598799</v>
      </c>
    </row>
    <row r="1040" spans="1:3" x14ac:dyDescent="0.3">
      <c r="A1040">
        <v>1002195</v>
      </c>
      <c r="B1040" t="s">
        <v>1039</v>
      </c>
      <c r="C1040" s="12">
        <v>0</v>
      </c>
    </row>
    <row r="1041" spans="1:3" x14ac:dyDescent="0.3">
      <c r="A1041">
        <v>1002196</v>
      </c>
      <c r="B1041" t="s">
        <v>1040</v>
      </c>
      <c r="C1041" s="12">
        <v>3.6830460304110302</v>
      </c>
    </row>
    <row r="1042" spans="1:3" x14ac:dyDescent="0.3">
      <c r="A1042">
        <v>1002197</v>
      </c>
      <c r="B1042" t="s">
        <v>1041</v>
      </c>
      <c r="C1042" s="12">
        <v>0.55000000000000004</v>
      </c>
    </row>
    <row r="1043" spans="1:3" x14ac:dyDescent="0.3">
      <c r="A1043">
        <v>1002198</v>
      </c>
      <c r="B1043" t="s">
        <v>1042</v>
      </c>
      <c r="C1043" s="12">
        <v>16.492778432861371</v>
      </c>
    </row>
    <row r="1044" spans="1:3" x14ac:dyDescent="0.3">
      <c r="A1044">
        <v>1002199</v>
      </c>
      <c r="B1044" t="s">
        <v>1043</v>
      </c>
      <c r="C1044" s="12">
        <v>5.5385433481107942</v>
      </c>
    </row>
    <row r="1045" spans="1:3" x14ac:dyDescent="0.3">
      <c r="A1045">
        <v>1002200</v>
      </c>
      <c r="B1045" t="s">
        <v>1044</v>
      </c>
      <c r="C1045" s="12">
        <v>4.8070500000000003</v>
      </c>
    </row>
    <row r="1046" spans="1:3" x14ac:dyDescent="0.3">
      <c r="A1046">
        <v>1002201</v>
      </c>
      <c r="B1046" t="s">
        <v>1045</v>
      </c>
      <c r="C1046" s="12">
        <v>19.622483056605287</v>
      </c>
    </row>
    <row r="1047" spans="1:3" x14ac:dyDescent="0.3">
      <c r="A1047">
        <v>1002203</v>
      </c>
      <c r="B1047" t="s">
        <v>1046</v>
      </c>
      <c r="C1047" s="12">
        <v>4.5860896060164089</v>
      </c>
    </row>
    <row r="1048" spans="1:3" x14ac:dyDescent="0.3">
      <c r="A1048">
        <v>1002204</v>
      </c>
      <c r="B1048" t="s">
        <v>1047</v>
      </c>
      <c r="C1048" s="12">
        <v>2.2256906750383276</v>
      </c>
    </row>
    <row r="1049" spans="1:3" x14ac:dyDescent="0.3">
      <c r="A1049">
        <v>1002205</v>
      </c>
      <c r="B1049" t="s">
        <v>1048</v>
      </c>
      <c r="C1049" s="12">
        <v>6.2422736260008325</v>
      </c>
    </row>
    <row r="1050" spans="1:3" x14ac:dyDescent="0.3">
      <c r="A1050">
        <v>1002207</v>
      </c>
      <c r="B1050" t="s">
        <v>1049</v>
      </c>
      <c r="C1050" s="12">
        <v>1</v>
      </c>
    </row>
    <row r="1051" spans="1:3" x14ac:dyDescent="0.3">
      <c r="A1051">
        <v>1002209</v>
      </c>
      <c r="B1051" t="s">
        <v>1050</v>
      </c>
      <c r="C1051" s="12">
        <v>29.21795956693272</v>
      </c>
    </row>
    <row r="1052" spans="1:3" x14ac:dyDescent="0.3">
      <c r="A1052">
        <v>1002216</v>
      </c>
      <c r="B1052" t="s">
        <v>1051</v>
      </c>
      <c r="C1052" s="12">
        <v>0.1</v>
      </c>
    </row>
    <row r="1053" spans="1:3" x14ac:dyDescent="0.3">
      <c r="A1053">
        <v>1002217</v>
      </c>
      <c r="B1053" t="s">
        <v>1052</v>
      </c>
      <c r="C1053" s="12">
        <v>97.077894976040156</v>
      </c>
    </row>
    <row r="1054" spans="1:3" x14ac:dyDescent="0.3">
      <c r="A1054">
        <v>1002218</v>
      </c>
      <c r="B1054" t="s">
        <v>1053</v>
      </c>
      <c r="C1054" s="12">
        <v>34.62985805367299</v>
      </c>
    </row>
    <row r="1055" spans="1:3" x14ac:dyDescent="0.3">
      <c r="A1055">
        <v>1002222</v>
      </c>
      <c r="B1055" t="s">
        <v>1054</v>
      </c>
      <c r="C1055" s="12">
        <v>387.89331232492998</v>
      </c>
    </row>
    <row r="1056" spans="1:3" x14ac:dyDescent="0.3">
      <c r="A1056">
        <v>1002223</v>
      </c>
      <c r="B1056" t="s">
        <v>1055</v>
      </c>
      <c r="C1056" s="12">
        <v>400.44727616762037</v>
      </c>
    </row>
    <row r="1057" spans="1:3" x14ac:dyDescent="0.3">
      <c r="A1057">
        <v>1002224</v>
      </c>
      <c r="B1057" t="s">
        <v>1056</v>
      </c>
      <c r="C1057" s="12">
        <v>278.68349960775276</v>
      </c>
    </row>
    <row r="1058" spans="1:3" x14ac:dyDescent="0.3">
      <c r="A1058">
        <v>1002225</v>
      </c>
      <c r="B1058" t="s">
        <v>1057</v>
      </c>
      <c r="C1058" s="12">
        <v>425.18964394279311</v>
      </c>
    </row>
    <row r="1059" spans="1:3" x14ac:dyDescent="0.3">
      <c r="A1059">
        <v>1002228</v>
      </c>
      <c r="B1059" t="s">
        <v>1058</v>
      </c>
      <c r="C1059" s="12">
        <v>11.386105965096274</v>
      </c>
    </row>
    <row r="1060" spans="1:3" x14ac:dyDescent="0.3">
      <c r="A1060">
        <v>1002229</v>
      </c>
      <c r="B1060" t="s">
        <v>1059</v>
      </c>
      <c r="C1060" s="12">
        <v>0.8</v>
      </c>
    </row>
    <row r="1061" spans="1:3" x14ac:dyDescent="0.3">
      <c r="A1061">
        <v>1002230</v>
      </c>
      <c r="B1061" t="s">
        <v>1060</v>
      </c>
      <c r="C1061" s="12">
        <v>1.427799043062201</v>
      </c>
    </row>
    <row r="1062" spans="1:3" x14ac:dyDescent="0.3">
      <c r="A1062">
        <v>1002231</v>
      </c>
      <c r="B1062" t="s">
        <v>1061</v>
      </c>
      <c r="C1062" s="12">
        <v>41.956106924390269</v>
      </c>
    </row>
    <row r="1063" spans="1:3" x14ac:dyDescent="0.3">
      <c r="A1063">
        <v>1002232</v>
      </c>
      <c r="B1063" t="s">
        <v>1062</v>
      </c>
      <c r="C1063" s="12">
        <v>17.585358503122698</v>
      </c>
    </row>
    <row r="1064" spans="1:3" x14ac:dyDescent="0.3">
      <c r="A1064">
        <v>1002233</v>
      </c>
      <c r="B1064" t="s">
        <v>1063</v>
      </c>
      <c r="C1064" s="12">
        <v>162.8805339985218</v>
      </c>
    </row>
    <row r="1065" spans="1:3" x14ac:dyDescent="0.3">
      <c r="B1065" t="s">
        <v>1064</v>
      </c>
      <c r="C1065" s="12">
        <v>162.88076233183855</v>
      </c>
    </row>
    <row r="1066" spans="1:3" x14ac:dyDescent="0.3">
      <c r="A1066">
        <v>1002235</v>
      </c>
      <c r="B1066" t="s">
        <v>1065</v>
      </c>
      <c r="C1066" s="12">
        <v>0</v>
      </c>
    </row>
    <row r="1067" spans="1:3" x14ac:dyDescent="0.3">
      <c r="A1067">
        <v>1002236</v>
      </c>
      <c r="B1067" t="s">
        <v>1066</v>
      </c>
      <c r="C1067" s="12">
        <v>0.358333333333333</v>
      </c>
    </row>
    <row r="1068" spans="1:3" x14ac:dyDescent="0.3">
      <c r="A1068">
        <v>1002237</v>
      </c>
      <c r="B1068" t="s">
        <v>1067</v>
      </c>
      <c r="C1068" s="12">
        <v>1.0029999999999999</v>
      </c>
    </row>
    <row r="1069" spans="1:3" x14ac:dyDescent="0.3">
      <c r="A1069">
        <v>1002238</v>
      </c>
      <c r="B1069" t="s">
        <v>1068</v>
      </c>
      <c r="C1069" s="12">
        <v>2.3812063546127451</v>
      </c>
    </row>
    <row r="1070" spans="1:3" x14ac:dyDescent="0.3">
      <c r="A1070">
        <v>1002239</v>
      </c>
      <c r="B1070" t="s">
        <v>1069</v>
      </c>
      <c r="C1070" s="12">
        <v>1.181587274731982</v>
      </c>
    </row>
    <row r="1071" spans="1:3" x14ac:dyDescent="0.3">
      <c r="A1071">
        <v>1002241</v>
      </c>
      <c r="B1071" t="s">
        <v>1070</v>
      </c>
      <c r="C1071" s="12">
        <v>1.78474028442475</v>
      </c>
    </row>
    <row r="1072" spans="1:3" x14ac:dyDescent="0.3">
      <c r="A1072">
        <v>1002243</v>
      </c>
      <c r="B1072" t="s">
        <v>1071</v>
      </c>
      <c r="C1072" s="12">
        <v>8.3521282535074981</v>
      </c>
    </row>
    <row r="1073" spans="1:3" x14ac:dyDescent="0.3">
      <c r="A1073">
        <v>1002247</v>
      </c>
      <c r="B1073" t="s">
        <v>1072</v>
      </c>
      <c r="C1073" s="12">
        <v>58</v>
      </c>
    </row>
    <row r="1074" spans="1:3" x14ac:dyDescent="0.3">
      <c r="A1074">
        <v>1002250</v>
      </c>
      <c r="B1074" t="s">
        <v>1073</v>
      </c>
      <c r="C1074" s="12">
        <v>40.002000000000002</v>
      </c>
    </row>
    <row r="1075" spans="1:3" x14ac:dyDescent="0.3">
      <c r="A1075">
        <v>1002251</v>
      </c>
      <c r="B1075" t="s">
        <v>1074</v>
      </c>
      <c r="C1075" s="12">
        <v>8.9828571428571404</v>
      </c>
    </row>
    <row r="1076" spans="1:3" x14ac:dyDescent="0.3">
      <c r="A1076">
        <v>1002257</v>
      </c>
      <c r="B1076" t="s">
        <v>1075</v>
      </c>
      <c r="C1076" s="12">
        <v>1.74</v>
      </c>
    </row>
    <row r="1077" spans="1:3" x14ac:dyDescent="0.3">
      <c r="A1077">
        <v>1002258</v>
      </c>
      <c r="B1077" t="s">
        <v>1076</v>
      </c>
      <c r="C1077" s="12">
        <v>0.24</v>
      </c>
    </row>
    <row r="1078" spans="1:3" x14ac:dyDescent="0.3">
      <c r="A1078">
        <v>1002262</v>
      </c>
      <c r="B1078" t="s">
        <v>1077</v>
      </c>
      <c r="C1078" s="12">
        <v>0</v>
      </c>
    </row>
    <row r="1079" spans="1:3" x14ac:dyDescent="0.3">
      <c r="A1079">
        <v>1002265</v>
      </c>
      <c r="B1079" t="s">
        <v>1078</v>
      </c>
      <c r="C1079" s="12">
        <v>0</v>
      </c>
    </row>
    <row r="1080" spans="1:3" x14ac:dyDescent="0.3">
      <c r="A1080">
        <v>1002267</v>
      </c>
      <c r="B1080" t="s">
        <v>1079</v>
      </c>
      <c r="C1080" s="12">
        <v>35.315406026027802</v>
      </c>
    </row>
    <row r="1081" spans="1:3" x14ac:dyDescent="0.3">
      <c r="A1081">
        <v>1002269</v>
      </c>
      <c r="B1081" t="s">
        <v>1080</v>
      </c>
      <c r="C1081" s="12">
        <v>3.343333333333335</v>
      </c>
    </row>
    <row r="1082" spans="1:3" x14ac:dyDescent="0.3">
      <c r="A1082">
        <v>1002270</v>
      </c>
      <c r="B1082" t="s">
        <v>1081</v>
      </c>
      <c r="C1082" s="12">
        <v>6.5900000000000007</v>
      </c>
    </row>
    <row r="1083" spans="1:3" x14ac:dyDescent="0.3">
      <c r="A1083">
        <v>1002271</v>
      </c>
      <c r="B1083" t="s">
        <v>1082</v>
      </c>
      <c r="C1083" s="12">
        <v>4.5</v>
      </c>
    </row>
    <row r="1084" spans="1:3" x14ac:dyDescent="0.3">
      <c r="A1084">
        <v>1002272</v>
      </c>
      <c r="B1084" t="s">
        <v>1083</v>
      </c>
      <c r="C1084" s="12">
        <v>19.45</v>
      </c>
    </row>
    <row r="1085" spans="1:3" x14ac:dyDescent="0.3">
      <c r="A1085">
        <v>1002274</v>
      </c>
      <c r="B1085" t="s">
        <v>1084</v>
      </c>
      <c r="C1085" s="12">
        <v>1.25</v>
      </c>
    </row>
    <row r="1086" spans="1:3" x14ac:dyDescent="0.3">
      <c r="A1086">
        <v>1002275</v>
      </c>
      <c r="B1086" t="s">
        <v>1085</v>
      </c>
      <c r="C1086" s="12">
        <v>0</v>
      </c>
    </row>
    <row r="1087" spans="1:3" x14ac:dyDescent="0.3">
      <c r="A1087">
        <v>1002276</v>
      </c>
      <c r="B1087" t="s">
        <v>1086</v>
      </c>
      <c r="C1087" s="12">
        <v>0</v>
      </c>
    </row>
    <row r="1088" spans="1:3" x14ac:dyDescent="0.3">
      <c r="A1088">
        <v>1002282</v>
      </c>
      <c r="B1088" t="s">
        <v>1087</v>
      </c>
      <c r="C1088" s="12">
        <v>31.037259717647807</v>
      </c>
    </row>
    <row r="1089" spans="1:3" x14ac:dyDescent="0.3">
      <c r="A1089">
        <v>1002283</v>
      </c>
      <c r="B1089" t="s">
        <v>1088</v>
      </c>
      <c r="C1089" s="12">
        <v>63.170966037037445</v>
      </c>
    </row>
    <row r="1090" spans="1:3" x14ac:dyDescent="0.3">
      <c r="A1090">
        <v>1002284</v>
      </c>
      <c r="B1090" t="s">
        <v>1089</v>
      </c>
      <c r="C1090" s="12">
        <v>121.70190476190477</v>
      </c>
    </row>
    <row r="1091" spans="1:3" x14ac:dyDescent="0.3">
      <c r="A1091">
        <v>1002285</v>
      </c>
      <c r="B1091" t="s">
        <v>1090</v>
      </c>
      <c r="C1091" s="12">
        <v>20.968434949376082</v>
      </c>
    </row>
    <row r="1092" spans="1:3" x14ac:dyDescent="0.3">
      <c r="A1092">
        <v>1002286</v>
      </c>
      <c r="B1092" t="s">
        <v>1091</v>
      </c>
      <c r="C1092" s="12">
        <v>187.97400000000002</v>
      </c>
    </row>
    <row r="1093" spans="1:3" x14ac:dyDescent="0.3">
      <c r="A1093">
        <v>1002287</v>
      </c>
      <c r="B1093" t="s">
        <v>1092</v>
      </c>
      <c r="C1093" s="12">
        <v>187.32498507462688</v>
      </c>
    </row>
    <row r="1094" spans="1:3" x14ac:dyDescent="0.3">
      <c r="A1094">
        <v>1002288</v>
      </c>
      <c r="B1094" t="s">
        <v>1093</v>
      </c>
      <c r="C1094" s="12">
        <v>120.994973430043</v>
      </c>
    </row>
    <row r="1095" spans="1:3" x14ac:dyDescent="0.3">
      <c r="A1095">
        <v>1002290</v>
      </c>
      <c r="B1095" t="s">
        <v>1094</v>
      </c>
      <c r="C1095" s="12">
        <v>159.18199515132139</v>
      </c>
    </row>
    <row r="1096" spans="1:3" x14ac:dyDescent="0.3">
      <c r="A1096">
        <v>1002291</v>
      </c>
      <c r="B1096" t="s">
        <v>1095</v>
      </c>
      <c r="C1096" s="12">
        <v>83.16</v>
      </c>
    </row>
    <row r="1097" spans="1:3" x14ac:dyDescent="0.3">
      <c r="A1097">
        <v>1002294</v>
      </c>
      <c r="B1097" t="s">
        <v>1096</v>
      </c>
      <c r="C1097" s="12">
        <v>140.22284073523349</v>
      </c>
    </row>
    <row r="1098" spans="1:3" x14ac:dyDescent="0.3">
      <c r="A1098">
        <v>1002295</v>
      </c>
      <c r="B1098" t="s">
        <v>1097</v>
      </c>
      <c r="C1098" s="12">
        <v>344.65436070776457</v>
      </c>
    </row>
    <row r="1099" spans="1:3" x14ac:dyDescent="0.3">
      <c r="A1099">
        <v>1002298</v>
      </c>
      <c r="B1099" t="s">
        <v>1098</v>
      </c>
      <c r="C1099" s="12">
        <v>143.08677370096933</v>
      </c>
    </row>
    <row r="1100" spans="1:3" x14ac:dyDescent="0.3">
      <c r="A1100">
        <v>1002299</v>
      </c>
      <c r="B1100" t="s">
        <v>1099</v>
      </c>
      <c r="C1100" s="12">
        <v>281.62</v>
      </c>
    </row>
    <row r="1101" spans="1:3" x14ac:dyDescent="0.3">
      <c r="A1101">
        <v>1002300</v>
      </c>
      <c r="B1101" t="s">
        <v>1100</v>
      </c>
      <c r="C1101" s="12">
        <v>1</v>
      </c>
    </row>
    <row r="1102" spans="1:3" x14ac:dyDescent="0.3">
      <c r="A1102">
        <v>1002301</v>
      </c>
      <c r="B1102" t="s">
        <v>1101</v>
      </c>
      <c r="C1102" s="12">
        <v>147.5</v>
      </c>
    </row>
    <row r="1103" spans="1:3" x14ac:dyDescent="0.3">
      <c r="A1103">
        <v>1002303</v>
      </c>
      <c r="B1103" t="s">
        <v>1102</v>
      </c>
      <c r="C1103" s="12">
        <v>37.661608304243984</v>
      </c>
    </row>
    <row r="1104" spans="1:3" x14ac:dyDescent="0.3">
      <c r="A1104">
        <v>1002305</v>
      </c>
      <c r="B1104" t="s">
        <v>1103</v>
      </c>
      <c r="C1104" s="12">
        <v>24.62</v>
      </c>
    </row>
    <row r="1105" spans="1:3" x14ac:dyDescent="0.3">
      <c r="A1105">
        <v>1002306</v>
      </c>
      <c r="B1105" t="s">
        <v>1104</v>
      </c>
      <c r="C1105" s="12">
        <v>170.56226637031418</v>
      </c>
    </row>
    <row r="1106" spans="1:3" x14ac:dyDescent="0.3">
      <c r="A1106">
        <v>1002307</v>
      </c>
      <c r="B1106" t="s">
        <v>1105</v>
      </c>
      <c r="C1106" s="12">
        <v>35.81884260592669</v>
      </c>
    </row>
    <row r="1107" spans="1:3" x14ac:dyDescent="0.3">
      <c r="A1107">
        <v>1002308</v>
      </c>
      <c r="B1107" t="s">
        <v>1106</v>
      </c>
      <c r="C1107" s="12">
        <v>70.544645854070779</v>
      </c>
    </row>
    <row r="1108" spans="1:3" x14ac:dyDescent="0.3">
      <c r="A1108">
        <v>1002310</v>
      </c>
      <c r="B1108" t="s">
        <v>1107</v>
      </c>
      <c r="C1108" s="12">
        <v>43.680016577161282</v>
      </c>
    </row>
    <row r="1109" spans="1:3" x14ac:dyDescent="0.3">
      <c r="A1109">
        <v>1002311</v>
      </c>
      <c r="B1109" t="s">
        <v>1108</v>
      </c>
      <c r="C1109" s="12">
        <v>26.73541755442135</v>
      </c>
    </row>
    <row r="1110" spans="1:3" x14ac:dyDescent="0.3">
      <c r="A1110">
        <v>1002313</v>
      </c>
      <c r="B1110" t="s">
        <v>1109</v>
      </c>
      <c r="C1110" s="12">
        <v>67.189807576416058</v>
      </c>
    </row>
    <row r="1111" spans="1:3" x14ac:dyDescent="0.3">
      <c r="A1111">
        <v>1002314</v>
      </c>
      <c r="B1111" t="s">
        <v>1110</v>
      </c>
      <c r="C1111" s="12">
        <v>19.0154866666667</v>
      </c>
    </row>
    <row r="1112" spans="1:3" x14ac:dyDescent="0.3">
      <c r="A1112">
        <v>1002317</v>
      </c>
      <c r="B1112" t="s">
        <v>1111</v>
      </c>
      <c r="C1112" s="12">
        <v>70.297085916222812</v>
      </c>
    </row>
    <row r="1113" spans="1:3" x14ac:dyDescent="0.3">
      <c r="A1113">
        <v>1002318</v>
      </c>
      <c r="B1113" t="s">
        <v>1112</v>
      </c>
      <c r="C1113" s="12">
        <v>471.37457095564872</v>
      </c>
    </row>
    <row r="1114" spans="1:3" x14ac:dyDescent="0.3">
      <c r="A1114">
        <v>1002319</v>
      </c>
      <c r="B1114" t="s">
        <v>1113</v>
      </c>
      <c r="C1114" s="12">
        <v>309.76179196148848</v>
      </c>
    </row>
    <row r="1115" spans="1:3" x14ac:dyDescent="0.3">
      <c r="A1115">
        <v>1002321</v>
      </c>
      <c r="B1115" t="s">
        <v>1114</v>
      </c>
      <c r="C1115" s="12">
        <v>29</v>
      </c>
    </row>
    <row r="1116" spans="1:3" x14ac:dyDescent="0.3">
      <c r="A1116">
        <v>1002322</v>
      </c>
      <c r="B1116" t="s">
        <v>1115</v>
      </c>
      <c r="C1116" s="12">
        <v>81</v>
      </c>
    </row>
    <row r="1117" spans="1:3" x14ac:dyDescent="0.3">
      <c r="A1117">
        <v>1002324</v>
      </c>
      <c r="B1117" t="s">
        <v>1116</v>
      </c>
      <c r="C1117" s="12">
        <v>45</v>
      </c>
    </row>
    <row r="1118" spans="1:3" x14ac:dyDescent="0.3">
      <c r="A1118">
        <v>1002325</v>
      </c>
      <c r="B1118" t="s">
        <v>1117</v>
      </c>
      <c r="C1118" s="12">
        <v>16.714392220159727</v>
      </c>
    </row>
    <row r="1119" spans="1:3" x14ac:dyDescent="0.3">
      <c r="A1119">
        <v>1002327</v>
      </c>
      <c r="B1119" t="s">
        <v>1118</v>
      </c>
      <c r="C1119" s="12">
        <v>3.6</v>
      </c>
    </row>
    <row r="1120" spans="1:3" x14ac:dyDescent="0.3">
      <c r="A1120">
        <v>1002328</v>
      </c>
      <c r="B1120" t="s">
        <v>1119</v>
      </c>
      <c r="C1120" s="12">
        <v>18.985784826392418</v>
      </c>
    </row>
    <row r="1121" spans="1:3" x14ac:dyDescent="0.3">
      <c r="A1121">
        <v>1002329</v>
      </c>
      <c r="B1121" t="s">
        <v>1120</v>
      </c>
      <c r="C1121" s="12">
        <v>96.158397735165408</v>
      </c>
    </row>
    <row r="1122" spans="1:3" x14ac:dyDescent="0.3">
      <c r="A1122">
        <v>1002330</v>
      </c>
      <c r="B1122" t="s">
        <v>1121</v>
      </c>
      <c r="C1122" s="12">
        <v>79.060408718561888</v>
      </c>
    </row>
    <row r="1123" spans="1:3" x14ac:dyDescent="0.3">
      <c r="A1123">
        <v>1002331</v>
      </c>
      <c r="B1123" t="s">
        <v>1122</v>
      </c>
      <c r="C1123" s="12">
        <v>89.785843916641539</v>
      </c>
    </row>
    <row r="1124" spans="1:3" x14ac:dyDescent="0.3">
      <c r="A1124">
        <v>1002332</v>
      </c>
      <c r="B1124" t="s">
        <v>1123</v>
      </c>
      <c r="C1124" s="12">
        <v>69.153846153846203</v>
      </c>
    </row>
    <row r="1125" spans="1:3" x14ac:dyDescent="0.3">
      <c r="A1125">
        <v>1002333</v>
      </c>
      <c r="B1125" t="s">
        <v>1124</v>
      </c>
      <c r="C1125" s="12">
        <v>31.5578001125726</v>
      </c>
    </row>
    <row r="1126" spans="1:3" x14ac:dyDescent="0.3">
      <c r="A1126">
        <v>1002334</v>
      </c>
      <c r="B1126" t="s">
        <v>1125</v>
      </c>
      <c r="C1126" s="12">
        <v>101.21000000000001</v>
      </c>
    </row>
    <row r="1127" spans="1:3" x14ac:dyDescent="0.3">
      <c r="A1127">
        <v>1002336</v>
      </c>
      <c r="B1127" t="s">
        <v>1126</v>
      </c>
      <c r="C1127" s="12">
        <v>31.467757136663316</v>
      </c>
    </row>
    <row r="1128" spans="1:3" x14ac:dyDescent="0.3">
      <c r="A1128">
        <v>1002338</v>
      </c>
      <c r="B1128" t="s">
        <v>1127</v>
      </c>
      <c r="C1128" s="12">
        <v>50.858000626762774</v>
      </c>
    </row>
    <row r="1129" spans="1:3" x14ac:dyDescent="0.3">
      <c r="A1129">
        <v>1002339</v>
      </c>
      <c r="B1129" t="s">
        <v>1128</v>
      </c>
      <c r="C1129" s="12">
        <v>11.75</v>
      </c>
    </row>
    <row r="1130" spans="1:3" x14ac:dyDescent="0.3">
      <c r="A1130">
        <v>1002341</v>
      </c>
      <c r="B1130" t="s">
        <v>1129</v>
      </c>
      <c r="C1130" s="12">
        <v>0</v>
      </c>
    </row>
    <row r="1131" spans="1:3" x14ac:dyDescent="0.3">
      <c r="A1131">
        <v>1002343</v>
      </c>
      <c r="B1131" t="s">
        <v>1130</v>
      </c>
      <c r="C1131" s="12">
        <v>0</v>
      </c>
    </row>
    <row r="1132" spans="1:3" x14ac:dyDescent="0.3">
      <c r="A1132">
        <v>1002344</v>
      </c>
      <c r="B1132" t="s">
        <v>1131</v>
      </c>
      <c r="C1132" s="12">
        <v>49.88</v>
      </c>
    </row>
    <row r="1133" spans="1:3" x14ac:dyDescent="0.3">
      <c r="A1133">
        <v>1002346</v>
      </c>
      <c r="B1133" t="s">
        <v>1132</v>
      </c>
      <c r="C1133" s="12">
        <v>0</v>
      </c>
    </row>
    <row r="1134" spans="1:3" x14ac:dyDescent="0.3">
      <c r="A1134">
        <v>1002347</v>
      </c>
      <c r="B1134" t="s">
        <v>1133</v>
      </c>
      <c r="C1134" s="12">
        <v>181.94876262981774</v>
      </c>
    </row>
    <row r="1135" spans="1:3" x14ac:dyDescent="0.3">
      <c r="A1135">
        <v>1002348</v>
      </c>
      <c r="B1135" t="s">
        <v>1134</v>
      </c>
      <c r="C1135" s="12">
        <v>326.13067320495662</v>
      </c>
    </row>
    <row r="1136" spans="1:3" x14ac:dyDescent="0.3">
      <c r="A1136">
        <v>1002349</v>
      </c>
      <c r="B1136" t="s">
        <v>1135</v>
      </c>
      <c r="C1136" s="12">
        <v>186.26256175562202</v>
      </c>
    </row>
    <row r="1137" spans="1:3" x14ac:dyDescent="0.3">
      <c r="A1137">
        <v>1002350</v>
      </c>
      <c r="B1137" t="s">
        <v>1136</v>
      </c>
      <c r="C1137" s="12">
        <v>146.014187139917</v>
      </c>
    </row>
    <row r="1138" spans="1:3" x14ac:dyDescent="0.3">
      <c r="A1138">
        <v>1002355</v>
      </c>
      <c r="B1138" t="s">
        <v>1137</v>
      </c>
      <c r="C1138" s="12">
        <v>171.84452537474726</v>
      </c>
    </row>
    <row r="1139" spans="1:3" x14ac:dyDescent="0.3">
      <c r="A1139">
        <v>1002372</v>
      </c>
      <c r="B1139" t="s">
        <v>1138</v>
      </c>
      <c r="C1139" s="12">
        <v>8.1976535896854426</v>
      </c>
    </row>
    <row r="1140" spans="1:3" x14ac:dyDescent="0.3">
      <c r="A1140">
        <v>1002373</v>
      </c>
      <c r="B1140" t="s">
        <v>1139</v>
      </c>
      <c r="C1140" s="12">
        <v>10.119999999999999</v>
      </c>
    </row>
    <row r="1141" spans="1:3" x14ac:dyDescent="0.3">
      <c r="A1141">
        <v>1002375</v>
      </c>
      <c r="B1141" t="s">
        <v>1140</v>
      </c>
      <c r="C1141" s="12">
        <v>7.9135674844638473</v>
      </c>
    </row>
    <row r="1142" spans="1:3" x14ac:dyDescent="0.3">
      <c r="A1142">
        <v>1002377</v>
      </c>
      <c r="B1142" t="s">
        <v>1141</v>
      </c>
      <c r="C1142" s="12">
        <v>9.2799999999999994</v>
      </c>
    </row>
    <row r="1143" spans="1:3" x14ac:dyDescent="0.3">
      <c r="A1143">
        <v>1002383</v>
      </c>
      <c r="B1143" t="s">
        <v>1142</v>
      </c>
      <c r="C1143" s="12">
        <v>1.25</v>
      </c>
    </row>
    <row r="1144" spans="1:3" x14ac:dyDescent="0.3">
      <c r="A1144">
        <v>1002387</v>
      </c>
      <c r="B1144" t="s">
        <v>1143</v>
      </c>
      <c r="C1144" s="12">
        <v>2.95</v>
      </c>
    </row>
    <row r="1145" spans="1:3" x14ac:dyDescent="0.3">
      <c r="A1145">
        <v>1002388</v>
      </c>
      <c r="B1145" t="s">
        <v>1144</v>
      </c>
      <c r="C1145" s="12">
        <v>42.730208870167878</v>
      </c>
    </row>
    <row r="1146" spans="1:3" x14ac:dyDescent="0.3">
      <c r="A1146">
        <v>1002390</v>
      </c>
      <c r="B1146" t="s">
        <v>1145</v>
      </c>
      <c r="C1146" s="12">
        <v>413.5320691993951</v>
      </c>
    </row>
    <row r="1147" spans="1:3" x14ac:dyDescent="0.3">
      <c r="A1147">
        <v>1002391</v>
      </c>
      <c r="B1147" t="s">
        <v>1146</v>
      </c>
      <c r="C1147" s="12">
        <v>172.71659624413101</v>
      </c>
    </row>
    <row r="1148" spans="1:3" x14ac:dyDescent="0.3">
      <c r="A1148">
        <v>1002392</v>
      </c>
      <c r="B1148" t="s">
        <v>1147</v>
      </c>
      <c r="C1148" s="12">
        <v>70.8</v>
      </c>
    </row>
    <row r="1149" spans="1:3" x14ac:dyDescent="0.3">
      <c r="A1149">
        <v>1002393</v>
      </c>
      <c r="B1149" t="s">
        <v>1148</v>
      </c>
      <c r="C1149" s="12">
        <v>29.240400000000001</v>
      </c>
    </row>
    <row r="1150" spans="1:3" x14ac:dyDescent="0.3">
      <c r="A1150">
        <v>1002394</v>
      </c>
      <c r="B1150" t="s">
        <v>1149</v>
      </c>
      <c r="C1150" s="12">
        <v>157.13233129917012</v>
      </c>
    </row>
    <row r="1151" spans="1:3" x14ac:dyDescent="0.3">
      <c r="A1151">
        <v>1002395</v>
      </c>
      <c r="B1151" t="s">
        <v>1150</v>
      </c>
      <c r="C1151" s="12">
        <v>116.0174974693534</v>
      </c>
    </row>
    <row r="1152" spans="1:3" x14ac:dyDescent="0.3">
      <c r="A1152">
        <v>1002396</v>
      </c>
      <c r="B1152" t="s">
        <v>1151</v>
      </c>
      <c r="C1152" s="12">
        <v>94.200991388827546</v>
      </c>
    </row>
    <row r="1153" spans="1:3" x14ac:dyDescent="0.3">
      <c r="A1153">
        <v>1002397</v>
      </c>
      <c r="B1153" t="s">
        <v>1152</v>
      </c>
      <c r="C1153" s="12">
        <v>122.07000000000001</v>
      </c>
    </row>
    <row r="1154" spans="1:3" x14ac:dyDescent="0.3">
      <c r="A1154">
        <v>1002398</v>
      </c>
      <c r="B1154" t="s">
        <v>1153</v>
      </c>
      <c r="C1154" s="12">
        <v>116.06803020980598</v>
      </c>
    </row>
    <row r="1155" spans="1:3" x14ac:dyDescent="0.3">
      <c r="A1155">
        <v>1002399</v>
      </c>
      <c r="B1155" t="s">
        <v>1154</v>
      </c>
      <c r="C1155" s="12">
        <v>0</v>
      </c>
    </row>
    <row r="1156" spans="1:3" x14ac:dyDescent="0.3">
      <c r="A1156">
        <v>1002400</v>
      </c>
      <c r="B1156" t="s">
        <v>1155</v>
      </c>
      <c r="C1156" s="12">
        <v>1374.281329625172</v>
      </c>
    </row>
    <row r="1157" spans="1:3" x14ac:dyDescent="0.3">
      <c r="A1157">
        <v>1002401</v>
      </c>
      <c r="B1157" t="s">
        <v>1156</v>
      </c>
      <c r="C1157" s="12">
        <v>967.4165629496232</v>
      </c>
    </row>
    <row r="1158" spans="1:3" x14ac:dyDescent="0.3">
      <c r="A1158">
        <v>1002402</v>
      </c>
      <c r="B1158" t="s">
        <v>1157</v>
      </c>
      <c r="C1158" s="12">
        <v>1765.5708434019591</v>
      </c>
    </row>
    <row r="1159" spans="1:3" x14ac:dyDescent="0.3">
      <c r="A1159">
        <v>1002404</v>
      </c>
      <c r="B1159" t="s">
        <v>1158</v>
      </c>
      <c r="C1159" s="12">
        <v>3822.6866103299208</v>
      </c>
    </row>
    <row r="1160" spans="1:3" x14ac:dyDescent="0.3">
      <c r="A1160">
        <v>1002405</v>
      </c>
      <c r="B1160" t="s">
        <v>1159</v>
      </c>
      <c r="C1160" s="12">
        <v>23392.31</v>
      </c>
    </row>
    <row r="1161" spans="1:3" x14ac:dyDescent="0.3">
      <c r="A1161">
        <v>1002413</v>
      </c>
      <c r="B1161" t="s">
        <v>1160</v>
      </c>
      <c r="C1161" s="12">
        <v>1011.85</v>
      </c>
    </row>
    <row r="1162" spans="1:3" x14ac:dyDescent="0.3">
      <c r="A1162">
        <v>1002419</v>
      </c>
      <c r="B1162" t="s">
        <v>1161</v>
      </c>
      <c r="C1162" s="12">
        <v>1766.48</v>
      </c>
    </row>
    <row r="1163" spans="1:3" x14ac:dyDescent="0.3">
      <c r="A1163">
        <v>1002421</v>
      </c>
      <c r="B1163" t="s">
        <v>1162</v>
      </c>
      <c r="C1163" s="12">
        <v>931.64553124999998</v>
      </c>
    </row>
    <row r="1164" spans="1:3" x14ac:dyDescent="0.3">
      <c r="A1164">
        <v>1002422</v>
      </c>
      <c r="B1164" t="s">
        <v>1163</v>
      </c>
      <c r="C1164" s="12">
        <v>28592.830671624972</v>
      </c>
    </row>
    <row r="1165" spans="1:3" x14ac:dyDescent="0.3">
      <c r="A1165">
        <v>1002423</v>
      </c>
      <c r="B1165" t="s">
        <v>1164</v>
      </c>
      <c r="C1165" s="12">
        <v>37815.297595533499</v>
      </c>
    </row>
    <row r="1166" spans="1:3" x14ac:dyDescent="0.3">
      <c r="A1166">
        <v>1002424</v>
      </c>
      <c r="B1166" t="s">
        <v>1165</v>
      </c>
      <c r="C1166" s="12">
        <v>63544.9656963097</v>
      </c>
    </row>
    <row r="1167" spans="1:3" x14ac:dyDescent="0.3">
      <c r="A1167">
        <v>1002426</v>
      </c>
      <c r="B1167" t="s">
        <v>1166</v>
      </c>
      <c r="C1167" s="12">
        <v>66862.606666666703</v>
      </c>
    </row>
    <row r="1168" spans="1:3" x14ac:dyDescent="0.3">
      <c r="A1168">
        <v>1002427</v>
      </c>
      <c r="B1168" t="s">
        <v>1167</v>
      </c>
      <c r="C1168" s="12">
        <v>67825.146041666696</v>
      </c>
    </row>
    <row r="1169" spans="1:3" x14ac:dyDescent="0.3">
      <c r="A1169">
        <v>1002428</v>
      </c>
      <c r="B1169" t="s">
        <v>1168</v>
      </c>
      <c r="C1169" s="12">
        <v>68844.179999999993</v>
      </c>
    </row>
    <row r="1170" spans="1:3" x14ac:dyDescent="0.3">
      <c r="A1170">
        <v>1002431</v>
      </c>
      <c r="B1170" t="s">
        <v>1169</v>
      </c>
      <c r="C1170" s="12">
        <v>22912.49</v>
      </c>
    </row>
    <row r="1171" spans="1:3" x14ac:dyDescent="0.3">
      <c r="A1171">
        <v>1002432</v>
      </c>
      <c r="B1171" t="s">
        <v>1170</v>
      </c>
      <c r="C1171" s="12">
        <v>2787.4753385924623</v>
      </c>
    </row>
    <row r="1172" spans="1:3" x14ac:dyDescent="0.3">
      <c r="A1172">
        <v>1002433</v>
      </c>
      <c r="B1172" t="s">
        <v>1171</v>
      </c>
      <c r="C1172" s="12">
        <v>22607.968287037002</v>
      </c>
    </row>
    <row r="1173" spans="1:3" x14ac:dyDescent="0.3">
      <c r="A1173">
        <v>1002434</v>
      </c>
      <c r="B1173" t="s">
        <v>1172</v>
      </c>
      <c r="C1173" s="12">
        <v>17737.378990643301</v>
      </c>
    </row>
    <row r="1174" spans="1:3" x14ac:dyDescent="0.3">
      <c r="A1174">
        <v>1002435</v>
      </c>
      <c r="B1174" t="s">
        <v>1173</v>
      </c>
      <c r="C1174" s="12">
        <v>958</v>
      </c>
    </row>
    <row r="1175" spans="1:3" x14ac:dyDescent="0.3">
      <c r="A1175">
        <v>1002436</v>
      </c>
      <c r="B1175" t="s">
        <v>1174</v>
      </c>
      <c r="C1175" s="12">
        <v>22068.393760804862</v>
      </c>
    </row>
    <row r="1176" spans="1:3" x14ac:dyDescent="0.3">
      <c r="A1176">
        <v>1002437</v>
      </c>
      <c r="B1176" t="s">
        <v>1175</v>
      </c>
      <c r="C1176" s="12">
        <v>37787.451888888885</v>
      </c>
    </row>
    <row r="1177" spans="1:3" x14ac:dyDescent="0.3">
      <c r="A1177">
        <v>1002438</v>
      </c>
      <c r="B1177" t="s">
        <v>1176</v>
      </c>
      <c r="C1177" s="12">
        <v>65392.79</v>
      </c>
    </row>
    <row r="1178" spans="1:3" x14ac:dyDescent="0.3">
      <c r="A1178">
        <v>1002439</v>
      </c>
      <c r="B1178" t="s">
        <v>1177</v>
      </c>
      <c r="C1178" s="12">
        <v>2869.914536842105</v>
      </c>
    </row>
    <row r="1179" spans="1:3" x14ac:dyDescent="0.3">
      <c r="A1179">
        <v>1002440</v>
      </c>
      <c r="B1179" t="s">
        <v>1178</v>
      </c>
      <c r="C1179" s="12">
        <v>25380.735095238098</v>
      </c>
    </row>
    <row r="1180" spans="1:3" x14ac:dyDescent="0.3">
      <c r="A1180">
        <v>1002442</v>
      </c>
      <c r="B1180" t="s">
        <v>1179</v>
      </c>
      <c r="C1180" s="12">
        <v>2647.3425000000002</v>
      </c>
    </row>
    <row r="1181" spans="1:3" x14ac:dyDescent="0.3">
      <c r="A1181">
        <v>1002443</v>
      </c>
      <c r="B1181" t="s">
        <v>1180</v>
      </c>
      <c r="C1181" s="12">
        <v>23239.812114361001</v>
      </c>
    </row>
    <row r="1182" spans="1:3" x14ac:dyDescent="0.3">
      <c r="A1182">
        <v>1002444</v>
      </c>
      <c r="B1182" t="s">
        <v>1181</v>
      </c>
      <c r="C1182" s="12">
        <v>22826.0978215584</v>
      </c>
    </row>
    <row r="1183" spans="1:3" x14ac:dyDescent="0.3">
      <c r="A1183">
        <v>1002445</v>
      </c>
      <c r="B1183" t="s">
        <v>1182</v>
      </c>
      <c r="C1183" s="12">
        <v>36458.342657307927</v>
      </c>
    </row>
    <row r="1184" spans="1:3" x14ac:dyDescent="0.3">
      <c r="A1184">
        <v>1002447</v>
      </c>
      <c r="B1184" t="s">
        <v>1183</v>
      </c>
      <c r="C1184" s="12">
        <v>1453.0799100302152</v>
      </c>
    </row>
    <row r="1185" spans="1:3" x14ac:dyDescent="0.3">
      <c r="A1185">
        <v>1002448</v>
      </c>
      <c r="B1185" t="s">
        <v>1184</v>
      </c>
      <c r="C1185" s="12">
        <v>161481.24</v>
      </c>
    </row>
    <row r="1186" spans="1:3" x14ac:dyDescent="0.3">
      <c r="A1186">
        <v>1002449</v>
      </c>
      <c r="B1186" t="s">
        <v>1185</v>
      </c>
      <c r="C1186" s="12">
        <v>17042.189999999999</v>
      </c>
    </row>
    <row r="1187" spans="1:3" x14ac:dyDescent="0.3">
      <c r="A1187">
        <v>1002450</v>
      </c>
      <c r="B1187" t="s">
        <v>1186</v>
      </c>
      <c r="C1187" s="12">
        <v>1657.3714993900276</v>
      </c>
    </row>
    <row r="1188" spans="1:3" x14ac:dyDescent="0.3">
      <c r="A1188">
        <v>1002451</v>
      </c>
      <c r="B1188" t="s">
        <v>1187</v>
      </c>
      <c r="C1188" s="12">
        <v>182789.92857142858</v>
      </c>
    </row>
    <row r="1189" spans="1:3" x14ac:dyDescent="0.3">
      <c r="A1189">
        <v>1002452</v>
      </c>
      <c r="B1189" t="s">
        <v>1188</v>
      </c>
      <c r="C1189" s="12">
        <v>18531.4411111111</v>
      </c>
    </row>
    <row r="1190" spans="1:3" x14ac:dyDescent="0.3">
      <c r="A1190">
        <v>1002453</v>
      </c>
      <c r="B1190" t="s">
        <v>1189</v>
      </c>
      <c r="C1190" s="12">
        <v>14380.784</v>
      </c>
    </row>
    <row r="1191" spans="1:3" x14ac:dyDescent="0.3">
      <c r="A1191">
        <v>1002454</v>
      </c>
      <c r="B1191" t="s">
        <v>1190</v>
      </c>
      <c r="C1191" s="12">
        <v>19311.689047618998</v>
      </c>
    </row>
    <row r="1192" spans="1:3" x14ac:dyDescent="0.3">
      <c r="A1192">
        <v>1002455</v>
      </c>
      <c r="B1192" t="s">
        <v>1191</v>
      </c>
      <c r="C1192" s="12">
        <v>2326.2647685185202</v>
      </c>
    </row>
    <row r="1193" spans="1:3" x14ac:dyDescent="0.3">
      <c r="A1193">
        <v>1002456</v>
      </c>
      <c r="B1193" t="s">
        <v>1192</v>
      </c>
      <c r="C1193" s="12">
        <v>16138.17661971831</v>
      </c>
    </row>
    <row r="1194" spans="1:3" x14ac:dyDescent="0.3">
      <c r="A1194">
        <v>1002457</v>
      </c>
      <c r="B1194" t="s">
        <v>1193</v>
      </c>
      <c r="C1194" s="12">
        <v>48148.343333333331</v>
      </c>
    </row>
    <row r="1195" spans="1:3" x14ac:dyDescent="0.3">
      <c r="A1195">
        <v>1002459</v>
      </c>
      <c r="B1195" t="s">
        <v>1194</v>
      </c>
      <c r="C1195" s="12">
        <v>1718.5815430460229</v>
      </c>
    </row>
    <row r="1196" spans="1:3" x14ac:dyDescent="0.3">
      <c r="A1196">
        <v>1002461</v>
      </c>
      <c r="B1196" t="s">
        <v>1195</v>
      </c>
      <c r="C1196" s="12">
        <v>19106.404833333334</v>
      </c>
    </row>
    <row r="1197" spans="1:3" x14ac:dyDescent="0.3">
      <c r="A1197">
        <v>1002463</v>
      </c>
      <c r="B1197" t="s">
        <v>1196</v>
      </c>
      <c r="C1197" s="12">
        <v>2678.9694594594594</v>
      </c>
    </row>
    <row r="1198" spans="1:3" x14ac:dyDescent="0.3">
      <c r="A1198">
        <v>1002466</v>
      </c>
      <c r="B1198" t="s">
        <v>1197</v>
      </c>
      <c r="C1198" s="12">
        <v>2405.1619230769229</v>
      </c>
    </row>
    <row r="1199" spans="1:3" x14ac:dyDescent="0.3">
      <c r="A1199">
        <v>1002467</v>
      </c>
      <c r="B1199" t="s">
        <v>1198</v>
      </c>
      <c r="C1199" s="12">
        <v>2647.3425000000002</v>
      </c>
    </row>
    <row r="1200" spans="1:3" x14ac:dyDescent="0.3">
      <c r="A1200">
        <v>1002472</v>
      </c>
      <c r="B1200" t="s">
        <v>1199</v>
      </c>
      <c r="C1200" s="12">
        <v>605</v>
      </c>
    </row>
    <row r="1201" spans="1:3" x14ac:dyDescent="0.3">
      <c r="A1201">
        <v>1002473</v>
      </c>
      <c r="B1201" t="s">
        <v>1200</v>
      </c>
      <c r="C1201" s="12">
        <v>678.08</v>
      </c>
    </row>
    <row r="1202" spans="1:3" x14ac:dyDescent="0.3">
      <c r="A1202">
        <v>1002475</v>
      </c>
      <c r="B1202" t="s">
        <v>1201</v>
      </c>
      <c r="C1202" s="12">
        <v>38521.215177738923</v>
      </c>
    </row>
    <row r="1203" spans="1:3" x14ac:dyDescent="0.3">
      <c r="A1203">
        <v>1002477</v>
      </c>
      <c r="B1203" t="s">
        <v>1202</v>
      </c>
      <c r="C1203" s="12">
        <v>35055.181818181816</v>
      </c>
    </row>
    <row r="1204" spans="1:3" x14ac:dyDescent="0.3">
      <c r="A1204">
        <v>1002479</v>
      </c>
      <c r="B1204" t="s">
        <v>1203</v>
      </c>
      <c r="C1204" s="12">
        <v>37375.785571428598</v>
      </c>
    </row>
    <row r="1205" spans="1:3" x14ac:dyDescent="0.3">
      <c r="A1205">
        <v>1002480</v>
      </c>
      <c r="B1205" t="s">
        <v>1204</v>
      </c>
      <c r="C1205" s="12">
        <v>37375.785120759057</v>
      </c>
    </row>
    <row r="1206" spans="1:3" x14ac:dyDescent="0.3">
      <c r="A1206">
        <v>1002483</v>
      </c>
      <c r="B1206" t="s">
        <v>1205</v>
      </c>
      <c r="C1206" s="12">
        <v>11.849044748321958</v>
      </c>
    </row>
    <row r="1207" spans="1:3" x14ac:dyDescent="0.3">
      <c r="A1207">
        <v>1002484</v>
      </c>
      <c r="B1207" t="s">
        <v>1206</v>
      </c>
      <c r="C1207" s="12">
        <v>7.9343871376056896</v>
      </c>
    </row>
    <row r="1208" spans="1:3" x14ac:dyDescent="0.3">
      <c r="A1208">
        <v>1002485</v>
      </c>
      <c r="B1208" t="s">
        <v>1207</v>
      </c>
      <c r="C1208" s="12">
        <v>2.73</v>
      </c>
    </row>
    <row r="1209" spans="1:3" x14ac:dyDescent="0.3">
      <c r="A1209">
        <v>1002486</v>
      </c>
      <c r="B1209" t="s">
        <v>1208</v>
      </c>
      <c r="C1209" s="12">
        <v>20.594124999999998</v>
      </c>
    </row>
    <row r="1210" spans="1:3" x14ac:dyDescent="0.3">
      <c r="A1210">
        <v>1002487</v>
      </c>
      <c r="B1210" t="s">
        <v>1209</v>
      </c>
      <c r="C1210" s="12">
        <v>6.6032709775696974</v>
      </c>
    </row>
    <row r="1211" spans="1:3" x14ac:dyDescent="0.3">
      <c r="A1211">
        <v>1002488</v>
      </c>
      <c r="B1211" t="s">
        <v>1210</v>
      </c>
      <c r="C1211" s="12">
        <v>2.4010144311290236</v>
      </c>
    </row>
    <row r="1212" spans="1:3" x14ac:dyDescent="0.3">
      <c r="A1212">
        <v>1002489</v>
      </c>
      <c r="B1212" t="s">
        <v>1211</v>
      </c>
      <c r="C1212" s="12">
        <v>19.66</v>
      </c>
    </row>
    <row r="1213" spans="1:3" x14ac:dyDescent="0.3">
      <c r="A1213">
        <v>1002490</v>
      </c>
      <c r="B1213" t="s">
        <v>1212</v>
      </c>
      <c r="C1213" s="12">
        <v>375.92609446774799</v>
      </c>
    </row>
    <row r="1214" spans="1:3" x14ac:dyDescent="0.3">
      <c r="A1214">
        <v>1002491</v>
      </c>
      <c r="B1214" t="s">
        <v>1213</v>
      </c>
      <c r="C1214" s="12">
        <v>546.60359626864295</v>
      </c>
    </row>
    <row r="1215" spans="1:3" x14ac:dyDescent="0.3">
      <c r="A1215">
        <v>1002492</v>
      </c>
      <c r="B1215" t="s">
        <v>1214</v>
      </c>
      <c r="C1215" s="12">
        <v>0</v>
      </c>
    </row>
    <row r="1216" spans="1:3" x14ac:dyDescent="0.3">
      <c r="A1216">
        <v>1002494</v>
      </c>
      <c r="B1216" t="s">
        <v>1215</v>
      </c>
      <c r="C1216" s="12">
        <v>1175.95681766394</v>
      </c>
    </row>
    <row r="1217" spans="1:3" x14ac:dyDescent="0.3">
      <c r="A1217">
        <v>1002498</v>
      </c>
      <c r="B1217" t="s">
        <v>1216</v>
      </c>
      <c r="C1217" s="12">
        <v>605.24400000000003</v>
      </c>
    </row>
    <row r="1218" spans="1:3" x14ac:dyDescent="0.3">
      <c r="A1218">
        <v>1002502</v>
      </c>
      <c r="B1218" t="s">
        <v>1217</v>
      </c>
      <c r="C1218" s="12">
        <v>20.013068545930356</v>
      </c>
    </row>
    <row r="1219" spans="1:3" x14ac:dyDescent="0.3">
      <c r="A1219">
        <v>1002503</v>
      </c>
      <c r="B1219" t="s">
        <v>1218</v>
      </c>
      <c r="C1219" s="12">
        <v>116.13538407625457</v>
      </c>
    </row>
    <row r="1220" spans="1:3" x14ac:dyDescent="0.3">
      <c r="A1220">
        <v>1002505</v>
      </c>
      <c r="B1220" t="s">
        <v>1219</v>
      </c>
      <c r="C1220" s="12">
        <v>50.691730613566456</v>
      </c>
    </row>
    <row r="1221" spans="1:3" x14ac:dyDescent="0.3">
      <c r="A1221">
        <v>1002506</v>
      </c>
      <c r="B1221" t="s">
        <v>1220</v>
      </c>
      <c r="C1221" s="12">
        <v>126.51249677596982</v>
      </c>
    </row>
    <row r="1222" spans="1:3" x14ac:dyDescent="0.3">
      <c r="A1222">
        <v>1002507</v>
      </c>
      <c r="B1222" t="s">
        <v>1221</v>
      </c>
      <c r="C1222" s="12">
        <v>255.34421534391512</v>
      </c>
    </row>
    <row r="1223" spans="1:3" x14ac:dyDescent="0.3">
      <c r="A1223">
        <v>1002510</v>
      </c>
      <c r="B1223" t="s">
        <v>1222</v>
      </c>
      <c r="C1223" s="12">
        <v>188.85231875100072</v>
      </c>
    </row>
    <row r="1224" spans="1:3" x14ac:dyDescent="0.3">
      <c r="A1224">
        <v>1002511</v>
      </c>
      <c r="B1224" t="s">
        <v>1223</v>
      </c>
      <c r="C1224" s="12">
        <v>77.890998002744396</v>
      </c>
    </row>
    <row r="1225" spans="1:3" x14ac:dyDescent="0.3">
      <c r="A1225">
        <v>1002512</v>
      </c>
      <c r="B1225" t="s">
        <v>1224</v>
      </c>
      <c r="C1225" s="12">
        <v>276.86506296918799</v>
      </c>
    </row>
    <row r="1226" spans="1:3" x14ac:dyDescent="0.3">
      <c r="A1226">
        <v>1002513</v>
      </c>
      <c r="B1226" t="s">
        <v>1225</v>
      </c>
      <c r="C1226" s="12">
        <v>1250.7884688457316</v>
      </c>
    </row>
    <row r="1227" spans="1:3" x14ac:dyDescent="0.3">
      <c r="A1227">
        <v>1002514</v>
      </c>
      <c r="B1227" t="s">
        <v>1226</v>
      </c>
      <c r="C1227" s="12">
        <v>1016.16</v>
      </c>
    </row>
    <row r="1228" spans="1:3" x14ac:dyDescent="0.3">
      <c r="A1228">
        <v>1002516</v>
      </c>
      <c r="B1228" t="s">
        <v>1227</v>
      </c>
      <c r="C1228" s="12">
        <v>1805.8543245798301</v>
      </c>
    </row>
    <row r="1229" spans="1:3" x14ac:dyDescent="0.3">
      <c r="A1229">
        <v>1002522</v>
      </c>
      <c r="B1229" t="s">
        <v>1228</v>
      </c>
      <c r="C1229" s="12">
        <v>680.21118116129503</v>
      </c>
    </row>
    <row r="1230" spans="1:3" x14ac:dyDescent="0.3">
      <c r="A1230">
        <v>1002523</v>
      </c>
      <c r="B1230" t="s">
        <v>1229</v>
      </c>
      <c r="C1230" s="12">
        <v>5422.1472058823529</v>
      </c>
    </row>
    <row r="1231" spans="1:3" x14ac:dyDescent="0.3">
      <c r="A1231">
        <v>1002524</v>
      </c>
      <c r="B1231" t="s">
        <v>1230</v>
      </c>
      <c r="C1231" s="12">
        <v>2090.6353949866898</v>
      </c>
    </row>
    <row r="1232" spans="1:3" x14ac:dyDescent="0.3">
      <c r="A1232">
        <v>1002525</v>
      </c>
      <c r="B1232" t="s">
        <v>1231</v>
      </c>
      <c r="C1232" s="12">
        <v>556.12703889980901</v>
      </c>
    </row>
    <row r="1233" spans="1:3" x14ac:dyDescent="0.3">
      <c r="A1233">
        <v>1002532</v>
      </c>
      <c r="B1233" t="s">
        <v>1232</v>
      </c>
      <c r="C1233" s="12">
        <v>52481.658496983502</v>
      </c>
    </row>
    <row r="1234" spans="1:3" x14ac:dyDescent="0.3">
      <c r="A1234">
        <v>1002533</v>
      </c>
      <c r="B1234" t="s">
        <v>1233</v>
      </c>
      <c r="C1234" s="12">
        <v>23560.690246692298</v>
      </c>
    </row>
    <row r="1235" spans="1:3" x14ac:dyDescent="0.3">
      <c r="A1235">
        <v>1002534</v>
      </c>
      <c r="B1235" t="s">
        <v>1234</v>
      </c>
      <c r="C1235" s="12">
        <v>15515.0602475498</v>
      </c>
    </row>
    <row r="1236" spans="1:3" x14ac:dyDescent="0.3">
      <c r="A1236">
        <v>1002542</v>
      </c>
      <c r="B1236" t="s">
        <v>1235</v>
      </c>
      <c r="C1236" s="12">
        <v>17337.320588235292</v>
      </c>
    </row>
    <row r="1237" spans="1:3" x14ac:dyDescent="0.3">
      <c r="A1237">
        <v>1002545</v>
      </c>
      <c r="B1237" t="s">
        <v>1236</v>
      </c>
      <c r="C1237" s="12">
        <v>19615.978099743701</v>
      </c>
    </row>
    <row r="1238" spans="1:3" x14ac:dyDescent="0.3">
      <c r="A1238">
        <v>1002561</v>
      </c>
      <c r="B1238" t="s">
        <v>1237</v>
      </c>
      <c r="C1238" s="12">
        <v>1074.0375419176601</v>
      </c>
    </row>
    <row r="1239" spans="1:3" x14ac:dyDescent="0.3">
      <c r="A1239">
        <v>1002562</v>
      </c>
      <c r="B1239" t="s">
        <v>1238</v>
      </c>
      <c r="C1239" s="12">
        <v>12264.873355699099</v>
      </c>
    </row>
    <row r="1240" spans="1:3" x14ac:dyDescent="0.3">
      <c r="A1240">
        <v>1002563</v>
      </c>
      <c r="B1240" t="s">
        <v>1239</v>
      </c>
      <c r="C1240" s="12">
        <v>95406.009227272705</v>
      </c>
    </row>
    <row r="1241" spans="1:3" x14ac:dyDescent="0.3">
      <c r="A1241">
        <v>1002564</v>
      </c>
      <c r="B1241" t="s">
        <v>1240</v>
      </c>
      <c r="C1241" s="12" t="e">
        <v>#DIV/0!</v>
      </c>
    </row>
    <row r="1242" spans="1:3" x14ac:dyDescent="0.3">
      <c r="A1242">
        <v>1002565</v>
      </c>
      <c r="B1242" t="s">
        <v>1241</v>
      </c>
      <c r="C1242" s="12">
        <v>24986.991424848002</v>
      </c>
    </row>
    <row r="1243" spans="1:3" x14ac:dyDescent="0.3">
      <c r="A1243">
        <v>1002568</v>
      </c>
      <c r="B1243" t="s">
        <v>1242</v>
      </c>
      <c r="C1243" s="12">
        <v>10470.982222222199</v>
      </c>
    </row>
    <row r="1244" spans="1:3" x14ac:dyDescent="0.3">
      <c r="A1244">
        <v>1002569</v>
      </c>
      <c r="B1244" t="s">
        <v>1243</v>
      </c>
      <c r="C1244" s="12">
        <v>42557.430368000001</v>
      </c>
    </row>
    <row r="1245" spans="1:3" x14ac:dyDescent="0.3">
      <c r="A1245">
        <v>1002571</v>
      </c>
      <c r="B1245" t="s">
        <v>1244</v>
      </c>
      <c r="C1245" s="12">
        <v>10143.9457185142</v>
      </c>
    </row>
    <row r="1246" spans="1:3" x14ac:dyDescent="0.3">
      <c r="A1246">
        <v>1002572</v>
      </c>
      <c r="B1246" t="s">
        <v>1245</v>
      </c>
      <c r="C1246" s="12">
        <v>13088.893738914099</v>
      </c>
    </row>
    <row r="1247" spans="1:3" x14ac:dyDescent="0.3">
      <c r="A1247">
        <v>1002576</v>
      </c>
      <c r="B1247" t="s">
        <v>1246</v>
      </c>
      <c r="C1247" s="12">
        <v>30053.8076766667</v>
      </c>
    </row>
    <row r="1248" spans="1:3" x14ac:dyDescent="0.3">
      <c r="A1248">
        <v>1002577</v>
      </c>
      <c r="B1248" t="s">
        <v>1247</v>
      </c>
      <c r="C1248" s="12">
        <v>30647.365021757101</v>
      </c>
    </row>
    <row r="1249" spans="1:3" x14ac:dyDescent="0.3">
      <c r="A1249">
        <v>1002585</v>
      </c>
      <c r="B1249" t="s">
        <v>1248</v>
      </c>
      <c r="C1249" s="12">
        <v>3604.5462090730298</v>
      </c>
    </row>
    <row r="1250" spans="1:3" x14ac:dyDescent="0.3">
      <c r="A1250">
        <v>1002586</v>
      </c>
      <c r="B1250" t="s">
        <v>1249</v>
      </c>
      <c r="C1250" s="12">
        <v>3806.3442571428573</v>
      </c>
    </row>
    <row r="1251" spans="1:3" x14ac:dyDescent="0.3">
      <c r="A1251">
        <v>1002589</v>
      </c>
      <c r="B1251" t="s">
        <v>1250</v>
      </c>
      <c r="C1251" s="12">
        <v>85365.11</v>
      </c>
    </row>
    <row r="1252" spans="1:3" x14ac:dyDescent="0.3">
      <c r="A1252">
        <v>1002591</v>
      </c>
      <c r="B1252" t="s">
        <v>1251</v>
      </c>
      <c r="C1252" s="12">
        <v>77604.649999999994</v>
      </c>
    </row>
    <row r="1253" spans="1:3" x14ac:dyDescent="0.3">
      <c r="A1253">
        <v>1002592</v>
      </c>
      <c r="B1253" t="s">
        <v>1252</v>
      </c>
      <c r="C1253" s="12">
        <v>77171.66</v>
      </c>
    </row>
    <row r="1254" spans="1:3" x14ac:dyDescent="0.3">
      <c r="A1254">
        <v>1002594</v>
      </c>
      <c r="B1254" t="s">
        <v>1253</v>
      </c>
      <c r="C1254" s="12">
        <v>558.80301976523413</v>
      </c>
    </row>
    <row r="1255" spans="1:3" x14ac:dyDescent="0.3">
      <c r="A1255">
        <v>1002595</v>
      </c>
      <c r="B1255" t="s">
        <v>1254</v>
      </c>
      <c r="C1255" s="12">
        <v>1154.6109548618797</v>
      </c>
    </row>
    <row r="1256" spans="1:3" x14ac:dyDescent="0.3">
      <c r="A1256">
        <v>1002596</v>
      </c>
      <c r="B1256" t="s">
        <v>1255</v>
      </c>
      <c r="C1256" s="12">
        <v>1067.45</v>
      </c>
    </row>
    <row r="1257" spans="1:3" x14ac:dyDescent="0.3">
      <c r="A1257">
        <v>1002597</v>
      </c>
      <c r="B1257" t="s">
        <v>1256</v>
      </c>
      <c r="C1257" s="12">
        <v>662.35542345030353</v>
      </c>
    </row>
    <row r="1258" spans="1:3" x14ac:dyDescent="0.3">
      <c r="A1258">
        <v>1002598</v>
      </c>
      <c r="B1258" t="s">
        <v>1257</v>
      </c>
      <c r="C1258" s="12">
        <v>807.05063013698623</v>
      </c>
    </row>
    <row r="1259" spans="1:3" x14ac:dyDescent="0.3">
      <c r="A1259">
        <v>1002602</v>
      </c>
      <c r="B1259" t="s">
        <v>1258</v>
      </c>
      <c r="C1259" s="12">
        <v>3246036.9850000003</v>
      </c>
    </row>
    <row r="1260" spans="1:3" x14ac:dyDescent="0.3">
      <c r="A1260">
        <v>1002604</v>
      </c>
      <c r="B1260" t="s">
        <v>1259</v>
      </c>
      <c r="C1260" s="12">
        <v>2406128.56</v>
      </c>
    </row>
    <row r="1261" spans="1:3" x14ac:dyDescent="0.3">
      <c r="A1261">
        <v>1002605</v>
      </c>
      <c r="B1261" t="s">
        <v>1260</v>
      </c>
      <c r="C1261" s="12">
        <v>1223935.3627083334</v>
      </c>
    </row>
    <row r="1262" spans="1:3" x14ac:dyDescent="0.3">
      <c r="A1262">
        <v>1002606</v>
      </c>
      <c r="B1262" t="s">
        <v>1261</v>
      </c>
      <c r="C1262" s="12">
        <v>179161.7</v>
      </c>
    </row>
    <row r="1263" spans="1:3" x14ac:dyDescent="0.3">
      <c r="A1263">
        <v>1002609</v>
      </c>
      <c r="B1263" t="s">
        <v>1262</v>
      </c>
      <c r="C1263" s="12">
        <v>40088.879999999997</v>
      </c>
    </row>
    <row r="1264" spans="1:3" x14ac:dyDescent="0.3">
      <c r="A1264">
        <v>1002610</v>
      </c>
      <c r="B1264" t="s">
        <v>1263</v>
      </c>
      <c r="C1264" s="12">
        <v>50424.428</v>
      </c>
    </row>
    <row r="1265" spans="1:3" x14ac:dyDescent="0.3">
      <c r="A1265">
        <v>1002611</v>
      </c>
      <c r="B1265" t="s">
        <v>1264</v>
      </c>
      <c r="C1265" s="12">
        <v>1224239.615</v>
      </c>
    </row>
    <row r="1266" spans="1:3" x14ac:dyDescent="0.3">
      <c r="A1266">
        <v>1002612</v>
      </c>
      <c r="B1266" t="s">
        <v>1265</v>
      </c>
      <c r="C1266" s="12">
        <v>224159.04</v>
      </c>
    </row>
    <row r="1267" spans="1:3" x14ac:dyDescent="0.3">
      <c r="A1267">
        <v>1002616</v>
      </c>
      <c r="B1267" t="s">
        <v>1266</v>
      </c>
      <c r="C1267" s="12">
        <v>1606227.4047500002</v>
      </c>
    </row>
    <row r="1268" spans="1:3" x14ac:dyDescent="0.3">
      <c r="A1268">
        <v>1002617</v>
      </c>
      <c r="B1268" t="s">
        <v>1267</v>
      </c>
      <c r="C1268" s="12">
        <v>1395437.3892857099</v>
      </c>
    </row>
    <row r="1269" spans="1:3" x14ac:dyDescent="0.3">
      <c r="A1269">
        <v>1002618</v>
      </c>
      <c r="B1269" t="s">
        <v>1268</v>
      </c>
      <c r="C1269" s="12">
        <v>4465918.1900000004</v>
      </c>
    </row>
    <row r="1270" spans="1:3" x14ac:dyDescent="0.3">
      <c r="A1270">
        <v>1002619</v>
      </c>
      <c r="B1270" t="s">
        <v>1269</v>
      </c>
      <c r="C1270" s="12">
        <v>201108.565</v>
      </c>
    </row>
    <row r="1271" spans="1:3" x14ac:dyDescent="0.3">
      <c r="A1271">
        <v>1002623</v>
      </c>
      <c r="B1271" t="s">
        <v>1270</v>
      </c>
      <c r="C1271" s="12">
        <v>523510.75783333299</v>
      </c>
    </row>
    <row r="1272" spans="1:3" x14ac:dyDescent="0.3">
      <c r="A1272">
        <v>1002624</v>
      </c>
      <c r="B1272" t="s">
        <v>1271</v>
      </c>
      <c r="C1272" s="12">
        <v>14852.21</v>
      </c>
    </row>
    <row r="1273" spans="1:3" x14ac:dyDescent="0.3">
      <c r="A1273">
        <v>1002625</v>
      </c>
      <c r="B1273" t="s">
        <v>1272</v>
      </c>
      <c r="C1273" s="12">
        <v>40611.379999999997</v>
      </c>
    </row>
    <row r="1274" spans="1:3" x14ac:dyDescent="0.3">
      <c r="A1274">
        <v>1002626</v>
      </c>
      <c r="B1274" t="s">
        <v>1273</v>
      </c>
      <c r="C1274" s="12">
        <v>542476.05294117646</v>
      </c>
    </row>
    <row r="1275" spans="1:3" x14ac:dyDescent="0.3">
      <c r="A1275">
        <v>1002628</v>
      </c>
      <c r="B1275" t="s">
        <v>1274</v>
      </c>
      <c r="C1275" s="12">
        <v>370452.395571428</v>
      </c>
    </row>
    <row r="1276" spans="1:3" x14ac:dyDescent="0.3">
      <c r="A1276">
        <v>1002632</v>
      </c>
      <c r="B1276" t="s">
        <v>1275</v>
      </c>
      <c r="C1276" s="12">
        <v>627957.21795454551</v>
      </c>
    </row>
    <row r="1277" spans="1:3" x14ac:dyDescent="0.3">
      <c r="A1277">
        <v>1002633</v>
      </c>
      <c r="B1277" t="s">
        <v>1276</v>
      </c>
      <c r="C1277" s="12">
        <v>1394162.348</v>
      </c>
    </row>
    <row r="1278" spans="1:3" x14ac:dyDescent="0.3">
      <c r="A1278">
        <v>1002634</v>
      </c>
      <c r="B1278" t="s">
        <v>1277</v>
      </c>
      <c r="C1278" s="12">
        <v>633762.78249999997</v>
      </c>
    </row>
    <row r="1279" spans="1:3" x14ac:dyDescent="0.3">
      <c r="A1279">
        <v>1002635</v>
      </c>
      <c r="B1279" t="s">
        <v>1278</v>
      </c>
      <c r="C1279" s="12">
        <v>572017.5625</v>
      </c>
    </row>
    <row r="1280" spans="1:3" x14ac:dyDescent="0.3">
      <c r="A1280">
        <v>1002636</v>
      </c>
      <c r="B1280" t="s">
        <v>1279</v>
      </c>
      <c r="C1280" s="12">
        <v>238929.343333333</v>
      </c>
    </row>
    <row r="1281" spans="1:3" x14ac:dyDescent="0.3">
      <c r="A1281">
        <v>1002637</v>
      </c>
      <c r="B1281" t="s">
        <v>1280</v>
      </c>
      <c r="C1281" s="12">
        <v>244655.71</v>
      </c>
    </row>
    <row r="1282" spans="1:3" x14ac:dyDescent="0.3">
      <c r="A1282">
        <v>1002639</v>
      </c>
      <c r="B1282" t="s">
        <v>1281</v>
      </c>
      <c r="C1282" s="12">
        <v>357551.90125</v>
      </c>
    </row>
    <row r="1283" spans="1:3" x14ac:dyDescent="0.3">
      <c r="A1283">
        <v>1002641</v>
      </c>
      <c r="B1283" t="s">
        <v>1282</v>
      </c>
      <c r="C1283" s="12">
        <v>180653.89333333334</v>
      </c>
    </row>
    <row r="1284" spans="1:3" x14ac:dyDescent="0.3">
      <c r="A1284">
        <v>1002642</v>
      </c>
      <c r="B1284" t="s">
        <v>1283</v>
      </c>
      <c r="C1284" s="12">
        <v>184117.32</v>
      </c>
    </row>
    <row r="1285" spans="1:3" x14ac:dyDescent="0.3">
      <c r="A1285">
        <v>1002643</v>
      </c>
      <c r="B1285" t="s">
        <v>1284</v>
      </c>
      <c r="C1285" s="12">
        <v>167260.26999999999</v>
      </c>
    </row>
    <row r="1286" spans="1:3" x14ac:dyDescent="0.3">
      <c r="A1286">
        <v>1002645</v>
      </c>
      <c r="B1286" t="s">
        <v>1285</v>
      </c>
      <c r="C1286" s="12">
        <v>421260.97</v>
      </c>
    </row>
    <row r="1287" spans="1:3" x14ac:dyDescent="0.3">
      <c r="A1287">
        <v>1002649</v>
      </c>
      <c r="B1287" t="s">
        <v>1286</v>
      </c>
      <c r="C1287" s="12">
        <v>263366.91666666669</v>
      </c>
    </row>
    <row r="1288" spans="1:3" x14ac:dyDescent="0.3">
      <c r="A1288">
        <v>1002650</v>
      </c>
      <c r="B1288" t="s">
        <v>1287</v>
      </c>
      <c r="C1288" s="12">
        <v>366563.09311111108</v>
      </c>
    </row>
    <row r="1289" spans="1:3" x14ac:dyDescent="0.3">
      <c r="A1289">
        <v>1002652</v>
      </c>
      <c r="B1289" t="s">
        <v>1288</v>
      </c>
      <c r="C1289" s="12">
        <v>341821.330625</v>
      </c>
    </row>
    <row r="1290" spans="1:3" x14ac:dyDescent="0.3">
      <c r="A1290">
        <v>1002653</v>
      </c>
      <c r="B1290" t="s">
        <v>1289</v>
      </c>
      <c r="C1290" s="12">
        <v>240673.32530555554</v>
      </c>
    </row>
    <row r="1291" spans="1:3" x14ac:dyDescent="0.3">
      <c r="A1291">
        <v>1002654</v>
      </c>
      <c r="B1291" t="s">
        <v>1290</v>
      </c>
      <c r="C1291" s="12">
        <v>649930.65666666662</v>
      </c>
    </row>
    <row r="1292" spans="1:3" x14ac:dyDescent="0.3">
      <c r="A1292">
        <v>1002655</v>
      </c>
      <c r="B1292" t="s">
        <v>1291</v>
      </c>
      <c r="C1292" s="12">
        <v>711327.07</v>
      </c>
    </row>
    <row r="1293" spans="1:3" x14ac:dyDescent="0.3">
      <c r="A1293">
        <v>1002656</v>
      </c>
      <c r="B1293" t="s">
        <v>1292</v>
      </c>
      <c r="C1293" s="12">
        <v>797803.11062499997</v>
      </c>
    </row>
    <row r="1294" spans="1:3" x14ac:dyDescent="0.3">
      <c r="A1294">
        <v>1002662</v>
      </c>
      <c r="B1294" t="s">
        <v>1293</v>
      </c>
      <c r="C1294" s="12">
        <v>3297347.926</v>
      </c>
    </row>
    <row r="1295" spans="1:3" x14ac:dyDescent="0.3">
      <c r="A1295">
        <v>1002663</v>
      </c>
      <c r="B1295" t="s">
        <v>1294</v>
      </c>
      <c r="C1295" s="12">
        <v>369.6</v>
      </c>
    </row>
    <row r="1296" spans="1:3" x14ac:dyDescent="0.3">
      <c r="A1296">
        <v>1002664</v>
      </c>
      <c r="B1296" t="s">
        <v>1295</v>
      </c>
      <c r="C1296" s="12">
        <v>62331.41333333333</v>
      </c>
    </row>
    <row r="1297" spans="1:3" x14ac:dyDescent="0.3">
      <c r="A1297">
        <v>1002665</v>
      </c>
      <c r="B1297" t="s">
        <v>1296</v>
      </c>
      <c r="C1297" s="12">
        <v>0</v>
      </c>
    </row>
    <row r="1298" spans="1:3" x14ac:dyDescent="0.3">
      <c r="A1298">
        <v>1002666</v>
      </c>
      <c r="B1298" t="s">
        <v>1297</v>
      </c>
      <c r="C1298" s="12">
        <v>59590.51</v>
      </c>
    </row>
    <row r="1299" spans="1:3" x14ac:dyDescent="0.3">
      <c r="A1299">
        <v>1002671</v>
      </c>
      <c r="B1299" t="s">
        <v>1298</v>
      </c>
      <c r="C1299" s="12">
        <v>62750.5561904762</v>
      </c>
    </row>
    <row r="1300" spans="1:3" x14ac:dyDescent="0.3">
      <c r="A1300">
        <v>1002672</v>
      </c>
      <c r="B1300" t="s">
        <v>1299</v>
      </c>
      <c r="C1300" s="12">
        <v>51798.586868686849</v>
      </c>
    </row>
    <row r="1301" spans="1:3" x14ac:dyDescent="0.3">
      <c r="A1301">
        <v>1002677</v>
      </c>
      <c r="B1301" t="s">
        <v>1300</v>
      </c>
      <c r="C1301" s="12">
        <v>63550</v>
      </c>
    </row>
    <row r="1302" spans="1:3" x14ac:dyDescent="0.3">
      <c r="A1302">
        <v>1002678</v>
      </c>
      <c r="B1302" t="s">
        <v>1301</v>
      </c>
      <c r="C1302" s="12">
        <v>0</v>
      </c>
    </row>
    <row r="1303" spans="1:3" x14ac:dyDescent="0.3">
      <c r="A1303">
        <v>1002681</v>
      </c>
      <c r="B1303" t="s">
        <v>1302</v>
      </c>
      <c r="C1303" s="12">
        <v>65600</v>
      </c>
    </row>
    <row r="1304" spans="1:3" x14ac:dyDescent="0.3">
      <c r="A1304">
        <v>1002683</v>
      </c>
      <c r="B1304" t="s">
        <v>1303</v>
      </c>
      <c r="C1304" s="12">
        <v>47068.542857142857</v>
      </c>
    </row>
    <row r="1305" spans="1:3" x14ac:dyDescent="0.3">
      <c r="A1305">
        <v>1002684</v>
      </c>
      <c r="B1305" t="s">
        <v>1304</v>
      </c>
      <c r="C1305" s="12">
        <v>69849.646666666697</v>
      </c>
    </row>
    <row r="1306" spans="1:3" x14ac:dyDescent="0.3">
      <c r="A1306">
        <v>1002685</v>
      </c>
      <c r="B1306" t="s">
        <v>1305</v>
      </c>
      <c r="C1306" s="12">
        <v>701392</v>
      </c>
    </row>
    <row r="1307" spans="1:3" x14ac:dyDescent="0.3">
      <c r="A1307">
        <v>1002687</v>
      </c>
      <c r="B1307" t="s">
        <v>1306</v>
      </c>
      <c r="C1307" s="12">
        <v>148058.54656626499</v>
      </c>
    </row>
    <row r="1308" spans="1:3" x14ac:dyDescent="0.3">
      <c r="A1308">
        <v>1002688</v>
      </c>
      <c r="B1308" t="s">
        <v>1307</v>
      </c>
      <c r="C1308" s="12">
        <v>256085.42499999999</v>
      </c>
    </row>
    <row r="1309" spans="1:3" x14ac:dyDescent="0.3">
      <c r="A1309">
        <v>1002689</v>
      </c>
      <c r="B1309" t="s">
        <v>1308</v>
      </c>
      <c r="C1309" s="12">
        <v>43829.753196840749</v>
      </c>
    </row>
    <row r="1310" spans="1:3" x14ac:dyDescent="0.3">
      <c r="A1310">
        <v>1002690</v>
      </c>
      <c r="B1310" t="s">
        <v>1309</v>
      </c>
      <c r="C1310" s="12">
        <v>0</v>
      </c>
    </row>
    <row r="1311" spans="1:3" x14ac:dyDescent="0.3">
      <c r="A1311">
        <v>1002693</v>
      </c>
      <c r="B1311" t="s">
        <v>1310</v>
      </c>
      <c r="C1311" s="12">
        <v>15701.60775229355</v>
      </c>
    </row>
    <row r="1312" spans="1:3" x14ac:dyDescent="0.3">
      <c r="A1312">
        <v>1002694</v>
      </c>
      <c r="B1312" t="s">
        <v>1311</v>
      </c>
      <c r="C1312" s="12">
        <v>0</v>
      </c>
    </row>
    <row r="1313" spans="1:3" x14ac:dyDescent="0.3">
      <c r="A1313">
        <v>1002695</v>
      </c>
      <c r="B1313" t="s">
        <v>1312</v>
      </c>
      <c r="C1313" s="12">
        <v>0</v>
      </c>
    </row>
    <row r="1314" spans="1:3" x14ac:dyDescent="0.3">
      <c r="A1314">
        <v>1002696</v>
      </c>
      <c r="B1314" t="s">
        <v>1313</v>
      </c>
      <c r="C1314" s="12">
        <v>22276.799999999999</v>
      </c>
    </row>
    <row r="1315" spans="1:3" x14ac:dyDescent="0.3">
      <c r="A1315">
        <v>1002697</v>
      </c>
      <c r="B1315" t="s">
        <v>1314</v>
      </c>
      <c r="C1315" s="12">
        <v>227686.48833333299</v>
      </c>
    </row>
    <row r="1316" spans="1:3" x14ac:dyDescent="0.3">
      <c r="A1316">
        <v>1002698</v>
      </c>
      <c r="B1316" t="s">
        <v>1315</v>
      </c>
      <c r="C1316" s="12">
        <v>31320</v>
      </c>
    </row>
    <row r="1317" spans="1:3" x14ac:dyDescent="0.3">
      <c r="A1317">
        <v>1002700</v>
      </c>
      <c r="B1317" t="s">
        <v>1316</v>
      </c>
      <c r="C1317" s="12">
        <v>133968.4</v>
      </c>
    </row>
    <row r="1318" spans="1:3" x14ac:dyDescent="0.3">
      <c r="A1318">
        <v>1002703</v>
      </c>
      <c r="B1318" t="s">
        <v>1317</v>
      </c>
      <c r="C1318" s="12">
        <v>0</v>
      </c>
    </row>
    <row r="1319" spans="1:3" x14ac:dyDescent="0.3">
      <c r="A1319">
        <v>1002704</v>
      </c>
      <c r="B1319" t="s">
        <v>1318</v>
      </c>
      <c r="C1319" s="12">
        <v>324500</v>
      </c>
    </row>
    <row r="1320" spans="1:3" x14ac:dyDescent="0.3">
      <c r="A1320">
        <v>1002706</v>
      </c>
      <c r="B1320" t="s">
        <v>1319</v>
      </c>
      <c r="C1320" s="12">
        <v>53430.178507442899</v>
      </c>
    </row>
    <row r="1321" spans="1:3" x14ac:dyDescent="0.3">
      <c r="A1321">
        <v>1002707</v>
      </c>
      <c r="B1321" t="s">
        <v>1320</v>
      </c>
      <c r="C1321" s="12">
        <v>48898.465374149702</v>
      </c>
    </row>
    <row r="1322" spans="1:3" x14ac:dyDescent="0.3">
      <c r="A1322">
        <v>1002708</v>
      </c>
      <c r="B1322" t="s">
        <v>1321</v>
      </c>
      <c r="C1322" s="12">
        <v>10342.956521739099</v>
      </c>
    </row>
    <row r="1323" spans="1:3" x14ac:dyDescent="0.3">
      <c r="A1323">
        <v>1002709</v>
      </c>
      <c r="B1323" t="s">
        <v>1322</v>
      </c>
      <c r="C1323" s="12">
        <v>28993.7429994378</v>
      </c>
    </row>
    <row r="1324" spans="1:3" x14ac:dyDescent="0.3">
      <c r="A1324">
        <v>1002710</v>
      </c>
      <c r="B1324" t="s">
        <v>1323</v>
      </c>
      <c r="C1324" s="12">
        <v>53767.249149612602</v>
      </c>
    </row>
    <row r="1325" spans="1:3" x14ac:dyDescent="0.3">
      <c r="A1325">
        <v>1002711</v>
      </c>
      <c r="B1325" t="s">
        <v>1324</v>
      </c>
      <c r="C1325" s="12">
        <v>0</v>
      </c>
    </row>
    <row r="1326" spans="1:3" x14ac:dyDescent="0.3">
      <c r="A1326">
        <v>1002712</v>
      </c>
      <c r="B1326" t="s">
        <v>1325</v>
      </c>
      <c r="C1326" s="12">
        <v>50350.353037288398</v>
      </c>
    </row>
    <row r="1327" spans="1:3" x14ac:dyDescent="0.3">
      <c r="A1327">
        <v>1002713</v>
      </c>
      <c r="B1327" t="s">
        <v>1326</v>
      </c>
      <c r="C1327" s="12">
        <v>41976.677954545499</v>
      </c>
    </row>
    <row r="1328" spans="1:3" x14ac:dyDescent="0.3">
      <c r="A1328">
        <v>1002714</v>
      </c>
      <c r="B1328" t="s">
        <v>1327</v>
      </c>
      <c r="C1328" s="12">
        <v>9097.7800000000007</v>
      </c>
    </row>
    <row r="1329" spans="1:3" x14ac:dyDescent="0.3">
      <c r="A1329">
        <v>1002715</v>
      </c>
      <c r="B1329" t="s">
        <v>1328</v>
      </c>
      <c r="C1329" s="12">
        <v>49476.465820852201</v>
      </c>
    </row>
    <row r="1330" spans="1:3" x14ac:dyDescent="0.3">
      <c r="A1330">
        <v>1002717</v>
      </c>
      <c r="B1330" t="s">
        <v>1329</v>
      </c>
      <c r="C1330" s="12">
        <v>22234.813666759201</v>
      </c>
    </row>
    <row r="1331" spans="1:3" x14ac:dyDescent="0.3">
      <c r="A1331">
        <v>1002718</v>
      </c>
      <c r="B1331" t="s">
        <v>1330</v>
      </c>
      <c r="C1331" s="12">
        <v>42973.659693181799</v>
      </c>
    </row>
    <row r="1332" spans="1:3" x14ac:dyDescent="0.3">
      <c r="A1332">
        <v>1002719</v>
      </c>
      <c r="B1332" t="s">
        <v>1331</v>
      </c>
      <c r="C1332" s="12">
        <v>0</v>
      </c>
    </row>
    <row r="1333" spans="1:3" x14ac:dyDescent="0.3">
      <c r="A1333">
        <v>1002720</v>
      </c>
      <c r="B1333" t="s">
        <v>1332</v>
      </c>
      <c r="C1333" s="12">
        <v>102076.70666666667</v>
      </c>
    </row>
    <row r="1334" spans="1:3" x14ac:dyDescent="0.3">
      <c r="A1334">
        <v>1002721</v>
      </c>
      <c r="B1334" t="s">
        <v>1333</v>
      </c>
      <c r="C1334" s="12">
        <v>57689.145728816962</v>
      </c>
    </row>
    <row r="1335" spans="1:3" x14ac:dyDescent="0.3">
      <c r="A1335">
        <v>1002722</v>
      </c>
      <c r="B1335" t="s">
        <v>1334</v>
      </c>
      <c r="C1335" s="12">
        <v>77027.195000000007</v>
      </c>
    </row>
    <row r="1336" spans="1:3" x14ac:dyDescent="0.3">
      <c r="A1336">
        <v>1002723</v>
      </c>
      <c r="B1336" t="s">
        <v>1335</v>
      </c>
      <c r="C1336" s="12">
        <v>0</v>
      </c>
    </row>
    <row r="1337" spans="1:3" x14ac:dyDescent="0.3">
      <c r="A1337">
        <v>1002724</v>
      </c>
      <c r="B1337" t="s">
        <v>1336</v>
      </c>
      <c r="C1337" s="12">
        <v>31918.980554529699</v>
      </c>
    </row>
    <row r="1338" spans="1:3" x14ac:dyDescent="0.3">
      <c r="A1338">
        <v>1002725</v>
      </c>
      <c r="B1338" t="s">
        <v>1337</v>
      </c>
      <c r="C1338" s="12">
        <v>52246.552276605013</v>
      </c>
    </row>
    <row r="1339" spans="1:3" x14ac:dyDescent="0.3">
      <c r="A1339">
        <v>1002726</v>
      </c>
      <c r="B1339" t="s">
        <v>1338</v>
      </c>
      <c r="C1339" s="12">
        <v>0</v>
      </c>
    </row>
    <row r="1340" spans="1:3" x14ac:dyDescent="0.3">
      <c r="A1340">
        <v>1002727</v>
      </c>
      <c r="B1340" t="s">
        <v>1339</v>
      </c>
      <c r="C1340" s="12">
        <v>0</v>
      </c>
    </row>
    <row r="1341" spans="1:3" x14ac:dyDescent="0.3">
      <c r="A1341">
        <v>1002728</v>
      </c>
      <c r="B1341" t="s">
        <v>1340</v>
      </c>
      <c r="C1341" s="12">
        <v>0</v>
      </c>
    </row>
    <row r="1342" spans="1:3" x14ac:dyDescent="0.3">
      <c r="A1342">
        <v>1002729</v>
      </c>
      <c r="B1342" t="s">
        <v>1341</v>
      </c>
      <c r="C1342" s="12">
        <v>0</v>
      </c>
    </row>
    <row r="1343" spans="1:3" x14ac:dyDescent="0.3">
      <c r="A1343">
        <v>1002730</v>
      </c>
      <c r="B1343" t="s">
        <v>1342</v>
      </c>
      <c r="C1343" s="12">
        <v>97498.806881472497</v>
      </c>
    </row>
    <row r="1344" spans="1:3" x14ac:dyDescent="0.3">
      <c r="A1344">
        <v>1002731</v>
      </c>
      <c r="B1344" t="s">
        <v>1343</v>
      </c>
      <c r="C1344" s="12">
        <v>199551.5525862069</v>
      </c>
    </row>
    <row r="1345" spans="1:3" x14ac:dyDescent="0.3">
      <c r="A1345">
        <v>1002732</v>
      </c>
      <c r="B1345" t="s">
        <v>1344</v>
      </c>
      <c r="C1345" s="12">
        <v>0</v>
      </c>
    </row>
    <row r="1346" spans="1:3" x14ac:dyDescent="0.3">
      <c r="A1346">
        <v>1002733</v>
      </c>
      <c r="B1346" t="s">
        <v>1345</v>
      </c>
      <c r="C1346" s="12">
        <v>41270.543254358352</v>
      </c>
    </row>
    <row r="1347" spans="1:3" x14ac:dyDescent="0.3">
      <c r="A1347">
        <v>1002736</v>
      </c>
      <c r="B1347" t="s">
        <v>1346</v>
      </c>
      <c r="C1347" s="12">
        <v>361767.22808510601</v>
      </c>
    </row>
    <row r="1348" spans="1:3" x14ac:dyDescent="0.3">
      <c r="A1348">
        <v>1002737</v>
      </c>
      <c r="B1348" t="s">
        <v>1347</v>
      </c>
      <c r="C1348" s="12">
        <v>233948.99</v>
      </c>
    </row>
    <row r="1349" spans="1:3" x14ac:dyDescent="0.3">
      <c r="A1349">
        <v>1002739</v>
      </c>
      <c r="B1349" t="s">
        <v>1348</v>
      </c>
      <c r="C1349" s="12">
        <v>451090.13457017503</v>
      </c>
    </row>
    <row r="1350" spans="1:3" x14ac:dyDescent="0.3">
      <c r="A1350">
        <v>1002740</v>
      </c>
      <c r="B1350" t="s">
        <v>1349</v>
      </c>
      <c r="C1350" s="12">
        <v>0</v>
      </c>
    </row>
    <row r="1351" spans="1:3" x14ac:dyDescent="0.3">
      <c r="A1351">
        <v>1002741</v>
      </c>
      <c r="B1351" t="s">
        <v>1350</v>
      </c>
      <c r="C1351" s="12">
        <v>380499.13</v>
      </c>
    </row>
    <row r="1352" spans="1:3" x14ac:dyDescent="0.3">
      <c r="A1352">
        <v>1002742</v>
      </c>
      <c r="B1352" t="s">
        <v>1351</v>
      </c>
      <c r="C1352" s="12">
        <v>459244.683163265</v>
      </c>
    </row>
    <row r="1353" spans="1:3" x14ac:dyDescent="0.3">
      <c r="A1353">
        <v>1002744</v>
      </c>
      <c r="B1353" t="s">
        <v>1352</v>
      </c>
      <c r="C1353" s="12">
        <v>320223.24</v>
      </c>
    </row>
    <row r="1354" spans="1:3" x14ac:dyDescent="0.3">
      <c r="A1354">
        <v>1002751</v>
      </c>
      <c r="B1354" t="s">
        <v>1353</v>
      </c>
      <c r="C1354" s="12">
        <v>636958.34499999997</v>
      </c>
    </row>
    <row r="1355" spans="1:3" x14ac:dyDescent="0.3">
      <c r="A1355">
        <v>1002754</v>
      </c>
      <c r="B1355" t="s">
        <v>1354</v>
      </c>
      <c r="C1355" s="12">
        <v>116434.21</v>
      </c>
    </row>
    <row r="1356" spans="1:3" x14ac:dyDescent="0.3">
      <c r="A1356">
        <v>1002755</v>
      </c>
      <c r="B1356" t="s">
        <v>1355</v>
      </c>
      <c r="C1356" s="12">
        <v>105848.28</v>
      </c>
    </row>
    <row r="1357" spans="1:3" x14ac:dyDescent="0.3">
      <c r="A1357">
        <v>1002756</v>
      </c>
      <c r="B1357" t="s">
        <v>1356</v>
      </c>
      <c r="C1357" s="12">
        <v>0</v>
      </c>
    </row>
    <row r="1358" spans="1:3" x14ac:dyDescent="0.3">
      <c r="A1358">
        <v>1002758</v>
      </c>
      <c r="B1358" t="s">
        <v>1357</v>
      </c>
      <c r="C1358" s="12">
        <v>0</v>
      </c>
    </row>
    <row r="1359" spans="1:3" x14ac:dyDescent="0.3">
      <c r="A1359">
        <v>1002760</v>
      </c>
      <c r="B1359" t="s">
        <v>1358</v>
      </c>
      <c r="C1359" s="12">
        <v>604553.80488095235</v>
      </c>
    </row>
    <row r="1360" spans="1:3" x14ac:dyDescent="0.3">
      <c r="A1360">
        <v>1002763</v>
      </c>
      <c r="B1360" t="s">
        <v>1359</v>
      </c>
      <c r="C1360" s="12">
        <v>164848.240540984</v>
      </c>
    </row>
    <row r="1361" spans="1:3" x14ac:dyDescent="0.3">
      <c r="A1361">
        <v>1002770</v>
      </c>
      <c r="B1361" t="s">
        <v>1360</v>
      </c>
      <c r="C1361" s="12">
        <v>367856.23</v>
      </c>
    </row>
    <row r="1362" spans="1:3" x14ac:dyDescent="0.3">
      <c r="A1362">
        <v>1002773</v>
      </c>
      <c r="B1362" t="s">
        <v>1361</v>
      </c>
      <c r="C1362" s="12">
        <v>867251.51166666672</v>
      </c>
    </row>
    <row r="1363" spans="1:3" x14ac:dyDescent="0.3">
      <c r="A1363">
        <v>1002774</v>
      </c>
      <c r="B1363" t="s">
        <v>1362</v>
      </c>
      <c r="C1363" s="12">
        <v>857351.25</v>
      </c>
    </row>
    <row r="1364" spans="1:3" x14ac:dyDescent="0.3">
      <c r="A1364">
        <v>1002777</v>
      </c>
      <c r="B1364" t="s">
        <v>1363</v>
      </c>
      <c r="C1364" s="12">
        <v>138874.29236204701</v>
      </c>
    </row>
    <row r="1365" spans="1:3" x14ac:dyDescent="0.3">
      <c r="A1365">
        <v>1002779</v>
      </c>
      <c r="B1365" t="s">
        <v>1364</v>
      </c>
      <c r="C1365" s="12">
        <v>93868.310218354498</v>
      </c>
    </row>
    <row r="1366" spans="1:3" x14ac:dyDescent="0.3">
      <c r="A1366">
        <v>1002782</v>
      </c>
      <c r="B1366" t="s">
        <v>1365</v>
      </c>
      <c r="C1366" s="12">
        <v>14500</v>
      </c>
    </row>
    <row r="1367" spans="1:3" x14ac:dyDescent="0.3">
      <c r="A1367">
        <v>1002787</v>
      </c>
      <c r="B1367" t="s">
        <v>1366</v>
      </c>
      <c r="C1367" s="12">
        <v>11480</v>
      </c>
    </row>
    <row r="1368" spans="1:3" x14ac:dyDescent="0.3">
      <c r="A1368">
        <v>1002790</v>
      </c>
      <c r="B1368" t="s">
        <v>1367</v>
      </c>
      <c r="C1368" s="12">
        <v>35573.240226052498</v>
      </c>
    </row>
    <row r="1369" spans="1:3" x14ac:dyDescent="0.3">
      <c r="A1369">
        <v>1002793</v>
      </c>
      <c r="B1369" t="s">
        <v>1368</v>
      </c>
      <c r="C1369" s="12">
        <v>0</v>
      </c>
    </row>
    <row r="1370" spans="1:3" x14ac:dyDescent="0.3">
      <c r="A1370">
        <v>1002794</v>
      </c>
      <c r="B1370" t="s">
        <v>1369</v>
      </c>
      <c r="C1370" s="12">
        <v>30716.275000000001</v>
      </c>
    </row>
    <row r="1371" spans="1:3" x14ac:dyDescent="0.3">
      <c r="A1371">
        <v>1002796</v>
      </c>
      <c r="B1371" t="s">
        <v>1370</v>
      </c>
      <c r="C1371" s="12">
        <v>23124.592105263157</v>
      </c>
    </row>
    <row r="1372" spans="1:3" x14ac:dyDescent="0.3">
      <c r="A1372">
        <v>1002797</v>
      </c>
      <c r="B1372" t="s">
        <v>1371</v>
      </c>
      <c r="C1372" s="12">
        <v>30149.123673047699</v>
      </c>
    </row>
    <row r="1373" spans="1:3" x14ac:dyDescent="0.3">
      <c r="A1373">
        <v>1002800</v>
      </c>
      <c r="B1373" t="s">
        <v>1372</v>
      </c>
      <c r="C1373" s="12">
        <v>336400</v>
      </c>
    </row>
    <row r="1374" spans="1:3" x14ac:dyDescent="0.3">
      <c r="A1374">
        <v>1002801</v>
      </c>
      <c r="B1374" t="s">
        <v>1373</v>
      </c>
      <c r="C1374" s="12">
        <v>53621.075405388998</v>
      </c>
    </row>
    <row r="1375" spans="1:3" x14ac:dyDescent="0.3">
      <c r="A1375">
        <v>1002802</v>
      </c>
      <c r="B1375" t="s">
        <v>1374</v>
      </c>
      <c r="C1375" s="12">
        <v>0</v>
      </c>
    </row>
    <row r="1376" spans="1:3" x14ac:dyDescent="0.3">
      <c r="A1376">
        <v>1002803</v>
      </c>
      <c r="B1376" t="s">
        <v>1375</v>
      </c>
      <c r="C1376" s="12">
        <v>48768.459741603801</v>
      </c>
    </row>
    <row r="1377" spans="1:3" x14ac:dyDescent="0.3">
      <c r="A1377">
        <v>1002804</v>
      </c>
      <c r="B1377" t="s">
        <v>1376</v>
      </c>
      <c r="C1377" s="12">
        <v>75762.87</v>
      </c>
    </row>
    <row r="1378" spans="1:3" x14ac:dyDescent="0.3">
      <c r="A1378">
        <v>1002805</v>
      </c>
      <c r="B1378" t="s">
        <v>1377</v>
      </c>
      <c r="C1378" s="12">
        <v>0</v>
      </c>
    </row>
    <row r="1379" spans="1:3" x14ac:dyDescent="0.3">
      <c r="A1379">
        <v>1002806</v>
      </c>
      <c r="B1379" t="s">
        <v>1378</v>
      </c>
      <c r="C1379" s="12">
        <v>0</v>
      </c>
    </row>
    <row r="1380" spans="1:3" x14ac:dyDescent="0.3">
      <c r="A1380">
        <v>1002807</v>
      </c>
      <c r="B1380" t="s">
        <v>1379</v>
      </c>
      <c r="C1380" s="12">
        <v>145814.80468517699</v>
      </c>
    </row>
    <row r="1381" spans="1:3" x14ac:dyDescent="0.3">
      <c r="A1381">
        <v>1002809</v>
      </c>
      <c r="B1381" t="s">
        <v>1380</v>
      </c>
      <c r="C1381" s="12">
        <v>47450.406301406954</v>
      </c>
    </row>
    <row r="1382" spans="1:3" x14ac:dyDescent="0.3">
      <c r="A1382">
        <v>1002810</v>
      </c>
      <c r="B1382" t="s">
        <v>1381</v>
      </c>
      <c r="C1382" s="12">
        <v>40091.488468640549</v>
      </c>
    </row>
    <row r="1383" spans="1:3" x14ac:dyDescent="0.3">
      <c r="A1383">
        <v>1002812</v>
      </c>
      <c r="B1383" t="s">
        <v>1382</v>
      </c>
      <c r="C1383" s="12">
        <v>21049907.530000001</v>
      </c>
    </row>
    <row r="1384" spans="1:3" x14ac:dyDescent="0.3">
      <c r="A1384">
        <v>1002814</v>
      </c>
      <c r="B1384" t="s">
        <v>1383</v>
      </c>
      <c r="C1384" s="12">
        <v>0</v>
      </c>
    </row>
    <row r="1385" spans="1:3" x14ac:dyDescent="0.3">
      <c r="A1385">
        <v>1002817</v>
      </c>
      <c r="B1385" t="s">
        <v>1384</v>
      </c>
      <c r="C1385" s="12">
        <v>45284945.590000004</v>
      </c>
    </row>
    <row r="1386" spans="1:3" x14ac:dyDescent="0.3">
      <c r="A1386">
        <v>1002818</v>
      </c>
      <c r="B1386" t="s">
        <v>1385</v>
      </c>
      <c r="C1386" s="12">
        <v>54804593.783</v>
      </c>
    </row>
    <row r="1387" spans="1:3" x14ac:dyDescent="0.3">
      <c r="A1387">
        <v>1002839</v>
      </c>
      <c r="B1387" t="s">
        <v>1386</v>
      </c>
      <c r="C1387" s="12">
        <v>1746.2845314685401</v>
      </c>
    </row>
    <row r="1388" spans="1:3" x14ac:dyDescent="0.3">
      <c r="A1388">
        <v>1002840</v>
      </c>
      <c r="B1388" t="s">
        <v>1387</v>
      </c>
      <c r="C1388" s="12">
        <v>0</v>
      </c>
    </row>
    <row r="1389" spans="1:3" x14ac:dyDescent="0.3">
      <c r="A1389">
        <v>1002883</v>
      </c>
      <c r="B1389" t="s">
        <v>1388</v>
      </c>
      <c r="C1389" s="12">
        <v>13924</v>
      </c>
    </row>
    <row r="1390" spans="1:3" x14ac:dyDescent="0.3">
      <c r="A1390">
        <v>1002987</v>
      </c>
      <c r="B1390" t="s">
        <v>1389</v>
      </c>
      <c r="C1390" s="12">
        <v>1799.5</v>
      </c>
    </row>
    <row r="1391" spans="1:3" x14ac:dyDescent="0.3">
      <c r="A1391">
        <v>1002996</v>
      </c>
      <c r="B1391" t="s">
        <v>1390</v>
      </c>
      <c r="C1391" s="12">
        <v>849.6</v>
      </c>
    </row>
    <row r="1392" spans="1:3" x14ac:dyDescent="0.3">
      <c r="A1392">
        <v>1003071</v>
      </c>
      <c r="B1392" t="s">
        <v>1391</v>
      </c>
      <c r="C1392" s="12">
        <v>31848.2</v>
      </c>
    </row>
    <row r="1393" spans="1:3" x14ac:dyDescent="0.3">
      <c r="A1393">
        <v>1003156</v>
      </c>
      <c r="B1393" t="s">
        <v>1392</v>
      </c>
      <c r="C1393" s="12">
        <v>86.848020782424641</v>
      </c>
    </row>
    <row r="1394" spans="1:3" x14ac:dyDescent="0.3">
      <c r="A1394">
        <v>1003372</v>
      </c>
      <c r="B1394" t="s">
        <v>1393</v>
      </c>
      <c r="C1394" s="12">
        <v>1593</v>
      </c>
    </row>
    <row r="1395" spans="1:3" x14ac:dyDescent="0.3">
      <c r="A1395">
        <v>1003703</v>
      </c>
      <c r="B1395" t="s">
        <v>1394</v>
      </c>
      <c r="C1395" s="12">
        <v>16.685199999999998</v>
      </c>
    </row>
    <row r="1396" spans="1:3" x14ac:dyDescent="0.3">
      <c r="A1396">
        <v>1003956</v>
      </c>
      <c r="B1396" t="s">
        <v>1395</v>
      </c>
      <c r="C1396" s="12">
        <v>2009.9134058479499</v>
      </c>
    </row>
    <row r="1397" spans="1:3" x14ac:dyDescent="0.3">
      <c r="A1397">
        <v>1003960</v>
      </c>
      <c r="B1397" t="s">
        <v>1396</v>
      </c>
      <c r="C1397" s="12">
        <v>3000</v>
      </c>
    </row>
    <row r="1398" spans="1:3" x14ac:dyDescent="0.3">
      <c r="A1398">
        <v>1003961</v>
      </c>
      <c r="B1398" t="s">
        <v>1397</v>
      </c>
      <c r="C1398" s="12">
        <v>3000</v>
      </c>
    </row>
    <row r="1399" spans="1:3" x14ac:dyDescent="0.3">
      <c r="A1399">
        <v>1004097</v>
      </c>
      <c r="B1399" t="s">
        <v>1398</v>
      </c>
      <c r="C1399" s="12">
        <v>10</v>
      </c>
    </row>
    <row r="1400" spans="1:3" x14ac:dyDescent="0.3">
      <c r="B1400" t="s">
        <v>1399</v>
      </c>
      <c r="C1400" s="12">
        <v>6</v>
      </c>
    </row>
    <row r="1401" spans="1:3" x14ac:dyDescent="0.3">
      <c r="A1401">
        <v>1004213</v>
      </c>
      <c r="B1401" t="s">
        <v>1400</v>
      </c>
      <c r="C1401" s="12">
        <v>0</v>
      </c>
    </row>
    <row r="1402" spans="1:3" x14ac:dyDescent="0.3">
      <c r="A1402">
        <v>1004402</v>
      </c>
      <c r="B1402" t="s">
        <v>1401</v>
      </c>
      <c r="C1402" s="12">
        <v>12791.2</v>
      </c>
    </row>
    <row r="1403" spans="1:3" x14ac:dyDescent="0.3">
      <c r="A1403">
        <v>1004587</v>
      </c>
      <c r="B1403" t="s">
        <v>1402</v>
      </c>
      <c r="C1403" s="12">
        <v>283.2</v>
      </c>
    </row>
    <row r="1404" spans="1:3" x14ac:dyDescent="0.3">
      <c r="A1404">
        <v>1004654</v>
      </c>
      <c r="B1404" t="s">
        <v>1403</v>
      </c>
      <c r="C1404" s="12">
        <v>3677.1700887468101</v>
      </c>
    </row>
    <row r="1405" spans="1:3" x14ac:dyDescent="0.3">
      <c r="A1405">
        <v>1004656</v>
      </c>
      <c r="B1405" t="s">
        <v>1404</v>
      </c>
      <c r="C1405" s="12">
        <v>4766.7547983348104</v>
      </c>
    </row>
    <row r="1406" spans="1:3" x14ac:dyDescent="0.3">
      <c r="A1406">
        <v>1004657</v>
      </c>
      <c r="B1406" t="s">
        <v>1405</v>
      </c>
      <c r="C1406" s="12">
        <v>5081.5976000000001</v>
      </c>
    </row>
    <row r="1407" spans="1:3" x14ac:dyDescent="0.3">
      <c r="A1407">
        <v>1004658</v>
      </c>
      <c r="B1407" t="s">
        <v>1406</v>
      </c>
      <c r="C1407" s="12">
        <v>38990.1176923077</v>
      </c>
    </row>
    <row r="1408" spans="1:3" x14ac:dyDescent="0.3">
      <c r="A1408">
        <v>1004659</v>
      </c>
      <c r="B1408" t="s">
        <v>1407</v>
      </c>
      <c r="C1408" s="12">
        <v>25129.8728454497</v>
      </c>
    </row>
    <row r="1409" spans="1:3" x14ac:dyDescent="0.3">
      <c r="A1409">
        <v>1004660</v>
      </c>
      <c r="B1409" t="s">
        <v>1408</v>
      </c>
      <c r="C1409" s="12">
        <v>21447.126702615798</v>
      </c>
    </row>
    <row r="1410" spans="1:3" x14ac:dyDescent="0.3">
      <c r="A1410">
        <v>1004661</v>
      </c>
      <c r="B1410" t="s">
        <v>1409</v>
      </c>
      <c r="C1410" s="12">
        <v>5882.8377823691499</v>
      </c>
    </row>
    <row r="1411" spans="1:3" x14ac:dyDescent="0.3">
      <c r="A1411">
        <v>1004662</v>
      </c>
      <c r="B1411" t="s">
        <v>1410</v>
      </c>
      <c r="C1411" s="12">
        <v>2081.9807142857098</v>
      </c>
    </row>
    <row r="1412" spans="1:3" x14ac:dyDescent="0.3">
      <c r="A1412">
        <v>1004663</v>
      </c>
      <c r="B1412" t="s">
        <v>1411</v>
      </c>
      <c r="C1412" s="12">
        <v>4021.2918627450899</v>
      </c>
    </row>
    <row r="1413" spans="1:3" x14ac:dyDescent="0.3">
      <c r="A1413">
        <v>1004664</v>
      </c>
      <c r="B1413" t="s">
        <v>1412</v>
      </c>
      <c r="C1413" s="12">
        <v>4124.1524816849796</v>
      </c>
    </row>
    <row r="1414" spans="1:3" x14ac:dyDescent="0.3">
      <c r="A1414">
        <v>1004667</v>
      </c>
      <c r="B1414" t="s">
        <v>1413</v>
      </c>
      <c r="C1414" s="12">
        <v>2899.7241008440101</v>
      </c>
    </row>
    <row r="1415" spans="1:3" x14ac:dyDescent="0.3">
      <c r="A1415">
        <v>1004672</v>
      </c>
      <c r="B1415" t="s">
        <v>1414</v>
      </c>
      <c r="C1415" s="12">
        <v>5986.8184560439604</v>
      </c>
    </row>
    <row r="1416" spans="1:3" x14ac:dyDescent="0.3">
      <c r="A1416">
        <v>1004673</v>
      </c>
      <c r="B1416" t="s">
        <v>1415</v>
      </c>
      <c r="C1416" s="12">
        <v>49.321911111111099</v>
      </c>
    </row>
    <row r="1417" spans="1:3" x14ac:dyDescent="0.3">
      <c r="A1417">
        <v>1004674</v>
      </c>
      <c r="B1417" t="s">
        <v>1416</v>
      </c>
      <c r="C1417" s="12">
        <v>133.040172839506</v>
      </c>
    </row>
    <row r="1418" spans="1:3" x14ac:dyDescent="0.3">
      <c r="A1418">
        <v>1004675</v>
      </c>
      <c r="B1418" t="s">
        <v>1417</v>
      </c>
      <c r="C1418" s="12">
        <v>297.98070000000001</v>
      </c>
    </row>
    <row r="1419" spans="1:3" x14ac:dyDescent="0.3">
      <c r="A1419">
        <v>1004680</v>
      </c>
      <c r="B1419" t="s">
        <v>1418</v>
      </c>
      <c r="C1419" s="12">
        <v>21021.044999999998</v>
      </c>
    </row>
    <row r="1420" spans="1:3" x14ac:dyDescent="0.3">
      <c r="A1420">
        <v>1004681</v>
      </c>
      <c r="B1420" t="s">
        <v>1419</v>
      </c>
      <c r="C1420" s="12">
        <v>35492.258750000001</v>
      </c>
    </row>
    <row r="1421" spans="1:3" x14ac:dyDescent="0.3">
      <c r="A1421">
        <v>1004682</v>
      </c>
      <c r="B1421" t="s">
        <v>1420</v>
      </c>
      <c r="C1421" s="12">
        <v>60431.385000000002</v>
      </c>
    </row>
    <row r="1422" spans="1:3" x14ac:dyDescent="0.3">
      <c r="A1422">
        <v>1004683</v>
      </c>
      <c r="B1422" t="s">
        <v>1421</v>
      </c>
      <c r="C1422" s="12">
        <v>2296.8000000000002</v>
      </c>
    </row>
    <row r="1423" spans="1:3" x14ac:dyDescent="0.3">
      <c r="A1423">
        <v>1004684</v>
      </c>
      <c r="B1423" t="s">
        <v>1422</v>
      </c>
      <c r="C1423" s="12">
        <v>132.82</v>
      </c>
    </row>
    <row r="1424" spans="1:3" x14ac:dyDescent="0.3">
      <c r="A1424">
        <v>1004685</v>
      </c>
      <c r="B1424" t="s">
        <v>1423</v>
      </c>
      <c r="C1424" s="12">
        <v>313.90800000000002</v>
      </c>
    </row>
    <row r="1425" spans="1:3" x14ac:dyDescent="0.3">
      <c r="A1425">
        <v>1004686</v>
      </c>
      <c r="B1425" t="s">
        <v>1424</v>
      </c>
      <c r="C1425" s="12">
        <v>0</v>
      </c>
    </row>
    <row r="1426" spans="1:3" x14ac:dyDescent="0.3">
      <c r="A1426">
        <v>1004687</v>
      </c>
      <c r="B1426" t="s">
        <v>1425</v>
      </c>
      <c r="C1426" s="12">
        <v>10268.77</v>
      </c>
    </row>
    <row r="1427" spans="1:3" x14ac:dyDescent="0.3">
      <c r="A1427">
        <v>1004688</v>
      </c>
      <c r="B1427" t="s">
        <v>1426</v>
      </c>
      <c r="C1427" s="12">
        <v>9389.2950000000001</v>
      </c>
    </row>
    <row r="1428" spans="1:3" x14ac:dyDescent="0.3">
      <c r="A1428">
        <v>1004689</v>
      </c>
      <c r="B1428" t="s">
        <v>1427</v>
      </c>
      <c r="C1428" s="12">
        <v>4740.9089999999997</v>
      </c>
    </row>
    <row r="1429" spans="1:3" x14ac:dyDescent="0.3">
      <c r="A1429">
        <v>1004690</v>
      </c>
      <c r="B1429" t="s">
        <v>1428</v>
      </c>
      <c r="C1429" s="12">
        <v>242551.3725</v>
      </c>
    </row>
    <row r="1430" spans="1:3" x14ac:dyDescent="0.3">
      <c r="A1430">
        <v>1004691</v>
      </c>
      <c r="B1430" t="s">
        <v>1429</v>
      </c>
      <c r="C1430" s="12">
        <v>55834.496249999997</v>
      </c>
    </row>
    <row r="1431" spans="1:3" x14ac:dyDescent="0.3">
      <c r="A1431">
        <v>1004692</v>
      </c>
      <c r="B1431" t="s">
        <v>1430</v>
      </c>
      <c r="C1431" s="12">
        <v>4416.5723749999997</v>
      </c>
    </row>
    <row r="1432" spans="1:3" x14ac:dyDescent="0.3">
      <c r="A1432">
        <v>1004693</v>
      </c>
      <c r="B1432" t="s">
        <v>1431</v>
      </c>
      <c r="C1432" s="12">
        <v>8153.41</v>
      </c>
    </row>
    <row r="1433" spans="1:3" x14ac:dyDescent="0.3">
      <c r="A1433">
        <v>1004694</v>
      </c>
      <c r="B1433" t="s">
        <v>1432</v>
      </c>
      <c r="C1433" s="12">
        <v>17.806000000000001</v>
      </c>
    </row>
    <row r="1434" spans="1:3" x14ac:dyDescent="0.3">
      <c r="A1434">
        <v>1004695</v>
      </c>
      <c r="B1434" t="s">
        <v>1433</v>
      </c>
      <c r="C1434" s="12">
        <v>44.509</v>
      </c>
    </row>
    <row r="1435" spans="1:3" x14ac:dyDescent="0.3">
      <c r="A1435">
        <v>1004696</v>
      </c>
      <c r="B1435" t="s">
        <v>1434</v>
      </c>
      <c r="C1435" s="12">
        <v>89.018500000000003</v>
      </c>
    </row>
    <row r="1436" spans="1:3" x14ac:dyDescent="0.3">
      <c r="A1436">
        <v>1004697</v>
      </c>
      <c r="B1436" t="s">
        <v>1435</v>
      </c>
      <c r="C1436" s="12">
        <v>44.5092</v>
      </c>
    </row>
    <row r="1437" spans="1:3" x14ac:dyDescent="0.3">
      <c r="A1437">
        <v>1004698</v>
      </c>
      <c r="B1437" t="s">
        <v>1436</v>
      </c>
      <c r="C1437" s="12">
        <v>73.845555555555507</v>
      </c>
    </row>
    <row r="1438" spans="1:3" x14ac:dyDescent="0.3">
      <c r="A1438">
        <v>1004699</v>
      </c>
      <c r="B1438" t="s">
        <v>1437</v>
      </c>
      <c r="C1438" s="12">
        <v>329.37033333333301</v>
      </c>
    </row>
    <row r="1439" spans="1:3" x14ac:dyDescent="0.3">
      <c r="A1439">
        <v>1004700</v>
      </c>
      <c r="B1439" t="s">
        <v>1438</v>
      </c>
      <c r="C1439" s="12">
        <v>202.392577777778</v>
      </c>
    </row>
    <row r="1440" spans="1:3" x14ac:dyDescent="0.3">
      <c r="A1440">
        <v>1004701</v>
      </c>
      <c r="B1440" t="s">
        <v>1439</v>
      </c>
      <c r="C1440" s="12">
        <v>206.19946666666701</v>
      </c>
    </row>
    <row r="1441" spans="1:3" x14ac:dyDescent="0.3">
      <c r="A1441">
        <v>1004702</v>
      </c>
      <c r="B1441" t="s">
        <v>1440</v>
      </c>
      <c r="C1441" s="12">
        <v>258.22863333333299</v>
      </c>
    </row>
    <row r="1442" spans="1:3" x14ac:dyDescent="0.3">
      <c r="A1442">
        <v>1004703</v>
      </c>
      <c r="B1442" t="s">
        <v>1441</v>
      </c>
      <c r="C1442" s="12">
        <v>398.35566666666699</v>
      </c>
    </row>
    <row r="1443" spans="1:3" x14ac:dyDescent="0.3">
      <c r="A1443">
        <v>1004704</v>
      </c>
      <c r="B1443" t="s">
        <v>1442</v>
      </c>
      <c r="C1443" s="12">
        <v>1182.9219000000001</v>
      </c>
    </row>
    <row r="1444" spans="1:3" x14ac:dyDescent="0.3">
      <c r="A1444">
        <v>1004708</v>
      </c>
      <c r="B1444" t="s">
        <v>1443</v>
      </c>
      <c r="C1444" s="12">
        <v>334.46666666666698</v>
      </c>
    </row>
    <row r="1445" spans="1:3" x14ac:dyDescent="0.3">
      <c r="A1445">
        <v>1004709</v>
      </c>
      <c r="B1445" t="s">
        <v>1444</v>
      </c>
      <c r="C1445" s="12">
        <v>841</v>
      </c>
    </row>
    <row r="1446" spans="1:3" x14ac:dyDescent="0.3">
      <c r="A1446">
        <v>1004752</v>
      </c>
      <c r="B1446" t="s">
        <v>1445</v>
      </c>
      <c r="C1446" s="12">
        <v>145.57</v>
      </c>
    </row>
    <row r="1447" spans="1:3" x14ac:dyDescent="0.3">
      <c r="B1447" t="s">
        <v>1446</v>
      </c>
      <c r="C1447" s="12">
        <v>313.60761030302098</v>
      </c>
    </row>
    <row r="1448" spans="1:3" x14ac:dyDescent="0.3">
      <c r="A1448">
        <v>1004753</v>
      </c>
      <c r="B1448" t="s">
        <v>1447</v>
      </c>
      <c r="C1448" s="12">
        <v>154.72657398680488</v>
      </c>
    </row>
    <row r="1449" spans="1:3" x14ac:dyDescent="0.3">
      <c r="B1449" t="s">
        <v>1448</v>
      </c>
      <c r="C1449" s="12">
        <v>154.72657237152288</v>
      </c>
    </row>
    <row r="1450" spans="1:3" x14ac:dyDescent="0.3">
      <c r="A1450">
        <v>1004754</v>
      </c>
      <c r="B1450" t="s">
        <v>1449</v>
      </c>
      <c r="C1450" s="12">
        <v>210.2107387154355</v>
      </c>
    </row>
    <row r="1451" spans="1:3" x14ac:dyDescent="0.3">
      <c r="A1451">
        <v>1004797</v>
      </c>
      <c r="B1451" t="s">
        <v>1450</v>
      </c>
      <c r="C1451" s="12">
        <v>93.511158405141899</v>
      </c>
    </row>
    <row r="1452" spans="1:3" x14ac:dyDescent="0.3">
      <c r="A1452">
        <v>1004798</v>
      </c>
      <c r="B1452" t="s">
        <v>1451</v>
      </c>
      <c r="C1452" s="12">
        <v>252.27875817506001</v>
      </c>
    </row>
    <row r="1453" spans="1:3" x14ac:dyDescent="0.3">
      <c r="A1453">
        <v>1004807</v>
      </c>
      <c r="B1453" t="s">
        <v>1452</v>
      </c>
      <c r="C1453" s="12">
        <v>398</v>
      </c>
    </row>
    <row r="1454" spans="1:3" x14ac:dyDescent="0.3">
      <c r="A1454">
        <v>1004813</v>
      </c>
      <c r="B1454" t="s">
        <v>1453</v>
      </c>
      <c r="C1454" s="12">
        <v>393.75</v>
      </c>
    </row>
    <row r="1455" spans="1:3" x14ac:dyDescent="0.3">
      <c r="A1455">
        <v>1004814</v>
      </c>
      <c r="B1455" t="s">
        <v>1454</v>
      </c>
      <c r="C1455" s="12">
        <v>317.77642592695668</v>
      </c>
    </row>
    <row r="1456" spans="1:3" x14ac:dyDescent="0.3">
      <c r="A1456">
        <v>1004818</v>
      </c>
      <c r="B1456" t="s">
        <v>1455</v>
      </c>
      <c r="C1456" s="12">
        <v>172.55033158811898</v>
      </c>
    </row>
    <row r="1457" spans="1:3" x14ac:dyDescent="0.3">
      <c r="A1457">
        <v>1004822</v>
      </c>
      <c r="B1457" t="s">
        <v>1456</v>
      </c>
      <c r="C1457" s="12">
        <v>515.76397727272752</v>
      </c>
    </row>
    <row r="1458" spans="1:3" x14ac:dyDescent="0.3">
      <c r="A1458">
        <v>1004827</v>
      </c>
      <c r="B1458" t="s">
        <v>1457</v>
      </c>
      <c r="C1458" s="12">
        <v>539.92245495410248</v>
      </c>
    </row>
    <row r="1459" spans="1:3" x14ac:dyDescent="0.3">
      <c r="A1459">
        <v>1004830</v>
      </c>
      <c r="B1459" t="s">
        <v>1458</v>
      </c>
      <c r="C1459" s="12">
        <v>31.317825106511478</v>
      </c>
    </row>
    <row r="1460" spans="1:3" x14ac:dyDescent="0.3">
      <c r="A1460">
        <v>1004836</v>
      </c>
      <c r="B1460" t="s">
        <v>1459</v>
      </c>
      <c r="C1460" s="12">
        <v>150</v>
      </c>
    </row>
    <row r="1461" spans="1:3" x14ac:dyDescent="0.3">
      <c r="A1461">
        <v>1004837</v>
      </c>
      <c r="B1461" t="s">
        <v>1460</v>
      </c>
      <c r="C1461" s="12">
        <v>1431.8924311926601</v>
      </c>
    </row>
    <row r="1462" spans="1:3" x14ac:dyDescent="0.3">
      <c r="A1462">
        <v>1004839</v>
      </c>
      <c r="B1462" t="s">
        <v>1461</v>
      </c>
      <c r="C1462" s="12">
        <v>91.9388183612988</v>
      </c>
    </row>
    <row r="1463" spans="1:3" x14ac:dyDescent="0.3">
      <c r="A1463">
        <v>1004850</v>
      </c>
      <c r="B1463" t="s">
        <v>1462</v>
      </c>
      <c r="C1463" s="12">
        <v>465206.4</v>
      </c>
    </row>
    <row r="1464" spans="1:3" x14ac:dyDescent="0.3">
      <c r="A1464">
        <v>1004857</v>
      </c>
      <c r="B1464" t="s">
        <v>1463</v>
      </c>
      <c r="C1464" s="12">
        <v>3485.3423602020698</v>
      </c>
    </row>
    <row r="1465" spans="1:3" x14ac:dyDescent="0.3">
      <c r="A1465">
        <v>1004863</v>
      </c>
      <c r="B1465" t="s">
        <v>1464</v>
      </c>
      <c r="C1465" s="12">
        <v>512.12</v>
      </c>
    </row>
    <row r="1466" spans="1:3" x14ac:dyDescent="0.3">
      <c r="A1466">
        <v>1004865</v>
      </c>
      <c r="B1466" t="s">
        <v>1465</v>
      </c>
      <c r="C1466" s="12">
        <v>9979.26</v>
      </c>
    </row>
    <row r="1467" spans="1:3" x14ac:dyDescent="0.3">
      <c r="A1467">
        <v>1004868</v>
      </c>
      <c r="B1467" t="s">
        <v>1466</v>
      </c>
      <c r="C1467" s="12">
        <v>23.2</v>
      </c>
    </row>
    <row r="1468" spans="1:3" x14ac:dyDescent="0.3">
      <c r="A1468">
        <v>1004883</v>
      </c>
      <c r="B1468" t="s">
        <v>1467</v>
      </c>
      <c r="C1468" s="12">
        <v>70</v>
      </c>
    </row>
    <row r="1469" spans="1:3" x14ac:dyDescent="0.3">
      <c r="A1469">
        <v>1004894</v>
      </c>
      <c r="B1469" t="s">
        <v>1468</v>
      </c>
      <c r="C1469" s="12">
        <v>123476.29</v>
      </c>
    </row>
    <row r="1470" spans="1:3" x14ac:dyDescent="0.3">
      <c r="A1470">
        <v>1004915</v>
      </c>
      <c r="B1470" t="s">
        <v>1469</v>
      </c>
      <c r="C1470" s="12">
        <v>892.66807894500198</v>
      </c>
    </row>
    <row r="1471" spans="1:3" x14ac:dyDescent="0.3">
      <c r="A1471">
        <v>1004916</v>
      </c>
      <c r="B1471" t="s">
        <v>1470</v>
      </c>
      <c r="C1471" s="12">
        <v>78.841660702910843</v>
      </c>
    </row>
    <row r="1472" spans="1:3" x14ac:dyDescent="0.3">
      <c r="A1472">
        <v>1004918</v>
      </c>
      <c r="B1472" t="s">
        <v>1471</v>
      </c>
      <c r="C1472" s="12">
        <v>20802.727218710479</v>
      </c>
    </row>
    <row r="1473" spans="1:3" x14ac:dyDescent="0.3">
      <c r="A1473">
        <v>1004921</v>
      </c>
      <c r="B1473" t="s">
        <v>1472</v>
      </c>
      <c r="C1473" s="12">
        <v>3835</v>
      </c>
    </row>
    <row r="1474" spans="1:3" x14ac:dyDescent="0.3">
      <c r="A1474">
        <v>1004928</v>
      </c>
      <c r="B1474" t="s">
        <v>1473</v>
      </c>
      <c r="C1474" s="12">
        <v>2271.0854240506333</v>
      </c>
    </row>
    <row r="1475" spans="1:3" x14ac:dyDescent="0.3">
      <c r="A1475">
        <v>1004932</v>
      </c>
      <c r="B1475" t="s">
        <v>1474</v>
      </c>
      <c r="C1475" s="12">
        <v>1121.2733391608392</v>
      </c>
    </row>
    <row r="1476" spans="1:3" x14ac:dyDescent="0.3">
      <c r="A1476">
        <v>1004933</v>
      </c>
      <c r="B1476" t="s">
        <v>1475</v>
      </c>
      <c r="C1476" s="12">
        <v>19714</v>
      </c>
    </row>
    <row r="1477" spans="1:3" x14ac:dyDescent="0.3">
      <c r="A1477">
        <v>1005041</v>
      </c>
      <c r="B1477" t="s">
        <v>1476</v>
      </c>
      <c r="C1477" s="12">
        <v>6960</v>
      </c>
    </row>
    <row r="1478" spans="1:3" x14ac:dyDescent="0.3">
      <c r="A1478">
        <v>1005050</v>
      </c>
      <c r="B1478" t="s">
        <v>1477</v>
      </c>
      <c r="C1478" s="12">
        <v>183280</v>
      </c>
    </row>
    <row r="1479" spans="1:3" x14ac:dyDescent="0.3">
      <c r="A1479">
        <v>1005070</v>
      </c>
      <c r="B1479" t="s">
        <v>1478</v>
      </c>
      <c r="C1479" s="12">
        <v>30</v>
      </c>
    </row>
    <row r="1480" spans="1:3" x14ac:dyDescent="0.3">
      <c r="A1480">
        <v>1005092</v>
      </c>
      <c r="B1480" t="s">
        <v>1479</v>
      </c>
      <c r="C1480" s="12">
        <v>171492.23125000001</v>
      </c>
    </row>
    <row r="1481" spans="1:3" x14ac:dyDescent="0.3">
      <c r="A1481">
        <v>1005093</v>
      </c>
      <c r="B1481" t="s">
        <v>1480</v>
      </c>
      <c r="C1481" s="12">
        <v>26000</v>
      </c>
    </row>
    <row r="1482" spans="1:3" x14ac:dyDescent="0.3">
      <c r="A1482">
        <v>1005094</v>
      </c>
      <c r="B1482" t="s">
        <v>1481</v>
      </c>
      <c r="C1482" s="12">
        <v>12400</v>
      </c>
    </row>
    <row r="1483" spans="1:3" x14ac:dyDescent="0.3">
      <c r="A1483">
        <v>1005096</v>
      </c>
      <c r="B1483" t="s">
        <v>1482</v>
      </c>
      <c r="C1483" s="12">
        <v>109805.602096774</v>
      </c>
    </row>
    <row r="1484" spans="1:3" x14ac:dyDescent="0.3">
      <c r="A1484">
        <v>1005097</v>
      </c>
      <c r="B1484" t="s">
        <v>1483</v>
      </c>
      <c r="C1484" s="12">
        <v>25</v>
      </c>
    </row>
    <row r="1485" spans="1:3" x14ac:dyDescent="0.3">
      <c r="A1485">
        <v>1005099</v>
      </c>
      <c r="B1485" t="s">
        <v>1484</v>
      </c>
      <c r="C1485" s="12">
        <v>1324654.5009999999</v>
      </c>
    </row>
    <row r="1486" spans="1:3" x14ac:dyDescent="0.3">
      <c r="A1486">
        <v>1005100</v>
      </c>
      <c r="B1486" t="s">
        <v>1485</v>
      </c>
      <c r="C1486" s="12">
        <v>732831.86966666661</v>
      </c>
    </row>
    <row r="1487" spans="1:3" x14ac:dyDescent="0.3">
      <c r="A1487">
        <v>1005110</v>
      </c>
      <c r="B1487" t="s">
        <v>1486</v>
      </c>
      <c r="C1487" s="12">
        <v>164.56</v>
      </c>
    </row>
    <row r="1488" spans="1:3" x14ac:dyDescent="0.3">
      <c r="A1488">
        <v>1005142</v>
      </c>
      <c r="B1488" t="s">
        <v>1487</v>
      </c>
      <c r="C1488" s="12">
        <v>4408.6031666666704</v>
      </c>
    </row>
    <row r="1489" spans="1:3" x14ac:dyDescent="0.3">
      <c r="A1489">
        <v>1005230</v>
      </c>
      <c r="B1489" t="s">
        <v>1488</v>
      </c>
      <c r="C1489" s="12">
        <v>39906.551517857144</v>
      </c>
    </row>
    <row r="1490" spans="1:3" x14ac:dyDescent="0.3">
      <c r="A1490">
        <v>1005421</v>
      </c>
      <c r="B1490" t="s">
        <v>1489</v>
      </c>
      <c r="C1490" s="12">
        <v>28862.503000000001</v>
      </c>
    </row>
    <row r="1491" spans="1:3" x14ac:dyDescent="0.3">
      <c r="A1491">
        <v>1005555</v>
      </c>
      <c r="B1491" t="s">
        <v>1490</v>
      </c>
      <c r="C1491" s="12">
        <v>24408.18</v>
      </c>
    </row>
    <row r="1492" spans="1:3" x14ac:dyDescent="0.3">
      <c r="A1492">
        <v>1005663</v>
      </c>
      <c r="B1492" t="s">
        <v>1491</v>
      </c>
      <c r="C1492" s="12">
        <v>0</v>
      </c>
    </row>
    <row r="1493" spans="1:3" x14ac:dyDescent="0.3">
      <c r="A1493">
        <v>1005668</v>
      </c>
      <c r="B1493" t="s">
        <v>1492</v>
      </c>
      <c r="C1493" s="12">
        <v>6350.42</v>
      </c>
    </row>
    <row r="1494" spans="1:3" x14ac:dyDescent="0.3">
      <c r="A1494">
        <v>1005804</v>
      </c>
      <c r="B1494" t="s">
        <v>1493</v>
      </c>
      <c r="C1494" s="12">
        <v>290248.80072131613</v>
      </c>
    </row>
    <row r="1495" spans="1:3" x14ac:dyDescent="0.3">
      <c r="A1495">
        <v>1005835</v>
      </c>
      <c r="B1495" t="s">
        <v>1494</v>
      </c>
      <c r="C1495" s="12">
        <v>6171.4</v>
      </c>
    </row>
    <row r="1496" spans="1:3" x14ac:dyDescent="0.3">
      <c r="A1496">
        <v>1005838</v>
      </c>
      <c r="B1496" t="s">
        <v>1495</v>
      </c>
      <c r="C1496" s="12">
        <v>2784</v>
      </c>
    </row>
    <row r="1497" spans="1:3" x14ac:dyDescent="0.3">
      <c r="A1497">
        <v>1005942</v>
      </c>
      <c r="B1497" t="s">
        <v>1496</v>
      </c>
      <c r="C1497" s="12">
        <v>3686.8881690140802</v>
      </c>
    </row>
    <row r="1498" spans="1:3" x14ac:dyDescent="0.3">
      <c r="A1498">
        <v>1006027</v>
      </c>
      <c r="B1498" t="s">
        <v>1497</v>
      </c>
      <c r="C1498" s="12">
        <v>512.12</v>
      </c>
    </row>
    <row r="1499" spans="1:3" x14ac:dyDescent="0.3">
      <c r="A1499">
        <v>1006051</v>
      </c>
      <c r="B1499" t="s">
        <v>1498</v>
      </c>
      <c r="C1499" s="12">
        <v>574.80160000000001</v>
      </c>
    </row>
    <row r="1500" spans="1:3" x14ac:dyDescent="0.3">
      <c r="A1500">
        <v>1006090</v>
      </c>
      <c r="B1500" t="s">
        <v>1499</v>
      </c>
      <c r="C1500" s="12">
        <v>139.63333333333301</v>
      </c>
    </row>
    <row r="1501" spans="1:3" x14ac:dyDescent="0.3">
      <c r="A1501">
        <v>1006192</v>
      </c>
      <c r="B1501" t="s">
        <v>1500</v>
      </c>
      <c r="C1501" s="12">
        <v>2518.4414129527891</v>
      </c>
    </row>
    <row r="1502" spans="1:3" x14ac:dyDescent="0.3">
      <c r="A1502">
        <v>1006266</v>
      </c>
      <c r="B1502" t="s">
        <v>1501</v>
      </c>
      <c r="C1502" s="12">
        <v>0</v>
      </c>
    </row>
    <row r="1503" spans="1:3" x14ac:dyDescent="0.3">
      <c r="A1503">
        <v>1006368</v>
      </c>
      <c r="B1503" t="s">
        <v>1502</v>
      </c>
      <c r="C1503" s="12">
        <v>112.1</v>
      </c>
    </row>
    <row r="1504" spans="1:3" x14ac:dyDescent="0.3">
      <c r="A1504">
        <v>1006654</v>
      </c>
      <c r="B1504" t="s">
        <v>1503</v>
      </c>
      <c r="C1504" s="12">
        <v>0</v>
      </c>
    </row>
    <row r="1505" spans="1:3" x14ac:dyDescent="0.3">
      <c r="A1505">
        <v>1006659</v>
      </c>
      <c r="B1505" t="s">
        <v>1504</v>
      </c>
      <c r="C1505" s="12">
        <v>0</v>
      </c>
    </row>
    <row r="1506" spans="1:3" x14ac:dyDescent="0.3">
      <c r="A1506">
        <v>1006740</v>
      </c>
      <c r="B1506" t="s">
        <v>1505</v>
      </c>
      <c r="C1506" s="12">
        <v>6136</v>
      </c>
    </row>
    <row r="1507" spans="1:3" x14ac:dyDescent="0.3">
      <c r="A1507">
        <v>1006760</v>
      </c>
      <c r="B1507" t="s">
        <v>1506</v>
      </c>
      <c r="C1507" s="12">
        <v>146.32</v>
      </c>
    </row>
    <row r="1508" spans="1:3" x14ac:dyDescent="0.3">
      <c r="A1508">
        <v>1006818</v>
      </c>
      <c r="B1508" t="s">
        <v>1507</v>
      </c>
      <c r="C1508" s="12">
        <v>2726.8239705882352</v>
      </c>
    </row>
    <row r="1509" spans="1:3" x14ac:dyDescent="0.3">
      <c r="A1509">
        <v>1006874</v>
      </c>
      <c r="B1509" t="s">
        <v>1508</v>
      </c>
      <c r="C1509" s="12">
        <v>696.2</v>
      </c>
    </row>
    <row r="1510" spans="1:3" x14ac:dyDescent="0.3">
      <c r="A1510">
        <v>1006892</v>
      </c>
      <c r="B1510" t="s">
        <v>1509</v>
      </c>
      <c r="C1510" s="12">
        <v>468.066666666667</v>
      </c>
    </row>
    <row r="1511" spans="1:3" x14ac:dyDescent="0.3">
      <c r="A1511">
        <v>1007237</v>
      </c>
      <c r="B1511" t="s">
        <v>1510</v>
      </c>
      <c r="C1511" s="12">
        <v>1327.5</v>
      </c>
    </row>
    <row r="1512" spans="1:3" x14ac:dyDescent="0.3">
      <c r="A1512">
        <v>1007404</v>
      </c>
      <c r="B1512" t="s">
        <v>1511</v>
      </c>
      <c r="C1512" s="12">
        <v>803.60155555555605</v>
      </c>
    </row>
    <row r="1513" spans="1:3" x14ac:dyDescent="0.3">
      <c r="A1513">
        <v>1007546</v>
      </c>
      <c r="B1513" t="s">
        <v>1512</v>
      </c>
      <c r="C1513" s="12">
        <v>407.9</v>
      </c>
    </row>
    <row r="1514" spans="1:3" x14ac:dyDescent="0.3">
      <c r="A1514">
        <v>1007762</v>
      </c>
      <c r="B1514" t="s">
        <v>1513</v>
      </c>
      <c r="C1514" s="12">
        <v>1976.5</v>
      </c>
    </row>
    <row r="1515" spans="1:3" x14ac:dyDescent="0.3">
      <c r="A1515">
        <v>1007893</v>
      </c>
      <c r="B1515" t="s">
        <v>1514</v>
      </c>
      <c r="C1515" s="12">
        <v>796.5</v>
      </c>
    </row>
    <row r="1516" spans="1:3" x14ac:dyDescent="0.3">
      <c r="A1516">
        <v>1007966</v>
      </c>
      <c r="B1516" t="s">
        <v>1515</v>
      </c>
      <c r="C1516" s="12">
        <v>330.4</v>
      </c>
    </row>
    <row r="1517" spans="1:3" x14ac:dyDescent="0.3">
      <c r="A1517">
        <v>1007995</v>
      </c>
      <c r="B1517" t="s">
        <v>1516</v>
      </c>
      <c r="C1517" s="12">
        <v>240120</v>
      </c>
    </row>
    <row r="1518" spans="1:3" x14ac:dyDescent="0.3">
      <c r="A1518">
        <v>1008102</v>
      </c>
      <c r="B1518" t="s">
        <v>1517</v>
      </c>
      <c r="C1518" s="12">
        <v>206146.81797485999</v>
      </c>
    </row>
    <row r="1519" spans="1:3" x14ac:dyDescent="0.3">
      <c r="A1519">
        <v>1008139</v>
      </c>
      <c r="B1519" t="s">
        <v>1518</v>
      </c>
      <c r="C1519" s="12">
        <v>17953.7</v>
      </c>
    </row>
    <row r="1520" spans="1:3" x14ac:dyDescent="0.3">
      <c r="A1520">
        <v>1008194</v>
      </c>
      <c r="B1520" t="s">
        <v>1519</v>
      </c>
      <c r="C1520" s="12">
        <v>8317.2592166666709</v>
      </c>
    </row>
    <row r="1521" spans="1:3" x14ac:dyDescent="0.3">
      <c r="A1521">
        <v>1008202</v>
      </c>
      <c r="B1521" t="s">
        <v>1520</v>
      </c>
      <c r="C1521" s="12">
        <v>15060</v>
      </c>
    </row>
    <row r="1522" spans="1:3" x14ac:dyDescent="0.3">
      <c r="A1522">
        <v>1008203</v>
      </c>
      <c r="B1522" t="s">
        <v>1521</v>
      </c>
      <c r="C1522" s="12">
        <v>50.534262473319401</v>
      </c>
    </row>
    <row r="1523" spans="1:3" x14ac:dyDescent="0.3">
      <c r="A1523">
        <v>1008245</v>
      </c>
      <c r="B1523" t="s">
        <v>1522</v>
      </c>
      <c r="C1523" s="12">
        <v>505343.64</v>
      </c>
    </row>
    <row r="1524" spans="1:3" x14ac:dyDescent="0.3">
      <c r="A1524">
        <v>1008247</v>
      </c>
      <c r="B1524" t="s">
        <v>1523</v>
      </c>
      <c r="C1524" s="12">
        <v>64900</v>
      </c>
    </row>
    <row r="1525" spans="1:3" x14ac:dyDescent="0.3">
      <c r="A1525">
        <v>1008248</v>
      </c>
      <c r="B1525" t="s">
        <v>1524</v>
      </c>
      <c r="C1525" s="12">
        <v>182.85664102955801</v>
      </c>
    </row>
    <row r="1526" spans="1:3" x14ac:dyDescent="0.3">
      <c r="A1526">
        <v>1008279</v>
      </c>
      <c r="B1526" t="s">
        <v>1525</v>
      </c>
      <c r="C1526" s="12">
        <v>612.13214130434801</v>
      </c>
    </row>
    <row r="1527" spans="1:3" x14ac:dyDescent="0.3">
      <c r="A1527">
        <v>1008280</v>
      </c>
      <c r="B1527" t="s">
        <v>1526</v>
      </c>
      <c r="C1527" s="12">
        <v>933.8</v>
      </c>
    </row>
    <row r="1528" spans="1:3" x14ac:dyDescent="0.3">
      <c r="A1528">
        <v>1008282</v>
      </c>
      <c r="B1528" t="s">
        <v>1527</v>
      </c>
      <c r="C1528" s="12">
        <v>166.445333333333</v>
      </c>
    </row>
    <row r="1529" spans="1:3" x14ac:dyDescent="0.3">
      <c r="A1529">
        <v>1008283</v>
      </c>
      <c r="B1529" t="s">
        <v>1528</v>
      </c>
      <c r="C1529" s="12">
        <v>2298.5071212121202</v>
      </c>
    </row>
    <row r="1530" spans="1:3" x14ac:dyDescent="0.3">
      <c r="A1530">
        <v>1008306</v>
      </c>
      <c r="B1530" t="s">
        <v>1529</v>
      </c>
      <c r="C1530" s="12">
        <v>1273306.93</v>
      </c>
    </row>
    <row r="1531" spans="1:3" x14ac:dyDescent="0.3">
      <c r="A1531">
        <v>1008321</v>
      </c>
      <c r="B1531" t="s">
        <v>1530</v>
      </c>
      <c r="C1531" s="12">
        <v>597.4</v>
      </c>
    </row>
    <row r="1532" spans="1:3" x14ac:dyDescent="0.3">
      <c r="A1532">
        <v>1008327</v>
      </c>
      <c r="B1532" t="s">
        <v>1531</v>
      </c>
      <c r="C1532" s="12">
        <v>6601.56</v>
      </c>
    </row>
    <row r="1533" spans="1:3" x14ac:dyDescent="0.3">
      <c r="A1533">
        <v>1008330</v>
      </c>
      <c r="B1533" t="s">
        <v>1532</v>
      </c>
      <c r="C1533" s="12">
        <v>2187.1640256340602</v>
      </c>
    </row>
    <row r="1534" spans="1:3" x14ac:dyDescent="0.3">
      <c r="A1534">
        <v>1008340</v>
      </c>
      <c r="B1534" t="s">
        <v>1533</v>
      </c>
      <c r="C1534" s="12">
        <v>8121.1021739130401</v>
      </c>
    </row>
    <row r="1535" spans="1:3" x14ac:dyDescent="0.3">
      <c r="A1535">
        <v>1008344</v>
      </c>
      <c r="B1535" t="s">
        <v>1534</v>
      </c>
      <c r="C1535" s="12">
        <v>20767.1971798864</v>
      </c>
    </row>
    <row r="1536" spans="1:3" x14ac:dyDescent="0.3">
      <c r="A1536">
        <v>1008345</v>
      </c>
      <c r="B1536" t="s">
        <v>1535</v>
      </c>
      <c r="C1536" s="12">
        <v>22436.164188492101</v>
      </c>
    </row>
    <row r="1537" spans="1:3" x14ac:dyDescent="0.3">
      <c r="A1537">
        <v>1008346</v>
      </c>
      <c r="B1537" t="s">
        <v>1536</v>
      </c>
      <c r="C1537" s="12">
        <v>43771.874555255301</v>
      </c>
    </row>
    <row r="1538" spans="1:3" x14ac:dyDescent="0.3">
      <c r="A1538">
        <v>1008349</v>
      </c>
      <c r="B1538" t="s">
        <v>1537</v>
      </c>
      <c r="C1538" s="12">
        <v>8879.7166666666708</v>
      </c>
    </row>
    <row r="1539" spans="1:3" x14ac:dyDescent="0.3">
      <c r="A1539">
        <v>1008350</v>
      </c>
      <c r="B1539" t="s">
        <v>1538</v>
      </c>
      <c r="C1539" s="12">
        <v>127785.60000000001</v>
      </c>
    </row>
    <row r="1540" spans="1:3" x14ac:dyDescent="0.3">
      <c r="A1540">
        <v>1008351</v>
      </c>
      <c r="B1540" t="s">
        <v>1539</v>
      </c>
      <c r="C1540" s="12">
        <v>6494.66</v>
      </c>
    </row>
    <row r="1541" spans="1:3" x14ac:dyDescent="0.3">
      <c r="A1541">
        <v>1008353</v>
      </c>
      <c r="B1541" t="s">
        <v>1540</v>
      </c>
      <c r="C1541" s="12">
        <v>171.60354228515399</v>
      </c>
    </row>
    <row r="1542" spans="1:3" x14ac:dyDescent="0.3">
      <c r="A1542">
        <v>1008420</v>
      </c>
      <c r="B1542" t="s">
        <v>1541</v>
      </c>
      <c r="C1542" s="12">
        <v>183.75</v>
      </c>
    </row>
    <row r="1543" spans="1:3" x14ac:dyDescent="0.3">
      <c r="A1543">
        <v>1008435</v>
      </c>
      <c r="B1543" t="s">
        <v>1542</v>
      </c>
      <c r="C1543" s="12">
        <v>24980.4411486395</v>
      </c>
    </row>
    <row r="1544" spans="1:3" x14ac:dyDescent="0.3">
      <c r="A1544">
        <v>1008451</v>
      </c>
      <c r="B1544" t="s">
        <v>1543</v>
      </c>
      <c r="C1544" s="12">
        <v>551</v>
      </c>
    </row>
    <row r="1545" spans="1:3" x14ac:dyDescent="0.3">
      <c r="A1545">
        <v>1008504</v>
      </c>
      <c r="B1545" t="s">
        <v>1544</v>
      </c>
      <c r="C1545" s="12">
        <v>1515.6045624032799</v>
      </c>
    </row>
    <row r="1546" spans="1:3" x14ac:dyDescent="0.3">
      <c r="A1546">
        <v>1008505</v>
      </c>
      <c r="B1546" t="s">
        <v>1545</v>
      </c>
      <c r="C1546" s="12">
        <v>4148.7912451923103</v>
      </c>
    </row>
    <row r="1547" spans="1:3" x14ac:dyDescent="0.3">
      <c r="A1547">
        <v>1008506</v>
      </c>
      <c r="B1547" t="s">
        <v>1546</v>
      </c>
      <c r="C1547" s="12">
        <v>1358.15131666667</v>
      </c>
    </row>
    <row r="1548" spans="1:3" x14ac:dyDescent="0.3">
      <c r="A1548">
        <v>1008508</v>
      </c>
      <c r="B1548" t="s">
        <v>1547</v>
      </c>
      <c r="C1548" s="12">
        <v>545.27895391763195</v>
      </c>
    </row>
    <row r="1549" spans="1:3" x14ac:dyDescent="0.3">
      <c r="A1549">
        <v>1008509</v>
      </c>
      <c r="B1549" t="s">
        <v>1548</v>
      </c>
      <c r="C1549" s="12">
        <v>1153.2192857142859</v>
      </c>
    </row>
    <row r="1550" spans="1:3" x14ac:dyDescent="0.3">
      <c r="A1550">
        <v>1008512</v>
      </c>
      <c r="B1550" t="s">
        <v>1549</v>
      </c>
      <c r="C1550" s="12">
        <v>2694.2171981455999</v>
      </c>
    </row>
    <row r="1551" spans="1:3" x14ac:dyDescent="0.3">
      <c r="A1551">
        <v>1008517</v>
      </c>
      <c r="B1551" t="s">
        <v>1550</v>
      </c>
      <c r="C1551" s="12">
        <v>12040.12875</v>
      </c>
    </row>
    <row r="1552" spans="1:3" x14ac:dyDescent="0.3">
      <c r="A1552">
        <v>1008534</v>
      </c>
      <c r="B1552" t="s">
        <v>1551</v>
      </c>
      <c r="C1552" s="12">
        <v>247.08</v>
      </c>
    </row>
    <row r="1553" spans="1:3" x14ac:dyDescent="0.3">
      <c r="A1553">
        <v>1008539</v>
      </c>
      <c r="B1553" t="s">
        <v>1552</v>
      </c>
      <c r="C1553" s="12">
        <v>117011.52</v>
      </c>
    </row>
    <row r="1554" spans="1:3" x14ac:dyDescent="0.3">
      <c r="A1554">
        <v>1008540</v>
      </c>
      <c r="B1554" t="s">
        <v>1553</v>
      </c>
      <c r="C1554" s="12">
        <v>1480.5631000000001</v>
      </c>
    </row>
    <row r="1555" spans="1:3" x14ac:dyDescent="0.3">
      <c r="A1555">
        <v>1008541</v>
      </c>
      <c r="B1555" t="s">
        <v>1554</v>
      </c>
      <c r="C1555" s="12">
        <v>4060</v>
      </c>
    </row>
    <row r="1556" spans="1:3" x14ac:dyDescent="0.3">
      <c r="A1556">
        <v>1008543</v>
      </c>
      <c r="B1556" t="s">
        <v>1555</v>
      </c>
      <c r="C1556" s="12">
        <v>231.76329999999999</v>
      </c>
    </row>
    <row r="1557" spans="1:3" x14ac:dyDescent="0.3">
      <c r="A1557">
        <v>1008544</v>
      </c>
      <c r="B1557" t="s">
        <v>1556</v>
      </c>
      <c r="C1557" s="12">
        <v>51852</v>
      </c>
    </row>
    <row r="1558" spans="1:3" x14ac:dyDescent="0.3">
      <c r="A1558">
        <v>1008545</v>
      </c>
      <c r="B1558" t="s">
        <v>1557</v>
      </c>
      <c r="C1558" s="12">
        <v>1624</v>
      </c>
    </row>
    <row r="1559" spans="1:3" x14ac:dyDescent="0.3">
      <c r="A1559">
        <v>1008546</v>
      </c>
      <c r="B1559" t="s">
        <v>1558</v>
      </c>
      <c r="C1559" s="12">
        <v>5097.7918356867767</v>
      </c>
    </row>
    <row r="1560" spans="1:3" x14ac:dyDescent="0.3">
      <c r="A1560">
        <v>1008550</v>
      </c>
      <c r="B1560" t="s">
        <v>1559</v>
      </c>
      <c r="C1560" s="12">
        <v>724.36863769734873</v>
      </c>
    </row>
    <row r="1561" spans="1:3" x14ac:dyDescent="0.3">
      <c r="A1561">
        <v>1008552</v>
      </c>
      <c r="B1561" t="s">
        <v>1560</v>
      </c>
      <c r="C1561" s="12">
        <v>1059.0336021286626</v>
      </c>
    </row>
    <row r="1562" spans="1:3" x14ac:dyDescent="0.3">
      <c r="A1562">
        <v>1008553</v>
      </c>
      <c r="B1562" t="s">
        <v>1561</v>
      </c>
      <c r="C1562" s="12">
        <v>714.555555555556</v>
      </c>
    </row>
    <row r="1563" spans="1:3" x14ac:dyDescent="0.3">
      <c r="A1563">
        <v>1008554</v>
      </c>
      <c r="B1563" t="s">
        <v>1562</v>
      </c>
      <c r="C1563" s="12">
        <v>1437.7155199891074</v>
      </c>
    </row>
    <row r="1564" spans="1:3" x14ac:dyDescent="0.3">
      <c r="A1564">
        <v>1008555</v>
      </c>
      <c r="B1564" t="s">
        <v>1563</v>
      </c>
      <c r="C1564" s="12">
        <v>678.5</v>
      </c>
    </row>
    <row r="1565" spans="1:3" x14ac:dyDescent="0.3">
      <c r="A1565">
        <v>1008668</v>
      </c>
      <c r="B1565" t="s">
        <v>1564</v>
      </c>
      <c r="C1565" s="12">
        <v>220.4</v>
      </c>
    </row>
    <row r="1566" spans="1:3" x14ac:dyDescent="0.3">
      <c r="A1566">
        <v>1008687</v>
      </c>
      <c r="B1566" t="s">
        <v>1565</v>
      </c>
      <c r="C1566" s="12">
        <v>165.72500108134099</v>
      </c>
    </row>
    <row r="1567" spans="1:3" x14ac:dyDescent="0.3">
      <c r="A1567">
        <v>1008701</v>
      </c>
      <c r="B1567" t="s">
        <v>1566</v>
      </c>
      <c r="C1567" s="12">
        <v>1622.5</v>
      </c>
    </row>
    <row r="1568" spans="1:3" x14ac:dyDescent="0.3">
      <c r="A1568">
        <v>1008814</v>
      </c>
      <c r="B1568" t="s">
        <v>1567</v>
      </c>
      <c r="C1568" s="12">
        <v>530.83198589743597</v>
      </c>
    </row>
    <row r="1569" spans="1:3" x14ac:dyDescent="0.3">
      <c r="A1569">
        <v>1008815</v>
      </c>
      <c r="B1569" t="s">
        <v>1568</v>
      </c>
      <c r="C1569" s="12">
        <v>535.80873567493097</v>
      </c>
    </row>
    <row r="1570" spans="1:3" x14ac:dyDescent="0.3">
      <c r="A1570">
        <v>1008840</v>
      </c>
      <c r="B1570" t="s">
        <v>1569</v>
      </c>
      <c r="C1570" s="12">
        <v>159416.49575757599</v>
      </c>
    </row>
    <row r="1571" spans="1:3" x14ac:dyDescent="0.3">
      <c r="A1571">
        <v>1008841</v>
      </c>
      <c r="B1571" t="s">
        <v>1570</v>
      </c>
      <c r="C1571" s="12">
        <v>107921.34625</v>
      </c>
    </row>
    <row r="1572" spans="1:3" x14ac:dyDescent="0.3">
      <c r="A1572">
        <v>1008842</v>
      </c>
      <c r="B1572" t="s">
        <v>1571</v>
      </c>
      <c r="C1572" s="12">
        <v>223172.41641666699</v>
      </c>
    </row>
    <row r="1573" spans="1:3" x14ac:dyDescent="0.3">
      <c r="A1573">
        <v>1008843</v>
      </c>
      <c r="B1573" t="s">
        <v>1572</v>
      </c>
      <c r="C1573" s="12">
        <v>250502.660117647</v>
      </c>
    </row>
    <row r="1574" spans="1:3" x14ac:dyDescent="0.3">
      <c r="A1574">
        <v>1008879</v>
      </c>
      <c r="B1574" t="s">
        <v>1573</v>
      </c>
      <c r="C1574" s="12">
        <v>0</v>
      </c>
    </row>
    <row r="1575" spans="1:3" x14ac:dyDescent="0.3">
      <c r="A1575">
        <v>1008884</v>
      </c>
      <c r="B1575" t="s">
        <v>1574</v>
      </c>
      <c r="C1575" s="12">
        <v>3986.8941741071399</v>
      </c>
    </row>
    <row r="1576" spans="1:3" x14ac:dyDescent="0.3">
      <c r="A1576">
        <v>1008900</v>
      </c>
      <c r="B1576" t="s">
        <v>1575</v>
      </c>
      <c r="C1576" s="12">
        <v>3401.03</v>
      </c>
    </row>
    <row r="1577" spans="1:3" x14ac:dyDescent="0.3">
      <c r="A1577">
        <v>1008901</v>
      </c>
      <c r="B1577" t="s">
        <v>1576</v>
      </c>
      <c r="C1577" s="12">
        <v>777.37824999999998</v>
      </c>
    </row>
    <row r="1578" spans="1:3" x14ac:dyDescent="0.3">
      <c r="A1578">
        <v>1008902</v>
      </c>
      <c r="B1578" t="s">
        <v>1577</v>
      </c>
      <c r="C1578" s="12">
        <v>728.79250000000002</v>
      </c>
    </row>
    <row r="1579" spans="1:3" x14ac:dyDescent="0.3">
      <c r="A1579">
        <v>1008973</v>
      </c>
      <c r="B1579" t="s">
        <v>1578</v>
      </c>
      <c r="C1579" s="12">
        <v>1207.0234158808285</v>
      </c>
    </row>
    <row r="1580" spans="1:3" x14ac:dyDescent="0.3">
      <c r="A1580">
        <v>1008975</v>
      </c>
      <c r="B1580" t="s">
        <v>1579</v>
      </c>
      <c r="C1580" s="12">
        <v>1059.43266145949</v>
      </c>
    </row>
    <row r="1581" spans="1:3" x14ac:dyDescent="0.3">
      <c r="A1581">
        <v>1008976</v>
      </c>
      <c r="B1581" t="s">
        <v>1580</v>
      </c>
      <c r="C1581" s="12">
        <v>973.18548727926282</v>
      </c>
    </row>
    <row r="1582" spans="1:3" x14ac:dyDescent="0.3">
      <c r="A1582">
        <v>1008977</v>
      </c>
      <c r="B1582" t="s">
        <v>1581</v>
      </c>
      <c r="C1582" s="12">
        <v>1163.16160606061</v>
      </c>
    </row>
    <row r="1583" spans="1:3" x14ac:dyDescent="0.3">
      <c r="A1583">
        <v>1008982</v>
      </c>
      <c r="B1583" t="s">
        <v>1582</v>
      </c>
      <c r="C1583" s="12">
        <v>23343.535400000001</v>
      </c>
    </row>
    <row r="1584" spans="1:3" x14ac:dyDescent="0.3">
      <c r="A1584">
        <v>1009010</v>
      </c>
      <c r="B1584" t="s">
        <v>1583</v>
      </c>
      <c r="C1584" s="12">
        <v>3967.7965853658538</v>
      </c>
    </row>
    <row r="1585" spans="1:3" x14ac:dyDescent="0.3">
      <c r="A1585">
        <v>1009014</v>
      </c>
      <c r="B1585" t="s">
        <v>1584</v>
      </c>
      <c r="C1585" s="12">
        <v>5026.6634666666496</v>
      </c>
    </row>
    <row r="1586" spans="1:3" x14ac:dyDescent="0.3">
      <c r="A1586">
        <v>1009015</v>
      </c>
      <c r="B1586" t="s">
        <v>1585</v>
      </c>
      <c r="C1586" s="12">
        <v>280.25</v>
      </c>
    </row>
    <row r="1587" spans="1:3" x14ac:dyDescent="0.3">
      <c r="A1587">
        <v>1009027</v>
      </c>
      <c r="B1587" t="s">
        <v>1586</v>
      </c>
      <c r="C1587" s="12">
        <v>4554.7578571428603</v>
      </c>
    </row>
    <row r="1588" spans="1:3" x14ac:dyDescent="0.3">
      <c r="A1588">
        <v>1009028</v>
      </c>
      <c r="B1588" t="s">
        <v>1587</v>
      </c>
      <c r="C1588" s="12">
        <v>4285.0519999999997</v>
      </c>
    </row>
    <row r="1589" spans="1:3" x14ac:dyDescent="0.3">
      <c r="A1589">
        <v>1009029</v>
      </c>
      <c r="B1589" t="s">
        <v>1588</v>
      </c>
      <c r="C1589" s="12">
        <v>425</v>
      </c>
    </row>
    <row r="1590" spans="1:3" x14ac:dyDescent="0.3">
      <c r="A1590">
        <v>1009036</v>
      </c>
      <c r="B1590" t="s">
        <v>1589</v>
      </c>
      <c r="C1590" s="12">
        <v>0</v>
      </c>
    </row>
    <row r="1591" spans="1:3" x14ac:dyDescent="0.3">
      <c r="A1591">
        <v>1009037</v>
      </c>
      <c r="B1591" t="s">
        <v>1590</v>
      </c>
      <c r="C1591" s="12">
        <v>474.62419583333298</v>
      </c>
    </row>
    <row r="1592" spans="1:3" x14ac:dyDescent="0.3">
      <c r="A1592">
        <v>1009063</v>
      </c>
      <c r="B1592" t="s">
        <v>1591</v>
      </c>
      <c r="C1592" s="12">
        <v>1460.25</v>
      </c>
    </row>
    <row r="1593" spans="1:3" x14ac:dyDescent="0.3">
      <c r="A1593">
        <v>1009069</v>
      </c>
      <c r="B1593" t="s">
        <v>1592</v>
      </c>
      <c r="C1593" s="12">
        <v>16.035926091825299</v>
      </c>
    </row>
    <row r="1594" spans="1:3" x14ac:dyDescent="0.3">
      <c r="A1594">
        <v>1009070</v>
      </c>
      <c r="B1594" t="s">
        <v>1593</v>
      </c>
      <c r="C1594" s="12">
        <v>1758.2</v>
      </c>
    </row>
    <row r="1595" spans="1:3" x14ac:dyDescent="0.3">
      <c r="A1595">
        <v>1009071</v>
      </c>
      <c r="B1595" t="s">
        <v>1594</v>
      </c>
      <c r="C1595" s="12">
        <v>1758.2</v>
      </c>
    </row>
    <row r="1596" spans="1:3" x14ac:dyDescent="0.3">
      <c r="A1596">
        <v>1009079</v>
      </c>
      <c r="B1596" t="s">
        <v>1595</v>
      </c>
      <c r="C1596" s="12">
        <v>111864</v>
      </c>
    </row>
    <row r="1597" spans="1:3" x14ac:dyDescent="0.3">
      <c r="A1597">
        <v>1009192</v>
      </c>
      <c r="B1597" t="s">
        <v>1596</v>
      </c>
      <c r="C1597" s="12">
        <v>2289.3653030302999</v>
      </c>
    </row>
    <row r="1598" spans="1:3" x14ac:dyDescent="0.3">
      <c r="A1598">
        <v>1009197</v>
      </c>
      <c r="B1598" t="s">
        <v>1597</v>
      </c>
      <c r="C1598" s="12">
        <v>18225.041000000001</v>
      </c>
    </row>
    <row r="1599" spans="1:3" x14ac:dyDescent="0.3">
      <c r="A1599">
        <v>1009198</v>
      </c>
      <c r="B1599" t="s">
        <v>1598</v>
      </c>
      <c r="C1599" s="12">
        <v>2408.6042499999999</v>
      </c>
    </row>
    <row r="1600" spans="1:3" x14ac:dyDescent="0.3">
      <c r="A1600">
        <v>1009200</v>
      </c>
      <c r="B1600" t="s">
        <v>1599</v>
      </c>
      <c r="C1600" s="12">
        <v>890.45121463077999</v>
      </c>
    </row>
    <row r="1601" spans="1:3" x14ac:dyDescent="0.3">
      <c r="A1601">
        <v>1009201</v>
      </c>
      <c r="B1601" t="s">
        <v>1600</v>
      </c>
      <c r="C1601" s="12">
        <v>890.45111455108395</v>
      </c>
    </row>
    <row r="1602" spans="1:3" x14ac:dyDescent="0.3">
      <c r="A1602">
        <v>1009202</v>
      </c>
      <c r="B1602" t="s">
        <v>1601</v>
      </c>
      <c r="C1602" s="12">
        <v>890.451818181818</v>
      </c>
    </row>
    <row r="1603" spans="1:3" x14ac:dyDescent="0.3">
      <c r="A1603">
        <v>1009203</v>
      </c>
      <c r="B1603" t="s">
        <v>1602</v>
      </c>
      <c r="C1603" s="12">
        <v>890.451470588235</v>
      </c>
    </row>
    <row r="1604" spans="1:3" x14ac:dyDescent="0.3">
      <c r="A1604">
        <v>1009204</v>
      </c>
      <c r="B1604" t="s">
        <v>1603</v>
      </c>
      <c r="C1604" s="12">
        <v>468.01623931623902</v>
      </c>
    </row>
    <row r="1605" spans="1:3" x14ac:dyDescent="0.3">
      <c r="A1605">
        <v>1009205</v>
      </c>
      <c r="B1605" t="s">
        <v>1604</v>
      </c>
      <c r="C1605" s="12">
        <v>3636.7448717948714</v>
      </c>
    </row>
    <row r="1606" spans="1:3" x14ac:dyDescent="0.3">
      <c r="A1606">
        <v>1009209</v>
      </c>
      <c r="B1606" t="s">
        <v>1605</v>
      </c>
      <c r="C1606" s="12">
        <v>384.06986111111098</v>
      </c>
    </row>
    <row r="1607" spans="1:3" x14ac:dyDescent="0.3">
      <c r="A1607">
        <v>1009211</v>
      </c>
      <c r="B1607" t="s">
        <v>1606</v>
      </c>
      <c r="C1607" s="12">
        <v>1266.8992460317461</v>
      </c>
    </row>
    <row r="1608" spans="1:3" x14ac:dyDescent="0.3">
      <c r="A1608">
        <v>1009215</v>
      </c>
      <c r="B1608" t="s">
        <v>1607</v>
      </c>
      <c r="C1608" s="12">
        <v>215.102214814815</v>
      </c>
    </row>
    <row r="1609" spans="1:3" x14ac:dyDescent="0.3">
      <c r="A1609">
        <v>1009216</v>
      </c>
      <c r="B1609" t="s">
        <v>1608</v>
      </c>
      <c r="C1609" s="12">
        <v>259.60000000000002</v>
      </c>
    </row>
    <row r="1610" spans="1:3" x14ac:dyDescent="0.3">
      <c r="A1610">
        <v>1009217</v>
      </c>
      <c r="B1610" t="s">
        <v>1609</v>
      </c>
      <c r="C1610" s="12">
        <v>1267.32</v>
      </c>
    </row>
    <row r="1611" spans="1:3" x14ac:dyDescent="0.3">
      <c r="A1611">
        <v>1009218</v>
      </c>
      <c r="B1611" t="s">
        <v>1610</v>
      </c>
      <c r="C1611" s="12">
        <v>1770</v>
      </c>
    </row>
    <row r="1612" spans="1:3" x14ac:dyDescent="0.3">
      <c r="A1612">
        <v>1009223</v>
      </c>
      <c r="B1612" t="s">
        <v>1611</v>
      </c>
      <c r="C1612" s="12">
        <v>2108.97481642512</v>
      </c>
    </row>
    <row r="1613" spans="1:3" x14ac:dyDescent="0.3">
      <c r="A1613">
        <v>1009224</v>
      </c>
      <c r="B1613" t="s">
        <v>1612</v>
      </c>
      <c r="C1613" s="12">
        <v>2360.4275767955505</v>
      </c>
    </row>
    <row r="1614" spans="1:3" x14ac:dyDescent="0.3">
      <c r="A1614">
        <v>1009225</v>
      </c>
      <c r="B1614" t="s">
        <v>1613</v>
      </c>
      <c r="C1614" s="12">
        <v>4520.495062845649</v>
      </c>
    </row>
    <row r="1615" spans="1:3" x14ac:dyDescent="0.3">
      <c r="A1615">
        <v>1009229</v>
      </c>
      <c r="B1615" t="s">
        <v>1614</v>
      </c>
      <c r="C1615" s="12">
        <v>0</v>
      </c>
    </row>
    <row r="1616" spans="1:3" x14ac:dyDescent="0.3">
      <c r="A1616">
        <v>1009292</v>
      </c>
      <c r="B1616" t="s">
        <v>1615</v>
      </c>
      <c r="C1616" s="12">
        <v>1356.528</v>
      </c>
    </row>
    <row r="1617" spans="1:3" x14ac:dyDescent="0.3">
      <c r="A1617">
        <v>1009294</v>
      </c>
      <c r="B1617" t="s">
        <v>1616</v>
      </c>
      <c r="C1617" s="12">
        <v>2115.9772631578899</v>
      </c>
    </row>
    <row r="1618" spans="1:3" x14ac:dyDescent="0.3">
      <c r="A1618">
        <v>1009297</v>
      </c>
      <c r="B1618" t="s">
        <v>1617</v>
      </c>
      <c r="C1618" s="12">
        <v>2048.1428571428551</v>
      </c>
    </row>
    <row r="1619" spans="1:3" x14ac:dyDescent="0.3">
      <c r="A1619">
        <v>1009300</v>
      </c>
      <c r="B1619" t="s">
        <v>1618</v>
      </c>
      <c r="C1619" s="12">
        <v>2321.68067990891</v>
      </c>
    </row>
    <row r="1620" spans="1:3" x14ac:dyDescent="0.3">
      <c r="A1620">
        <v>1009301</v>
      </c>
      <c r="B1620" t="s">
        <v>1619</v>
      </c>
      <c r="C1620" s="12">
        <v>8230.5</v>
      </c>
    </row>
    <row r="1621" spans="1:3" x14ac:dyDescent="0.3">
      <c r="A1621">
        <v>1009302</v>
      </c>
      <c r="B1621" t="s">
        <v>1620</v>
      </c>
      <c r="C1621" s="12">
        <v>2091.12857142857</v>
      </c>
    </row>
    <row r="1622" spans="1:3" x14ac:dyDescent="0.3">
      <c r="A1622">
        <v>1009303</v>
      </c>
      <c r="B1622" t="s">
        <v>1621</v>
      </c>
      <c r="C1622" s="12">
        <v>39583.1</v>
      </c>
    </row>
    <row r="1623" spans="1:3" x14ac:dyDescent="0.3">
      <c r="A1623">
        <v>1009304</v>
      </c>
      <c r="B1623" t="s">
        <v>1622</v>
      </c>
      <c r="C1623" s="12">
        <v>80.239999999999995</v>
      </c>
    </row>
    <row r="1624" spans="1:3" x14ac:dyDescent="0.3">
      <c r="A1624">
        <v>1009305</v>
      </c>
      <c r="B1624" t="s">
        <v>1623</v>
      </c>
      <c r="C1624" s="12">
        <v>2800.9659090909099</v>
      </c>
    </row>
    <row r="1625" spans="1:3" x14ac:dyDescent="0.3">
      <c r="A1625">
        <v>1009306</v>
      </c>
      <c r="B1625" t="s">
        <v>1624</v>
      </c>
      <c r="C1625" s="12">
        <v>265.5</v>
      </c>
    </row>
    <row r="1626" spans="1:3" x14ac:dyDescent="0.3">
      <c r="A1626">
        <v>1009307</v>
      </c>
      <c r="B1626" t="s">
        <v>1625</v>
      </c>
      <c r="C1626" s="12">
        <v>147.5</v>
      </c>
    </row>
    <row r="1627" spans="1:3" x14ac:dyDescent="0.3">
      <c r="A1627">
        <v>1009308</v>
      </c>
      <c r="B1627" t="s">
        <v>1626</v>
      </c>
      <c r="C1627" s="12">
        <v>10065.549999999999</v>
      </c>
    </row>
    <row r="1628" spans="1:3" x14ac:dyDescent="0.3">
      <c r="A1628">
        <v>1009327</v>
      </c>
      <c r="B1628" t="s">
        <v>1627</v>
      </c>
      <c r="C1628" s="12">
        <v>260.93342857142898</v>
      </c>
    </row>
    <row r="1629" spans="1:3" x14ac:dyDescent="0.3">
      <c r="A1629">
        <v>1009328</v>
      </c>
      <c r="B1629" t="s">
        <v>1628</v>
      </c>
      <c r="C1629" s="12">
        <v>4149.0807142857138</v>
      </c>
    </row>
    <row r="1630" spans="1:3" x14ac:dyDescent="0.3">
      <c r="A1630">
        <v>1009329</v>
      </c>
      <c r="B1630" t="s">
        <v>1629</v>
      </c>
      <c r="C1630" s="12">
        <v>5010.5789333333296</v>
      </c>
    </row>
    <row r="1631" spans="1:3" x14ac:dyDescent="0.3">
      <c r="A1631">
        <v>1009330</v>
      </c>
      <c r="B1631" t="s">
        <v>1630</v>
      </c>
      <c r="C1631" s="12">
        <v>120484.94</v>
      </c>
    </row>
    <row r="1632" spans="1:3" x14ac:dyDescent="0.3">
      <c r="A1632">
        <v>1009331</v>
      </c>
      <c r="B1632" t="s">
        <v>1631</v>
      </c>
      <c r="C1632" s="12">
        <v>189.98</v>
      </c>
    </row>
    <row r="1633" spans="1:3" x14ac:dyDescent="0.3">
      <c r="A1633">
        <v>1009338</v>
      </c>
      <c r="B1633" t="s">
        <v>1632</v>
      </c>
      <c r="C1633" s="12">
        <v>0</v>
      </c>
    </row>
    <row r="1634" spans="1:3" x14ac:dyDescent="0.3">
      <c r="A1634">
        <v>1009339</v>
      </c>
      <c r="B1634" t="s">
        <v>1633</v>
      </c>
      <c r="C1634" s="12">
        <v>0</v>
      </c>
    </row>
    <row r="1635" spans="1:3" x14ac:dyDescent="0.3">
      <c r="A1635">
        <v>1009340</v>
      </c>
      <c r="B1635" t="s">
        <v>1634</v>
      </c>
      <c r="C1635" s="12">
        <v>0</v>
      </c>
    </row>
    <row r="1636" spans="1:3" x14ac:dyDescent="0.3">
      <c r="A1636">
        <v>1009341</v>
      </c>
      <c r="B1636" t="s">
        <v>1635</v>
      </c>
      <c r="C1636" s="12">
        <v>0</v>
      </c>
    </row>
    <row r="1637" spans="1:3" x14ac:dyDescent="0.3">
      <c r="A1637">
        <v>1009342</v>
      </c>
      <c r="B1637" t="s">
        <v>1636</v>
      </c>
      <c r="C1637" s="12">
        <v>0</v>
      </c>
    </row>
    <row r="1638" spans="1:3" x14ac:dyDescent="0.3">
      <c r="A1638">
        <v>1009343</v>
      </c>
      <c r="B1638" t="s">
        <v>1637</v>
      </c>
      <c r="C1638" s="12">
        <v>0</v>
      </c>
    </row>
    <row r="1639" spans="1:3" x14ac:dyDescent="0.3">
      <c r="A1639">
        <v>1009344</v>
      </c>
      <c r="B1639" t="s">
        <v>1638</v>
      </c>
      <c r="C1639" s="12">
        <v>0</v>
      </c>
    </row>
    <row r="1640" spans="1:3" x14ac:dyDescent="0.3">
      <c r="A1640">
        <v>1009345</v>
      </c>
      <c r="B1640" t="s">
        <v>1639</v>
      </c>
      <c r="C1640" s="12">
        <v>0</v>
      </c>
    </row>
    <row r="1641" spans="1:3" x14ac:dyDescent="0.3">
      <c r="A1641">
        <v>1009346</v>
      </c>
      <c r="B1641" t="s">
        <v>1640</v>
      </c>
      <c r="C1641" s="12">
        <v>0</v>
      </c>
    </row>
    <row r="1642" spans="1:3" x14ac:dyDescent="0.3">
      <c r="A1642">
        <v>1009347</v>
      </c>
      <c r="B1642" t="s">
        <v>1641</v>
      </c>
      <c r="C1642" s="12">
        <v>0</v>
      </c>
    </row>
    <row r="1643" spans="1:3" x14ac:dyDescent="0.3">
      <c r="A1643">
        <v>1009348</v>
      </c>
      <c r="B1643" t="s">
        <v>1642</v>
      </c>
      <c r="C1643" s="12">
        <v>0</v>
      </c>
    </row>
    <row r="1644" spans="1:3" x14ac:dyDescent="0.3">
      <c r="A1644">
        <v>1009349</v>
      </c>
      <c r="B1644" t="s">
        <v>1643</v>
      </c>
      <c r="C1644" s="12">
        <v>0</v>
      </c>
    </row>
    <row r="1645" spans="1:3" x14ac:dyDescent="0.3">
      <c r="A1645">
        <v>1009352</v>
      </c>
      <c r="B1645" t="s">
        <v>1644</v>
      </c>
      <c r="C1645" s="12">
        <v>268.21009222919901</v>
      </c>
    </row>
    <row r="1646" spans="1:3" x14ac:dyDescent="0.3">
      <c r="A1646">
        <v>1009353</v>
      </c>
      <c r="B1646" t="s">
        <v>1645</v>
      </c>
      <c r="C1646" s="12">
        <v>0</v>
      </c>
    </row>
    <row r="1647" spans="1:3" x14ac:dyDescent="0.3">
      <c r="A1647">
        <v>1009355</v>
      </c>
      <c r="B1647" t="s">
        <v>1646</v>
      </c>
      <c r="C1647" s="12">
        <v>0</v>
      </c>
    </row>
    <row r="1648" spans="1:3" x14ac:dyDescent="0.3">
      <c r="A1648">
        <v>1009356</v>
      </c>
      <c r="B1648" t="s">
        <v>1647</v>
      </c>
      <c r="C1648" s="12">
        <v>0</v>
      </c>
    </row>
    <row r="1649" spans="1:3" x14ac:dyDescent="0.3">
      <c r="A1649">
        <v>1009357</v>
      </c>
      <c r="B1649" t="s">
        <v>1648</v>
      </c>
      <c r="C1649" s="12">
        <v>0</v>
      </c>
    </row>
    <row r="1650" spans="1:3" x14ac:dyDescent="0.3">
      <c r="A1650">
        <v>1009358</v>
      </c>
      <c r="B1650" t="s">
        <v>1649</v>
      </c>
      <c r="C1650" s="12">
        <v>554.15946666666696</v>
      </c>
    </row>
    <row r="1651" spans="1:3" x14ac:dyDescent="0.3">
      <c r="A1651">
        <v>1009359</v>
      </c>
      <c r="B1651" t="s">
        <v>1650</v>
      </c>
      <c r="C1651" s="12">
        <v>0</v>
      </c>
    </row>
    <row r="1652" spans="1:3" x14ac:dyDescent="0.3">
      <c r="A1652">
        <v>1009360</v>
      </c>
      <c r="B1652" t="s">
        <v>1651</v>
      </c>
      <c r="C1652" s="12">
        <v>31.636870026525202</v>
      </c>
    </row>
    <row r="1653" spans="1:3" x14ac:dyDescent="0.3">
      <c r="A1653">
        <v>1009361</v>
      </c>
      <c r="B1653" t="s">
        <v>1652</v>
      </c>
      <c r="C1653" s="12">
        <v>0</v>
      </c>
    </row>
    <row r="1654" spans="1:3" x14ac:dyDescent="0.3">
      <c r="A1654">
        <v>1009364</v>
      </c>
      <c r="B1654" t="s">
        <v>1653</v>
      </c>
      <c r="C1654" s="12">
        <v>3035.9981944444444</v>
      </c>
    </row>
    <row r="1655" spans="1:3" x14ac:dyDescent="0.3">
      <c r="A1655">
        <v>1009382</v>
      </c>
      <c r="B1655" t="s">
        <v>1654</v>
      </c>
      <c r="C1655" s="12">
        <v>0.6607999647203866</v>
      </c>
    </row>
    <row r="1656" spans="1:3" x14ac:dyDescent="0.3">
      <c r="A1656">
        <v>1009400</v>
      </c>
      <c r="B1656" t="s">
        <v>1655</v>
      </c>
      <c r="C1656" s="12">
        <v>2860518.21</v>
      </c>
    </row>
    <row r="1657" spans="1:3" x14ac:dyDescent="0.3">
      <c r="A1657">
        <v>1009401</v>
      </c>
      <c r="B1657" t="s">
        <v>1656</v>
      </c>
      <c r="C1657" s="12">
        <v>17919.055116883119</v>
      </c>
    </row>
    <row r="1658" spans="1:3" x14ac:dyDescent="0.3">
      <c r="A1658">
        <v>1009402</v>
      </c>
      <c r="B1658" t="s">
        <v>1657</v>
      </c>
      <c r="C1658" s="12">
        <v>3329.7750286094501</v>
      </c>
    </row>
    <row r="1659" spans="1:3" x14ac:dyDescent="0.3">
      <c r="A1659">
        <v>1009437</v>
      </c>
      <c r="B1659" t="s">
        <v>1658</v>
      </c>
      <c r="C1659" s="12">
        <v>28472.455999999998</v>
      </c>
    </row>
    <row r="1660" spans="1:3" x14ac:dyDescent="0.3">
      <c r="A1660">
        <v>1009438</v>
      </c>
      <c r="B1660" t="s">
        <v>1659</v>
      </c>
      <c r="C1660" s="12">
        <v>13743.165000000001</v>
      </c>
    </row>
    <row r="1661" spans="1:3" x14ac:dyDescent="0.3">
      <c r="A1661">
        <v>1009448</v>
      </c>
      <c r="B1661" t="s">
        <v>1660</v>
      </c>
      <c r="C1661" s="12">
        <v>476.67026785714285</v>
      </c>
    </row>
    <row r="1662" spans="1:3" x14ac:dyDescent="0.3">
      <c r="A1662">
        <v>1009573</v>
      </c>
      <c r="B1662" t="s">
        <v>1661</v>
      </c>
      <c r="C1662" s="12">
        <v>6.1359999264223326</v>
      </c>
    </row>
    <row r="1663" spans="1:3" x14ac:dyDescent="0.3">
      <c r="A1663">
        <v>1009574</v>
      </c>
      <c r="B1663" t="s">
        <v>1662</v>
      </c>
      <c r="C1663" s="12">
        <v>34.113799639987541</v>
      </c>
    </row>
    <row r="1664" spans="1:3" x14ac:dyDescent="0.3">
      <c r="A1664">
        <v>1009576</v>
      </c>
      <c r="B1664" t="s">
        <v>1663</v>
      </c>
      <c r="C1664" s="12">
        <v>27.151800098445143</v>
      </c>
    </row>
    <row r="1665" spans="1:3" x14ac:dyDescent="0.3">
      <c r="A1665">
        <v>1009578</v>
      </c>
      <c r="B1665" t="s">
        <v>1664</v>
      </c>
      <c r="C1665" s="12">
        <v>10571.833765290499</v>
      </c>
    </row>
    <row r="1666" spans="1:3" x14ac:dyDescent="0.3">
      <c r="A1666">
        <v>1009580</v>
      </c>
      <c r="B1666" t="s">
        <v>1665</v>
      </c>
      <c r="C1666" s="12">
        <v>6937.7644151971499</v>
      </c>
    </row>
    <row r="1667" spans="1:3" x14ac:dyDescent="0.3">
      <c r="A1667">
        <v>1009584</v>
      </c>
      <c r="B1667" t="s">
        <v>1666</v>
      </c>
      <c r="C1667" s="12">
        <v>391097.23333333334</v>
      </c>
    </row>
    <row r="1668" spans="1:3" x14ac:dyDescent="0.3">
      <c r="A1668">
        <v>1009585</v>
      </c>
      <c r="B1668" t="s">
        <v>1667</v>
      </c>
      <c r="C1668" s="12">
        <v>905355</v>
      </c>
    </row>
    <row r="1669" spans="1:3" x14ac:dyDescent="0.3">
      <c r="A1669">
        <v>1009587</v>
      </c>
      <c r="B1669" t="s">
        <v>1668</v>
      </c>
      <c r="C1669" s="12">
        <v>503.69425000000001</v>
      </c>
    </row>
    <row r="1670" spans="1:3" x14ac:dyDescent="0.3">
      <c r="A1670">
        <v>1009588</v>
      </c>
      <c r="B1670" t="s">
        <v>1669</v>
      </c>
      <c r="C1670" s="12">
        <v>259.01</v>
      </c>
    </row>
    <row r="1671" spans="1:3" x14ac:dyDescent="0.3">
      <c r="A1671">
        <v>1009589</v>
      </c>
      <c r="B1671" t="s">
        <v>1670</v>
      </c>
      <c r="C1671" s="12">
        <v>31886036.215</v>
      </c>
    </row>
    <row r="1672" spans="1:3" x14ac:dyDescent="0.3">
      <c r="A1672">
        <v>1009591</v>
      </c>
      <c r="B1672" t="s">
        <v>1671</v>
      </c>
      <c r="C1672" s="12">
        <v>33102628.329999998</v>
      </c>
    </row>
    <row r="1673" spans="1:3" x14ac:dyDescent="0.3">
      <c r="A1673">
        <v>1009592</v>
      </c>
      <c r="B1673" t="s">
        <v>1672</v>
      </c>
      <c r="C1673" s="12">
        <v>27790627.890000001</v>
      </c>
    </row>
    <row r="1674" spans="1:3" x14ac:dyDescent="0.3">
      <c r="A1674">
        <v>1009593</v>
      </c>
      <c r="B1674" t="s">
        <v>1673</v>
      </c>
      <c r="C1674" s="12">
        <v>11879.67266606335</v>
      </c>
    </row>
    <row r="1675" spans="1:3" x14ac:dyDescent="0.3">
      <c r="A1675">
        <v>1009594</v>
      </c>
      <c r="B1675" t="s">
        <v>1674</v>
      </c>
      <c r="C1675" s="12">
        <v>61776.81</v>
      </c>
    </row>
    <row r="1676" spans="1:3" x14ac:dyDescent="0.3">
      <c r="A1676">
        <v>1009595</v>
      </c>
      <c r="B1676" t="s">
        <v>1675</v>
      </c>
      <c r="C1676" s="12">
        <v>600.7970015948963</v>
      </c>
    </row>
    <row r="1677" spans="1:3" x14ac:dyDescent="0.3">
      <c r="A1677">
        <v>1009596</v>
      </c>
      <c r="B1677" t="s">
        <v>1676</v>
      </c>
      <c r="C1677" s="12">
        <v>57540.834999999999</v>
      </c>
    </row>
    <row r="1678" spans="1:3" x14ac:dyDescent="0.3">
      <c r="A1678">
        <v>1009597</v>
      </c>
      <c r="B1678" t="s">
        <v>1677</v>
      </c>
      <c r="C1678" s="12">
        <v>70175</v>
      </c>
    </row>
    <row r="1679" spans="1:3" x14ac:dyDescent="0.3">
      <c r="A1679">
        <v>1009598</v>
      </c>
      <c r="B1679" t="s">
        <v>1678</v>
      </c>
      <c r="C1679" s="12">
        <v>80111.820000000007</v>
      </c>
    </row>
    <row r="1680" spans="1:3" x14ac:dyDescent="0.3">
      <c r="A1680">
        <v>1009599</v>
      </c>
      <c r="B1680" t="s">
        <v>1679</v>
      </c>
      <c r="C1680" s="12">
        <v>87125.645000000004</v>
      </c>
    </row>
    <row r="1681" spans="1:3" x14ac:dyDescent="0.3">
      <c r="A1681">
        <v>1009631</v>
      </c>
      <c r="B1681" t="s">
        <v>1680</v>
      </c>
      <c r="C1681" s="12">
        <v>630266.91</v>
      </c>
    </row>
    <row r="1682" spans="1:3" x14ac:dyDescent="0.3">
      <c r="A1682">
        <v>1009664</v>
      </c>
      <c r="B1682" t="s">
        <v>1681</v>
      </c>
      <c r="C1682" s="12">
        <v>3340.2862500000001</v>
      </c>
    </row>
    <row r="1683" spans="1:3" x14ac:dyDescent="0.3">
      <c r="A1683">
        <v>1009670</v>
      </c>
      <c r="B1683" t="s">
        <v>1682</v>
      </c>
      <c r="C1683" s="12">
        <v>230.1</v>
      </c>
    </row>
    <row r="1684" spans="1:3" x14ac:dyDescent="0.3">
      <c r="A1684">
        <v>1009706</v>
      </c>
      <c r="B1684" t="s">
        <v>1683</v>
      </c>
      <c r="C1684" s="12">
        <v>96.553827515330994</v>
      </c>
    </row>
    <row r="1685" spans="1:3" x14ac:dyDescent="0.3">
      <c r="A1685">
        <v>1009715</v>
      </c>
      <c r="B1685" t="s">
        <v>1684</v>
      </c>
      <c r="C1685" s="12">
        <v>1444.2711538461499</v>
      </c>
    </row>
    <row r="1686" spans="1:3" x14ac:dyDescent="0.3">
      <c r="A1686">
        <v>1009734</v>
      </c>
      <c r="B1686" t="s">
        <v>1685</v>
      </c>
      <c r="C1686" s="12">
        <v>48148.372222222199</v>
      </c>
    </row>
    <row r="1687" spans="1:3" x14ac:dyDescent="0.3">
      <c r="A1687">
        <v>1009736</v>
      </c>
      <c r="B1687" t="s">
        <v>1686</v>
      </c>
      <c r="C1687" s="12">
        <v>64361.595000000001</v>
      </c>
    </row>
    <row r="1688" spans="1:3" x14ac:dyDescent="0.3">
      <c r="A1688">
        <v>1009737</v>
      </c>
      <c r="B1688" t="s">
        <v>1687</v>
      </c>
      <c r="C1688" s="12">
        <v>384306.74285714288</v>
      </c>
    </row>
    <row r="1689" spans="1:3" x14ac:dyDescent="0.3">
      <c r="A1689">
        <v>1009739</v>
      </c>
      <c r="B1689" t="s">
        <v>1688</v>
      </c>
      <c r="C1689" s="12">
        <v>384306.74075</v>
      </c>
    </row>
    <row r="1690" spans="1:3" x14ac:dyDescent="0.3">
      <c r="A1690">
        <v>1009741</v>
      </c>
      <c r="B1690" t="s">
        <v>1689</v>
      </c>
      <c r="C1690" s="12">
        <v>561063.18153409089</v>
      </c>
    </row>
    <row r="1691" spans="1:3" x14ac:dyDescent="0.3">
      <c r="A1691">
        <v>1009742</v>
      </c>
      <c r="B1691" t="s">
        <v>1690</v>
      </c>
      <c r="C1691" s="12">
        <v>1233100</v>
      </c>
    </row>
    <row r="1692" spans="1:3" x14ac:dyDescent="0.3">
      <c r="A1692">
        <v>1009743</v>
      </c>
      <c r="B1692" t="s">
        <v>1691</v>
      </c>
      <c r="C1692" s="12">
        <v>1233.7923333333299</v>
      </c>
    </row>
    <row r="1693" spans="1:3" x14ac:dyDescent="0.3">
      <c r="A1693">
        <v>1009745</v>
      </c>
      <c r="B1693" t="s">
        <v>1692</v>
      </c>
      <c r="C1693" s="12">
        <v>270.37135779816498</v>
      </c>
    </row>
    <row r="1694" spans="1:3" x14ac:dyDescent="0.3">
      <c r="A1694">
        <v>1009746</v>
      </c>
      <c r="B1694" t="s">
        <v>1693</v>
      </c>
      <c r="C1694" s="12">
        <v>98.992628968253996</v>
      </c>
    </row>
    <row r="1695" spans="1:3" x14ac:dyDescent="0.3">
      <c r="A1695">
        <v>1009747</v>
      </c>
      <c r="B1695" t="s">
        <v>1694</v>
      </c>
      <c r="C1695" s="12">
        <v>104.5433870620015</v>
      </c>
    </row>
    <row r="1696" spans="1:3" x14ac:dyDescent="0.3">
      <c r="A1696">
        <v>1009748</v>
      </c>
      <c r="B1696" t="s">
        <v>1693</v>
      </c>
      <c r="C1696" s="12">
        <v>223.23240074392999</v>
      </c>
    </row>
    <row r="1697" spans="1:3" x14ac:dyDescent="0.3">
      <c r="A1697">
        <v>1009749</v>
      </c>
      <c r="B1697" t="s">
        <v>1694</v>
      </c>
      <c r="C1697" s="12">
        <v>228.77839449541301</v>
      </c>
    </row>
    <row r="1698" spans="1:3" x14ac:dyDescent="0.3">
      <c r="A1698">
        <v>1009750</v>
      </c>
      <c r="B1698" t="s">
        <v>1695</v>
      </c>
      <c r="C1698" s="12">
        <v>298.93</v>
      </c>
    </row>
    <row r="1699" spans="1:3" x14ac:dyDescent="0.3">
      <c r="A1699">
        <v>1009751</v>
      </c>
      <c r="B1699" t="s">
        <v>1696</v>
      </c>
      <c r="C1699" s="12">
        <v>988.25</v>
      </c>
    </row>
    <row r="1700" spans="1:3" x14ac:dyDescent="0.3">
      <c r="A1700">
        <v>1009752</v>
      </c>
      <c r="B1700" t="s">
        <v>1697</v>
      </c>
      <c r="C1700" s="12">
        <v>793.56007399272903</v>
      </c>
    </row>
    <row r="1701" spans="1:3" x14ac:dyDescent="0.3">
      <c r="A1701">
        <v>1009754</v>
      </c>
      <c r="B1701" t="s">
        <v>1698</v>
      </c>
      <c r="C1701" s="12">
        <v>650.37487395124208</v>
      </c>
    </row>
    <row r="1702" spans="1:3" x14ac:dyDescent="0.3">
      <c r="A1702">
        <v>1009779</v>
      </c>
      <c r="B1702" t="s">
        <v>1699</v>
      </c>
      <c r="C1702" s="12">
        <v>815.02642933006916</v>
      </c>
    </row>
    <row r="1703" spans="1:3" x14ac:dyDescent="0.3">
      <c r="A1703">
        <v>1009781</v>
      </c>
      <c r="B1703" t="s">
        <v>1700</v>
      </c>
      <c r="C1703" s="12">
        <v>1768.4189999999999</v>
      </c>
    </row>
    <row r="1704" spans="1:3" x14ac:dyDescent="0.3">
      <c r="A1704">
        <v>1009782</v>
      </c>
      <c r="B1704" t="s">
        <v>1701</v>
      </c>
      <c r="C1704" s="12">
        <v>279.87694667317805</v>
      </c>
    </row>
    <row r="1705" spans="1:3" x14ac:dyDescent="0.3">
      <c r="A1705">
        <v>1009783</v>
      </c>
      <c r="B1705" t="s">
        <v>1702</v>
      </c>
      <c r="C1705" s="12">
        <v>0</v>
      </c>
    </row>
    <row r="1706" spans="1:3" x14ac:dyDescent="0.3">
      <c r="A1706">
        <v>1009784</v>
      </c>
      <c r="B1706" t="s">
        <v>1703</v>
      </c>
      <c r="C1706" s="12">
        <v>0</v>
      </c>
    </row>
    <row r="1707" spans="1:3" x14ac:dyDescent="0.3">
      <c r="A1707">
        <v>1009787</v>
      </c>
      <c r="B1707" t="s">
        <v>1704</v>
      </c>
      <c r="C1707" s="12">
        <v>203.55</v>
      </c>
    </row>
    <row r="1708" spans="1:3" x14ac:dyDescent="0.3">
      <c r="A1708">
        <v>1009789</v>
      </c>
      <c r="B1708" t="s">
        <v>1705</v>
      </c>
      <c r="C1708" s="12">
        <v>405.91999999999996</v>
      </c>
    </row>
    <row r="1709" spans="1:3" x14ac:dyDescent="0.3">
      <c r="A1709">
        <v>1009790</v>
      </c>
      <c r="B1709" t="s">
        <v>1706</v>
      </c>
      <c r="C1709" s="12">
        <v>407.1</v>
      </c>
    </row>
    <row r="1710" spans="1:3" x14ac:dyDescent="0.3">
      <c r="A1710">
        <v>1009791</v>
      </c>
      <c r="B1710" t="s">
        <v>1707</v>
      </c>
      <c r="C1710" s="12">
        <v>0</v>
      </c>
    </row>
    <row r="1711" spans="1:3" x14ac:dyDescent="0.3">
      <c r="A1711">
        <v>1009792</v>
      </c>
      <c r="B1711" t="s">
        <v>1708</v>
      </c>
      <c r="C1711" s="12">
        <v>424.2087972949945</v>
      </c>
    </row>
    <row r="1712" spans="1:3" x14ac:dyDescent="0.3">
      <c r="A1712">
        <v>1009793</v>
      </c>
      <c r="B1712" t="s">
        <v>1709</v>
      </c>
      <c r="C1712" s="12">
        <v>331.65435502958582</v>
      </c>
    </row>
    <row r="1713" spans="1:3" x14ac:dyDescent="0.3">
      <c r="A1713">
        <v>1009796</v>
      </c>
      <c r="B1713" t="s">
        <v>1710</v>
      </c>
      <c r="C1713" s="12">
        <v>49135.943361253274</v>
      </c>
    </row>
    <row r="1714" spans="1:3" x14ac:dyDescent="0.3">
      <c r="A1714">
        <v>1009798</v>
      </c>
      <c r="B1714" t="s">
        <v>1711</v>
      </c>
      <c r="C1714" s="12">
        <v>7447.6849019607798</v>
      </c>
    </row>
    <row r="1715" spans="1:3" x14ac:dyDescent="0.3">
      <c r="A1715">
        <v>1009800</v>
      </c>
      <c r="B1715" t="s">
        <v>1712</v>
      </c>
      <c r="C1715" s="12">
        <v>7723.4411261261284</v>
      </c>
    </row>
    <row r="1716" spans="1:3" x14ac:dyDescent="0.3">
      <c r="A1716">
        <v>1009801</v>
      </c>
      <c r="B1716" t="s">
        <v>1713</v>
      </c>
      <c r="C1716" s="12">
        <v>8275.1849999999995</v>
      </c>
    </row>
    <row r="1717" spans="1:3" x14ac:dyDescent="0.3">
      <c r="A1717">
        <v>1009804</v>
      </c>
      <c r="B1717" t="s">
        <v>1714</v>
      </c>
      <c r="C1717" s="12">
        <v>5869.3758956465135</v>
      </c>
    </row>
    <row r="1718" spans="1:3" x14ac:dyDescent="0.3">
      <c r="A1718">
        <v>1009805</v>
      </c>
      <c r="B1718" t="s">
        <v>1715</v>
      </c>
      <c r="C1718" s="12">
        <v>1553.0098338560199</v>
      </c>
    </row>
    <row r="1719" spans="1:3" x14ac:dyDescent="0.3">
      <c r="A1719">
        <v>1009807</v>
      </c>
      <c r="B1719" t="s">
        <v>1716</v>
      </c>
      <c r="C1719" s="12">
        <v>31115.338478260866</v>
      </c>
    </row>
    <row r="1720" spans="1:3" x14ac:dyDescent="0.3">
      <c r="A1720">
        <v>1009808</v>
      </c>
      <c r="B1720" t="s">
        <v>1717</v>
      </c>
      <c r="C1720" s="12">
        <v>114570.9</v>
      </c>
    </row>
    <row r="1721" spans="1:3" x14ac:dyDescent="0.3">
      <c r="A1721">
        <v>1009810</v>
      </c>
      <c r="B1721" t="s">
        <v>1718</v>
      </c>
      <c r="C1721" s="12">
        <v>0</v>
      </c>
    </row>
    <row r="1722" spans="1:3" x14ac:dyDescent="0.3">
      <c r="A1722">
        <v>1009811</v>
      </c>
      <c r="B1722" t="s">
        <v>1719</v>
      </c>
      <c r="C1722" s="12">
        <v>1024.9656721034848</v>
      </c>
    </row>
    <row r="1723" spans="1:3" x14ac:dyDescent="0.3">
      <c r="A1723">
        <v>1009812</v>
      </c>
      <c r="B1723" t="s">
        <v>1720</v>
      </c>
      <c r="C1723" s="12">
        <v>26107.5</v>
      </c>
    </row>
    <row r="1724" spans="1:3" x14ac:dyDescent="0.3">
      <c r="A1724">
        <v>1009813</v>
      </c>
      <c r="B1724" t="s">
        <v>1721</v>
      </c>
      <c r="C1724" s="12">
        <v>35954.967945278084</v>
      </c>
    </row>
    <row r="1725" spans="1:3" x14ac:dyDescent="0.3">
      <c r="A1725">
        <v>1009821</v>
      </c>
      <c r="B1725" t="s">
        <v>1722</v>
      </c>
      <c r="C1725" s="12">
        <v>160.19</v>
      </c>
    </row>
    <row r="1726" spans="1:3" x14ac:dyDescent="0.3">
      <c r="A1726">
        <v>1009853</v>
      </c>
      <c r="B1726" t="s">
        <v>1723</v>
      </c>
      <c r="C1726" s="12">
        <v>8.2608695652173908E-3</v>
      </c>
    </row>
    <row r="1727" spans="1:3" x14ac:dyDescent="0.3">
      <c r="A1727">
        <v>1009854</v>
      </c>
      <c r="B1727" t="s">
        <v>1724</v>
      </c>
      <c r="C1727" s="12">
        <v>8.6666666666666697E-3</v>
      </c>
    </row>
    <row r="1728" spans="1:3" x14ac:dyDescent="0.3">
      <c r="A1728">
        <v>1009873</v>
      </c>
      <c r="B1728" t="s">
        <v>1725</v>
      </c>
      <c r="C1728" s="12">
        <v>3501.4346949180745</v>
      </c>
    </row>
    <row r="1729" spans="1:3" x14ac:dyDescent="0.3">
      <c r="A1729">
        <v>1009878</v>
      </c>
      <c r="B1729" t="s">
        <v>1726</v>
      </c>
      <c r="C1729" s="12">
        <v>11115.131531953733</v>
      </c>
    </row>
    <row r="1730" spans="1:3" x14ac:dyDescent="0.3">
      <c r="A1730">
        <v>1009879</v>
      </c>
      <c r="B1730" t="s">
        <v>1727</v>
      </c>
      <c r="C1730" s="12">
        <v>15720.591498855832</v>
      </c>
    </row>
    <row r="1731" spans="1:3" x14ac:dyDescent="0.3">
      <c r="A1731">
        <v>1009881</v>
      </c>
      <c r="B1731" t="s">
        <v>1728</v>
      </c>
      <c r="C1731" s="12">
        <v>61814.3</v>
      </c>
    </row>
    <row r="1732" spans="1:3" x14ac:dyDescent="0.3">
      <c r="A1732">
        <v>1009886</v>
      </c>
      <c r="B1732" t="s">
        <v>1729</v>
      </c>
      <c r="C1732" s="12">
        <v>729.55884461152868</v>
      </c>
    </row>
    <row r="1733" spans="1:3" x14ac:dyDescent="0.3">
      <c r="A1733">
        <v>1009890</v>
      </c>
      <c r="B1733" t="s">
        <v>1730</v>
      </c>
      <c r="C1733" s="12">
        <v>0.01</v>
      </c>
    </row>
    <row r="1734" spans="1:3" x14ac:dyDescent="0.3">
      <c r="A1734">
        <v>1009893</v>
      </c>
      <c r="B1734" t="s">
        <v>1731</v>
      </c>
      <c r="C1734" s="12">
        <v>9.9999999999999985E-3</v>
      </c>
    </row>
    <row r="1735" spans="1:3" x14ac:dyDescent="0.3">
      <c r="A1735">
        <v>1009894</v>
      </c>
      <c r="B1735" t="s">
        <v>1732</v>
      </c>
      <c r="C1735" s="12">
        <v>0.01</v>
      </c>
    </row>
    <row r="1736" spans="1:3" x14ac:dyDescent="0.3">
      <c r="A1736">
        <v>1009896</v>
      </c>
      <c r="B1736" t="s">
        <v>1733</v>
      </c>
      <c r="C1736" s="12">
        <v>0.01</v>
      </c>
    </row>
    <row r="1737" spans="1:3" x14ac:dyDescent="0.3">
      <c r="A1737">
        <v>1009901</v>
      </c>
      <c r="B1737" t="s">
        <v>1734</v>
      </c>
      <c r="C1737" s="12">
        <v>0.01</v>
      </c>
    </row>
    <row r="1738" spans="1:3" x14ac:dyDescent="0.3">
      <c r="A1738">
        <v>1009902</v>
      </c>
      <c r="B1738" t="s">
        <v>1735</v>
      </c>
      <c r="C1738" s="12">
        <v>9.9999999999999985E-3</v>
      </c>
    </row>
    <row r="1739" spans="1:3" x14ac:dyDescent="0.3">
      <c r="A1739">
        <v>1009903</v>
      </c>
      <c r="B1739" t="s">
        <v>1736</v>
      </c>
      <c r="C1739" s="12">
        <v>0.01</v>
      </c>
    </row>
    <row r="1740" spans="1:3" x14ac:dyDescent="0.3">
      <c r="A1740">
        <v>1009904</v>
      </c>
      <c r="B1740" t="s">
        <v>1737</v>
      </c>
      <c r="C1740" s="12">
        <v>0.01</v>
      </c>
    </row>
    <row r="1741" spans="1:3" x14ac:dyDescent="0.3">
      <c r="A1741">
        <v>1009907</v>
      </c>
      <c r="B1741" t="s">
        <v>1738</v>
      </c>
      <c r="C1741" s="12">
        <v>0.01</v>
      </c>
    </row>
    <row r="1742" spans="1:3" x14ac:dyDescent="0.3">
      <c r="A1742">
        <v>1009909</v>
      </c>
      <c r="B1742" t="s">
        <v>1739</v>
      </c>
      <c r="C1742" s="12">
        <v>491.82404351059199</v>
      </c>
    </row>
    <row r="1743" spans="1:3" x14ac:dyDescent="0.3">
      <c r="A1743">
        <v>1009910</v>
      </c>
      <c r="B1743" t="s">
        <v>1740</v>
      </c>
      <c r="C1743" s="12">
        <v>0.01</v>
      </c>
    </row>
    <row r="1744" spans="1:3" x14ac:dyDescent="0.3">
      <c r="A1744">
        <v>1009912</v>
      </c>
      <c r="B1744" t="s">
        <v>1741</v>
      </c>
      <c r="C1744" s="12">
        <v>0.01</v>
      </c>
    </row>
    <row r="1745" spans="1:3" x14ac:dyDescent="0.3">
      <c r="A1745">
        <v>1009919</v>
      </c>
      <c r="B1745" t="s">
        <v>1742</v>
      </c>
      <c r="C1745" s="12">
        <v>0.01</v>
      </c>
    </row>
    <row r="1746" spans="1:3" x14ac:dyDescent="0.3">
      <c r="A1746">
        <v>1009920</v>
      </c>
      <c r="B1746" t="s">
        <v>1743</v>
      </c>
      <c r="C1746" s="12">
        <v>9.9999999999999985E-3</v>
      </c>
    </row>
    <row r="1747" spans="1:3" x14ac:dyDescent="0.3">
      <c r="A1747">
        <v>1009921</v>
      </c>
      <c r="B1747" t="s">
        <v>1744</v>
      </c>
      <c r="C1747" s="12">
        <v>0.01</v>
      </c>
    </row>
    <row r="1748" spans="1:3" x14ac:dyDescent="0.3">
      <c r="A1748">
        <v>1009923</v>
      </c>
      <c r="B1748" t="s">
        <v>1745</v>
      </c>
      <c r="C1748" s="12">
        <v>0.01</v>
      </c>
    </row>
    <row r="1749" spans="1:3" x14ac:dyDescent="0.3">
      <c r="A1749">
        <v>1009924</v>
      </c>
      <c r="B1749" t="s">
        <v>1746</v>
      </c>
      <c r="C1749" s="12">
        <v>0.01</v>
      </c>
    </row>
    <row r="1750" spans="1:3" x14ac:dyDescent="0.3">
      <c r="A1750">
        <v>1009925</v>
      </c>
      <c r="B1750" t="s">
        <v>1747</v>
      </c>
      <c r="C1750" s="12">
        <v>5.0000000000000001E-3</v>
      </c>
    </row>
    <row r="1751" spans="1:3" x14ac:dyDescent="0.3">
      <c r="A1751">
        <v>1009926</v>
      </c>
      <c r="B1751" t="s">
        <v>1748</v>
      </c>
      <c r="C1751" s="12">
        <v>2971.7356068693434</v>
      </c>
    </row>
    <row r="1752" spans="1:3" x14ac:dyDescent="0.3">
      <c r="B1752" t="s">
        <v>1749</v>
      </c>
      <c r="C1752" s="12">
        <v>2889.4928382533826</v>
      </c>
    </row>
    <row r="1753" spans="1:3" x14ac:dyDescent="0.3">
      <c r="A1753">
        <v>1009928</v>
      </c>
      <c r="B1753" t="s">
        <v>1750</v>
      </c>
      <c r="C1753" s="12">
        <v>1455.8248775612192</v>
      </c>
    </row>
    <row r="1754" spans="1:3" x14ac:dyDescent="0.3">
      <c r="A1754">
        <v>1009931</v>
      </c>
      <c r="B1754" t="s">
        <v>1751</v>
      </c>
      <c r="C1754" s="12">
        <v>645.97919917959496</v>
      </c>
    </row>
    <row r="1755" spans="1:3" x14ac:dyDescent="0.3">
      <c r="A1755">
        <v>1009937</v>
      </c>
      <c r="B1755" t="s">
        <v>1752</v>
      </c>
      <c r="C1755" s="12">
        <v>697144.59</v>
      </c>
    </row>
    <row r="1756" spans="1:3" x14ac:dyDescent="0.3">
      <c r="A1756">
        <v>1009938</v>
      </c>
      <c r="B1756" t="s">
        <v>1753</v>
      </c>
      <c r="C1756" s="12">
        <v>1144.1279999999999</v>
      </c>
    </row>
    <row r="1757" spans="1:3" x14ac:dyDescent="0.3">
      <c r="A1757">
        <v>1009939</v>
      </c>
      <c r="B1757" t="s">
        <v>1754</v>
      </c>
      <c r="C1757" s="12">
        <v>24957</v>
      </c>
    </row>
    <row r="1758" spans="1:3" x14ac:dyDescent="0.3">
      <c r="A1758">
        <v>1009955</v>
      </c>
      <c r="B1758" t="s">
        <v>1755</v>
      </c>
      <c r="C1758" s="12">
        <v>3551.9887700534759</v>
      </c>
    </row>
    <row r="1759" spans="1:3" x14ac:dyDescent="0.3">
      <c r="A1759">
        <v>1009963</v>
      </c>
      <c r="B1759" t="s">
        <v>1756</v>
      </c>
      <c r="C1759" s="12">
        <v>294.22849145029687</v>
      </c>
    </row>
    <row r="1760" spans="1:3" x14ac:dyDescent="0.3">
      <c r="A1760">
        <v>1009964</v>
      </c>
      <c r="B1760" t="s">
        <v>1757</v>
      </c>
      <c r="C1760" s="12">
        <v>135.69999999999999</v>
      </c>
    </row>
    <row r="1761" spans="1:3" x14ac:dyDescent="0.3">
      <c r="A1761">
        <v>1009980</v>
      </c>
      <c r="B1761" t="s">
        <v>1758</v>
      </c>
      <c r="C1761" s="12">
        <v>82.51481017469419</v>
      </c>
    </row>
    <row r="1762" spans="1:3" x14ac:dyDescent="0.3">
      <c r="A1762">
        <v>1009982</v>
      </c>
      <c r="B1762" t="s">
        <v>1759</v>
      </c>
      <c r="C1762" s="12">
        <v>944</v>
      </c>
    </row>
    <row r="1763" spans="1:3" x14ac:dyDescent="0.3">
      <c r="A1763">
        <v>1009988</v>
      </c>
      <c r="B1763" t="s">
        <v>1760</v>
      </c>
      <c r="C1763" s="12">
        <v>154177.255</v>
      </c>
    </row>
    <row r="1764" spans="1:3" x14ac:dyDescent="0.3">
      <c r="A1764">
        <v>1009992</v>
      </c>
      <c r="B1764" t="s">
        <v>1761</v>
      </c>
      <c r="C1764" s="12">
        <v>2436.7934166666669</v>
      </c>
    </row>
    <row r="1765" spans="1:3" x14ac:dyDescent="0.3">
      <c r="A1765">
        <v>1009999</v>
      </c>
      <c r="B1765" t="s">
        <v>1762</v>
      </c>
      <c r="C1765" s="12">
        <v>126.67607073378301</v>
      </c>
    </row>
    <row r="1766" spans="1:3" x14ac:dyDescent="0.3">
      <c r="A1766">
        <v>1010004</v>
      </c>
      <c r="B1766" t="s">
        <v>1763</v>
      </c>
      <c r="C1766" s="12">
        <v>12.98</v>
      </c>
    </row>
    <row r="1767" spans="1:3" x14ac:dyDescent="0.3">
      <c r="A1767">
        <v>1010022</v>
      </c>
      <c r="B1767" t="s">
        <v>1764</v>
      </c>
      <c r="C1767" s="12">
        <v>30.278801843317972</v>
      </c>
    </row>
    <row r="1768" spans="1:3" x14ac:dyDescent="0.3">
      <c r="A1768">
        <v>1010023</v>
      </c>
      <c r="B1768" t="s">
        <v>1765</v>
      </c>
      <c r="C1768" s="12">
        <v>30.278803222094361</v>
      </c>
    </row>
    <row r="1769" spans="1:3" x14ac:dyDescent="0.3">
      <c r="A1769">
        <v>1010024</v>
      </c>
      <c r="B1769" t="s">
        <v>1766</v>
      </c>
      <c r="C1769" s="12">
        <v>30.2788</v>
      </c>
    </row>
    <row r="1770" spans="1:3" x14ac:dyDescent="0.3">
      <c r="A1770">
        <v>1010030</v>
      </c>
      <c r="B1770" t="s">
        <v>1767</v>
      </c>
      <c r="C1770" s="12">
        <v>4071</v>
      </c>
    </row>
    <row r="1771" spans="1:3" x14ac:dyDescent="0.3">
      <c r="A1771">
        <v>1010239</v>
      </c>
      <c r="B1771" t="s">
        <v>1768</v>
      </c>
      <c r="C1771" s="12">
        <v>23.01</v>
      </c>
    </row>
    <row r="1772" spans="1:3" x14ac:dyDescent="0.3">
      <c r="A1772">
        <v>1010240</v>
      </c>
      <c r="B1772" t="s">
        <v>1769</v>
      </c>
      <c r="C1772" s="12">
        <v>28.909999999999997</v>
      </c>
    </row>
    <row r="1773" spans="1:3" x14ac:dyDescent="0.3">
      <c r="A1773">
        <v>1010241</v>
      </c>
      <c r="B1773" t="s">
        <v>1770</v>
      </c>
      <c r="C1773" s="12">
        <v>1150.54</v>
      </c>
    </row>
    <row r="1774" spans="1:3" x14ac:dyDescent="0.3">
      <c r="A1774">
        <v>1010262</v>
      </c>
      <c r="B1774" t="s">
        <v>1771</v>
      </c>
      <c r="C1774" s="12">
        <v>2481.06</v>
      </c>
    </row>
    <row r="1775" spans="1:3" x14ac:dyDescent="0.3">
      <c r="A1775">
        <v>1010299</v>
      </c>
      <c r="B1775" t="s">
        <v>1772</v>
      </c>
      <c r="C1775" s="12">
        <v>2493.4811017838406</v>
      </c>
    </row>
    <row r="1776" spans="1:3" x14ac:dyDescent="0.3">
      <c r="A1776">
        <v>1010304</v>
      </c>
      <c r="B1776" t="s">
        <v>1773</v>
      </c>
      <c r="C1776" s="12">
        <v>1886.96</v>
      </c>
    </row>
    <row r="1777" spans="1:3" x14ac:dyDescent="0.3">
      <c r="A1777">
        <v>1010307</v>
      </c>
      <c r="B1777" t="s">
        <v>1774</v>
      </c>
      <c r="C1777" s="12">
        <v>19429.858888888888</v>
      </c>
    </row>
    <row r="1778" spans="1:3" x14ac:dyDescent="0.3">
      <c r="A1778">
        <v>1010308</v>
      </c>
      <c r="B1778" t="s">
        <v>1775</v>
      </c>
      <c r="C1778" s="12">
        <v>1185611.5423529411</v>
      </c>
    </row>
    <row r="1779" spans="1:3" x14ac:dyDescent="0.3">
      <c r="A1779">
        <v>1010319</v>
      </c>
      <c r="B1779" t="s">
        <v>1776</v>
      </c>
      <c r="C1779" s="12">
        <v>42008.41</v>
      </c>
    </row>
    <row r="1780" spans="1:3" x14ac:dyDescent="0.3">
      <c r="A1780">
        <v>1010320</v>
      </c>
      <c r="B1780" t="s">
        <v>1777</v>
      </c>
      <c r="C1780" s="12">
        <v>32524.34</v>
      </c>
    </row>
    <row r="1781" spans="1:3" x14ac:dyDescent="0.3">
      <c r="A1781">
        <v>1010340</v>
      </c>
      <c r="B1781" t="s">
        <v>1778</v>
      </c>
      <c r="C1781" s="12">
        <v>700.92000000000007</v>
      </c>
    </row>
    <row r="1782" spans="1:3" x14ac:dyDescent="0.3">
      <c r="A1782">
        <v>1010358</v>
      </c>
      <c r="B1782" t="s">
        <v>1779</v>
      </c>
      <c r="C1782" s="12">
        <v>3625.2383870967742</v>
      </c>
    </row>
    <row r="1783" spans="1:3" x14ac:dyDescent="0.3">
      <c r="A1783">
        <v>1010360</v>
      </c>
      <c r="B1783" t="s">
        <v>1780</v>
      </c>
      <c r="C1783" s="12">
        <v>114570.90000000001</v>
      </c>
    </row>
    <row r="1784" spans="1:3" x14ac:dyDescent="0.3">
      <c r="A1784">
        <v>1010367</v>
      </c>
      <c r="B1784" t="s">
        <v>1781</v>
      </c>
      <c r="C1784" s="12">
        <v>163024</v>
      </c>
    </row>
    <row r="1785" spans="1:3" x14ac:dyDescent="0.3">
      <c r="A1785">
        <v>1010382</v>
      </c>
      <c r="B1785" t="s">
        <v>1782</v>
      </c>
      <c r="C1785" s="12">
        <v>0.01</v>
      </c>
    </row>
    <row r="1786" spans="1:3" x14ac:dyDescent="0.3">
      <c r="A1786">
        <v>1010400</v>
      </c>
      <c r="B1786" t="s">
        <v>1783</v>
      </c>
      <c r="C1786" s="12">
        <v>1528.0408333333335</v>
      </c>
    </row>
    <row r="1787" spans="1:3" x14ac:dyDescent="0.3">
      <c r="A1787">
        <v>1010401</v>
      </c>
      <c r="B1787" t="s">
        <v>1784</v>
      </c>
      <c r="C1787" s="12">
        <v>1550.69</v>
      </c>
    </row>
    <row r="1788" spans="1:3" x14ac:dyDescent="0.3">
      <c r="A1788">
        <v>1010402</v>
      </c>
      <c r="B1788" t="s">
        <v>1785</v>
      </c>
      <c r="C1788" s="12">
        <v>1239</v>
      </c>
    </row>
    <row r="1789" spans="1:3" x14ac:dyDescent="0.3">
      <c r="A1789">
        <v>1010412</v>
      </c>
      <c r="B1789" t="s">
        <v>1786</v>
      </c>
      <c r="C1789" s="12">
        <v>22302</v>
      </c>
    </row>
    <row r="1790" spans="1:3" x14ac:dyDescent="0.3">
      <c r="A1790">
        <v>1010421</v>
      </c>
      <c r="B1790" t="s">
        <v>1787</v>
      </c>
      <c r="C1790" s="12">
        <v>29.901201525746977</v>
      </c>
    </row>
    <row r="1791" spans="1:3" x14ac:dyDescent="0.3">
      <c r="A1791">
        <v>1010428</v>
      </c>
      <c r="B1791" t="s">
        <v>1788</v>
      </c>
      <c r="C1791" s="12">
        <v>545.16</v>
      </c>
    </row>
    <row r="1792" spans="1:3" x14ac:dyDescent="0.3">
      <c r="A1792">
        <v>1010432</v>
      </c>
      <c r="B1792" t="s">
        <v>1789</v>
      </c>
      <c r="C1792" s="12">
        <v>500</v>
      </c>
    </row>
    <row r="1793" spans="1:3" x14ac:dyDescent="0.3">
      <c r="A1793">
        <v>1010447</v>
      </c>
      <c r="B1793" t="s">
        <v>1790</v>
      </c>
      <c r="C1793" s="12">
        <v>15000</v>
      </c>
    </row>
    <row r="1794" spans="1:3" x14ac:dyDescent="0.3">
      <c r="A1794">
        <v>1010558</v>
      </c>
      <c r="B1794" t="s">
        <v>1791</v>
      </c>
      <c r="C1794" s="12">
        <v>1298</v>
      </c>
    </row>
    <row r="1795" spans="1:3" x14ac:dyDescent="0.3">
      <c r="A1795">
        <v>1010570</v>
      </c>
      <c r="B1795" t="s">
        <v>1792</v>
      </c>
      <c r="C1795" s="12">
        <v>54752</v>
      </c>
    </row>
    <row r="1796" spans="1:3" x14ac:dyDescent="0.3">
      <c r="A1796">
        <v>1010588</v>
      </c>
      <c r="B1796" t="s">
        <v>1793</v>
      </c>
      <c r="C1796" s="12">
        <v>109504</v>
      </c>
    </row>
    <row r="1797" spans="1:3" x14ac:dyDescent="0.3">
      <c r="A1797">
        <v>1010594</v>
      </c>
      <c r="B1797" t="s">
        <v>1794</v>
      </c>
      <c r="C1797" s="12">
        <v>117646</v>
      </c>
    </row>
    <row r="1798" spans="1:3" x14ac:dyDescent="0.3">
      <c r="A1798">
        <v>1010601</v>
      </c>
      <c r="B1798" t="s">
        <v>1795</v>
      </c>
      <c r="C1798" s="12">
        <v>136290</v>
      </c>
    </row>
    <row r="1799" spans="1:3" x14ac:dyDescent="0.3">
      <c r="A1799">
        <v>1010603</v>
      </c>
      <c r="B1799" t="s">
        <v>1796</v>
      </c>
      <c r="C1799" s="12">
        <v>109362.4</v>
      </c>
    </row>
    <row r="1800" spans="1:3" x14ac:dyDescent="0.3">
      <c r="A1800">
        <v>1010605</v>
      </c>
      <c r="B1800" t="s">
        <v>1797</v>
      </c>
      <c r="C1800" s="12">
        <v>79124.899999999994</v>
      </c>
    </row>
    <row r="1801" spans="1:3" x14ac:dyDescent="0.3">
      <c r="A1801">
        <v>1010613</v>
      </c>
      <c r="B1801" t="s">
        <v>1798</v>
      </c>
      <c r="C1801" s="12">
        <v>303732</v>
      </c>
    </row>
    <row r="1802" spans="1:3" x14ac:dyDescent="0.3">
      <c r="A1802">
        <v>1010615</v>
      </c>
      <c r="B1802" t="s">
        <v>1799</v>
      </c>
      <c r="C1802" s="12">
        <v>413000</v>
      </c>
    </row>
    <row r="1803" spans="1:3" x14ac:dyDescent="0.3">
      <c r="A1803">
        <v>1010627</v>
      </c>
      <c r="B1803" t="s">
        <v>1800</v>
      </c>
      <c r="C1803" s="12">
        <v>48097.75</v>
      </c>
    </row>
    <row r="1804" spans="1:3" x14ac:dyDescent="0.3">
      <c r="A1804">
        <v>1010634</v>
      </c>
      <c r="B1804" t="s">
        <v>1801</v>
      </c>
      <c r="C1804" s="12">
        <v>2183</v>
      </c>
    </row>
    <row r="1805" spans="1:3" x14ac:dyDescent="0.3">
      <c r="A1805">
        <v>1010646</v>
      </c>
      <c r="B1805" t="s">
        <v>1802</v>
      </c>
      <c r="C1805" s="12">
        <v>2899999.9899999998</v>
      </c>
    </row>
    <row r="1806" spans="1:3" x14ac:dyDescent="0.3">
      <c r="A1806">
        <v>1010653</v>
      </c>
      <c r="B1806" t="s">
        <v>1803</v>
      </c>
      <c r="C1806" s="12">
        <v>180.01933515172178</v>
      </c>
    </row>
    <row r="1807" spans="1:3" x14ac:dyDescent="0.3">
      <c r="A1807">
        <v>1010680</v>
      </c>
      <c r="B1807" t="s">
        <v>1804</v>
      </c>
      <c r="C1807" s="12">
        <v>4500</v>
      </c>
    </row>
    <row r="1808" spans="1:3" x14ac:dyDescent="0.3">
      <c r="A1808">
        <v>1010696</v>
      </c>
      <c r="B1808" t="s">
        <v>1805</v>
      </c>
      <c r="C1808" s="12">
        <v>106790</v>
      </c>
    </row>
    <row r="1809" spans="1:3" x14ac:dyDescent="0.3">
      <c r="A1809">
        <v>1010697</v>
      </c>
      <c r="B1809" t="s">
        <v>1806</v>
      </c>
      <c r="C1809" s="12">
        <v>295945.0625</v>
      </c>
    </row>
    <row r="1810" spans="1:3" x14ac:dyDescent="0.3">
      <c r="A1810">
        <v>1010700</v>
      </c>
      <c r="B1810" t="s">
        <v>1807</v>
      </c>
      <c r="C1810" s="12">
        <v>460908.23333333334</v>
      </c>
    </row>
    <row r="1811" spans="1:3" x14ac:dyDescent="0.3">
      <c r="A1811">
        <v>1010709</v>
      </c>
      <c r="B1811" t="s">
        <v>1808</v>
      </c>
      <c r="C1811" s="12">
        <v>55</v>
      </c>
    </row>
    <row r="1812" spans="1:3" x14ac:dyDescent="0.3">
      <c r="A1812">
        <v>1010779</v>
      </c>
      <c r="B1812" t="s">
        <v>1809</v>
      </c>
      <c r="C1812" s="12">
        <v>200</v>
      </c>
    </row>
    <row r="1813" spans="1:3" x14ac:dyDescent="0.3">
      <c r="A1813">
        <v>1010781</v>
      </c>
      <c r="B1813" t="s">
        <v>1810</v>
      </c>
      <c r="C1813" s="12">
        <v>6729.88</v>
      </c>
    </row>
    <row r="1814" spans="1:3" x14ac:dyDescent="0.3">
      <c r="A1814">
        <v>1010783</v>
      </c>
      <c r="B1814" t="s">
        <v>1811</v>
      </c>
      <c r="C1814" s="12">
        <v>5957.763985517402</v>
      </c>
    </row>
    <row r="1815" spans="1:3" x14ac:dyDescent="0.3">
      <c r="A1815">
        <v>1010786</v>
      </c>
      <c r="B1815" t="s">
        <v>1812</v>
      </c>
      <c r="C1815" s="12">
        <v>8300.9708737864075</v>
      </c>
    </row>
    <row r="1816" spans="1:3" x14ac:dyDescent="0.3">
      <c r="A1816">
        <v>1010890</v>
      </c>
      <c r="B1816" t="s">
        <v>1813</v>
      </c>
      <c r="C1816" s="12">
        <v>568.94880052579686</v>
      </c>
    </row>
    <row r="1817" spans="1:3" x14ac:dyDescent="0.3">
      <c r="A1817">
        <v>1010930</v>
      </c>
      <c r="B1817" t="s">
        <v>1814</v>
      </c>
      <c r="C1817" s="12">
        <v>2568082.35</v>
      </c>
    </row>
    <row r="1818" spans="1:3" x14ac:dyDescent="0.3">
      <c r="A1818">
        <v>1010958</v>
      </c>
      <c r="B1818" t="s">
        <v>1815</v>
      </c>
      <c r="C1818" s="12">
        <v>3958</v>
      </c>
    </row>
    <row r="1819" spans="1:3" x14ac:dyDescent="0.3">
      <c r="A1819">
        <v>1010991</v>
      </c>
      <c r="B1819" t="s">
        <v>1816</v>
      </c>
      <c r="C1819" s="12">
        <v>114.43</v>
      </c>
    </row>
    <row r="1820" spans="1:3" x14ac:dyDescent="0.3">
      <c r="A1820">
        <v>1011044</v>
      </c>
      <c r="B1820" t="s">
        <v>1817</v>
      </c>
      <c r="C1820" s="12">
        <v>4248</v>
      </c>
    </row>
    <row r="1821" spans="1:3" x14ac:dyDescent="0.3">
      <c r="A1821">
        <v>1011045</v>
      </c>
      <c r="B1821" t="s">
        <v>1818</v>
      </c>
      <c r="C1821" s="12">
        <v>7375</v>
      </c>
    </row>
    <row r="1822" spans="1:3" x14ac:dyDescent="0.3">
      <c r="A1822">
        <v>1011047</v>
      </c>
      <c r="B1822" t="s">
        <v>1819</v>
      </c>
      <c r="C1822" s="12">
        <v>5310</v>
      </c>
    </row>
    <row r="1823" spans="1:3" x14ac:dyDescent="0.3">
      <c r="A1823">
        <v>1011048</v>
      </c>
      <c r="B1823" t="s">
        <v>1820</v>
      </c>
      <c r="C1823" s="12">
        <v>7131.9616216216218</v>
      </c>
    </row>
    <row r="1824" spans="1:3" x14ac:dyDescent="0.3">
      <c r="A1824">
        <v>1011049</v>
      </c>
      <c r="B1824" t="s">
        <v>1821</v>
      </c>
      <c r="C1824" s="12">
        <v>161.8252</v>
      </c>
    </row>
    <row r="1825" spans="1:3" x14ac:dyDescent="0.3">
      <c r="A1825">
        <v>1011079</v>
      </c>
      <c r="B1825" t="s">
        <v>1822</v>
      </c>
      <c r="C1825" s="12">
        <v>6696</v>
      </c>
    </row>
    <row r="1826" spans="1:3" x14ac:dyDescent="0.3">
      <c r="A1826">
        <v>1011100</v>
      </c>
      <c r="B1826" t="s">
        <v>1823</v>
      </c>
      <c r="C1826" s="12">
        <v>148305</v>
      </c>
    </row>
    <row r="1827" spans="1:3" x14ac:dyDescent="0.3">
      <c r="A1827">
        <v>1011115</v>
      </c>
      <c r="B1827" t="s">
        <v>1824</v>
      </c>
      <c r="C1827" s="12">
        <v>3792.8503999999998</v>
      </c>
    </row>
    <row r="1828" spans="1:3" x14ac:dyDescent="0.3">
      <c r="A1828">
        <v>1011118</v>
      </c>
      <c r="B1828" t="s">
        <v>1825</v>
      </c>
      <c r="C1828" s="12">
        <v>14814.994324324325</v>
      </c>
    </row>
    <row r="1829" spans="1:3" x14ac:dyDescent="0.3">
      <c r="A1829">
        <v>1011159</v>
      </c>
      <c r="B1829" t="s">
        <v>1826</v>
      </c>
      <c r="C1829" s="12">
        <v>3564</v>
      </c>
    </row>
    <row r="1830" spans="1:3" x14ac:dyDescent="0.3">
      <c r="A1830">
        <v>1011160</v>
      </c>
      <c r="B1830" t="s">
        <v>1827</v>
      </c>
      <c r="C1830" s="12">
        <v>4500.8599999999997</v>
      </c>
    </row>
    <row r="1831" spans="1:3" x14ac:dyDescent="0.3">
      <c r="A1831">
        <v>1011161</v>
      </c>
      <c r="B1831" t="s">
        <v>1828</v>
      </c>
      <c r="C1831" s="12">
        <v>283.2</v>
      </c>
    </row>
    <row r="1832" spans="1:3" x14ac:dyDescent="0.3">
      <c r="A1832">
        <v>1011162</v>
      </c>
      <c r="B1832" t="s">
        <v>191</v>
      </c>
      <c r="C1832" s="12">
        <v>250</v>
      </c>
    </row>
    <row r="1833" spans="1:3" x14ac:dyDescent="0.3">
      <c r="A1833">
        <v>1011163</v>
      </c>
      <c r="B1833" t="s">
        <v>1829</v>
      </c>
      <c r="C1833" s="12">
        <v>20968.446470588238</v>
      </c>
    </row>
    <row r="1834" spans="1:3" x14ac:dyDescent="0.3">
      <c r="A1834">
        <v>1011165</v>
      </c>
      <c r="B1834" t="s">
        <v>1830</v>
      </c>
      <c r="C1834" s="12">
        <v>2500</v>
      </c>
    </row>
    <row r="1835" spans="1:3" x14ac:dyDescent="0.3">
      <c r="A1835">
        <v>1011166</v>
      </c>
      <c r="B1835" t="s">
        <v>1831</v>
      </c>
      <c r="C1835" s="12">
        <v>5672.4369999999999</v>
      </c>
    </row>
    <row r="1836" spans="1:3" x14ac:dyDescent="0.3">
      <c r="A1836">
        <v>1011167</v>
      </c>
      <c r="B1836" t="s">
        <v>1832</v>
      </c>
      <c r="C1836" s="12">
        <v>3280.8995294117649</v>
      </c>
    </row>
    <row r="1837" spans="1:3" x14ac:dyDescent="0.3">
      <c r="A1837">
        <v>1011176</v>
      </c>
      <c r="B1837" t="s">
        <v>1833</v>
      </c>
      <c r="C1837" s="12">
        <v>1436.2770702179178</v>
      </c>
    </row>
    <row r="1838" spans="1:3" x14ac:dyDescent="0.3">
      <c r="A1838">
        <v>1011178</v>
      </c>
      <c r="B1838" t="s">
        <v>1834</v>
      </c>
      <c r="C1838" s="12">
        <v>2500</v>
      </c>
    </row>
    <row r="1839" spans="1:3" x14ac:dyDescent="0.3">
      <c r="A1839">
        <v>1011180</v>
      </c>
      <c r="B1839" t="s">
        <v>1835</v>
      </c>
      <c r="C1839" s="12">
        <v>6835.7992000000004</v>
      </c>
    </row>
    <row r="1840" spans="1:3" x14ac:dyDescent="0.3">
      <c r="A1840">
        <v>1011182</v>
      </c>
      <c r="B1840" t="s">
        <v>1836</v>
      </c>
      <c r="C1840" s="12">
        <v>103.54985754985755</v>
      </c>
    </row>
    <row r="1841" spans="1:3" x14ac:dyDescent="0.3">
      <c r="A1841">
        <v>1011183</v>
      </c>
      <c r="B1841" t="s">
        <v>1837</v>
      </c>
      <c r="C1841" s="12">
        <v>955.8</v>
      </c>
    </row>
    <row r="1842" spans="1:3" x14ac:dyDescent="0.3">
      <c r="A1842">
        <v>1011185</v>
      </c>
      <c r="B1842" t="s">
        <v>1838</v>
      </c>
      <c r="C1842" s="12">
        <v>1241.910357142857</v>
      </c>
    </row>
    <row r="1843" spans="1:3" x14ac:dyDescent="0.3">
      <c r="A1843">
        <v>1011186</v>
      </c>
      <c r="B1843" t="s">
        <v>1839</v>
      </c>
      <c r="C1843" s="12">
        <v>26800</v>
      </c>
    </row>
    <row r="1844" spans="1:3" x14ac:dyDescent="0.3">
      <c r="A1844">
        <v>1011187</v>
      </c>
      <c r="B1844" t="s">
        <v>1840</v>
      </c>
      <c r="C1844" s="12">
        <v>758.57500000000005</v>
      </c>
    </row>
    <row r="1845" spans="1:3" x14ac:dyDescent="0.3">
      <c r="A1845">
        <v>1011188</v>
      </c>
      <c r="B1845" t="s">
        <v>1841</v>
      </c>
      <c r="C1845" s="12">
        <v>287.36263245956496</v>
      </c>
    </row>
    <row r="1846" spans="1:3" x14ac:dyDescent="0.3">
      <c r="A1846">
        <v>1011190</v>
      </c>
      <c r="B1846" t="s">
        <v>1842</v>
      </c>
      <c r="C1846" s="12">
        <v>976.34828729281776</v>
      </c>
    </row>
    <row r="1847" spans="1:3" x14ac:dyDescent="0.3">
      <c r="A1847">
        <v>1011193</v>
      </c>
      <c r="B1847" t="s">
        <v>1843</v>
      </c>
      <c r="C1847" s="12">
        <v>30</v>
      </c>
    </row>
    <row r="1848" spans="1:3" x14ac:dyDescent="0.3">
      <c r="A1848">
        <v>1011194</v>
      </c>
      <c r="B1848" t="s">
        <v>1844</v>
      </c>
      <c r="C1848" s="12">
        <v>2500</v>
      </c>
    </row>
    <row r="1849" spans="1:3" x14ac:dyDescent="0.3">
      <c r="A1849">
        <v>1011195</v>
      </c>
      <c r="B1849" t="s">
        <v>1845</v>
      </c>
      <c r="C1849" s="12">
        <v>1500</v>
      </c>
    </row>
    <row r="1850" spans="1:3" x14ac:dyDescent="0.3">
      <c r="A1850">
        <v>1011196</v>
      </c>
      <c r="B1850" t="s">
        <v>1846</v>
      </c>
      <c r="C1850" s="12">
        <v>1200</v>
      </c>
    </row>
    <row r="1851" spans="1:3" x14ac:dyDescent="0.3">
      <c r="A1851">
        <v>1011197</v>
      </c>
      <c r="B1851" t="s">
        <v>1847</v>
      </c>
      <c r="C1851" s="12">
        <v>114.3351039008385</v>
      </c>
    </row>
    <row r="1852" spans="1:3" x14ac:dyDescent="0.3">
      <c r="A1852">
        <v>1011199</v>
      </c>
      <c r="B1852" t="s">
        <v>282</v>
      </c>
      <c r="C1852" s="12">
        <v>25934.924999999999</v>
      </c>
    </row>
    <row r="1853" spans="1:3" x14ac:dyDescent="0.3">
      <c r="A1853">
        <v>1011200</v>
      </c>
      <c r="B1853" t="s">
        <v>1848</v>
      </c>
      <c r="C1853" s="12">
        <v>58700.043999999994</v>
      </c>
    </row>
    <row r="1854" spans="1:3" x14ac:dyDescent="0.3">
      <c r="A1854">
        <v>1011201</v>
      </c>
      <c r="B1854" t="s">
        <v>1849</v>
      </c>
      <c r="C1854" s="12">
        <v>2337.6014285714286</v>
      </c>
    </row>
    <row r="1855" spans="1:3" x14ac:dyDescent="0.3">
      <c r="A1855">
        <v>1011202</v>
      </c>
      <c r="B1855" t="s">
        <v>1850</v>
      </c>
      <c r="C1855" s="12">
        <v>5094.674087591241</v>
      </c>
    </row>
    <row r="1856" spans="1:3" x14ac:dyDescent="0.3">
      <c r="A1856">
        <v>1011203</v>
      </c>
      <c r="B1856" t="s">
        <v>1851</v>
      </c>
      <c r="C1856" s="12">
        <v>900</v>
      </c>
    </row>
    <row r="1857" spans="1:3" x14ac:dyDescent="0.3">
      <c r="A1857">
        <v>1011206</v>
      </c>
      <c r="B1857" t="s">
        <v>1852</v>
      </c>
      <c r="C1857" s="12">
        <v>3215.5</v>
      </c>
    </row>
    <row r="1858" spans="1:3" x14ac:dyDescent="0.3">
      <c r="A1858">
        <v>1011207</v>
      </c>
      <c r="B1858" t="s">
        <v>1853</v>
      </c>
      <c r="C1858" s="12">
        <v>2600</v>
      </c>
    </row>
    <row r="1859" spans="1:3" x14ac:dyDescent="0.3">
      <c r="A1859">
        <v>1011208</v>
      </c>
      <c r="B1859" t="s">
        <v>1854</v>
      </c>
      <c r="C1859" s="12">
        <v>1700</v>
      </c>
    </row>
    <row r="1860" spans="1:3" x14ac:dyDescent="0.3">
      <c r="A1860">
        <v>1011215</v>
      </c>
      <c r="B1860" t="s">
        <v>1855</v>
      </c>
      <c r="C1860" s="12">
        <v>150</v>
      </c>
    </row>
    <row r="1861" spans="1:3" x14ac:dyDescent="0.3">
      <c r="A1861">
        <v>1011247</v>
      </c>
      <c r="B1861" t="s">
        <v>1856</v>
      </c>
      <c r="C1861" s="12">
        <v>1500</v>
      </c>
    </row>
    <row r="1862" spans="1:3" x14ac:dyDescent="0.3">
      <c r="A1862">
        <v>1011248</v>
      </c>
      <c r="B1862" t="s">
        <v>1857</v>
      </c>
      <c r="C1862" s="12">
        <v>297.47432835820894</v>
      </c>
    </row>
    <row r="1863" spans="1:3" x14ac:dyDescent="0.3">
      <c r="A1863">
        <v>1011305</v>
      </c>
      <c r="B1863" t="s">
        <v>1858</v>
      </c>
      <c r="C1863" s="12">
        <v>115.05000000000001</v>
      </c>
    </row>
    <row r="1864" spans="1:3" x14ac:dyDescent="0.3">
      <c r="A1864">
        <v>1011306</v>
      </c>
      <c r="B1864" t="s">
        <v>1859</v>
      </c>
      <c r="C1864" s="12">
        <v>186.95920529801325</v>
      </c>
    </row>
    <row r="1865" spans="1:3" x14ac:dyDescent="0.3">
      <c r="A1865">
        <v>1011319</v>
      </c>
      <c r="B1865" t="s">
        <v>1860</v>
      </c>
      <c r="C1865" s="12">
        <v>14545.51782857143</v>
      </c>
    </row>
    <row r="1866" spans="1:3" x14ac:dyDescent="0.3">
      <c r="A1866">
        <v>1011330</v>
      </c>
      <c r="B1866" t="s">
        <v>1861</v>
      </c>
      <c r="C1866" s="12">
        <v>39958.372307692312</v>
      </c>
    </row>
    <row r="1867" spans="1:3" x14ac:dyDescent="0.3">
      <c r="A1867">
        <v>1011331</v>
      </c>
      <c r="B1867" t="s">
        <v>1862</v>
      </c>
      <c r="C1867" s="12">
        <v>3422</v>
      </c>
    </row>
    <row r="1868" spans="1:3" x14ac:dyDescent="0.3">
      <c r="A1868">
        <v>1011334</v>
      </c>
      <c r="B1868" t="s">
        <v>1863</v>
      </c>
      <c r="C1868" s="12">
        <v>15140.58</v>
      </c>
    </row>
    <row r="1869" spans="1:3" x14ac:dyDescent="0.3">
      <c r="A1869">
        <v>1011355</v>
      </c>
      <c r="B1869" t="s">
        <v>1864</v>
      </c>
      <c r="C1869" s="12">
        <v>13662.411666666665</v>
      </c>
    </row>
    <row r="1870" spans="1:3" x14ac:dyDescent="0.3">
      <c r="A1870">
        <v>1011373</v>
      </c>
      <c r="B1870" t="s">
        <v>1865</v>
      </c>
      <c r="C1870" s="12">
        <v>48369.75</v>
      </c>
    </row>
    <row r="1871" spans="1:3" x14ac:dyDescent="0.3">
      <c r="A1871">
        <v>1011378</v>
      </c>
      <c r="B1871" t="s">
        <v>1866</v>
      </c>
      <c r="C1871" s="12">
        <v>40245.481666666667</v>
      </c>
    </row>
    <row r="1872" spans="1:3" x14ac:dyDescent="0.3">
      <c r="A1872">
        <v>1011380</v>
      </c>
      <c r="B1872" t="s">
        <v>1867</v>
      </c>
      <c r="C1872" s="12">
        <v>242608</v>
      </c>
    </row>
    <row r="1873" spans="1:3" x14ac:dyDescent="0.3">
      <c r="A1873">
        <v>1011391</v>
      </c>
      <c r="B1873" t="s">
        <v>1868</v>
      </c>
      <c r="C1873" s="12">
        <v>121463.80499999999</v>
      </c>
    </row>
    <row r="1874" spans="1:3" x14ac:dyDescent="0.3">
      <c r="A1874">
        <v>1011392</v>
      </c>
      <c r="B1874" t="s">
        <v>1869</v>
      </c>
      <c r="C1874" s="12">
        <v>1130.4827916666666</v>
      </c>
    </row>
    <row r="1875" spans="1:3" x14ac:dyDescent="0.3">
      <c r="A1875">
        <v>1011393</v>
      </c>
      <c r="B1875" t="s">
        <v>1870</v>
      </c>
      <c r="C1875" s="12">
        <v>4390.2941176470586</v>
      </c>
    </row>
    <row r="1876" spans="1:3" x14ac:dyDescent="0.3">
      <c r="A1876">
        <v>1011396</v>
      </c>
      <c r="B1876" t="s">
        <v>1871</v>
      </c>
      <c r="C1876" s="12">
        <v>92789.3</v>
      </c>
    </row>
    <row r="1877" spans="1:3" x14ac:dyDescent="0.3">
      <c r="A1877">
        <v>1011403</v>
      </c>
      <c r="B1877" t="s">
        <v>1872</v>
      </c>
      <c r="C1877" s="12">
        <v>854.86128440366974</v>
      </c>
    </row>
    <row r="1878" spans="1:3" x14ac:dyDescent="0.3">
      <c r="A1878">
        <v>1011407</v>
      </c>
      <c r="B1878" t="s">
        <v>1873</v>
      </c>
      <c r="C1878" s="12">
        <v>2585936.73</v>
      </c>
    </row>
    <row r="1879" spans="1:3" x14ac:dyDescent="0.3">
      <c r="A1879">
        <v>1011408</v>
      </c>
      <c r="B1879" t="s">
        <v>1874</v>
      </c>
      <c r="C1879" s="12">
        <v>57026.567777777775</v>
      </c>
    </row>
    <row r="1880" spans="1:3" x14ac:dyDescent="0.3">
      <c r="A1880">
        <v>1011420</v>
      </c>
      <c r="B1880" t="s">
        <v>1783</v>
      </c>
      <c r="C1880" s="12">
        <v>2717.0305193734544</v>
      </c>
    </row>
    <row r="1881" spans="1:3" x14ac:dyDescent="0.3">
      <c r="A1881">
        <v>1011544</v>
      </c>
      <c r="B1881" t="s">
        <v>1875</v>
      </c>
      <c r="C1881" s="12">
        <v>25.900952380952379</v>
      </c>
    </row>
    <row r="1882" spans="1:3" x14ac:dyDescent="0.3">
      <c r="A1882">
        <v>1011549</v>
      </c>
      <c r="B1882" t="s">
        <v>1876</v>
      </c>
      <c r="C1882" s="12">
        <v>789.40250000000003</v>
      </c>
    </row>
    <row r="1883" spans="1:3" x14ac:dyDescent="0.3">
      <c r="A1883">
        <v>1011550</v>
      </c>
      <c r="B1883" t="s">
        <v>1877</v>
      </c>
      <c r="C1883" s="12">
        <v>129.80000000000001</v>
      </c>
    </row>
    <row r="1884" spans="1:3" x14ac:dyDescent="0.3">
      <c r="A1884">
        <v>1011557</v>
      </c>
      <c r="B1884" t="s">
        <v>1878</v>
      </c>
      <c r="C1884" s="12">
        <v>599.96</v>
      </c>
    </row>
    <row r="1885" spans="1:3" x14ac:dyDescent="0.3">
      <c r="A1885">
        <v>1011562</v>
      </c>
      <c r="B1885" t="s">
        <v>1879</v>
      </c>
      <c r="C1885" s="12">
        <v>158.15059782608697</v>
      </c>
    </row>
    <row r="1886" spans="1:3" x14ac:dyDescent="0.3">
      <c r="A1886">
        <v>1011563</v>
      </c>
      <c r="B1886" t="s">
        <v>1880</v>
      </c>
      <c r="C1886" s="12">
        <v>785.36080000000004</v>
      </c>
    </row>
    <row r="1887" spans="1:3" x14ac:dyDescent="0.3">
      <c r="A1887">
        <v>1011567</v>
      </c>
      <c r="B1887" t="s">
        <v>1881</v>
      </c>
      <c r="C1887" s="12">
        <v>140.41999999999999</v>
      </c>
    </row>
    <row r="1888" spans="1:3" x14ac:dyDescent="0.3">
      <c r="A1888">
        <v>1011585</v>
      </c>
      <c r="B1888" t="s">
        <v>1882</v>
      </c>
      <c r="C1888" s="12">
        <v>814.2</v>
      </c>
    </row>
    <row r="1889" spans="1:3" x14ac:dyDescent="0.3">
      <c r="A1889">
        <v>1011590</v>
      </c>
      <c r="B1889" t="s">
        <v>1883</v>
      </c>
      <c r="C1889" s="12">
        <v>316.69913636363634</v>
      </c>
    </row>
    <row r="1890" spans="1:3" x14ac:dyDescent="0.3">
      <c r="A1890">
        <v>1011644</v>
      </c>
      <c r="B1890" t="s">
        <v>1884</v>
      </c>
      <c r="C1890" s="12">
        <v>115.63999999999999</v>
      </c>
    </row>
    <row r="1891" spans="1:3" x14ac:dyDescent="0.3">
      <c r="A1891">
        <v>1011647</v>
      </c>
      <c r="B1891" t="s">
        <v>1885</v>
      </c>
      <c r="C1891" s="12">
        <v>5000</v>
      </c>
    </row>
    <row r="1892" spans="1:3" x14ac:dyDescent="0.3">
      <c r="A1892">
        <v>1011676</v>
      </c>
      <c r="B1892" t="s">
        <v>1886</v>
      </c>
      <c r="C1892" s="12">
        <v>40645.663710691828</v>
      </c>
    </row>
    <row r="1893" spans="1:3" x14ac:dyDescent="0.3">
      <c r="A1893">
        <v>1011709</v>
      </c>
      <c r="B1893" t="s">
        <v>1887</v>
      </c>
      <c r="C1893" s="12">
        <v>1003</v>
      </c>
    </row>
    <row r="1894" spans="1:3" x14ac:dyDescent="0.3">
      <c r="A1894">
        <v>1011710</v>
      </c>
      <c r="B1894" t="s">
        <v>1888</v>
      </c>
      <c r="C1894" s="12">
        <v>4570.3051999999998</v>
      </c>
    </row>
    <row r="1895" spans="1:3" x14ac:dyDescent="0.3">
      <c r="A1895">
        <v>1011712</v>
      </c>
      <c r="B1895" t="s">
        <v>1889</v>
      </c>
      <c r="C1895" s="12">
        <v>2858428.22</v>
      </c>
    </row>
    <row r="1896" spans="1:3" x14ac:dyDescent="0.3">
      <c r="A1896">
        <v>1011713</v>
      </c>
      <c r="B1896" t="s">
        <v>1890</v>
      </c>
      <c r="C1896" s="12">
        <v>1375179.55</v>
      </c>
    </row>
    <row r="1897" spans="1:3" x14ac:dyDescent="0.3">
      <c r="A1897">
        <v>1011769</v>
      </c>
      <c r="B1897" t="s">
        <v>1891</v>
      </c>
      <c r="C1897" s="12">
        <v>116.72122962962963</v>
      </c>
    </row>
    <row r="1898" spans="1:3" x14ac:dyDescent="0.3">
      <c r="A1898">
        <v>1011772</v>
      </c>
      <c r="B1898" t="s">
        <v>1892</v>
      </c>
      <c r="C1898" s="12">
        <v>39326.450000000004</v>
      </c>
    </row>
    <row r="1899" spans="1:3" x14ac:dyDescent="0.3">
      <c r="A1899">
        <v>1011779</v>
      </c>
      <c r="B1899" t="s">
        <v>1893</v>
      </c>
      <c r="C1899" s="12">
        <v>9707.8482352941191</v>
      </c>
    </row>
    <row r="1900" spans="1:3" x14ac:dyDescent="0.3">
      <c r="A1900">
        <v>1011780</v>
      </c>
      <c r="B1900" t="s">
        <v>1894</v>
      </c>
      <c r="C1900" s="12">
        <v>9707.8482499999991</v>
      </c>
    </row>
    <row r="1901" spans="1:3" x14ac:dyDescent="0.3">
      <c r="A1901">
        <v>1011781</v>
      </c>
      <c r="B1901" t="s">
        <v>1895</v>
      </c>
      <c r="C1901" s="12">
        <v>9707.8483333333334</v>
      </c>
    </row>
    <row r="1902" spans="1:3" x14ac:dyDescent="0.3">
      <c r="A1902">
        <v>1011783</v>
      </c>
      <c r="B1902" t="s">
        <v>1896</v>
      </c>
      <c r="C1902" s="12">
        <v>9707.8478571428568</v>
      </c>
    </row>
    <row r="1903" spans="1:3" x14ac:dyDescent="0.3">
      <c r="A1903">
        <v>1011784</v>
      </c>
      <c r="B1903" t="s">
        <v>1897</v>
      </c>
      <c r="C1903" s="12">
        <v>9923.8792307692311</v>
      </c>
    </row>
    <row r="1904" spans="1:3" x14ac:dyDescent="0.3">
      <c r="A1904">
        <v>1011785</v>
      </c>
      <c r="B1904" t="s">
        <v>1898</v>
      </c>
      <c r="C1904" s="12">
        <v>9707.848</v>
      </c>
    </row>
    <row r="1905" spans="1:3" x14ac:dyDescent="0.3">
      <c r="A1905">
        <v>1011786</v>
      </c>
      <c r="B1905" t="s">
        <v>1899</v>
      </c>
      <c r="C1905" s="12">
        <v>9707.85</v>
      </c>
    </row>
    <row r="1906" spans="1:3" x14ac:dyDescent="0.3">
      <c r="A1906">
        <v>1011787</v>
      </c>
      <c r="B1906" t="s">
        <v>1900</v>
      </c>
      <c r="C1906" s="12">
        <v>9805.3814285714288</v>
      </c>
    </row>
    <row r="1907" spans="1:3" x14ac:dyDescent="0.3">
      <c r="A1907">
        <v>1011788</v>
      </c>
      <c r="B1907" t="s">
        <v>1901</v>
      </c>
      <c r="C1907" s="12">
        <v>12516.26</v>
      </c>
    </row>
    <row r="1908" spans="1:3" x14ac:dyDescent="0.3">
      <c r="A1908">
        <v>1011820</v>
      </c>
      <c r="B1908" t="s">
        <v>1902</v>
      </c>
      <c r="C1908" s="12">
        <v>165460.78</v>
      </c>
    </row>
    <row r="1909" spans="1:3" x14ac:dyDescent="0.3">
      <c r="A1909">
        <v>1011841</v>
      </c>
      <c r="B1909" t="s">
        <v>1903</v>
      </c>
      <c r="C1909" s="12">
        <v>1543.3</v>
      </c>
    </row>
    <row r="1910" spans="1:3" x14ac:dyDescent="0.3">
      <c r="A1910">
        <v>1011842</v>
      </c>
      <c r="B1910" t="s">
        <v>1904</v>
      </c>
      <c r="C1910" s="12">
        <v>1543.3</v>
      </c>
    </row>
    <row r="1911" spans="1:3" x14ac:dyDescent="0.3">
      <c r="A1911">
        <v>1011843</v>
      </c>
      <c r="B1911" t="s">
        <v>1905</v>
      </c>
      <c r="C1911" s="12" t="e">
        <v>#DIV/0!</v>
      </c>
    </row>
    <row r="1912" spans="1:3" x14ac:dyDescent="0.3">
      <c r="A1912">
        <v>1011845</v>
      </c>
      <c r="B1912" t="s">
        <v>1906</v>
      </c>
      <c r="C1912" s="12">
        <v>10442</v>
      </c>
    </row>
    <row r="1913" spans="1:3" x14ac:dyDescent="0.3">
      <c r="A1913">
        <v>1011848</v>
      </c>
      <c r="B1913" t="s">
        <v>1907</v>
      </c>
      <c r="C1913" s="12">
        <v>210819.38</v>
      </c>
    </row>
    <row r="1914" spans="1:3" x14ac:dyDescent="0.3">
      <c r="A1914">
        <v>1011849</v>
      </c>
      <c r="B1914" t="s">
        <v>1908</v>
      </c>
      <c r="C1914" s="12">
        <v>204035.3</v>
      </c>
    </row>
    <row r="1915" spans="1:3" x14ac:dyDescent="0.3">
      <c r="A1915">
        <v>1011850</v>
      </c>
      <c r="B1915" t="s">
        <v>1909</v>
      </c>
      <c r="C1915" s="12">
        <v>223227.88</v>
      </c>
    </row>
    <row r="1916" spans="1:3" x14ac:dyDescent="0.3">
      <c r="A1916">
        <v>1011853</v>
      </c>
      <c r="B1916" t="s">
        <v>1910</v>
      </c>
      <c r="C1916" s="12">
        <v>119.44</v>
      </c>
    </row>
    <row r="1917" spans="1:3" x14ac:dyDescent="0.3">
      <c r="A1917">
        <v>1011854</v>
      </c>
      <c r="B1917" t="s">
        <v>1911</v>
      </c>
      <c r="C1917" s="12">
        <v>1049.26</v>
      </c>
    </row>
    <row r="1918" spans="1:3" x14ac:dyDescent="0.3">
      <c r="A1918">
        <v>1011855</v>
      </c>
      <c r="B1918" t="s">
        <v>1912</v>
      </c>
      <c r="C1918" s="12">
        <v>40.019999999999996</v>
      </c>
    </row>
    <row r="1919" spans="1:3" x14ac:dyDescent="0.3">
      <c r="A1919">
        <v>1011964</v>
      </c>
      <c r="B1919" t="s">
        <v>1913</v>
      </c>
      <c r="C1919" s="12">
        <v>309.07</v>
      </c>
    </row>
    <row r="1920" spans="1:3" x14ac:dyDescent="0.3">
      <c r="A1920">
        <v>1012080</v>
      </c>
      <c r="B1920" t="s">
        <v>1914</v>
      </c>
      <c r="C1920" s="12">
        <v>3140.1333333333332</v>
      </c>
    </row>
    <row r="1921" spans="1:3" x14ac:dyDescent="0.3">
      <c r="A1921">
        <v>1012128</v>
      </c>
      <c r="B1921" t="s">
        <v>1915</v>
      </c>
      <c r="C1921" s="12">
        <v>2610395.9533333336</v>
      </c>
    </row>
    <row r="1922" spans="1:3" x14ac:dyDescent="0.3">
      <c r="A1922">
        <v>1012129</v>
      </c>
      <c r="B1922" t="s">
        <v>1916</v>
      </c>
      <c r="C1922" s="12">
        <v>2045530.9</v>
      </c>
    </row>
    <row r="1923" spans="1:3" x14ac:dyDescent="0.3">
      <c r="A1923">
        <v>1012130</v>
      </c>
      <c r="B1923" t="s">
        <v>1917</v>
      </c>
      <c r="C1923" s="12">
        <v>3052967.65</v>
      </c>
    </row>
    <row r="1924" spans="1:3" x14ac:dyDescent="0.3">
      <c r="A1924">
        <v>1012131</v>
      </c>
      <c r="B1924" t="s">
        <v>1918</v>
      </c>
      <c r="C1924" s="12">
        <v>4399.04</v>
      </c>
    </row>
    <row r="1925" spans="1:3" x14ac:dyDescent="0.3">
      <c r="A1925">
        <v>1012132</v>
      </c>
      <c r="B1925" t="s">
        <v>1919</v>
      </c>
      <c r="C1925" s="12">
        <v>39882.796399999999</v>
      </c>
    </row>
    <row r="1926" spans="1:3" x14ac:dyDescent="0.3">
      <c r="A1926">
        <v>1012134</v>
      </c>
      <c r="B1926" t="s">
        <v>1920</v>
      </c>
      <c r="C1926" s="12">
        <v>6302.8993055555557</v>
      </c>
    </row>
    <row r="1927" spans="1:3" x14ac:dyDescent="0.3">
      <c r="A1927">
        <v>1012143</v>
      </c>
      <c r="B1927" t="s">
        <v>1921</v>
      </c>
      <c r="C1927" s="12">
        <v>16638</v>
      </c>
    </row>
    <row r="1928" spans="1:3" x14ac:dyDescent="0.3">
      <c r="A1928">
        <v>1012144</v>
      </c>
      <c r="B1928" t="s">
        <v>1922</v>
      </c>
      <c r="C1928" s="12">
        <v>26603.1</v>
      </c>
    </row>
    <row r="1929" spans="1:3" x14ac:dyDescent="0.3">
      <c r="A1929">
        <v>1012145</v>
      </c>
      <c r="B1929" t="s">
        <v>1923</v>
      </c>
      <c r="C1929" s="12">
        <v>34608.574000000001</v>
      </c>
    </row>
    <row r="1930" spans="1:3" x14ac:dyDescent="0.3">
      <c r="A1930">
        <v>1012164</v>
      </c>
      <c r="B1930" t="s">
        <v>1924</v>
      </c>
      <c r="C1930" s="12">
        <v>152.36910179182195</v>
      </c>
    </row>
    <row r="1931" spans="1:3" x14ac:dyDescent="0.3">
      <c r="A1931">
        <v>1012187</v>
      </c>
      <c r="B1931" t="s">
        <v>1925</v>
      </c>
      <c r="C1931" s="12">
        <v>4573.5383993212672</v>
      </c>
    </row>
    <row r="1932" spans="1:3" x14ac:dyDescent="0.3">
      <c r="A1932">
        <v>1012203</v>
      </c>
      <c r="B1932" t="s">
        <v>1926</v>
      </c>
      <c r="C1932" s="12">
        <v>68440</v>
      </c>
    </row>
    <row r="1933" spans="1:3" x14ac:dyDescent="0.3">
      <c r="A1933">
        <v>1012248</v>
      </c>
      <c r="B1933" t="s">
        <v>1927</v>
      </c>
      <c r="C1933" s="12">
        <v>17957.912400000001</v>
      </c>
    </row>
    <row r="1934" spans="1:3" x14ac:dyDescent="0.3">
      <c r="A1934">
        <v>1012249</v>
      </c>
      <c r="B1934" t="s">
        <v>1928</v>
      </c>
      <c r="C1934" s="12">
        <v>2944.1000000000004</v>
      </c>
    </row>
    <row r="1935" spans="1:3" x14ac:dyDescent="0.3">
      <c r="A1935">
        <v>1012252</v>
      </c>
      <c r="B1935" t="s">
        <v>1929</v>
      </c>
      <c r="C1935" s="12">
        <v>93520.9</v>
      </c>
    </row>
    <row r="1936" spans="1:3" x14ac:dyDescent="0.3">
      <c r="A1936">
        <v>1012260</v>
      </c>
      <c r="B1936" t="s">
        <v>1930</v>
      </c>
      <c r="C1936" s="12">
        <v>1611.4936904761905</v>
      </c>
    </row>
    <row r="1937" spans="1:3" x14ac:dyDescent="0.3">
      <c r="A1937">
        <v>1012262</v>
      </c>
      <c r="B1937" t="s">
        <v>1931</v>
      </c>
      <c r="C1937" s="12">
        <v>3023.16</v>
      </c>
    </row>
    <row r="1938" spans="1:3" x14ac:dyDescent="0.3">
      <c r="A1938">
        <v>1012341</v>
      </c>
      <c r="B1938" t="s">
        <v>1932</v>
      </c>
      <c r="C1938" s="12">
        <v>14855.91</v>
      </c>
    </row>
    <row r="1939" spans="1:3" x14ac:dyDescent="0.3">
      <c r="A1939">
        <v>1012346</v>
      </c>
      <c r="B1939" t="s">
        <v>1933</v>
      </c>
      <c r="C1939" s="12">
        <v>33983.01</v>
      </c>
    </row>
    <row r="1940" spans="1:3" x14ac:dyDescent="0.3">
      <c r="A1940">
        <v>1012347</v>
      </c>
      <c r="B1940" t="s">
        <v>1934</v>
      </c>
      <c r="C1940" s="12">
        <v>35983.01</v>
      </c>
    </row>
    <row r="1941" spans="1:3" x14ac:dyDescent="0.3">
      <c r="A1941">
        <v>1012379</v>
      </c>
      <c r="B1941" t="s">
        <v>1935</v>
      </c>
      <c r="C1941" s="12">
        <v>1007280</v>
      </c>
    </row>
    <row r="1942" spans="1:3" x14ac:dyDescent="0.3">
      <c r="A1942">
        <v>1012380</v>
      </c>
      <c r="B1942" t="s">
        <v>1936</v>
      </c>
      <c r="C1942" s="12">
        <v>2068652.615</v>
      </c>
    </row>
    <row r="1943" spans="1:3" x14ac:dyDescent="0.3">
      <c r="A1943">
        <v>1012381</v>
      </c>
      <c r="B1943" t="s">
        <v>1937</v>
      </c>
      <c r="C1943" s="12">
        <v>1408213.33</v>
      </c>
    </row>
    <row r="1944" spans="1:3" x14ac:dyDescent="0.3">
      <c r="A1944">
        <v>1012382</v>
      </c>
      <c r="B1944" t="s">
        <v>1938</v>
      </c>
      <c r="C1944" s="12">
        <v>1605714.4975000001</v>
      </c>
    </row>
    <row r="1945" spans="1:3" x14ac:dyDescent="0.3">
      <c r="A1945">
        <v>1012383</v>
      </c>
      <c r="B1945" t="s">
        <v>1939</v>
      </c>
      <c r="C1945" s="12">
        <v>3427683.01</v>
      </c>
    </row>
    <row r="1946" spans="1:3" x14ac:dyDescent="0.3">
      <c r="A1946">
        <v>1012384</v>
      </c>
      <c r="B1946" t="s">
        <v>1940</v>
      </c>
      <c r="C1946" s="12">
        <v>1626785.2572727271</v>
      </c>
    </row>
    <row r="1947" spans="1:3" x14ac:dyDescent="0.3">
      <c r="A1947">
        <v>1012385</v>
      </c>
      <c r="B1947" t="s">
        <v>1941</v>
      </c>
      <c r="C1947" s="12">
        <v>120000</v>
      </c>
    </row>
    <row r="1948" spans="1:3" x14ac:dyDescent="0.3">
      <c r="A1948">
        <v>1012397</v>
      </c>
      <c r="B1948" t="s">
        <v>638</v>
      </c>
      <c r="C1948" s="12">
        <v>325.67724979798692</v>
      </c>
    </row>
    <row r="1949" spans="1:3" x14ac:dyDescent="0.3">
      <c r="A1949">
        <v>1012439</v>
      </c>
      <c r="B1949" t="s">
        <v>1942</v>
      </c>
      <c r="C1949" s="12">
        <v>17842.656153846154</v>
      </c>
    </row>
    <row r="1950" spans="1:3" x14ac:dyDescent="0.3">
      <c r="A1950">
        <v>1012441</v>
      </c>
      <c r="B1950" t="s">
        <v>1943</v>
      </c>
      <c r="C1950" s="12">
        <v>16643.941333333332</v>
      </c>
    </row>
    <row r="1951" spans="1:3" x14ac:dyDescent="0.3">
      <c r="A1951">
        <v>1012442</v>
      </c>
      <c r="B1951" t="s">
        <v>1944</v>
      </c>
      <c r="C1951" s="12">
        <v>300</v>
      </c>
    </row>
    <row r="1952" spans="1:3" x14ac:dyDescent="0.3">
      <c r="A1952">
        <v>1012470</v>
      </c>
      <c r="B1952" t="s">
        <v>1945</v>
      </c>
      <c r="C1952" s="12">
        <v>266880.59999999998</v>
      </c>
    </row>
    <row r="1953" spans="1:3" x14ac:dyDescent="0.3">
      <c r="A1953">
        <v>1012642</v>
      </c>
      <c r="B1953" t="s">
        <v>1946</v>
      </c>
      <c r="C1953" s="12">
        <v>4826.21</v>
      </c>
    </row>
    <row r="1954" spans="1:3" x14ac:dyDescent="0.3">
      <c r="A1954">
        <v>1012650</v>
      </c>
      <c r="B1954" t="s">
        <v>1947</v>
      </c>
      <c r="C1954" s="12">
        <v>302.87984111221448</v>
      </c>
    </row>
    <row r="1955" spans="1:3" x14ac:dyDescent="0.3">
      <c r="A1955">
        <v>1012669</v>
      </c>
      <c r="B1955" t="s">
        <v>1948</v>
      </c>
      <c r="C1955" s="12">
        <v>277.3</v>
      </c>
    </row>
    <row r="1956" spans="1:3" x14ac:dyDescent="0.3">
      <c r="A1956">
        <v>1012837</v>
      </c>
      <c r="B1956" t="s">
        <v>1949</v>
      </c>
      <c r="C1956" s="12">
        <v>35742.200000000004</v>
      </c>
    </row>
    <row r="1957" spans="1:3" x14ac:dyDescent="0.3">
      <c r="A1957">
        <v>1012875</v>
      </c>
      <c r="B1957" t="s">
        <v>1950</v>
      </c>
      <c r="C1957" s="12">
        <v>4422.05</v>
      </c>
    </row>
    <row r="1958" spans="1:3" x14ac:dyDescent="0.3">
      <c r="A1958">
        <v>1012876</v>
      </c>
      <c r="B1958" t="s">
        <v>1951</v>
      </c>
      <c r="C1958" s="12">
        <v>2950</v>
      </c>
    </row>
    <row r="1959" spans="1:3" x14ac:dyDescent="0.3">
      <c r="A1959">
        <v>1012878</v>
      </c>
      <c r="B1959" t="s">
        <v>1952</v>
      </c>
      <c r="C1959" s="12">
        <v>108908.37</v>
      </c>
    </row>
    <row r="1960" spans="1:3" x14ac:dyDescent="0.3">
      <c r="A1960">
        <v>1012879</v>
      </c>
      <c r="B1960" t="s">
        <v>1953</v>
      </c>
      <c r="C1960" s="12">
        <v>23116.2</v>
      </c>
    </row>
    <row r="1961" spans="1:3" x14ac:dyDescent="0.3">
      <c r="A1961">
        <v>1012883</v>
      </c>
      <c r="B1961" t="s">
        <v>1954</v>
      </c>
      <c r="C1961" s="12">
        <v>8164.1250243902432</v>
      </c>
    </row>
    <row r="1962" spans="1:3" x14ac:dyDescent="0.3">
      <c r="A1962">
        <v>1012892</v>
      </c>
      <c r="B1962" t="s">
        <v>1955</v>
      </c>
      <c r="C1962" s="12">
        <v>100010.04</v>
      </c>
    </row>
    <row r="1963" spans="1:3" x14ac:dyDescent="0.3">
      <c r="A1963">
        <v>1012897</v>
      </c>
      <c r="B1963" t="s">
        <v>1956</v>
      </c>
      <c r="C1963" s="12">
        <v>117209.685</v>
      </c>
    </row>
    <row r="1964" spans="1:3" x14ac:dyDescent="0.3">
      <c r="A1964">
        <v>1012945</v>
      </c>
      <c r="B1964" t="s">
        <v>1957</v>
      </c>
      <c r="C1964" s="12">
        <v>33534.927000000003</v>
      </c>
    </row>
    <row r="1965" spans="1:3" x14ac:dyDescent="0.3">
      <c r="A1965">
        <v>1012973</v>
      </c>
      <c r="B1965" t="s">
        <v>1958</v>
      </c>
      <c r="C1965" s="12">
        <v>33534.923999999999</v>
      </c>
    </row>
    <row r="1966" spans="1:3" x14ac:dyDescent="0.3">
      <c r="A1966">
        <v>1012974</v>
      </c>
      <c r="B1966" t="s">
        <v>1959</v>
      </c>
      <c r="C1966" s="12">
        <v>1961.74</v>
      </c>
    </row>
    <row r="1967" spans="1:3" x14ac:dyDescent="0.3">
      <c r="A1967">
        <v>1012975</v>
      </c>
      <c r="B1967" t="s">
        <v>1960</v>
      </c>
      <c r="C1967" s="12">
        <v>44211.968571428573</v>
      </c>
    </row>
    <row r="1968" spans="1:3" x14ac:dyDescent="0.3">
      <c r="A1968">
        <v>1012977</v>
      </c>
      <c r="B1968" t="s">
        <v>1961</v>
      </c>
      <c r="C1968" s="12">
        <v>1239.7080041152262</v>
      </c>
    </row>
    <row r="1969" spans="1:3" x14ac:dyDescent="0.3">
      <c r="A1969">
        <v>1012978</v>
      </c>
      <c r="B1969" t="s">
        <v>1962</v>
      </c>
      <c r="C1969" s="12">
        <v>1239.7079957203996</v>
      </c>
    </row>
    <row r="1970" spans="1:3" x14ac:dyDescent="0.3">
      <c r="A1970">
        <v>1012980</v>
      </c>
      <c r="B1970" t="s">
        <v>1963</v>
      </c>
      <c r="C1970" s="12">
        <v>1376765.2649999999</v>
      </c>
    </row>
    <row r="1971" spans="1:3" x14ac:dyDescent="0.3">
      <c r="A1971">
        <v>1012982</v>
      </c>
      <c r="B1971" t="s">
        <v>1964</v>
      </c>
      <c r="C1971" s="12">
        <v>929394.96499999997</v>
      </c>
    </row>
    <row r="1972" spans="1:3" x14ac:dyDescent="0.3">
      <c r="A1972">
        <v>1012984</v>
      </c>
      <c r="B1972" t="s">
        <v>1965</v>
      </c>
      <c r="C1972" s="12">
        <v>10</v>
      </c>
    </row>
    <row r="1973" spans="1:3" x14ac:dyDescent="0.3">
      <c r="A1973">
        <v>1013167</v>
      </c>
      <c r="B1973" t="s">
        <v>1966</v>
      </c>
      <c r="C1973" s="12">
        <v>4521.76</v>
      </c>
    </row>
    <row r="1974" spans="1:3" x14ac:dyDescent="0.3">
      <c r="A1974">
        <v>1013168</v>
      </c>
      <c r="B1974" t="s">
        <v>1967</v>
      </c>
      <c r="C1974" s="12">
        <v>85756.5</v>
      </c>
    </row>
    <row r="1975" spans="1:3" x14ac:dyDescent="0.3">
      <c r="A1975">
        <v>1013169</v>
      </c>
      <c r="B1975" t="s">
        <v>1968</v>
      </c>
      <c r="C1975" s="12">
        <v>4521.76</v>
      </c>
    </row>
    <row r="1976" spans="1:3" x14ac:dyDescent="0.3">
      <c r="A1976">
        <v>1013170</v>
      </c>
      <c r="B1976" t="s">
        <v>1969</v>
      </c>
      <c r="C1976" s="12">
        <v>12744</v>
      </c>
    </row>
    <row r="1977" spans="1:3" x14ac:dyDescent="0.3">
      <c r="A1977">
        <v>1013171</v>
      </c>
      <c r="B1977" t="s">
        <v>1970</v>
      </c>
      <c r="C1977" s="12">
        <v>15675.12</v>
      </c>
    </row>
    <row r="1978" spans="1:3" x14ac:dyDescent="0.3">
      <c r="A1978">
        <v>1013442</v>
      </c>
      <c r="B1978" t="s">
        <v>1971</v>
      </c>
      <c r="C1978" s="12">
        <v>2400</v>
      </c>
    </row>
    <row r="1979" spans="1:3" x14ac:dyDescent="0.3">
      <c r="A1979">
        <v>1013484</v>
      </c>
      <c r="B1979" t="s">
        <v>1972</v>
      </c>
      <c r="C1979" s="12">
        <v>112.1</v>
      </c>
    </row>
    <row r="1980" spans="1:3" x14ac:dyDescent="0.3">
      <c r="A1980">
        <v>1013521</v>
      </c>
      <c r="B1980" t="s">
        <v>1973</v>
      </c>
      <c r="C1980" s="12">
        <v>34209.557500000003</v>
      </c>
    </row>
    <row r="1981" spans="1:3" x14ac:dyDescent="0.3">
      <c r="A1981">
        <v>1013603</v>
      </c>
      <c r="B1981" t="s">
        <v>1974</v>
      </c>
      <c r="C1981" s="12">
        <v>8.3000000000000007</v>
      </c>
    </row>
    <row r="1982" spans="1:3" x14ac:dyDescent="0.3">
      <c r="A1982">
        <v>1013618</v>
      </c>
      <c r="B1982" t="s">
        <v>1975</v>
      </c>
      <c r="C1982" s="12">
        <v>535.24798561151079</v>
      </c>
    </row>
    <row r="1983" spans="1:3" x14ac:dyDescent="0.3">
      <c r="A1983">
        <v>1013640</v>
      </c>
      <c r="B1983" t="s">
        <v>1976</v>
      </c>
      <c r="C1983" s="12">
        <v>231.26820000000001</v>
      </c>
    </row>
    <row r="1984" spans="1:3" x14ac:dyDescent="0.3">
      <c r="A1984">
        <v>1013641</v>
      </c>
      <c r="B1984" t="s">
        <v>1977</v>
      </c>
      <c r="C1984" s="12">
        <v>232.44820000000001</v>
      </c>
    </row>
    <row r="1985" spans="1:3" x14ac:dyDescent="0.3">
      <c r="A1985">
        <v>1013664</v>
      </c>
      <c r="B1985" t="s">
        <v>1978</v>
      </c>
      <c r="C1985" s="12">
        <v>305.66258064516126</v>
      </c>
    </row>
    <row r="1986" spans="1:3" x14ac:dyDescent="0.3">
      <c r="A1986">
        <v>1013666</v>
      </c>
      <c r="B1986" t="s">
        <v>1979</v>
      </c>
      <c r="C1986" s="12">
        <v>51.92</v>
      </c>
    </row>
    <row r="1987" spans="1:3" x14ac:dyDescent="0.3">
      <c r="A1987">
        <v>1013810</v>
      </c>
      <c r="B1987" t="s">
        <v>1980</v>
      </c>
      <c r="C1987" s="12">
        <v>40</v>
      </c>
    </row>
    <row r="1988" spans="1:3" x14ac:dyDescent="0.3">
      <c r="A1988">
        <v>1013813</v>
      </c>
      <c r="B1988" t="s">
        <v>1981</v>
      </c>
      <c r="C1988" s="12">
        <v>600</v>
      </c>
    </row>
    <row r="1989" spans="1:3" x14ac:dyDescent="0.3">
      <c r="A1989">
        <v>1013845</v>
      </c>
      <c r="B1989" t="s">
        <v>1982</v>
      </c>
      <c r="C1989" s="12">
        <v>61.22</v>
      </c>
    </row>
    <row r="1990" spans="1:3" x14ac:dyDescent="0.3">
      <c r="A1990">
        <v>1013870</v>
      </c>
      <c r="B1990" t="s">
        <v>1983</v>
      </c>
      <c r="C1990" s="12">
        <v>19429.859999999997</v>
      </c>
    </row>
    <row r="1991" spans="1:3" x14ac:dyDescent="0.3">
      <c r="A1991">
        <v>1013954</v>
      </c>
      <c r="B1991" t="s">
        <v>1517</v>
      </c>
      <c r="C1991" s="12">
        <v>213731.01</v>
      </c>
    </row>
    <row r="1992" spans="1:3" x14ac:dyDescent="0.3">
      <c r="A1992">
        <v>1014067</v>
      </c>
      <c r="B1992" t="s">
        <v>1984</v>
      </c>
      <c r="C1992" s="12">
        <v>2030162.36</v>
      </c>
    </row>
    <row r="1993" spans="1:3" x14ac:dyDescent="0.3">
      <c r="A1993">
        <v>1014068</v>
      </c>
      <c r="B1993" t="s">
        <v>1985</v>
      </c>
      <c r="C1993" s="12">
        <v>2046473.56</v>
      </c>
    </row>
    <row r="1994" spans="1:3" x14ac:dyDescent="0.3">
      <c r="A1994">
        <v>1014072</v>
      </c>
      <c r="B1994" t="s">
        <v>81</v>
      </c>
      <c r="C1994" s="12">
        <v>13.57</v>
      </c>
    </row>
    <row r="1995" spans="1:3" x14ac:dyDescent="0.3">
      <c r="A1995">
        <v>1014212</v>
      </c>
      <c r="B1995" t="s">
        <v>1986</v>
      </c>
      <c r="C1995" s="12">
        <v>112.29196063588191</v>
      </c>
    </row>
    <row r="1996" spans="1:3" x14ac:dyDescent="0.3">
      <c r="A1996">
        <v>1014276</v>
      </c>
      <c r="B1996" t="s">
        <v>1987</v>
      </c>
      <c r="C1996" s="12">
        <v>25</v>
      </c>
    </row>
    <row r="1997" spans="1:3" x14ac:dyDescent="0.3">
      <c r="A1997">
        <v>1014432</v>
      </c>
      <c r="B1997" t="s">
        <v>1988</v>
      </c>
      <c r="C1997" s="12" t="e">
        <v>#DIV/0!</v>
      </c>
    </row>
    <row r="1998" spans="1:3" x14ac:dyDescent="0.3">
      <c r="A1998">
        <v>1014463</v>
      </c>
      <c r="B1998" t="s">
        <v>1989</v>
      </c>
      <c r="C1998" s="12">
        <v>0</v>
      </c>
    </row>
    <row r="1999" spans="1:3" x14ac:dyDescent="0.3">
      <c r="A1999">
        <v>1014485</v>
      </c>
      <c r="B1999" t="s">
        <v>1990</v>
      </c>
      <c r="C1999" s="12">
        <v>8.378645694481472</v>
      </c>
    </row>
    <row r="2000" spans="1:3" x14ac:dyDescent="0.3">
      <c r="A2000">
        <v>1014487</v>
      </c>
      <c r="B2000" t="s">
        <v>1991</v>
      </c>
      <c r="C2000" s="12">
        <v>64.960000000000008</v>
      </c>
    </row>
    <row r="2001" spans="1:3" x14ac:dyDescent="0.3">
      <c r="A2001">
        <v>1014528</v>
      </c>
      <c r="B2001" t="s">
        <v>1992</v>
      </c>
      <c r="C2001" s="12">
        <v>8</v>
      </c>
    </row>
    <row r="2002" spans="1:3" x14ac:dyDescent="0.3">
      <c r="A2002">
        <v>1014549</v>
      </c>
      <c r="B2002" t="s">
        <v>1993</v>
      </c>
      <c r="C2002" s="12">
        <v>60007.75</v>
      </c>
    </row>
    <row r="2003" spans="1:3" x14ac:dyDescent="0.3">
      <c r="A2003">
        <v>2001226</v>
      </c>
      <c r="B2003" t="s">
        <v>1994</v>
      </c>
      <c r="C2003" s="12">
        <v>2.3482000000000003</v>
      </c>
    </row>
    <row r="2004" spans="1:3" x14ac:dyDescent="0.3">
      <c r="A2004">
        <v>2004181</v>
      </c>
      <c r="B2004" t="s">
        <v>1995</v>
      </c>
      <c r="C2004" s="12">
        <v>3.3866000497553697</v>
      </c>
    </row>
    <row r="2005" spans="1:3" x14ac:dyDescent="0.3">
      <c r="A2005">
        <v>2004381</v>
      </c>
      <c r="B2005" t="s">
        <v>1996</v>
      </c>
      <c r="C2005" s="12">
        <v>600</v>
      </c>
    </row>
    <row r="2006" spans="1:3" x14ac:dyDescent="0.3">
      <c r="A2006">
        <v>2005912</v>
      </c>
      <c r="B2006" t="s">
        <v>1997</v>
      </c>
      <c r="C2006" s="12">
        <v>286.33086193136472</v>
      </c>
    </row>
    <row r="2007" spans="1:3" x14ac:dyDescent="0.3">
      <c r="A2007">
        <v>2008659</v>
      </c>
      <c r="B2007" t="s">
        <v>1998</v>
      </c>
      <c r="C2007" s="12">
        <v>20.060000000000002</v>
      </c>
    </row>
    <row r="2008" spans="1:3" x14ac:dyDescent="0.3">
      <c r="A2008">
        <v>2008803</v>
      </c>
      <c r="B2008" t="s">
        <v>1999</v>
      </c>
      <c r="C2008" s="12">
        <v>172.65673913043477</v>
      </c>
    </row>
    <row r="2009" spans="1:3" x14ac:dyDescent="0.3">
      <c r="A2009">
        <v>2009993</v>
      </c>
      <c r="B2009" t="s">
        <v>282</v>
      </c>
      <c r="C2009" s="12">
        <v>21782.799999999999</v>
      </c>
    </row>
    <row r="2010" spans="1:3" x14ac:dyDescent="0.3">
      <c r="A2010">
        <v>2010037</v>
      </c>
      <c r="B2010" t="s">
        <v>769</v>
      </c>
      <c r="C2010" s="12">
        <v>30090</v>
      </c>
    </row>
    <row r="2011" spans="1:3" x14ac:dyDescent="0.3">
      <c r="A2011">
        <v>2010039</v>
      </c>
      <c r="B2011" t="s">
        <v>772</v>
      </c>
      <c r="C2011" s="12">
        <v>30090</v>
      </c>
    </row>
    <row r="2012" spans="1:3" x14ac:dyDescent="0.3">
      <c r="A2012">
        <v>2010644</v>
      </c>
      <c r="B2012" t="s">
        <v>770</v>
      </c>
      <c r="C2012" s="12">
        <v>30090</v>
      </c>
    </row>
    <row r="2013" spans="1:3" x14ac:dyDescent="0.3">
      <c r="A2013">
        <v>2011177</v>
      </c>
      <c r="B2013" t="s">
        <v>2000</v>
      </c>
      <c r="C2013" s="12">
        <v>247.3311967283685</v>
      </c>
    </row>
    <row r="2014" spans="1:3" x14ac:dyDescent="0.3">
      <c r="A2014">
        <v>2011178</v>
      </c>
      <c r="B2014" t="s">
        <v>2001</v>
      </c>
      <c r="C2014" s="12">
        <v>44719.43</v>
      </c>
    </row>
    <row r="2015" spans="1:3" x14ac:dyDescent="0.3">
      <c r="A2015">
        <v>2011179</v>
      </c>
      <c r="B2015" t="s">
        <v>2002</v>
      </c>
      <c r="C2015" s="12">
        <v>487.47234597759672</v>
      </c>
    </row>
    <row r="2016" spans="1:3" x14ac:dyDescent="0.3">
      <c r="A2016">
        <v>2011260</v>
      </c>
      <c r="B2016" t="s">
        <v>2003</v>
      </c>
      <c r="C2016" s="12">
        <v>125670</v>
      </c>
    </row>
    <row r="2017" spans="1:3" x14ac:dyDescent="0.3">
      <c r="A2017">
        <v>2011376</v>
      </c>
      <c r="B2017" t="s">
        <v>2004</v>
      </c>
      <c r="C2017" s="12">
        <v>35.4</v>
      </c>
    </row>
    <row r="2018" spans="1:3" x14ac:dyDescent="0.3">
      <c r="A2018">
        <v>2011377</v>
      </c>
      <c r="B2018" t="s">
        <v>2005</v>
      </c>
      <c r="C2018" s="12">
        <v>178.18</v>
      </c>
    </row>
    <row r="2019" spans="1:3" x14ac:dyDescent="0.3">
      <c r="A2019">
        <v>2012333</v>
      </c>
      <c r="B2019" t="s">
        <v>2006</v>
      </c>
      <c r="C2019" s="12">
        <v>140.41999999999999</v>
      </c>
    </row>
    <row r="2020" spans="1:3" x14ac:dyDescent="0.3">
      <c r="A2020">
        <v>5000870</v>
      </c>
      <c r="B2020" t="s">
        <v>2007</v>
      </c>
      <c r="C2020" s="12">
        <v>0</v>
      </c>
    </row>
    <row r="2021" spans="1:3" x14ac:dyDescent="0.3">
      <c r="A2021" t="s">
        <v>2008</v>
      </c>
      <c r="B2021" t="s">
        <v>2008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3619"/>
  <sheetViews>
    <sheetView tabSelected="1" topLeftCell="A107" workbookViewId="0">
      <selection sqref="A1:E133"/>
    </sheetView>
  </sheetViews>
  <sheetFormatPr baseColWidth="10" defaultColWidth="11.44140625" defaultRowHeight="14.4" x14ac:dyDescent="0.3"/>
  <cols>
    <col min="2" max="2" width="45.44140625" bestFit="1" customWidth="1"/>
    <col min="3" max="3" width="19.44140625" style="13" hidden="1" customWidth="1"/>
    <col min="4" max="4" width="14.5546875" style="14" hidden="1" customWidth="1"/>
    <col min="5" max="5" width="14.5546875" style="14" customWidth="1"/>
  </cols>
  <sheetData>
    <row r="1" spans="1:7" x14ac:dyDescent="0.3">
      <c r="A1" s="22" t="s">
        <v>0</v>
      </c>
      <c r="B1" s="22" t="s">
        <v>1</v>
      </c>
      <c r="C1" s="23" t="s">
        <v>2</v>
      </c>
      <c r="E1" s="23" t="s">
        <v>2009</v>
      </c>
    </row>
    <row r="2" spans="1:7" x14ac:dyDescent="0.3">
      <c r="A2" s="7">
        <v>1000000</v>
      </c>
      <c r="B2" s="7" t="s">
        <v>3</v>
      </c>
      <c r="C2" s="14">
        <v>26.390453270660998</v>
      </c>
      <c r="D2" s="14">
        <v>26.271240942028989</v>
      </c>
      <c r="E2" s="14">
        <f>+MAX(C2, D2)</f>
        <v>26.390453270660998</v>
      </c>
    </row>
    <row r="3" spans="1:7" x14ac:dyDescent="0.3">
      <c r="A3" s="7">
        <v>1000002</v>
      </c>
      <c r="B3" s="7" t="s">
        <v>4</v>
      </c>
      <c r="C3" s="14">
        <v>6077.2897501105699</v>
      </c>
      <c r="D3" s="14">
        <v>0</v>
      </c>
      <c r="E3" s="14">
        <f t="shared" ref="E3:E66" si="0">+MAX(C3, D3)</f>
        <v>6077.2897501105699</v>
      </c>
    </row>
    <row r="4" spans="1:7" x14ac:dyDescent="0.3">
      <c r="A4" s="7">
        <v>1000003</v>
      </c>
      <c r="B4" s="7" t="s">
        <v>5</v>
      </c>
      <c r="C4" s="14">
        <v>15675.6737962963</v>
      </c>
      <c r="D4" s="14">
        <v>0</v>
      </c>
      <c r="E4" s="14">
        <f t="shared" si="0"/>
        <v>15675.6737962963</v>
      </c>
    </row>
    <row r="5" spans="1:7" x14ac:dyDescent="0.3">
      <c r="A5" s="7">
        <v>1000004</v>
      </c>
      <c r="B5" s="7" t="s">
        <v>6</v>
      </c>
      <c r="C5" s="14">
        <v>419.97463762376236</v>
      </c>
      <c r="D5" s="14">
        <v>520.98345974717233</v>
      </c>
      <c r="E5" s="14">
        <f t="shared" si="0"/>
        <v>520.98345974717233</v>
      </c>
    </row>
    <row r="6" spans="1:7" x14ac:dyDescent="0.3">
      <c r="A6" s="7">
        <v>1000005</v>
      </c>
      <c r="B6" s="7" t="s">
        <v>7</v>
      </c>
      <c r="C6" s="14">
        <v>479.62639845537512</v>
      </c>
      <c r="D6" s="14">
        <v>409.19000420698359</v>
      </c>
      <c r="E6" s="14">
        <f t="shared" si="0"/>
        <v>479.62639845537512</v>
      </c>
    </row>
    <row r="7" spans="1:7" x14ac:dyDescent="0.3">
      <c r="A7" s="7">
        <v>1000007</v>
      </c>
      <c r="B7" s="7" t="s">
        <v>8</v>
      </c>
      <c r="C7" s="14">
        <v>910.82349197461735</v>
      </c>
      <c r="D7" s="14">
        <v>496.072</v>
      </c>
      <c r="E7" s="14">
        <f t="shared" si="0"/>
        <v>910.82349197461735</v>
      </c>
      <c r="G7" s="14"/>
    </row>
    <row r="8" spans="1:7" x14ac:dyDescent="0.3">
      <c r="A8" s="7">
        <v>1000009</v>
      </c>
      <c r="B8" s="7" t="s">
        <v>9</v>
      </c>
      <c r="C8" s="14">
        <v>105.5</v>
      </c>
      <c r="D8" s="14">
        <v>0</v>
      </c>
      <c r="E8" s="14">
        <f t="shared" si="0"/>
        <v>105.5</v>
      </c>
    </row>
    <row r="9" spans="1:7" x14ac:dyDescent="0.3">
      <c r="A9" s="7">
        <v>1000010</v>
      </c>
      <c r="B9" s="7" t="s">
        <v>10</v>
      </c>
      <c r="C9" s="14">
        <v>583.28</v>
      </c>
      <c r="D9" s="14">
        <v>583.28</v>
      </c>
      <c r="E9" s="14">
        <f t="shared" si="0"/>
        <v>583.28</v>
      </c>
    </row>
    <row r="10" spans="1:7" x14ac:dyDescent="0.3">
      <c r="A10" s="7">
        <v>1000011</v>
      </c>
      <c r="B10" s="7" t="s">
        <v>11</v>
      </c>
      <c r="C10" s="14">
        <v>4234</v>
      </c>
      <c r="D10" s="14">
        <v>0</v>
      </c>
      <c r="E10" s="14">
        <f t="shared" si="0"/>
        <v>4234</v>
      </c>
    </row>
    <row r="11" spans="1:7" x14ac:dyDescent="0.3">
      <c r="A11" s="7">
        <v>1000014</v>
      </c>
      <c r="B11" s="7" t="s">
        <v>12</v>
      </c>
      <c r="C11" s="14">
        <v>22.558</v>
      </c>
      <c r="D11" s="14">
        <v>0</v>
      </c>
      <c r="E11" s="14">
        <f t="shared" si="0"/>
        <v>22.558</v>
      </c>
    </row>
    <row r="12" spans="1:7" x14ac:dyDescent="0.3">
      <c r="A12" s="7">
        <v>1000016</v>
      </c>
      <c r="B12" s="7" t="s">
        <v>13</v>
      </c>
      <c r="C12" s="14">
        <v>170.83057953255101</v>
      </c>
      <c r="D12" s="14">
        <v>0</v>
      </c>
      <c r="E12" s="14">
        <f t="shared" si="0"/>
        <v>170.83057953255101</v>
      </c>
    </row>
    <row r="13" spans="1:7" x14ac:dyDescent="0.3">
      <c r="A13" s="7">
        <v>1000017</v>
      </c>
      <c r="B13" s="7" t="s">
        <v>14</v>
      </c>
      <c r="C13" s="14">
        <v>85.418704318936875</v>
      </c>
      <c r="D13" s="14">
        <v>223.61297400346618</v>
      </c>
      <c r="E13" s="14">
        <f t="shared" si="0"/>
        <v>223.61297400346618</v>
      </c>
    </row>
    <row r="14" spans="1:7" x14ac:dyDescent="0.3">
      <c r="A14" s="7">
        <v>1000018</v>
      </c>
      <c r="B14" s="7" t="s">
        <v>15</v>
      </c>
      <c r="C14" s="14">
        <v>808.61311949522451</v>
      </c>
      <c r="D14" s="14">
        <v>872.45130434782595</v>
      </c>
      <c r="E14" s="14">
        <f t="shared" si="0"/>
        <v>872.45130434782595</v>
      </c>
    </row>
    <row r="15" spans="1:7" x14ac:dyDescent="0.3">
      <c r="A15" s="7">
        <v>1000019</v>
      </c>
      <c r="B15" s="7" t="s">
        <v>16</v>
      </c>
      <c r="C15" s="14">
        <v>34196.400000000001</v>
      </c>
      <c r="D15" s="14">
        <v>0</v>
      </c>
      <c r="E15" s="14">
        <f t="shared" si="0"/>
        <v>34196.400000000001</v>
      </c>
    </row>
    <row r="16" spans="1:7" x14ac:dyDescent="0.3">
      <c r="A16" s="7">
        <v>1000020</v>
      </c>
      <c r="B16" s="7" t="s">
        <v>17</v>
      </c>
      <c r="C16" s="14">
        <v>28</v>
      </c>
      <c r="D16" s="14">
        <v>28</v>
      </c>
      <c r="E16" s="14">
        <f t="shared" si="0"/>
        <v>28</v>
      </c>
    </row>
    <row r="17" spans="1:5" x14ac:dyDescent="0.3">
      <c r="A17" s="7">
        <v>1000023</v>
      </c>
      <c r="B17" s="7" t="s">
        <v>18</v>
      </c>
      <c r="C17" s="14">
        <v>7481.3243999999995</v>
      </c>
      <c r="D17" s="14">
        <v>7481.3243999999995</v>
      </c>
      <c r="E17" s="14">
        <f t="shared" si="0"/>
        <v>7481.3243999999995</v>
      </c>
    </row>
    <row r="18" spans="1:5" x14ac:dyDescent="0.3">
      <c r="A18" s="7">
        <v>1000026</v>
      </c>
      <c r="B18" s="7" t="s">
        <v>19</v>
      </c>
      <c r="C18" s="14">
        <v>2431.25</v>
      </c>
      <c r="D18" s="14">
        <v>0</v>
      </c>
      <c r="E18" s="14">
        <f t="shared" si="0"/>
        <v>2431.25</v>
      </c>
    </row>
    <row r="19" spans="1:5" x14ac:dyDescent="0.3">
      <c r="A19" s="7">
        <v>1000027</v>
      </c>
      <c r="B19" s="7" t="s">
        <v>20</v>
      </c>
      <c r="C19" s="14">
        <v>1914.6761111111109</v>
      </c>
      <c r="D19" s="14">
        <v>1914.6766666666665</v>
      </c>
      <c r="E19" s="14">
        <f t="shared" si="0"/>
        <v>1914.6766666666665</v>
      </c>
    </row>
    <row r="20" spans="1:5" x14ac:dyDescent="0.3">
      <c r="A20" s="7">
        <v>1000029</v>
      </c>
      <c r="B20" s="7" t="s">
        <v>21</v>
      </c>
      <c r="C20" s="14">
        <v>3.98571428571428</v>
      </c>
      <c r="D20" s="14">
        <v>0</v>
      </c>
      <c r="E20" s="14">
        <f t="shared" si="0"/>
        <v>3.98571428571428</v>
      </c>
    </row>
    <row r="21" spans="1:5" x14ac:dyDescent="0.3">
      <c r="A21" s="7">
        <v>1000030</v>
      </c>
      <c r="B21" s="7" t="s">
        <v>22</v>
      </c>
      <c r="C21" s="14">
        <v>1</v>
      </c>
      <c r="D21" s="14">
        <v>0</v>
      </c>
      <c r="E21" s="14">
        <f t="shared" si="0"/>
        <v>1</v>
      </c>
    </row>
    <row r="22" spans="1:5" x14ac:dyDescent="0.3">
      <c r="A22" s="7">
        <v>1000031</v>
      </c>
      <c r="B22" s="7" t="s">
        <v>23</v>
      </c>
      <c r="C22" s="14">
        <v>0.71428571428571397</v>
      </c>
      <c r="D22" s="14">
        <v>0</v>
      </c>
      <c r="E22" s="14">
        <f t="shared" si="0"/>
        <v>0.71428571428571397</v>
      </c>
    </row>
    <row r="23" spans="1:5" x14ac:dyDescent="0.3">
      <c r="A23" s="7">
        <v>1000032</v>
      </c>
      <c r="B23" s="7" t="s">
        <v>24</v>
      </c>
      <c r="C23" s="14">
        <v>3.9668136853397602</v>
      </c>
      <c r="D23" s="14">
        <v>0</v>
      </c>
      <c r="E23" s="14">
        <f t="shared" si="0"/>
        <v>3.9668136853397602</v>
      </c>
    </row>
    <row r="24" spans="1:5" x14ac:dyDescent="0.3">
      <c r="A24" s="7">
        <v>1000033</v>
      </c>
      <c r="B24" s="7" t="s">
        <v>25</v>
      </c>
      <c r="C24" s="14">
        <v>4.32</v>
      </c>
      <c r="D24" s="14">
        <v>0</v>
      </c>
      <c r="E24" s="14">
        <f t="shared" si="0"/>
        <v>4.32</v>
      </c>
    </row>
    <row r="25" spans="1:5" x14ac:dyDescent="0.3">
      <c r="A25" s="7">
        <v>1000034</v>
      </c>
      <c r="B25" s="7" t="s">
        <v>26</v>
      </c>
      <c r="C25" s="14">
        <v>3.8652631578947401</v>
      </c>
      <c r="D25" s="14">
        <v>0</v>
      </c>
      <c r="E25" s="14">
        <f t="shared" si="0"/>
        <v>3.8652631578947401</v>
      </c>
    </row>
    <row r="26" spans="1:5" x14ac:dyDescent="0.3">
      <c r="A26" s="7">
        <v>1000035</v>
      </c>
      <c r="B26" s="7" t="s">
        <v>27</v>
      </c>
      <c r="C26" s="14">
        <v>0.71428571428571397</v>
      </c>
      <c r="D26" s="14">
        <v>0</v>
      </c>
      <c r="E26" s="14">
        <f t="shared" si="0"/>
        <v>0.71428571428571397</v>
      </c>
    </row>
    <row r="27" spans="1:5" x14ac:dyDescent="0.3">
      <c r="A27" s="7">
        <v>1000038</v>
      </c>
      <c r="B27" s="7" t="s">
        <v>28</v>
      </c>
      <c r="C27" s="14">
        <v>40.936898357283397</v>
      </c>
      <c r="D27" s="14">
        <v>0</v>
      </c>
      <c r="E27" s="14">
        <f t="shared" si="0"/>
        <v>40.936898357283397</v>
      </c>
    </row>
    <row r="28" spans="1:5" x14ac:dyDescent="0.3">
      <c r="A28" s="7">
        <v>1000039</v>
      </c>
      <c r="B28" s="7" t="s">
        <v>29</v>
      </c>
      <c r="C28" s="14">
        <v>5.3000400000000001</v>
      </c>
      <c r="D28" s="14">
        <v>0</v>
      </c>
      <c r="E28" s="14">
        <f t="shared" si="0"/>
        <v>5.3000400000000001</v>
      </c>
    </row>
    <row r="29" spans="1:5" x14ac:dyDescent="0.3">
      <c r="A29" s="7">
        <v>1000040</v>
      </c>
      <c r="B29" s="7" t="s">
        <v>30</v>
      </c>
      <c r="C29" s="14">
        <v>27.155020128152749</v>
      </c>
      <c r="D29" s="14">
        <v>0</v>
      </c>
      <c r="E29" s="14">
        <f t="shared" si="0"/>
        <v>27.155020128152749</v>
      </c>
    </row>
    <row r="30" spans="1:5" x14ac:dyDescent="0.3">
      <c r="A30" s="7">
        <v>1000041</v>
      </c>
      <c r="B30" s="7" t="s">
        <v>31</v>
      </c>
      <c r="C30" s="14">
        <v>34.313737339619301</v>
      </c>
      <c r="D30" s="14">
        <v>0</v>
      </c>
      <c r="E30" s="14">
        <f t="shared" si="0"/>
        <v>34.313737339619301</v>
      </c>
    </row>
    <row r="31" spans="1:5" x14ac:dyDescent="0.3">
      <c r="A31" s="7">
        <v>1000042</v>
      </c>
      <c r="B31" s="7" t="s">
        <v>32</v>
      </c>
      <c r="C31" s="14">
        <v>15</v>
      </c>
      <c r="D31" s="14">
        <v>0</v>
      </c>
      <c r="E31" s="14">
        <f t="shared" si="0"/>
        <v>15</v>
      </c>
    </row>
    <row r="32" spans="1:5" x14ac:dyDescent="0.3">
      <c r="A32" s="7">
        <v>1000043</v>
      </c>
      <c r="B32" s="7" t="s">
        <v>33</v>
      </c>
      <c r="C32" s="14">
        <v>154.1350000000005</v>
      </c>
      <c r="D32" s="14">
        <v>0</v>
      </c>
      <c r="E32" s="14">
        <f t="shared" si="0"/>
        <v>154.1350000000005</v>
      </c>
    </row>
    <row r="33" spans="1:5" x14ac:dyDescent="0.3">
      <c r="A33" s="7">
        <v>1000044</v>
      </c>
      <c r="B33" s="7" t="s">
        <v>34</v>
      </c>
      <c r="C33" s="14">
        <v>263.14</v>
      </c>
      <c r="D33" s="14">
        <v>240.72</v>
      </c>
      <c r="E33" s="14">
        <f t="shared" si="0"/>
        <v>263.14</v>
      </c>
    </row>
    <row r="34" spans="1:5" x14ac:dyDescent="0.3">
      <c r="A34" s="7">
        <v>1000046</v>
      </c>
      <c r="B34" s="7" t="s">
        <v>35</v>
      </c>
      <c r="C34" s="14">
        <v>213.03791963545149</v>
      </c>
      <c r="D34" s="14">
        <v>0</v>
      </c>
      <c r="E34" s="14">
        <f t="shared" si="0"/>
        <v>213.03791963545149</v>
      </c>
    </row>
    <row r="35" spans="1:5" x14ac:dyDescent="0.3">
      <c r="A35" s="7">
        <v>1000047</v>
      </c>
      <c r="B35" s="7" t="s">
        <v>36</v>
      </c>
      <c r="C35" s="14">
        <v>563.98098591549297</v>
      </c>
      <c r="D35" s="14">
        <v>0</v>
      </c>
      <c r="E35" s="14">
        <f t="shared" si="0"/>
        <v>563.98098591549297</v>
      </c>
    </row>
    <row r="36" spans="1:5" x14ac:dyDescent="0.3">
      <c r="A36" s="7">
        <v>1000049</v>
      </c>
      <c r="B36" s="7" t="s">
        <v>37</v>
      </c>
      <c r="C36" s="14">
        <v>462.42484816272963</v>
      </c>
      <c r="D36" s="14">
        <v>725.7</v>
      </c>
      <c r="E36" s="14">
        <f t="shared" si="0"/>
        <v>725.7</v>
      </c>
    </row>
    <row r="37" spans="1:5" x14ac:dyDescent="0.3">
      <c r="A37" s="7">
        <v>1000050</v>
      </c>
      <c r="B37" s="7" t="s">
        <v>38</v>
      </c>
      <c r="C37" s="14">
        <v>32.812147826086957</v>
      </c>
      <c r="D37" s="14">
        <v>21.240000144875861</v>
      </c>
      <c r="E37" s="14">
        <f t="shared" si="0"/>
        <v>32.812147826086957</v>
      </c>
    </row>
    <row r="38" spans="1:5" x14ac:dyDescent="0.3">
      <c r="A38" s="7">
        <v>1000052</v>
      </c>
      <c r="B38" s="7" t="s">
        <v>39</v>
      </c>
      <c r="C38" s="14">
        <v>37.144260444809497</v>
      </c>
      <c r="D38" s="14">
        <v>0</v>
      </c>
      <c r="E38" s="14">
        <f t="shared" si="0"/>
        <v>37.144260444809497</v>
      </c>
    </row>
    <row r="39" spans="1:5" x14ac:dyDescent="0.3">
      <c r="A39" s="7">
        <v>1000054</v>
      </c>
      <c r="B39" s="7" t="s">
        <v>40</v>
      </c>
      <c r="C39" s="14">
        <v>80.485441846934506</v>
      </c>
      <c r="D39" s="14">
        <v>0</v>
      </c>
      <c r="E39" s="14">
        <f t="shared" si="0"/>
        <v>80.485441846934506</v>
      </c>
    </row>
    <row r="40" spans="1:5" x14ac:dyDescent="0.3">
      <c r="A40" s="7">
        <v>1000055</v>
      </c>
      <c r="B40" s="7" t="s">
        <v>41</v>
      </c>
      <c r="C40" s="14">
        <v>82.376756613262302</v>
      </c>
      <c r="D40" s="14">
        <v>0</v>
      </c>
      <c r="E40" s="14">
        <f t="shared" si="0"/>
        <v>82.376756613262302</v>
      </c>
    </row>
    <row r="41" spans="1:5" x14ac:dyDescent="0.3">
      <c r="A41" s="7">
        <v>1000063</v>
      </c>
      <c r="B41" s="7" t="s">
        <v>42</v>
      </c>
      <c r="C41" s="14">
        <v>1622.5</v>
      </c>
      <c r="D41" s="14">
        <v>0</v>
      </c>
      <c r="E41" s="14">
        <f t="shared" si="0"/>
        <v>1622.5</v>
      </c>
    </row>
    <row r="42" spans="1:5" x14ac:dyDescent="0.3">
      <c r="A42" s="7">
        <v>1000068</v>
      </c>
      <c r="B42" s="7" t="s">
        <v>43</v>
      </c>
      <c r="C42" s="14">
        <v>126.44</v>
      </c>
      <c r="D42" s="14">
        <v>679.68</v>
      </c>
      <c r="E42" s="14">
        <f t="shared" si="0"/>
        <v>679.68</v>
      </c>
    </row>
    <row r="43" spans="1:5" x14ac:dyDescent="0.3">
      <c r="A43" s="7">
        <v>1000069</v>
      </c>
      <c r="B43" s="7" t="s">
        <v>44</v>
      </c>
      <c r="C43" s="14">
        <v>639.77001312335904</v>
      </c>
      <c r="D43" s="14">
        <v>0</v>
      </c>
      <c r="E43" s="14">
        <f t="shared" si="0"/>
        <v>639.77001312335904</v>
      </c>
    </row>
    <row r="44" spans="1:5" x14ac:dyDescent="0.3">
      <c r="A44" s="7">
        <v>1000073</v>
      </c>
      <c r="B44" s="7" t="s">
        <v>45</v>
      </c>
      <c r="C44" s="14">
        <v>49.101423665777403</v>
      </c>
      <c r="D44" s="14">
        <v>0</v>
      </c>
      <c r="E44" s="14">
        <f t="shared" si="0"/>
        <v>49.101423665777403</v>
      </c>
    </row>
    <row r="45" spans="1:5" x14ac:dyDescent="0.3">
      <c r="A45" s="7">
        <v>1000083</v>
      </c>
      <c r="B45" s="7" t="s">
        <v>46</v>
      </c>
      <c r="C45" s="14">
        <v>1986.9659541226099</v>
      </c>
      <c r="D45" s="14">
        <v>1691.5536948705656</v>
      </c>
      <c r="E45" s="14">
        <f t="shared" si="0"/>
        <v>1986.9659541226099</v>
      </c>
    </row>
    <row r="46" spans="1:5" x14ac:dyDescent="0.3">
      <c r="A46" s="7">
        <v>1000085</v>
      </c>
      <c r="B46" s="7" t="s">
        <v>47</v>
      </c>
      <c r="C46" s="14">
        <v>0</v>
      </c>
      <c r="D46" s="14">
        <v>0</v>
      </c>
      <c r="E46" s="14">
        <f t="shared" si="0"/>
        <v>0</v>
      </c>
    </row>
    <row r="47" spans="1:5" x14ac:dyDescent="0.3">
      <c r="A47" s="7">
        <v>1000086</v>
      </c>
      <c r="B47" s="7" t="s">
        <v>48</v>
      </c>
      <c r="C47" s="14">
        <v>386.92874999999998</v>
      </c>
      <c r="D47" s="14">
        <v>0</v>
      </c>
      <c r="E47" s="14">
        <f t="shared" si="0"/>
        <v>386.92874999999998</v>
      </c>
    </row>
    <row r="48" spans="1:5" x14ac:dyDescent="0.3">
      <c r="A48" s="7">
        <v>1000091</v>
      </c>
      <c r="B48" s="7" t="s">
        <v>49</v>
      </c>
      <c r="C48" s="14">
        <v>238.02338446491899</v>
      </c>
      <c r="D48" s="14">
        <v>218.3</v>
      </c>
      <c r="E48" s="14">
        <f t="shared" si="0"/>
        <v>238.02338446491899</v>
      </c>
    </row>
    <row r="49" spans="1:5" x14ac:dyDescent="0.3">
      <c r="A49" s="7">
        <v>1000092</v>
      </c>
      <c r="B49" s="7" t="s">
        <v>50</v>
      </c>
      <c r="C49" s="14">
        <v>0</v>
      </c>
      <c r="D49" s="14">
        <v>0</v>
      </c>
      <c r="E49" s="14">
        <f t="shared" si="0"/>
        <v>0</v>
      </c>
    </row>
    <row r="50" spans="1:5" x14ac:dyDescent="0.3">
      <c r="A50" s="7">
        <v>1000093</v>
      </c>
      <c r="B50" s="7" t="s">
        <v>51</v>
      </c>
      <c r="C50" s="14">
        <v>160.90289923027501</v>
      </c>
      <c r="D50" s="14">
        <v>0</v>
      </c>
      <c r="E50" s="14">
        <f t="shared" si="0"/>
        <v>160.90289923027501</v>
      </c>
    </row>
    <row r="51" spans="1:5" x14ac:dyDescent="0.3">
      <c r="A51" s="7">
        <v>1000094</v>
      </c>
      <c r="B51" s="7" t="s">
        <v>52</v>
      </c>
      <c r="C51" s="14">
        <v>35</v>
      </c>
      <c r="D51" s="14">
        <v>0</v>
      </c>
      <c r="E51" s="14">
        <f t="shared" si="0"/>
        <v>35</v>
      </c>
    </row>
    <row r="52" spans="1:5" x14ac:dyDescent="0.3">
      <c r="A52" s="7">
        <v>1000095</v>
      </c>
      <c r="B52" s="7" t="s">
        <v>53</v>
      </c>
      <c r="C52" s="14">
        <v>568.94880000000001</v>
      </c>
      <c r="D52" s="14">
        <v>1201.24</v>
      </c>
      <c r="E52" s="14">
        <f t="shared" si="0"/>
        <v>1201.24</v>
      </c>
    </row>
    <row r="53" spans="1:5" x14ac:dyDescent="0.3">
      <c r="A53" s="7">
        <v>1000096</v>
      </c>
      <c r="B53" s="7" t="s">
        <v>54</v>
      </c>
      <c r="C53" s="14">
        <v>1250.93</v>
      </c>
      <c r="D53" s="14">
        <v>0</v>
      </c>
      <c r="E53" s="14">
        <f t="shared" si="0"/>
        <v>1250.93</v>
      </c>
    </row>
    <row r="54" spans="1:5" x14ac:dyDescent="0.3">
      <c r="A54" s="7">
        <v>1000097</v>
      </c>
      <c r="B54" s="7" t="s">
        <v>55</v>
      </c>
      <c r="C54" s="14">
        <v>1158.6115381494665</v>
      </c>
      <c r="D54" s="14">
        <v>938.74714285714276</v>
      </c>
      <c r="E54" s="14">
        <f t="shared" si="0"/>
        <v>1158.6115381494665</v>
      </c>
    </row>
    <row r="55" spans="1:5" x14ac:dyDescent="0.3">
      <c r="A55" s="7">
        <v>1000098</v>
      </c>
      <c r="B55" s="7" t="s">
        <v>56</v>
      </c>
      <c r="C55" s="14">
        <v>1515.9571539294302</v>
      </c>
      <c r="D55" s="14">
        <v>3182.2948000000001</v>
      </c>
      <c r="E55" s="14">
        <f t="shared" si="0"/>
        <v>3182.2948000000001</v>
      </c>
    </row>
    <row r="56" spans="1:5" x14ac:dyDescent="0.3">
      <c r="A56" s="7">
        <v>1000099</v>
      </c>
      <c r="B56" s="7" t="s">
        <v>57</v>
      </c>
      <c r="C56" s="14">
        <v>24.1175</v>
      </c>
      <c r="D56" s="14">
        <v>0</v>
      </c>
      <c r="E56" s="14">
        <f t="shared" si="0"/>
        <v>24.1175</v>
      </c>
    </row>
    <row r="57" spans="1:5" x14ac:dyDescent="0.3">
      <c r="A57" s="7">
        <v>1000100</v>
      </c>
      <c r="B57" s="7" t="s">
        <v>58</v>
      </c>
      <c r="C57" s="14">
        <v>70.22</v>
      </c>
      <c r="D57" s="14">
        <v>41.456583445844586</v>
      </c>
      <c r="E57" s="14">
        <f t="shared" si="0"/>
        <v>70.22</v>
      </c>
    </row>
    <row r="58" spans="1:5" x14ac:dyDescent="0.3">
      <c r="A58" s="7">
        <v>1000101</v>
      </c>
      <c r="B58" s="7" t="s">
        <v>59</v>
      </c>
      <c r="C58" s="14">
        <v>135.06290042997099</v>
      </c>
      <c r="D58" s="14">
        <v>94.4</v>
      </c>
      <c r="E58" s="14">
        <f t="shared" si="0"/>
        <v>135.06290042997099</v>
      </c>
    </row>
    <row r="59" spans="1:5" x14ac:dyDescent="0.3">
      <c r="A59" s="7">
        <v>1000102</v>
      </c>
      <c r="B59" s="7" t="s">
        <v>60</v>
      </c>
      <c r="C59" s="14">
        <v>392.960046262258</v>
      </c>
      <c r="D59" s="14">
        <v>93.773260319858608</v>
      </c>
      <c r="E59" s="14">
        <f t="shared" si="0"/>
        <v>392.960046262258</v>
      </c>
    </row>
    <row r="60" spans="1:5" x14ac:dyDescent="0.3">
      <c r="A60" s="7">
        <v>1000103</v>
      </c>
      <c r="B60" s="7" t="s">
        <v>61</v>
      </c>
      <c r="C60" s="14">
        <v>378.43493315340601</v>
      </c>
      <c r="D60" s="14">
        <v>427.50220000000002</v>
      </c>
      <c r="E60" s="14">
        <f t="shared" si="0"/>
        <v>427.50220000000002</v>
      </c>
    </row>
    <row r="61" spans="1:5" x14ac:dyDescent="0.3">
      <c r="A61" s="7">
        <v>1000104</v>
      </c>
      <c r="B61" s="7" t="s">
        <v>62</v>
      </c>
      <c r="C61" s="14">
        <v>2717.3232499999999</v>
      </c>
      <c r="D61" s="14">
        <v>0</v>
      </c>
      <c r="E61" s="14">
        <f t="shared" si="0"/>
        <v>2717.3232499999999</v>
      </c>
    </row>
    <row r="62" spans="1:5" x14ac:dyDescent="0.3">
      <c r="A62" s="7">
        <v>1000107</v>
      </c>
      <c r="B62" s="7" t="s">
        <v>63</v>
      </c>
      <c r="C62" s="14">
        <v>8372.0645999999997</v>
      </c>
      <c r="D62" s="14">
        <v>0</v>
      </c>
      <c r="E62" s="14">
        <f t="shared" si="0"/>
        <v>8372.0645999999997</v>
      </c>
    </row>
    <row r="63" spans="1:5" x14ac:dyDescent="0.3">
      <c r="A63" s="7">
        <v>1000111</v>
      </c>
      <c r="B63" s="7" t="s">
        <v>64</v>
      </c>
      <c r="C63" s="14">
        <v>0</v>
      </c>
      <c r="D63" s="14">
        <v>0</v>
      </c>
      <c r="E63" s="14">
        <f t="shared" si="0"/>
        <v>0</v>
      </c>
    </row>
    <row r="64" spans="1:5" x14ac:dyDescent="0.3">
      <c r="A64" s="7">
        <v>1000117</v>
      </c>
      <c r="B64" s="7" t="s">
        <v>65</v>
      </c>
      <c r="C64" s="14">
        <v>571.67876960033504</v>
      </c>
      <c r="D64" s="14">
        <v>0</v>
      </c>
      <c r="E64" s="14">
        <f t="shared" si="0"/>
        <v>571.67876960033504</v>
      </c>
    </row>
    <row r="65" spans="1:5" x14ac:dyDescent="0.3">
      <c r="A65" s="7">
        <v>1000122</v>
      </c>
      <c r="B65" s="7" t="s">
        <v>66</v>
      </c>
      <c r="C65" s="14">
        <v>0</v>
      </c>
      <c r="D65" s="14">
        <v>0</v>
      </c>
      <c r="E65" s="14">
        <f t="shared" si="0"/>
        <v>0</v>
      </c>
    </row>
    <row r="66" spans="1:5" x14ac:dyDescent="0.3">
      <c r="A66" s="7">
        <v>1000123</v>
      </c>
      <c r="B66" s="7" t="s">
        <v>67</v>
      </c>
      <c r="C66" s="14">
        <v>0</v>
      </c>
      <c r="D66" s="14">
        <v>0</v>
      </c>
      <c r="E66" s="14">
        <f t="shared" si="0"/>
        <v>0</v>
      </c>
    </row>
    <row r="67" spans="1:5" x14ac:dyDescent="0.3">
      <c r="A67" s="7">
        <v>1000124</v>
      </c>
      <c r="B67" s="7" t="s">
        <v>68</v>
      </c>
      <c r="C67" s="14">
        <v>224.01710021750799</v>
      </c>
      <c r="D67" s="14">
        <v>0</v>
      </c>
      <c r="E67" s="14">
        <f t="shared" ref="E67:E130" si="1">+MAX(C67, D67)</f>
        <v>224.01710021750799</v>
      </c>
    </row>
    <row r="68" spans="1:5" x14ac:dyDescent="0.3">
      <c r="A68" s="7">
        <v>1000129</v>
      </c>
      <c r="B68" s="7" t="s">
        <v>69</v>
      </c>
      <c r="C68" s="14">
        <v>51.61306673571837</v>
      </c>
      <c r="D68" s="14">
        <v>56.007065983037037</v>
      </c>
      <c r="E68" s="14">
        <f t="shared" si="1"/>
        <v>56.007065983037037</v>
      </c>
    </row>
    <row r="69" spans="1:5" x14ac:dyDescent="0.3">
      <c r="A69" s="7">
        <v>1000130</v>
      </c>
      <c r="B69" s="7" t="s">
        <v>70</v>
      </c>
      <c r="C69" s="14">
        <v>66.114473720538101</v>
      </c>
      <c r="D69" s="14">
        <v>60.096085719656621</v>
      </c>
      <c r="E69" s="14">
        <f t="shared" si="1"/>
        <v>66.114473720538101</v>
      </c>
    </row>
    <row r="70" spans="1:5" x14ac:dyDescent="0.3">
      <c r="A70" s="7">
        <v>1000134</v>
      </c>
      <c r="B70" s="7" t="s">
        <v>71</v>
      </c>
      <c r="C70" s="14">
        <v>19.72</v>
      </c>
      <c r="D70" s="14">
        <v>0</v>
      </c>
      <c r="E70" s="14">
        <f t="shared" si="1"/>
        <v>19.72</v>
      </c>
    </row>
    <row r="71" spans="1:5" x14ac:dyDescent="0.3">
      <c r="A71" s="7">
        <v>1000136</v>
      </c>
      <c r="B71" s="7" t="s">
        <v>72</v>
      </c>
      <c r="C71" s="14">
        <v>368.34518573017698</v>
      </c>
      <c r="D71" s="14">
        <v>0</v>
      </c>
      <c r="E71" s="14">
        <f t="shared" si="1"/>
        <v>368.34518573017698</v>
      </c>
    </row>
    <row r="72" spans="1:5" x14ac:dyDescent="0.3">
      <c r="A72" s="7">
        <v>1000137</v>
      </c>
      <c r="B72" s="7" t="s">
        <v>73</v>
      </c>
      <c r="C72" s="14">
        <v>97.338791801510197</v>
      </c>
      <c r="D72" s="14">
        <v>0</v>
      </c>
      <c r="E72" s="14">
        <f t="shared" si="1"/>
        <v>97.338791801510197</v>
      </c>
    </row>
    <row r="73" spans="1:5" x14ac:dyDescent="0.3">
      <c r="A73" s="7">
        <v>1000138</v>
      </c>
      <c r="B73" s="7" t="s">
        <v>74</v>
      </c>
      <c r="C73" s="14">
        <v>345.524789473684</v>
      </c>
      <c r="D73" s="14">
        <v>0</v>
      </c>
      <c r="E73" s="14">
        <f t="shared" si="1"/>
        <v>345.524789473684</v>
      </c>
    </row>
    <row r="74" spans="1:5" x14ac:dyDescent="0.3">
      <c r="A74" s="7">
        <v>1000140</v>
      </c>
      <c r="B74" s="7" t="s">
        <v>75</v>
      </c>
      <c r="C74" s="14">
        <v>172.84</v>
      </c>
      <c r="D74" s="14">
        <v>0</v>
      </c>
      <c r="E74" s="14">
        <f t="shared" si="1"/>
        <v>172.84</v>
      </c>
    </row>
    <row r="75" spans="1:5" x14ac:dyDescent="0.3">
      <c r="A75" s="7">
        <v>1000141</v>
      </c>
      <c r="B75" s="7" t="s">
        <v>76</v>
      </c>
      <c r="C75" s="14">
        <v>660.14113243367672</v>
      </c>
      <c r="D75" s="14">
        <v>21.0748</v>
      </c>
      <c r="E75" s="14">
        <f t="shared" si="1"/>
        <v>660.14113243367672</v>
      </c>
    </row>
    <row r="76" spans="1:5" x14ac:dyDescent="0.3">
      <c r="A76" s="7">
        <v>1000142</v>
      </c>
      <c r="B76" s="7" t="s">
        <v>77</v>
      </c>
      <c r="C76" s="14">
        <v>70.965220330224497</v>
      </c>
      <c r="D76" s="14">
        <v>0</v>
      </c>
      <c r="E76" s="14">
        <f t="shared" si="1"/>
        <v>70.965220330224497</v>
      </c>
    </row>
    <row r="77" spans="1:5" x14ac:dyDescent="0.3">
      <c r="A77" s="7">
        <v>1000143</v>
      </c>
      <c r="B77" s="7" t="s">
        <v>78</v>
      </c>
      <c r="C77" s="14">
        <v>0</v>
      </c>
      <c r="D77" s="14">
        <v>0</v>
      </c>
      <c r="E77" s="14">
        <f t="shared" si="1"/>
        <v>0</v>
      </c>
    </row>
    <row r="78" spans="1:5" x14ac:dyDescent="0.3">
      <c r="A78" s="7">
        <v>1000144</v>
      </c>
      <c r="B78" s="7" t="s">
        <v>79</v>
      </c>
      <c r="C78" s="14">
        <v>75.667866666666697</v>
      </c>
      <c r="D78" s="14">
        <v>129.32634387886162</v>
      </c>
      <c r="E78" s="14">
        <f t="shared" si="1"/>
        <v>129.32634387886162</v>
      </c>
    </row>
    <row r="79" spans="1:5" x14ac:dyDescent="0.3">
      <c r="A79" s="7">
        <v>1000145</v>
      </c>
      <c r="B79" s="7" t="s">
        <v>80</v>
      </c>
      <c r="C79" s="14">
        <v>233.85217763899601</v>
      </c>
      <c r="D79" s="14">
        <v>260.48048140043761</v>
      </c>
      <c r="E79" s="14">
        <f t="shared" si="1"/>
        <v>260.48048140043761</v>
      </c>
    </row>
    <row r="80" spans="1:5" x14ac:dyDescent="0.3">
      <c r="A80" s="7">
        <v>1000147</v>
      </c>
      <c r="B80" s="7" t="s">
        <v>81</v>
      </c>
      <c r="C80" s="14">
        <v>7.4340000000000002</v>
      </c>
      <c r="D80" s="14">
        <v>0</v>
      </c>
      <c r="E80" s="14">
        <f t="shared" si="1"/>
        <v>7.4340000000000002</v>
      </c>
    </row>
    <row r="81" spans="1:5" x14ac:dyDescent="0.3">
      <c r="A81" s="7">
        <v>1000150</v>
      </c>
      <c r="B81" s="7" t="s">
        <v>82</v>
      </c>
      <c r="C81" s="14">
        <v>170.49877729257642</v>
      </c>
      <c r="D81" s="14">
        <v>0</v>
      </c>
      <c r="E81" s="14">
        <f t="shared" si="1"/>
        <v>170.49877729257642</v>
      </c>
    </row>
    <row r="82" spans="1:5" x14ac:dyDescent="0.3">
      <c r="A82" s="7">
        <v>1000156</v>
      </c>
      <c r="B82" s="7" t="s">
        <v>83</v>
      </c>
      <c r="C82" s="14">
        <v>21.491568888888899</v>
      </c>
      <c r="D82" s="14">
        <v>0</v>
      </c>
      <c r="E82" s="14">
        <f t="shared" si="1"/>
        <v>21.491568888888899</v>
      </c>
    </row>
    <row r="83" spans="1:5" x14ac:dyDescent="0.3">
      <c r="A83" s="7">
        <v>1000159</v>
      </c>
      <c r="B83" s="7" t="s">
        <v>84</v>
      </c>
      <c r="C83" s="14">
        <v>98.155553385930602</v>
      </c>
      <c r="D83" s="14">
        <v>0</v>
      </c>
      <c r="E83" s="14">
        <f t="shared" si="1"/>
        <v>98.155553385930602</v>
      </c>
    </row>
    <row r="84" spans="1:5" x14ac:dyDescent="0.3">
      <c r="A84" s="7">
        <v>1000160</v>
      </c>
      <c r="B84" s="7" t="s">
        <v>85</v>
      </c>
      <c r="C84" s="14">
        <v>188.91487421332451</v>
      </c>
      <c r="D84" s="14">
        <v>0</v>
      </c>
      <c r="E84" s="14">
        <f t="shared" si="1"/>
        <v>188.91487421332451</v>
      </c>
    </row>
    <row r="85" spans="1:5" x14ac:dyDescent="0.3">
      <c r="A85" s="7">
        <v>1000161</v>
      </c>
      <c r="B85" s="7" t="s">
        <v>86</v>
      </c>
      <c r="C85" s="14">
        <v>321.69328105773099</v>
      </c>
      <c r="D85" s="14">
        <v>0</v>
      </c>
      <c r="E85" s="14">
        <f t="shared" si="1"/>
        <v>321.69328105773099</v>
      </c>
    </row>
    <row r="86" spans="1:5" x14ac:dyDescent="0.3">
      <c r="A86" s="7">
        <v>1000163</v>
      </c>
      <c r="B86" s="7" t="s">
        <v>87</v>
      </c>
      <c r="C86" s="14">
        <v>53.415878183946688</v>
      </c>
      <c r="D86" s="14">
        <v>76.640251576466881</v>
      </c>
      <c r="E86" s="14">
        <f t="shared" si="1"/>
        <v>76.640251576466881</v>
      </c>
    </row>
    <row r="87" spans="1:5" x14ac:dyDescent="0.3">
      <c r="A87" s="7">
        <v>1000164</v>
      </c>
      <c r="B87" s="7" t="s">
        <v>88</v>
      </c>
      <c r="C87" s="14">
        <v>108.94426923076922</v>
      </c>
      <c r="D87" s="14">
        <v>111.29327495603735</v>
      </c>
      <c r="E87" s="14">
        <f t="shared" si="1"/>
        <v>111.29327495603735</v>
      </c>
    </row>
    <row r="88" spans="1:5" x14ac:dyDescent="0.3">
      <c r="A88" s="7">
        <v>1000165</v>
      </c>
      <c r="B88" s="7" t="s">
        <v>89</v>
      </c>
      <c r="C88" s="14">
        <v>122.7504236238711</v>
      </c>
      <c r="D88" s="14">
        <v>210.70920717355961</v>
      </c>
      <c r="E88" s="14">
        <f t="shared" si="1"/>
        <v>210.70920717355961</v>
      </c>
    </row>
    <row r="89" spans="1:5" x14ac:dyDescent="0.3">
      <c r="A89" s="7">
        <v>1000173</v>
      </c>
      <c r="B89" s="7" t="s">
        <v>90</v>
      </c>
      <c r="C89" s="14">
        <v>410.86283080856498</v>
      </c>
      <c r="D89" s="14">
        <v>0</v>
      </c>
      <c r="E89" s="14">
        <f t="shared" si="1"/>
        <v>410.86283080856498</v>
      </c>
    </row>
    <row r="90" spans="1:5" x14ac:dyDescent="0.3">
      <c r="A90" s="7">
        <v>1000176</v>
      </c>
      <c r="B90" s="7" t="s">
        <v>91</v>
      </c>
      <c r="C90" s="14">
        <v>5141.0529999999999</v>
      </c>
      <c r="D90" s="14">
        <v>0</v>
      </c>
      <c r="E90" s="14">
        <f t="shared" si="1"/>
        <v>5141.0529999999999</v>
      </c>
    </row>
    <row r="91" spans="1:5" x14ac:dyDescent="0.3">
      <c r="A91" s="7">
        <v>1000177</v>
      </c>
      <c r="B91" s="7" t="s">
        <v>92</v>
      </c>
      <c r="C91" s="14">
        <v>800.00584760101003</v>
      </c>
      <c r="D91" s="14">
        <v>0</v>
      </c>
      <c r="E91" s="14">
        <f t="shared" si="1"/>
        <v>800.00584760101003</v>
      </c>
    </row>
    <row r="92" spans="1:5" x14ac:dyDescent="0.3">
      <c r="A92" s="7">
        <v>1000179</v>
      </c>
      <c r="B92" s="7" t="s">
        <v>93</v>
      </c>
      <c r="C92" s="14">
        <v>229.341360818288</v>
      </c>
      <c r="D92" s="14">
        <v>518.49199999999996</v>
      </c>
      <c r="E92" s="14">
        <f t="shared" si="1"/>
        <v>518.49199999999996</v>
      </c>
    </row>
    <row r="93" spans="1:5" x14ac:dyDescent="0.3">
      <c r="A93" s="7">
        <v>1000181</v>
      </c>
      <c r="B93" s="7" t="s">
        <v>94</v>
      </c>
      <c r="C93" s="14">
        <v>13705.836744856</v>
      </c>
      <c r="D93" s="14">
        <v>0</v>
      </c>
      <c r="E93" s="14">
        <f t="shared" si="1"/>
        <v>13705.836744856</v>
      </c>
    </row>
    <row r="94" spans="1:5" x14ac:dyDescent="0.3">
      <c r="A94" s="7">
        <v>1000189</v>
      </c>
      <c r="B94" s="7" t="s">
        <v>95</v>
      </c>
      <c r="C94" s="14">
        <v>173029.650339482</v>
      </c>
      <c r="D94" s="14">
        <v>0</v>
      </c>
      <c r="E94" s="14">
        <f t="shared" si="1"/>
        <v>173029.650339482</v>
      </c>
    </row>
    <row r="95" spans="1:5" x14ac:dyDescent="0.3">
      <c r="A95" s="7">
        <v>1000190</v>
      </c>
      <c r="B95" s="7" t="s">
        <v>96</v>
      </c>
      <c r="C95" s="14">
        <v>5000</v>
      </c>
      <c r="D95" s="14">
        <v>0</v>
      </c>
      <c r="E95" s="14">
        <f t="shared" si="1"/>
        <v>5000</v>
      </c>
    </row>
    <row r="96" spans="1:5" x14ac:dyDescent="0.3">
      <c r="A96" s="7">
        <v>1000192</v>
      </c>
      <c r="B96" s="7" t="s">
        <v>97</v>
      </c>
      <c r="C96" s="14">
        <v>165.2</v>
      </c>
      <c r="D96" s="14">
        <v>0</v>
      </c>
      <c r="E96" s="14">
        <f t="shared" si="1"/>
        <v>165.2</v>
      </c>
    </row>
    <row r="97" spans="1:5" x14ac:dyDescent="0.3">
      <c r="A97" s="7">
        <v>1000193</v>
      </c>
      <c r="B97" s="7" t="s">
        <v>98</v>
      </c>
      <c r="C97" s="14">
        <v>0</v>
      </c>
      <c r="D97" s="14">
        <v>0</v>
      </c>
      <c r="E97" s="14">
        <f t="shared" si="1"/>
        <v>0</v>
      </c>
    </row>
    <row r="98" spans="1:5" x14ac:dyDescent="0.3">
      <c r="A98" s="7">
        <v>1000199</v>
      </c>
      <c r="B98" s="7" t="s">
        <v>99</v>
      </c>
      <c r="C98" s="14">
        <v>723.82158536585302</v>
      </c>
      <c r="D98" s="14">
        <v>0</v>
      </c>
      <c r="E98" s="14">
        <f t="shared" si="1"/>
        <v>723.82158536585302</v>
      </c>
    </row>
    <row r="99" spans="1:5" x14ac:dyDescent="0.3">
      <c r="A99" s="7">
        <v>1000200</v>
      </c>
      <c r="B99" s="7" t="s">
        <v>100</v>
      </c>
      <c r="C99" s="14">
        <v>10780.566877099664</v>
      </c>
      <c r="D99" s="14">
        <v>15169.934999999999</v>
      </c>
      <c r="E99" s="14">
        <f t="shared" si="1"/>
        <v>15169.934999999999</v>
      </c>
    </row>
    <row r="100" spans="1:5" x14ac:dyDescent="0.3">
      <c r="A100" s="7">
        <v>1000201</v>
      </c>
      <c r="B100" s="7" t="s">
        <v>101</v>
      </c>
      <c r="C100" s="14">
        <v>2070.6</v>
      </c>
      <c r="D100" s="14">
        <v>0</v>
      </c>
      <c r="E100" s="14">
        <f t="shared" si="1"/>
        <v>2070.6</v>
      </c>
    </row>
    <row r="101" spans="1:5" x14ac:dyDescent="0.3">
      <c r="A101" s="7">
        <v>1000202</v>
      </c>
      <c r="B101" s="7" t="s">
        <v>102</v>
      </c>
      <c r="C101" s="14">
        <v>0</v>
      </c>
      <c r="D101" s="14">
        <v>0</v>
      </c>
      <c r="E101" s="14">
        <f t="shared" si="1"/>
        <v>0</v>
      </c>
    </row>
    <row r="102" spans="1:5" x14ac:dyDescent="0.3">
      <c r="A102" s="7">
        <v>1000209</v>
      </c>
      <c r="B102" s="7" t="s">
        <v>103</v>
      </c>
      <c r="C102" s="14">
        <v>2338.2600000000002</v>
      </c>
      <c r="D102" s="14">
        <v>0</v>
      </c>
      <c r="E102" s="14">
        <f t="shared" si="1"/>
        <v>2338.2600000000002</v>
      </c>
    </row>
    <row r="103" spans="1:5" x14ac:dyDescent="0.3">
      <c r="A103" s="7">
        <v>1000211</v>
      </c>
      <c r="B103" s="7" t="s">
        <v>104</v>
      </c>
      <c r="C103" s="14">
        <v>281.01</v>
      </c>
      <c r="D103" s="14">
        <v>0</v>
      </c>
      <c r="E103" s="14">
        <f t="shared" si="1"/>
        <v>281.01</v>
      </c>
    </row>
    <row r="104" spans="1:5" x14ac:dyDescent="0.3">
      <c r="A104" s="7">
        <v>1000212</v>
      </c>
      <c r="B104" s="7" t="s">
        <v>105</v>
      </c>
      <c r="C104" s="14">
        <v>890.45173913043504</v>
      </c>
      <c r="D104" s="14">
        <v>0</v>
      </c>
      <c r="E104" s="14">
        <f t="shared" si="1"/>
        <v>890.45173913043504</v>
      </c>
    </row>
    <row r="105" spans="1:5" x14ac:dyDescent="0.3">
      <c r="A105" s="7">
        <v>1000213</v>
      </c>
      <c r="B105" s="7" t="s">
        <v>106</v>
      </c>
      <c r="C105" s="14">
        <v>890.45184285714299</v>
      </c>
      <c r="D105" s="14">
        <v>0</v>
      </c>
      <c r="E105" s="14">
        <f t="shared" si="1"/>
        <v>890.45184285714299</v>
      </c>
    </row>
    <row r="106" spans="1:5" x14ac:dyDescent="0.3">
      <c r="A106" s="7">
        <v>1000214</v>
      </c>
      <c r="B106" s="7" t="s">
        <v>107</v>
      </c>
      <c r="C106" s="14">
        <v>890.45173913043504</v>
      </c>
      <c r="D106" s="14">
        <v>0</v>
      </c>
      <c r="E106" s="14">
        <f t="shared" si="1"/>
        <v>890.45173913043504</v>
      </c>
    </row>
    <row r="107" spans="1:5" x14ac:dyDescent="0.3">
      <c r="A107" s="7">
        <v>1000215</v>
      </c>
      <c r="B107" s="7" t="s">
        <v>108</v>
      </c>
      <c r="C107" s="14">
        <v>1914</v>
      </c>
      <c r="D107" s="14">
        <v>0</v>
      </c>
      <c r="E107" s="14">
        <f t="shared" si="1"/>
        <v>1914</v>
      </c>
    </row>
    <row r="108" spans="1:5" x14ac:dyDescent="0.3">
      <c r="A108" s="7">
        <v>1000217</v>
      </c>
      <c r="B108" s="7" t="s">
        <v>109</v>
      </c>
      <c r="C108" s="14">
        <v>1856</v>
      </c>
      <c r="D108" s="14">
        <v>0</v>
      </c>
      <c r="E108" s="14">
        <f t="shared" si="1"/>
        <v>1856</v>
      </c>
    </row>
    <row r="109" spans="1:5" x14ac:dyDescent="0.3">
      <c r="A109" s="7">
        <v>1000218</v>
      </c>
      <c r="B109" s="7" t="s">
        <v>110</v>
      </c>
      <c r="C109" s="14">
        <v>3480.64672759942</v>
      </c>
      <c r="D109" s="14">
        <v>0</v>
      </c>
      <c r="E109" s="14">
        <f t="shared" si="1"/>
        <v>3480.64672759942</v>
      </c>
    </row>
    <row r="110" spans="1:5" x14ac:dyDescent="0.3">
      <c r="A110" s="7">
        <v>1000219</v>
      </c>
      <c r="B110" s="7" t="s">
        <v>111</v>
      </c>
      <c r="C110" s="14">
        <v>3731.4668724110902</v>
      </c>
      <c r="D110" s="14">
        <v>0</v>
      </c>
      <c r="E110" s="14">
        <f t="shared" si="1"/>
        <v>3731.4668724110902</v>
      </c>
    </row>
    <row r="111" spans="1:5" x14ac:dyDescent="0.3">
      <c r="A111" s="7">
        <v>1000220</v>
      </c>
      <c r="B111" s="7" t="s">
        <v>112</v>
      </c>
      <c r="C111" s="14">
        <v>3773.1989406071698</v>
      </c>
      <c r="D111" s="14">
        <v>0</v>
      </c>
      <c r="E111" s="14">
        <f t="shared" si="1"/>
        <v>3773.1989406071698</v>
      </c>
    </row>
    <row r="112" spans="1:5" x14ac:dyDescent="0.3">
      <c r="A112" s="7">
        <v>1000221</v>
      </c>
      <c r="B112" s="7" t="s">
        <v>113</v>
      </c>
      <c r="C112" s="14">
        <v>3446.8197272120801</v>
      </c>
      <c r="D112" s="14">
        <v>0</v>
      </c>
      <c r="E112" s="14">
        <f t="shared" si="1"/>
        <v>3446.8197272120801</v>
      </c>
    </row>
    <row r="113" spans="1:5" x14ac:dyDescent="0.3">
      <c r="A113" s="7">
        <v>1000222</v>
      </c>
      <c r="B113" s="7" t="s">
        <v>114</v>
      </c>
      <c r="C113" s="14">
        <v>3468.47059942735</v>
      </c>
      <c r="D113" s="14">
        <v>0</v>
      </c>
      <c r="E113" s="14">
        <f t="shared" si="1"/>
        <v>3468.47059942735</v>
      </c>
    </row>
    <row r="114" spans="1:5" x14ac:dyDescent="0.3">
      <c r="A114" s="7">
        <v>1000223</v>
      </c>
      <c r="B114" s="7" t="s">
        <v>115</v>
      </c>
      <c r="C114" s="14">
        <v>3396.8832351585202</v>
      </c>
      <c r="D114" s="14">
        <v>0</v>
      </c>
      <c r="E114" s="14">
        <f t="shared" si="1"/>
        <v>3396.8832351585202</v>
      </c>
    </row>
    <row r="115" spans="1:5" x14ac:dyDescent="0.3">
      <c r="A115" s="7">
        <v>1000224</v>
      </c>
      <c r="B115" s="7" t="s">
        <v>116</v>
      </c>
      <c r="C115" s="14">
        <v>2654.9447265065301</v>
      </c>
      <c r="D115" s="14">
        <v>0</v>
      </c>
      <c r="E115" s="14">
        <f t="shared" si="1"/>
        <v>2654.9447265065301</v>
      </c>
    </row>
    <row r="116" spans="1:5" x14ac:dyDescent="0.3">
      <c r="A116" s="7">
        <v>1000225</v>
      </c>
      <c r="B116" s="7" t="s">
        <v>117</v>
      </c>
      <c r="C116" s="14">
        <v>3122.5606955471799</v>
      </c>
      <c r="D116" s="14">
        <v>0</v>
      </c>
      <c r="E116" s="14">
        <f t="shared" si="1"/>
        <v>3122.5606955471799</v>
      </c>
    </row>
    <row r="117" spans="1:5" x14ac:dyDescent="0.3">
      <c r="A117" s="7">
        <v>1000226</v>
      </c>
      <c r="B117" s="7" t="s">
        <v>118</v>
      </c>
      <c r="C117" s="14">
        <v>2903.4975250965299</v>
      </c>
      <c r="D117" s="14">
        <v>0</v>
      </c>
      <c r="E117" s="14">
        <f t="shared" si="1"/>
        <v>2903.4975250965299</v>
      </c>
    </row>
    <row r="118" spans="1:5" x14ac:dyDescent="0.3">
      <c r="A118" s="7">
        <v>1000227</v>
      </c>
      <c r="B118" s="7" t="s">
        <v>119</v>
      </c>
      <c r="C118" s="14">
        <v>2638.39618922306</v>
      </c>
      <c r="D118" s="14">
        <v>0</v>
      </c>
      <c r="E118" s="14">
        <f t="shared" si="1"/>
        <v>2638.39618922306</v>
      </c>
    </row>
    <row r="119" spans="1:5" x14ac:dyDescent="0.3">
      <c r="A119" s="7">
        <v>1000228</v>
      </c>
      <c r="B119" s="7" t="s">
        <v>120</v>
      </c>
      <c r="C119" s="14">
        <v>360.73680000000002</v>
      </c>
      <c r="D119" s="14">
        <v>0</v>
      </c>
      <c r="E119" s="14">
        <f t="shared" si="1"/>
        <v>360.73680000000002</v>
      </c>
    </row>
    <row r="120" spans="1:5" x14ac:dyDescent="0.3">
      <c r="A120" s="7">
        <v>1000229</v>
      </c>
      <c r="B120" s="7" t="s">
        <v>121</v>
      </c>
      <c r="C120" s="14">
        <v>487.2</v>
      </c>
      <c r="D120" s="14">
        <v>0</v>
      </c>
      <c r="E120" s="14">
        <f t="shared" si="1"/>
        <v>487.2</v>
      </c>
    </row>
    <row r="121" spans="1:5" x14ac:dyDescent="0.3">
      <c r="A121" s="7">
        <v>1000230</v>
      </c>
      <c r="B121" s="7" t="s">
        <v>122</v>
      </c>
      <c r="C121" s="14">
        <v>487.2</v>
      </c>
      <c r="D121" s="14">
        <v>0</v>
      </c>
      <c r="E121" s="14">
        <f t="shared" si="1"/>
        <v>487.2</v>
      </c>
    </row>
    <row r="122" spans="1:5" x14ac:dyDescent="0.3">
      <c r="A122" s="7">
        <v>1000231</v>
      </c>
      <c r="B122" s="7" t="s">
        <v>123</v>
      </c>
      <c r="C122" s="14">
        <v>487.2</v>
      </c>
      <c r="D122" s="14">
        <v>0</v>
      </c>
      <c r="E122" s="14">
        <f t="shared" si="1"/>
        <v>487.2</v>
      </c>
    </row>
    <row r="123" spans="1:5" x14ac:dyDescent="0.3">
      <c r="A123" s="7">
        <v>1000232</v>
      </c>
      <c r="B123" s="7" t="s">
        <v>124</v>
      </c>
      <c r="C123" s="14">
        <v>487.2</v>
      </c>
      <c r="D123" s="14">
        <v>0</v>
      </c>
      <c r="E123" s="14">
        <f t="shared" si="1"/>
        <v>487.2</v>
      </c>
    </row>
    <row r="124" spans="1:5" x14ac:dyDescent="0.3">
      <c r="A124" s="7">
        <v>1000233</v>
      </c>
      <c r="B124" s="7" t="s">
        <v>125</v>
      </c>
      <c r="C124" s="14">
        <v>487.2</v>
      </c>
      <c r="D124" s="14">
        <v>0</v>
      </c>
      <c r="E124" s="14">
        <f t="shared" si="1"/>
        <v>487.2</v>
      </c>
    </row>
    <row r="125" spans="1:5" x14ac:dyDescent="0.3">
      <c r="A125" s="7">
        <v>1000234</v>
      </c>
      <c r="B125" s="7" t="s">
        <v>126</v>
      </c>
      <c r="C125" s="14">
        <v>504.6</v>
      </c>
      <c r="D125" s="14">
        <v>0</v>
      </c>
      <c r="E125" s="14">
        <f t="shared" si="1"/>
        <v>504.6</v>
      </c>
    </row>
    <row r="126" spans="1:5" x14ac:dyDescent="0.3">
      <c r="A126" s="7">
        <v>1000235</v>
      </c>
      <c r="B126" s="7" t="s">
        <v>127</v>
      </c>
      <c r="C126" s="14">
        <v>493.25217391304301</v>
      </c>
      <c r="D126" s="14">
        <v>0</v>
      </c>
      <c r="E126" s="14">
        <f t="shared" si="1"/>
        <v>493.25217391304301</v>
      </c>
    </row>
    <row r="127" spans="1:5" x14ac:dyDescent="0.3">
      <c r="A127" s="7">
        <v>1000236</v>
      </c>
      <c r="B127" s="7" t="s">
        <v>128</v>
      </c>
      <c r="C127" s="14">
        <v>504.34903846153799</v>
      </c>
      <c r="D127" s="14">
        <v>0</v>
      </c>
      <c r="E127" s="14">
        <f t="shared" si="1"/>
        <v>504.34903846153799</v>
      </c>
    </row>
    <row r="128" spans="1:5" x14ac:dyDescent="0.3">
      <c r="A128" s="7">
        <v>1000237</v>
      </c>
      <c r="B128" s="7" t="s">
        <v>129</v>
      </c>
      <c r="C128" s="14">
        <v>469.8</v>
      </c>
      <c r="D128" s="14">
        <v>0</v>
      </c>
      <c r="E128" s="14">
        <f t="shared" si="1"/>
        <v>469.8</v>
      </c>
    </row>
    <row r="129" spans="1:5" x14ac:dyDescent="0.3">
      <c r="A129" s="7">
        <v>1000238</v>
      </c>
      <c r="B129" s="7" t="s">
        <v>130</v>
      </c>
      <c r="C129" s="14">
        <v>460.01249999999999</v>
      </c>
      <c r="D129" s="14">
        <v>0</v>
      </c>
      <c r="E129" s="14">
        <f t="shared" si="1"/>
        <v>460.01249999999999</v>
      </c>
    </row>
    <row r="130" spans="1:5" x14ac:dyDescent="0.3">
      <c r="A130" s="7">
        <v>1000239</v>
      </c>
      <c r="B130" s="7" t="s">
        <v>131</v>
      </c>
      <c r="C130" s="14">
        <v>481.4</v>
      </c>
      <c r="D130" s="14">
        <v>0</v>
      </c>
      <c r="E130" s="14">
        <f t="shared" si="1"/>
        <v>481.4</v>
      </c>
    </row>
    <row r="131" spans="1:5" x14ac:dyDescent="0.3">
      <c r="A131" s="7">
        <v>1000240</v>
      </c>
      <c r="B131" s="7" t="s">
        <v>132</v>
      </c>
      <c r="C131" s="14">
        <v>481.4</v>
      </c>
      <c r="D131" s="14">
        <v>0</v>
      </c>
      <c r="E131" s="14">
        <f t="shared" ref="E131:E194" si="2">+MAX(C131, D131)</f>
        <v>481.4</v>
      </c>
    </row>
    <row r="132" spans="1:5" x14ac:dyDescent="0.3">
      <c r="A132" s="7">
        <v>1000241</v>
      </c>
      <c r="B132" s="7" t="s">
        <v>133</v>
      </c>
      <c r="C132" s="14">
        <v>481.4</v>
      </c>
      <c r="D132" s="14">
        <v>0</v>
      </c>
      <c r="E132" s="14">
        <f t="shared" si="2"/>
        <v>481.4</v>
      </c>
    </row>
    <row r="133" spans="1:5" x14ac:dyDescent="0.3">
      <c r="A133" s="7">
        <v>1000242</v>
      </c>
      <c r="B133" s="7" t="s">
        <v>134</v>
      </c>
      <c r="C133" s="14">
        <v>481.4</v>
      </c>
      <c r="D133" s="14">
        <v>0</v>
      </c>
      <c r="E133" s="14">
        <f t="shared" si="2"/>
        <v>481.4</v>
      </c>
    </row>
    <row r="134" spans="1:5" x14ac:dyDescent="0.3">
      <c r="A134" s="7">
        <v>1000243</v>
      </c>
      <c r="B134" s="7" t="s">
        <v>135</v>
      </c>
      <c r="C134" s="14">
        <v>481.4</v>
      </c>
      <c r="D134" s="14">
        <v>0</v>
      </c>
      <c r="E134" s="14">
        <f t="shared" si="2"/>
        <v>481.4</v>
      </c>
    </row>
    <row r="135" spans="1:5" x14ac:dyDescent="0.3">
      <c r="A135" s="7">
        <v>1000245</v>
      </c>
      <c r="B135" s="7" t="s">
        <v>136</v>
      </c>
      <c r="C135" s="14">
        <v>592.75450236966606</v>
      </c>
      <c r="D135" s="14">
        <v>0</v>
      </c>
      <c r="E135" s="14">
        <f t="shared" si="2"/>
        <v>592.75450236966606</v>
      </c>
    </row>
    <row r="136" spans="1:5" x14ac:dyDescent="0.3">
      <c r="A136" s="7">
        <v>1000246</v>
      </c>
      <c r="B136" s="7" t="s">
        <v>137</v>
      </c>
      <c r="C136" s="14">
        <v>555.57894736842002</v>
      </c>
      <c r="D136" s="14">
        <v>0</v>
      </c>
      <c r="E136" s="14">
        <f t="shared" si="2"/>
        <v>555.57894736842002</v>
      </c>
    </row>
    <row r="137" spans="1:5" x14ac:dyDescent="0.3">
      <c r="A137" s="7">
        <v>1000247</v>
      </c>
      <c r="B137" s="7" t="s">
        <v>138</v>
      </c>
      <c r="C137" s="14">
        <v>592.33153153153</v>
      </c>
      <c r="D137" s="14">
        <v>0</v>
      </c>
      <c r="E137" s="14">
        <f t="shared" si="2"/>
        <v>592.33153153153</v>
      </c>
    </row>
    <row r="138" spans="1:5" x14ac:dyDescent="0.3">
      <c r="A138" s="7">
        <v>1000248</v>
      </c>
      <c r="B138" s="7" t="s">
        <v>139</v>
      </c>
      <c r="C138" s="14">
        <v>603.19999999999902</v>
      </c>
      <c r="D138" s="14">
        <v>0</v>
      </c>
      <c r="E138" s="14">
        <f t="shared" si="2"/>
        <v>603.19999999999902</v>
      </c>
    </row>
    <row r="139" spans="1:5" x14ac:dyDescent="0.3">
      <c r="A139" s="7">
        <v>1000249</v>
      </c>
      <c r="B139" s="7" t="s">
        <v>140</v>
      </c>
      <c r="C139" s="14">
        <v>575.90588235294103</v>
      </c>
      <c r="D139" s="14">
        <v>0</v>
      </c>
      <c r="E139" s="14">
        <f t="shared" si="2"/>
        <v>575.90588235294103</v>
      </c>
    </row>
    <row r="140" spans="1:5" x14ac:dyDescent="0.3">
      <c r="A140" s="7">
        <v>1000255</v>
      </c>
      <c r="B140" s="7" t="s">
        <v>141</v>
      </c>
      <c r="C140" s="14">
        <v>527.15503903904198</v>
      </c>
      <c r="D140" s="14">
        <v>0</v>
      </c>
      <c r="E140" s="14">
        <f t="shared" si="2"/>
        <v>527.15503903904198</v>
      </c>
    </row>
    <row r="141" spans="1:5" x14ac:dyDescent="0.3">
      <c r="A141" s="7">
        <v>1000256</v>
      </c>
      <c r="B141" s="7" t="s">
        <v>142</v>
      </c>
      <c r="C141" s="14">
        <v>489.78862348702398</v>
      </c>
      <c r="D141" s="14">
        <v>0</v>
      </c>
      <c r="E141" s="14">
        <f t="shared" si="2"/>
        <v>489.78862348702398</v>
      </c>
    </row>
    <row r="142" spans="1:5" x14ac:dyDescent="0.3">
      <c r="A142" s="7">
        <v>1000257</v>
      </c>
      <c r="B142" s="7" t="s">
        <v>143</v>
      </c>
      <c r="C142" s="14">
        <v>453.70502459615801</v>
      </c>
      <c r="D142" s="14">
        <v>0</v>
      </c>
      <c r="E142" s="14">
        <f t="shared" si="2"/>
        <v>453.70502459615801</v>
      </c>
    </row>
    <row r="143" spans="1:5" x14ac:dyDescent="0.3">
      <c r="A143" s="7">
        <v>1000258</v>
      </c>
      <c r="B143" s="7" t="s">
        <v>144</v>
      </c>
      <c r="C143" s="14">
        <v>469.74334142533502</v>
      </c>
      <c r="D143" s="14">
        <v>0</v>
      </c>
      <c r="E143" s="14">
        <f t="shared" si="2"/>
        <v>469.74334142533502</v>
      </c>
    </row>
    <row r="144" spans="1:5" x14ac:dyDescent="0.3">
      <c r="A144" s="7">
        <v>1000259</v>
      </c>
      <c r="B144" s="7" t="s">
        <v>145</v>
      </c>
      <c r="C144" s="14">
        <v>394.33435774534098</v>
      </c>
      <c r="D144" s="14">
        <v>0</v>
      </c>
      <c r="E144" s="14">
        <f t="shared" si="2"/>
        <v>394.33435774534098</v>
      </c>
    </row>
    <row r="145" spans="1:5" x14ac:dyDescent="0.3">
      <c r="A145" s="7">
        <v>1000260</v>
      </c>
      <c r="B145" s="7" t="s">
        <v>146</v>
      </c>
      <c r="C145" s="14">
        <v>351.68941179737197</v>
      </c>
      <c r="D145" s="14">
        <v>0</v>
      </c>
      <c r="E145" s="14">
        <f t="shared" si="2"/>
        <v>351.68941179737197</v>
      </c>
    </row>
    <row r="146" spans="1:5" x14ac:dyDescent="0.3">
      <c r="A146" s="7">
        <v>1000262</v>
      </c>
      <c r="B146" s="7" t="s">
        <v>147</v>
      </c>
      <c r="C146" s="14">
        <v>497.20193487190198</v>
      </c>
      <c r="D146" s="14">
        <v>0</v>
      </c>
      <c r="E146" s="14">
        <f t="shared" si="2"/>
        <v>497.20193487190198</v>
      </c>
    </row>
    <row r="147" spans="1:5" x14ac:dyDescent="0.3">
      <c r="A147" s="7">
        <v>1000263</v>
      </c>
      <c r="B147" s="7" t="s">
        <v>148</v>
      </c>
      <c r="C147" s="14">
        <v>493.56368306878301</v>
      </c>
      <c r="D147" s="14">
        <v>0</v>
      </c>
      <c r="E147" s="14">
        <f t="shared" si="2"/>
        <v>493.56368306878301</v>
      </c>
    </row>
    <row r="148" spans="1:5" x14ac:dyDescent="0.3">
      <c r="A148" s="7">
        <v>1000264</v>
      </c>
      <c r="B148" s="7" t="s">
        <v>149</v>
      </c>
      <c r="C148" s="14">
        <v>451.24</v>
      </c>
      <c r="D148" s="14">
        <v>0</v>
      </c>
      <c r="E148" s="14">
        <f t="shared" si="2"/>
        <v>451.24</v>
      </c>
    </row>
    <row r="149" spans="1:5" x14ac:dyDescent="0.3">
      <c r="A149" s="7">
        <v>1000265</v>
      </c>
      <c r="B149" s="7" t="s">
        <v>150</v>
      </c>
      <c r="C149" s="14">
        <v>1248.1071666666701</v>
      </c>
      <c r="D149" s="14">
        <v>0</v>
      </c>
      <c r="E149" s="14">
        <f t="shared" si="2"/>
        <v>1248.1071666666701</v>
      </c>
    </row>
    <row r="150" spans="1:5" x14ac:dyDescent="0.3">
      <c r="A150" s="7">
        <v>1000266</v>
      </c>
      <c r="B150" s="7" t="s">
        <v>151</v>
      </c>
      <c r="C150" s="14">
        <v>486.28560036891201</v>
      </c>
      <c r="D150" s="14">
        <v>0</v>
      </c>
      <c r="E150" s="14">
        <f t="shared" si="2"/>
        <v>486.28560036891201</v>
      </c>
    </row>
    <row r="151" spans="1:5" x14ac:dyDescent="0.3">
      <c r="A151" s="7">
        <v>1000267</v>
      </c>
      <c r="B151" s="7" t="s">
        <v>152</v>
      </c>
      <c r="C151" s="14">
        <v>439.75440467842736</v>
      </c>
      <c r="D151" s="14">
        <v>445.3683783783784</v>
      </c>
      <c r="E151" s="14">
        <f t="shared" si="2"/>
        <v>445.3683783783784</v>
      </c>
    </row>
    <row r="152" spans="1:5" x14ac:dyDescent="0.3">
      <c r="A152" s="7">
        <v>1000269</v>
      </c>
      <c r="B152" s="7" t="s">
        <v>153</v>
      </c>
      <c r="C152" s="14">
        <v>363.599285714286</v>
      </c>
      <c r="D152" s="14">
        <v>0</v>
      </c>
      <c r="E152" s="14">
        <f t="shared" si="2"/>
        <v>363.599285714286</v>
      </c>
    </row>
    <row r="153" spans="1:5" x14ac:dyDescent="0.3">
      <c r="A153" s="7">
        <v>1000271</v>
      </c>
      <c r="B153" s="7" t="s">
        <v>154</v>
      </c>
      <c r="C153" s="14">
        <v>892.52261324515109</v>
      </c>
      <c r="D153" s="14">
        <v>1026.5999999999999</v>
      </c>
      <c r="E153" s="14">
        <f t="shared" si="2"/>
        <v>1026.5999999999999</v>
      </c>
    </row>
    <row r="154" spans="1:5" x14ac:dyDescent="0.3">
      <c r="A154" s="7">
        <v>1000272</v>
      </c>
      <c r="B154" s="7" t="s">
        <v>155</v>
      </c>
      <c r="C154" s="14">
        <v>356.26</v>
      </c>
      <c r="D154" s="14">
        <v>0</v>
      </c>
      <c r="E154" s="14">
        <f t="shared" si="2"/>
        <v>356.26</v>
      </c>
    </row>
    <row r="155" spans="1:5" x14ac:dyDescent="0.3">
      <c r="A155" s="7">
        <v>1000274</v>
      </c>
      <c r="B155" s="7" t="s">
        <v>156</v>
      </c>
      <c r="C155" s="14">
        <v>4710.76</v>
      </c>
      <c r="D155" s="14">
        <v>0</v>
      </c>
      <c r="E155" s="14">
        <f t="shared" si="2"/>
        <v>4710.76</v>
      </c>
    </row>
    <row r="156" spans="1:5" x14ac:dyDescent="0.3">
      <c r="A156" s="7">
        <v>1000275</v>
      </c>
      <c r="B156" s="7" t="s">
        <v>157</v>
      </c>
      <c r="C156" s="14">
        <v>3853.9549999999999</v>
      </c>
      <c r="D156" s="14">
        <v>0</v>
      </c>
      <c r="E156" s="14">
        <f t="shared" si="2"/>
        <v>3853.9549999999999</v>
      </c>
    </row>
    <row r="157" spans="1:5" x14ac:dyDescent="0.3">
      <c r="A157" s="7">
        <v>1000276</v>
      </c>
      <c r="B157" s="7" t="s">
        <v>158</v>
      </c>
      <c r="C157" s="14">
        <v>2010.9749190705099</v>
      </c>
      <c r="D157" s="14">
        <v>0</v>
      </c>
      <c r="E157" s="14">
        <f t="shared" si="2"/>
        <v>2010.9749190705099</v>
      </c>
    </row>
    <row r="158" spans="1:5" x14ac:dyDescent="0.3">
      <c r="A158" s="7">
        <v>1000277</v>
      </c>
      <c r="B158" s="7" t="s">
        <v>159</v>
      </c>
      <c r="C158" s="14">
        <v>1723</v>
      </c>
      <c r="D158" s="14">
        <v>1711.8</v>
      </c>
      <c r="E158" s="14">
        <f t="shared" si="2"/>
        <v>1723</v>
      </c>
    </row>
    <row r="159" spans="1:5" x14ac:dyDescent="0.3">
      <c r="A159" s="7">
        <v>1000278</v>
      </c>
      <c r="B159" s="7" t="s">
        <v>160</v>
      </c>
      <c r="C159" s="14">
        <v>3746.5921739130399</v>
      </c>
      <c r="D159" s="14">
        <v>0</v>
      </c>
      <c r="E159" s="14">
        <f t="shared" si="2"/>
        <v>3746.5921739130399</v>
      </c>
    </row>
    <row r="160" spans="1:5" x14ac:dyDescent="0.3">
      <c r="A160" s="7">
        <v>1000279</v>
      </c>
      <c r="B160" s="7" t="s">
        <v>161</v>
      </c>
      <c r="C160" s="14">
        <v>1734.2</v>
      </c>
      <c r="D160" s="14">
        <v>0</v>
      </c>
      <c r="E160" s="14">
        <f t="shared" si="2"/>
        <v>1734.2</v>
      </c>
    </row>
    <row r="161" spans="1:5" x14ac:dyDescent="0.3">
      <c r="A161" s="7">
        <v>1000280</v>
      </c>
      <c r="B161" s="7" t="s">
        <v>162</v>
      </c>
      <c r="C161" s="14">
        <v>2545.7142857142899</v>
      </c>
      <c r="D161" s="14">
        <v>0</v>
      </c>
      <c r="E161" s="14">
        <f t="shared" si="2"/>
        <v>2545.7142857142899</v>
      </c>
    </row>
    <row r="162" spans="1:5" x14ac:dyDescent="0.3">
      <c r="A162" s="7">
        <v>1000282</v>
      </c>
      <c r="B162" s="7" t="s">
        <v>163</v>
      </c>
      <c r="C162" s="14">
        <v>350</v>
      </c>
      <c r="D162" s="14">
        <v>0</v>
      </c>
      <c r="E162" s="14">
        <f t="shared" si="2"/>
        <v>350</v>
      </c>
    </row>
    <row r="163" spans="1:5" x14ac:dyDescent="0.3">
      <c r="A163" s="7">
        <v>1000286</v>
      </c>
      <c r="B163" s="7" t="s">
        <v>164</v>
      </c>
      <c r="C163" s="14">
        <v>1276</v>
      </c>
      <c r="D163" s="14">
        <v>0</v>
      </c>
      <c r="E163" s="14">
        <f t="shared" si="2"/>
        <v>1276</v>
      </c>
    </row>
    <row r="164" spans="1:5" x14ac:dyDescent="0.3">
      <c r="A164" s="7">
        <v>1000288</v>
      </c>
      <c r="B164" s="7" t="s">
        <v>165</v>
      </c>
      <c r="C164" s="14">
        <v>2320</v>
      </c>
      <c r="D164" s="14">
        <v>0</v>
      </c>
      <c r="E164" s="14">
        <f t="shared" si="2"/>
        <v>2320</v>
      </c>
    </row>
    <row r="165" spans="1:5" x14ac:dyDescent="0.3">
      <c r="A165" s="7">
        <v>1000289</v>
      </c>
      <c r="B165" s="7" t="s">
        <v>166</v>
      </c>
      <c r="C165" s="14">
        <v>17205</v>
      </c>
      <c r="D165" s="14">
        <v>0</v>
      </c>
      <c r="E165" s="14">
        <f t="shared" si="2"/>
        <v>17205</v>
      </c>
    </row>
    <row r="166" spans="1:5" x14ac:dyDescent="0.3">
      <c r="A166" s="7">
        <v>1000291</v>
      </c>
      <c r="B166" s="7" t="s">
        <v>167</v>
      </c>
      <c r="C166" s="14">
        <v>3224</v>
      </c>
      <c r="D166" s="14">
        <v>0</v>
      </c>
      <c r="E166" s="14">
        <f t="shared" si="2"/>
        <v>3224</v>
      </c>
    </row>
    <row r="167" spans="1:5" x14ac:dyDescent="0.3">
      <c r="A167" s="7">
        <v>1000293</v>
      </c>
      <c r="B167" s="7" t="s">
        <v>168</v>
      </c>
      <c r="C167" s="14">
        <v>4464</v>
      </c>
      <c r="D167" s="14">
        <v>0</v>
      </c>
      <c r="E167" s="14">
        <f t="shared" si="2"/>
        <v>4464</v>
      </c>
    </row>
    <row r="168" spans="1:5" x14ac:dyDescent="0.3">
      <c r="A168" s="7">
        <v>1000294</v>
      </c>
      <c r="B168" s="7" t="s">
        <v>169</v>
      </c>
      <c r="C168" s="14">
        <v>7308</v>
      </c>
      <c r="D168" s="14">
        <v>0</v>
      </c>
      <c r="E168" s="14">
        <f t="shared" si="2"/>
        <v>7308</v>
      </c>
    </row>
    <row r="169" spans="1:5" x14ac:dyDescent="0.3">
      <c r="A169" s="7">
        <v>1000295</v>
      </c>
      <c r="B169" s="7" t="s">
        <v>170</v>
      </c>
      <c r="C169" s="14">
        <v>10451.153750000001</v>
      </c>
      <c r="D169" s="14">
        <v>0</v>
      </c>
      <c r="E169" s="14">
        <f t="shared" si="2"/>
        <v>10451.153750000001</v>
      </c>
    </row>
    <row r="170" spans="1:5" x14ac:dyDescent="0.3">
      <c r="A170" s="7">
        <v>1000296</v>
      </c>
      <c r="B170" s="7" t="s">
        <v>171</v>
      </c>
      <c r="C170" s="14">
        <v>2830.2233333333302</v>
      </c>
      <c r="D170" s="14">
        <v>0</v>
      </c>
      <c r="E170" s="14">
        <f t="shared" si="2"/>
        <v>2830.2233333333302</v>
      </c>
    </row>
    <row r="171" spans="1:5" x14ac:dyDescent="0.3">
      <c r="A171" s="7">
        <v>1000298</v>
      </c>
      <c r="B171" s="7" t="s">
        <v>172</v>
      </c>
      <c r="C171" s="14">
        <v>12196.5714285714</v>
      </c>
      <c r="D171" s="14">
        <v>0</v>
      </c>
      <c r="E171" s="14">
        <f t="shared" si="2"/>
        <v>12196.5714285714</v>
      </c>
    </row>
    <row r="172" spans="1:5" x14ac:dyDescent="0.3">
      <c r="A172" s="7">
        <v>1000299</v>
      </c>
      <c r="B172" s="7" t="s">
        <v>173</v>
      </c>
      <c r="C172" s="14">
        <v>4464</v>
      </c>
      <c r="D172" s="14">
        <v>0</v>
      </c>
      <c r="E172" s="14">
        <f t="shared" si="2"/>
        <v>4464</v>
      </c>
    </row>
    <row r="173" spans="1:5" x14ac:dyDescent="0.3">
      <c r="A173" s="7">
        <v>1000300</v>
      </c>
      <c r="B173" s="7" t="s">
        <v>174</v>
      </c>
      <c r="C173" s="14">
        <v>664.64516129032245</v>
      </c>
      <c r="D173" s="14">
        <v>581.74</v>
      </c>
      <c r="E173" s="14">
        <f t="shared" si="2"/>
        <v>664.64516129032245</v>
      </c>
    </row>
    <row r="174" spans="1:5" x14ac:dyDescent="0.3">
      <c r="A174" s="7">
        <v>1000303</v>
      </c>
      <c r="B174" s="7" t="s">
        <v>175</v>
      </c>
      <c r="C174" s="14">
        <v>118.380675294002</v>
      </c>
      <c r="D174" s="14">
        <v>0</v>
      </c>
      <c r="E174" s="14">
        <f t="shared" si="2"/>
        <v>118.380675294002</v>
      </c>
    </row>
    <row r="175" spans="1:5" x14ac:dyDescent="0.3">
      <c r="A175" s="7">
        <v>1000304</v>
      </c>
      <c r="B175" s="7" t="s">
        <v>176</v>
      </c>
      <c r="C175" s="14">
        <v>190.32352941176501</v>
      </c>
      <c r="D175" s="14">
        <v>0</v>
      </c>
      <c r="E175" s="14">
        <f t="shared" si="2"/>
        <v>190.32352941176501</v>
      </c>
    </row>
    <row r="176" spans="1:5" x14ac:dyDescent="0.3">
      <c r="A176" s="7">
        <v>1000308</v>
      </c>
      <c r="B176" s="7" t="s">
        <v>177</v>
      </c>
      <c r="C176" s="14">
        <v>1453.73</v>
      </c>
      <c r="D176" s="14">
        <v>0</v>
      </c>
      <c r="E176" s="14">
        <f t="shared" si="2"/>
        <v>1453.73</v>
      </c>
    </row>
    <row r="177" spans="1:5" x14ac:dyDescent="0.3">
      <c r="A177" s="7">
        <v>1000312</v>
      </c>
      <c r="B177" s="7" t="s">
        <v>178</v>
      </c>
      <c r="C177" s="14">
        <v>4243.57</v>
      </c>
      <c r="D177" s="14">
        <v>0</v>
      </c>
      <c r="E177" s="14">
        <f t="shared" si="2"/>
        <v>4243.57</v>
      </c>
    </row>
    <row r="178" spans="1:5" x14ac:dyDescent="0.3">
      <c r="A178" s="7">
        <v>1000313</v>
      </c>
      <c r="B178" s="7" t="s">
        <v>179</v>
      </c>
      <c r="C178" s="14">
        <v>4828.9250000000002</v>
      </c>
      <c r="D178" s="14">
        <v>0</v>
      </c>
      <c r="E178" s="14">
        <f t="shared" si="2"/>
        <v>4828.9250000000002</v>
      </c>
    </row>
    <row r="179" spans="1:5" x14ac:dyDescent="0.3">
      <c r="A179" s="7">
        <v>1000319</v>
      </c>
      <c r="B179" s="7" t="s">
        <v>180</v>
      </c>
      <c r="C179" s="14">
        <v>3306.8954046259701</v>
      </c>
      <c r="D179" s="14">
        <v>0</v>
      </c>
      <c r="E179" s="14">
        <f t="shared" si="2"/>
        <v>3306.8954046259701</v>
      </c>
    </row>
    <row r="180" spans="1:5" x14ac:dyDescent="0.3">
      <c r="A180" s="7">
        <v>1000320</v>
      </c>
      <c r="B180" s="7" t="s">
        <v>181</v>
      </c>
      <c r="C180" s="14">
        <v>3274.1039794527201</v>
      </c>
      <c r="D180" s="14">
        <v>0</v>
      </c>
      <c r="E180" s="14">
        <f t="shared" si="2"/>
        <v>3274.1039794527201</v>
      </c>
    </row>
    <row r="181" spans="1:5" x14ac:dyDescent="0.3">
      <c r="A181" s="7">
        <v>1000321</v>
      </c>
      <c r="B181" s="7" t="s">
        <v>182</v>
      </c>
      <c r="C181" s="14">
        <v>3435.0194372365499</v>
      </c>
      <c r="D181" s="14">
        <v>0</v>
      </c>
      <c r="E181" s="14">
        <f t="shared" si="2"/>
        <v>3435.0194372365499</v>
      </c>
    </row>
    <row r="182" spans="1:5" x14ac:dyDescent="0.3">
      <c r="A182" s="7">
        <v>1000322</v>
      </c>
      <c r="B182" s="7" t="s">
        <v>183</v>
      </c>
      <c r="C182" s="14">
        <v>3730.0773782051301</v>
      </c>
      <c r="D182" s="14">
        <v>0</v>
      </c>
      <c r="E182" s="14">
        <f t="shared" si="2"/>
        <v>3730.0773782051301</v>
      </c>
    </row>
    <row r="183" spans="1:5" x14ac:dyDescent="0.3">
      <c r="A183" s="7">
        <v>1000323</v>
      </c>
      <c r="B183" s="7" t="s">
        <v>184</v>
      </c>
      <c r="C183" s="14">
        <v>6599.97615703474</v>
      </c>
      <c r="D183" s="14">
        <v>0</v>
      </c>
      <c r="E183" s="14">
        <f t="shared" si="2"/>
        <v>6599.97615703474</v>
      </c>
    </row>
    <row r="184" spans="1:5" x14ac:dyDescent="0.3">
      <c r="A184" s="7">
        <v>1000324</v>
      </c>
      <c r="B184" s="7" t="s">
        <v>185</v>
      </c>
      <c r="C184" s="14">
        <v>6179.8838093779405</v>
      </c>
      <c r="D184" s="14">
        <v>0</v>
      </c>
      <c r="E184" s="14">
        <f t="shared" si="2"/>
        <v>6179.8838093779405</v>
      </c>
    </row>
    <row r="185" spans="1:5" x14ac:dyDescent="0.3">
      <c r="A185" s="7">
        <v>1000325</v>
      </c>
      <c r="B185" s="7" t="s">
        <v>186</v>
      </c>
      <c r="C185" s="14">
        <v>7240.3239891987396</v>
      </c>
      <c r="D185" s="14">
        <v>0</v>
      </c>
      <c r="E185" s="14">
        <f t="shared" si="2"/>
        <v>7240.3239891987396</v>
      </c>
    </row>
    <row r="186" spans="1:5" x14ac:dyDescent="0.3">
      <c r="A186" s="7">
        <v>1000326</v>
      </c>
      <c r="B186" s="7" t="s">
        <v>187</v>
      </c>
      <c r="C186" s="14">
        <v>3366.9109742574301</v>
      </c>
      <c r="D186" s="14">
        <v>1587.1899999999998</v>
      </c>
      <c r="E186" s="14">
        <f t="shared" si="2"/>
        <v>3366.9109742574301</v>
      </c>
    </row>
    <row r="187" spans="1:5" x14ac:dyDescent="0.3">
      <c r="A187" s="7">
        <v>1000328</v>
      </c>
      <c r="B187" s="7" t="s">
        <v>188</v>
      </c>
      <c r="C187" s="14">
        <v>1061.597691935119</v>
      </c>
      <c r="D187" s="14">
        <v>1254.1499999999999</v>
      </c>
      <c r="E187" s="14">
        <f t="shared" si="2"/>
        <v>1254.1499999999999</v>
      </c>
    </row>
    <row r="188" spans="1:5" x14ac:dyDescent="0.3">
      <c r="A188" s="7">
        <v>1000330</v>
      </c>
      <c r="B188" s="7" t="s">
        <v>189</v>
      </c>
      <c r="C188" s="14">
        <v>246.13400190229501</v>
      </c>
      <c r="D188" s="14">
        <v>0</v>
      </c>
      <c r="E188" s="14">
        <f t="shared" si="2"/>
        <v>246.13400190229501</v>
      </c>
    </row>
    <row r="189" spans="1:5" x14ac:dyDescent="0.3">
      <c r="A189" s="7">
        <v>1000331</v>
      </c>
      <c r="B189" s="7" t="s">
        <v>190</v>
      </c>
      <c r="C189" s="14">
        <v>189.18222244898001</v>
      </c>
      <c r="D189" s="14">
        <v>0</v>
      </c>
      <c r="E189" s="14">
        <f t="shared" si="2"/>
        <v>189.18222244898001</v>
      </c>
    </row>
    <row r="190" spans="1:5" x14ac:dyDescent="0.3">
      <c r="A190" s="7">
        <v>1000332</v>
      </c>
      <c r="B190" s="7" t="s">
        <v>191</v>
      </c>
      <c r="C190" s="14">
        <v>189.184047463768</v>
      </c>
      <c r="D190" s="14">
        <v>0</v>
      </c>
      <c r="E190" s="14">
        <f t="shared" si="2"/>
        <v>189.184047463768</v>
      </c>
    </row>
    <row r="191" spans="1:5" x14ac:dyDescent="0.3">
      <c r="A191" s="7">
        <v>1000334</v>
      </c>
      <c r="B191" s="7" t="s">
        <v>192</v>
      </c>
      <c r="C191" s="14">
        <v>82.231195281540394</v>
      </c>
      <c r="D191" s="14">
        <v>30.022412500000002</v>
      </c>
      <c r="E191" s="14">
        <f t="shared" si="2"/>
        <v>82.231195281540394</v>
      </c>
    </row>
    <row r="192" spans="1:5" x14ac:dyDescent="0.3">
      <c r="A192" s="7">
        <v>1000335</v>
      </c>
      <c r="B192" s="7" t="s">
        <v>193</v>
      </c>
      <c r="C192" s="14">
        <v>1383.442679162315</v>
      </c>
      <c r="D192" s="14">
        <v>796.5</v>
      </c>
      <c r="E192" s="14">
        <f t="shared" si="2"/>
        <v>1383.442679162315</v>
      </c>
    </row>
    <row r="193" spans="1:5" x14ac:dyDescent="0.3">
      <c r="A193" s="7">
        <v>1000339</v>
      </c>
      <c r="B193" s="7" t="s">
        <v>194</v>
      </c>
      <c r="C193" s="14">
        <v>116.19319237375301</v>
      </c>
      <c r="D193" s="14">
        <v>0</v>
      </c>
      <c r="E193" s="14">
        <f t="shared" si="2"/>
        <v>116.19319237375301</v>
      </c>
    </row>
    <row r="194" spans="1:5" x14ac:dyDescent="0.3">
      <c r="A194" s="7">
        <v>1000340</v>
      </c>
      <c r="B194" s="7" t="s">
        <v>195</v>
      </c>
      <c r="C194" s="14">
        <v>132.41989485699401</v>
      </c>
      <c r="D194" s="14">
        <v>0</v>
      </c>
      <c r="E194" s="14">
        <f t="shared" si="2"/>
        <v>132.41989485699401</v>
      </c>
    </row>
    <row r="195" spans="1:5" x14ac:dyDescent="0.3">
      <c r="A195" s="7">
        <v>1000343</v>
      </c>
      <c r="B195" s="7" t="s">
        <v>196</v>
      </c>
      <c r="C195" s="14">
        <v>1345.6</v>
      </c>
      <c r="D195" s="14">
        <v>1345.6000000000001</v>
      </c>
      <c r="E195" s="14">
        <f t="shared" ref="E195:E258" si="3">+MAX(C195, D195)</f>
        <v>1345.6000000000001</v>
      </c>
    </row>
    <row r="196" spans="1:5" x14ac:dyDescent="0.3">
      <c r="A196" s="7">
        <v>1000345</v>
      </c>
      <c r="B196" s="7" t="s">
        <v>197</v>
      </c>
      <c r="C196" s="14">
        <v>352.84615471930903</v>
      </c>
      <c r="D196" s="14">
        <v>0</v>
      </c>
      <c r="E196" s="14">
        <f t="shared" si="3"/>
        <v>352.84615471930903</v>
      </c>
    </row>
    <row r="197" spans="1:5" x14ac:dyDescent="0.3">
      <c r="A197" s="7">
        <v>1000347</v>
      </c>
      <c r="B197" s="7" t="s">
        <v>198</v>
      </c>
      <c r="C197" s="14">
        <v>1696.3900917431192</v>
      </c>
      <c r="D197" s="14">
        <v>0</v>
      </c>
      <c r="E197" s="14">
        <f t="shared" si="3"/>
        <v>1696.3900917431192</v>
      </c>
    </row>
    <row r="198" spans="1:5" x14ac:dyDescent="0.3">
      <c r="A198" s="7">
        <v>1000349</v>
      </c>
      <c r="B198" s="7" t="s">
        <v>199</v>
      </c>
      <c r="C198" s="14">
        <v>2366.2886714975848</v>
      </c>
      <c r="D198" s="14">
        <v>2950</v>
      </c>
      <c r="E198" s="14">
        <f t="shared" si="3"/>
        <v>2950</v>
      </c>
    </row>
    <row r="199" spans="1:5" x14ac:dyDescent="0.3">
      <c r="A199" s="7">
        <v>1000351</v>
      </c>
      <c r="B199" s="7" t="s">
        <v>200</v>
      </c>
      <c r="C199" s="14">
        <v>604.98461538461504</v>
      </c>
      <c r="D199" s="14">
        <v>0</v>
      </c>
      <c r="E199" s="14">
        <f t="shared" si="3"/>
        <v>604.98461538461504</v>
      </c>
    </row>
    <row r="200" spans="1:5" x14ac:dyDescent="0.3">
      <c r="A200" s="7">
        <v>1000352</v>
      </c>
      <c r="B200" s="7" t="s">
        <v>201</v>
      </c>
      <c r="C200" s="14">
        <v>626.4</v>
      </c>
      <c r="D200" s="14">
        <v>0</v>
      </c>
      <c r="E200" s="14">
        <f t="shared" si="3"/>
        <v>626.4</v>
      </c>
    </row>
    <row r="201" spans="1:5" x14ac:dyDescent="0.3">
      <c r="A201" s="7">
        <v>1000353</v>
      </c>
      <c r="B201" s="7" t="s">
        <v>202</v>
      </c>
      <c r="C201" s="14">
        <v>621.63134549689505</v>
      </c>
      <c r="D201" s="14">
        <v>0</v>
      </c>
      <c r="E201" s="14">
        <f t="shared" si="3"/>
        <v>621.63134549689505</v>
      </c>
    </row>
    <row r="202" spans="1:5" x14ac:dyDescent="0.3">
      <c r="A202" s="7">
        <v>1000354</v>
      </c>
      <c r="B202" s="7" t="s">
        <v>203</v>
      </c>
      <c r="C202" s="14">
        <v>626.400000000001</v>
      </c>
      <c r="D202" s="14">
        <v>0</v>
      </c>
      <c r="E202" s="14">
        <f t="shared" si="3"/>
        <v>626.400000000001</v>
      </c>
    </row>
    <row r="203" spans="1:5" x14ac:dyDescent="0.3">
      <c r="A203" s="7">
        <v>1000355</v>
      </c>
      <c r="B203" s="7" t="s">
        <v>204</v>
      </c>
      <c r="C203" s="14">
        <v>626.39999999999895</v>
      </c>
      <c r="D203" s="14">
        <v>0</v>
      </c>
      <c r="E203" s="14">
        <f t="shared" si="3"/>
        <v>626.39999999999895</v>
      </c>
    </row>
    <row r="204" spans="1:5" x14ac:dyDescent="0.3">
      <c r="A204" s="7">
        <v>1000356</v>
      </c>
      <c r="B204" s="7" t="s">
        <v>205</v>
      </c>
      <c r="C204" s="14">
        <v>610.668493150686</v>
      </c>
      <c r="D204" s="14">
        <v>0</v>
      </c>
      <c r="E204" s="14">
        <f t="shared" si="3"/>
        <v>610.668493150686</v>
      </c>
    </row>
    <row r="205" spans="1:5" x14ac:dyDescent="0.3">
      <c r="A205" s="7">
        <v>1000357</v>
      </c>
      <c r="B205" s="7" t="s">
        <v>206</v>
      </c>
      <c r="C205" s="14">
        <v>590.875</v>
      </c>
      <c r="D205" s="14">
        <v>0</v>
      </c>
      <c r="E205" s="14">
        <f t="shared" si="3"/>
        <v>590.875</v>
      </c>
    </row>
    <row r="206" spans="1:5" x14ac:dyDescent="0.3">
      <c r="A206" s="7">
        <v>1000358</v>
      </c>
      <c r="B206" s="7" t="s">
        <v>207</v>
      </c>
      <c r="C206" s="14">
        <v>544.93148148148202</v>
      </c>
      <c r="D206" s="14">
        <v>0</v>
      </c>
      <c r="E206" s="14">
        <f t="shared" si="3"/>
        <v>544.93148148148202</v>
      </c>
    </row>
    <row r="207" spans="1:5" x14ac:dyDescent="0.3">
      <c r="A207" s="7">
        <v>1000359</v>
      </c>
      <c r="B207" s="7" t="s">
        <v>208</v>
      </c>
      <c r="C207" s="14">
        <v>591.6</v>
      </c>
      <c r="D207" s="14">
        <v>0</v>
      </c>
      <c r="E207" s="14">
        <f t="shared" si="3"/>
        <v>591.6</v>
      </c>
    </row>
    <row r="208" spans="1:5" x14ac:dyDescent="0.3">
      <c r="A208" s="7">
        <v>1000360</v>
      </c>
      <c r="B208" s="7" t="s">
        <v>209</v>
      </c>
      <c r="C208" s="14">
        <v>468.135185185186</v>
      </c>
      <c r="D208" s="14">
        <v>0</v>
      </c>
      <c r="E208" s="14">
        <f t="shared" si="3"/>
        <v>468.135185185186</v>
      </c>
    </row>
    <row r="209" spans="1:5" x14ac:dyDescent="0.3">
      <c r="A209" s="7">
        <v>1000361</v>
      </c>
      <c r="B209" s="7" t="s">
        <v>210</v>
      </c>
      <c r="C209" s="14">
        <v>481.39999999999901</v>
      </c>
      <c r="D209" s="14">
        <v>0</v>
      </c>
      <c r="E209" s="14">
        <f t="shared" si="3"/>
        <v>481.39999999999901</v>
      </c>
    </row>
    <row r="210" spans="1:5" x14ac:dyDescent="0.3">
      <c r="A210" s="7">
        <v>1000362</v>
      </c>
      <c r="B210" s="7" t="s">
        <v>211</v>
      </c>
      <c r="C210" s="14">
        <v>424.76470588235298</v>
      </c>
      <c r="D210" s="14">
        <v>0</v>
      </c>
      <c r="E210" s="14">
        <f t="shared" si="3"/>
        <v>424.76470588235298</v>
      </c>
    </row>
    <row r="211" spans="1:5" x14ac:dyDescent="0.3">
      <c r="A211" s="7">
        <v>1000363</v>
      </c>
      <c r="B211" s="7" t="s">
        <v>212</v>
      </c>
      <c r="C211" s="14">
        <v>481.39999999999799</v>
      </c>
      <c r="D211" s="14">
        <v>0</v>
      </c>
      <c r="E211" s="14">
        <f t="shared" si="3"/>
        <v>481.39999999999799</v>
      </c>
    </row>
    <row r="212" spans="1:5" x14ac:dyDescent="0.3">
      <c r="A212" s="7">
        <v>1000364</v>
      </c>
      <c r="B212" s="7" t="s">
        <v>213</v>
      </c>
      <c r="C212" s="14">
        <v>481.400000000001</v>
      </c>
      <c r="D212" s="14">
        <v>0</v>
      </c>
      <c r="E212" s="14">
        <f t="shared" si="3"/>
        <v>481.400000000001</v>
      </c>
    </row>
    <row r="213" spans="1:5" x14ac:dyDescent="0.3">
      <c r="A213" s="7">
        <v>1000365</v>
      </c>
      <c r="B213" s="7" t="s">
        <v>214</v>
      </c>
      <c r="C213" s="14">
        <v>481.400000000001</v>
      </c>
      <c r="D213" s="14">
        <v>0</v>
      </c>
      <c r="E213" s="14">
        <f t="shared" si="3"/>
        <v>481.400000000001</v>
      </c>
    </row>
    <row r="214" spans="1:5" x14ac:dyDescent="0.3">
      <c r="A214" s="7">
        <v>1000366</v>
      </c>
      <c r="B214" s="7" t="s">
        <v>215</v>
      </c>
      <c r="C214" s="14">
        <v>481.4</v>
      </c>
      <c r="D214" s="14">
        <v>0</v>
      </c>
      <c r="E214" s="14">
        <f t="shared" si="3"/>
        <v>481.4</v>
      </c>
    </row>
    <row r="215" spans="1:5" x14ac:dyDescent="0.3">
      <c r="A215" s="7">
        <v>1000367</v>
      </c>
      <c r="B215" s="7" t="s">
        <v>216</v>
      </c>
      <c r="C215" s="14">
        <v>481.4</v>
      </c>
      <c r="D215" s="14">
        <v>0</v>
      </c>
      <c r="E215" s="14">
        <f t="shared" si="3"/>
        <v>481.4</v>
      </c>
    </row>
    <row r="216" spans="1:5" x14ac:dyDescent="0.3">
      <c r="A216" s="7">
        <v>1000368</v>
      </c>
      <c r="B216" s="7" t="s">
        <v>217</v>
      </c>
      <c r="C216" s="14">
        <v>481.4</v>
      </c>
      <c r="D216" s="14">
        <v>0</v>
      </c>
      <c r="E216" s="14">
        <f t="shared" si="3"/>
        <v>481.4</v>
      </c>
    </row>
    <row r="217" spans="1:5" x14ac:dyDescent="0.3">
      <c r="A217" s="7">
        <v>1000377</v>
      </c>
      <c r="B217" s="7" t="s">
        <v>218</v>
      </c>
      <c r="C217" s="14">
        <v>1059.2714513440901</v>
      </c>
      <c r="D217" s="14">
        <v>0</v>
      </c>
      <c r="E217" s="14">
        <f t="shared" si="3"/>
        <v>1059.2714513440901</v>
      </c>
    </row>
    <row r="218" spans="1:5" x14ac:dyDescent="0.3">
      <c r="A218" s="7">
        <v>1000378</v>
      </c>
      <c r="B218" s="7" t="s">
        <v>219</v>
      </c>
      <c r="C218" s="14">
        <v>985.30935420516505</v>
      </c>
      <c r="D218" s="14">
        <v>0</v>
      </c>
      <c r="E218" s="14">
        <f t="shared" si="3"/>
        <v>985.30935420516505</v>
      </c>
    </row>
    <row r="219" spans="1:5" x14ac:dyDescent="0.3">
      <c r="A219" s="7">
        <v>1000379</v>
      </c>
      <c r="B219" s="7" t="s">
        <v>220</v>
      </c>
      <c r="C219" s="14">
        <v>582.37721212121198</v>
      </c>
      <c r="D219" s="14">
        <v>0</v>
      </c>
      <c r="E219" s="14">
        <f t="shared" si="3"/>
        <v>582.37721212121198</v>
      </c>
    </row>
    <row r="220" spans="1:5" x14ac:dyDescent="0.3">
      <c r="A220" s="7">
        <v>1000380</v>
      </c>
      <c r="B220" s="7" t="s">
        <v>221</v>
      </c>
      <c r="C220" s="14">
        <v>1184.1075356116901</v>
      </c>
      <c r="D220" s="14">
        <v>0</v>
      </c>
      <c r="E220" s="14">
        <f t="shared" si="3"/>
        <v>1184.1075356116901</v>
      </c>
    </row>
    <row r="221" spans="1:5" x14ac:dyDescent="0.3">
      <c r="A221" s="7">
        <v>1000382</v>
      </c>
      <c r="B221" s="7" t="s">
        <v>222</v>
      </c>
      <c r="C221" s="14">
        <v>1706.6408674670422</v>
      </c>
      <c r="D221" s="14">
        <v>1804.5119999999999</v>
      </c>
      <c r="E221" s="14">
        <f t="shared" si="3"/>
        <v>1804.5119999999999</v>
      </c>
    </row>
    <row r="222" spans="1:5" x14ac:dyDescent="0.3">
      <c r="A222" s="7">
        <v>1000383</v>
      </c>
      <c r="B222" s="7" t="s">
        <v>223</v>
      </c>
      <c r="C222" s="14">
        <v>968.93226942628905</v>
      </c>
      <c r="D222" s="14">
        <v>0</v>
      </c>
      <c r="E222" s="14">
        <f t="shared" si="3"/>
        <v>968.93226942628905</v>
      </c>
    </row>
    <row r="223" spans="1:5" x14ac:dyDescent="0.3">
      <c r="A223" s="7">
        <v>1000388</v>
      </c>
      <c r="B223" s="7" t="s">
        <v>224</v>
      </c>
      <c r="C223" s="14">
        <v>5355.3732097455668</v>
      </c>
      <c r="D223" s="14">
        <v>5741.1529896907214</v>
      </c>
      <c r="E223" s="14">
        <f t="shared" si="3"/>
        <v>5741.1529896907214</v>
      </c>
    </row>
    <row r="224" spans="1:5" x14ac:dyDescent="0.3">
      <c r="A224" s="7">
        <v>1000389</v>
      </c>
      <c r="B224" s="7" t="s">
        <v>225</v>
      </c>
      <c r="C224" s="14">
        <v>348.14647697618801</v>
      </c>
      <c r="D224" s="14">
        <v>0</v>
      </c>
      <c r="E224" s="14">
        <f t="shared" si="3"/>
        <v>348.14647697618801</v>
      </c>
    </row>
    <row r="225" spans="1:5" x14ac:dyDescent="0.3">
      <c r="A225" s="7">
        <v>1000391</v>
      </c>
      <c r="B225" s="7" t="s">
        <v>226</v>
      </c>
      <c r="C225" s="14">
        <v>4122.5411316169202</v>
      </c>
      <c r="D225" s="14">
        <v>0</v>
      </c>
      <c r="E225" s="14">
        <f t="shared" si="3"/>
        <v>4122.5411316169202</v>
      </c>
    </row>
    <row r="226" spans="1:5" x14ac:dyDescent="0.3">
      <c r="A226" s="7">
        <v>1000392</v>
      </c>
      <c r="B226" s="7" t="s">
        <v>227</v>
      </c>
      <c r="C226" s="14">
        <v>3873.5675048076901</v>
      </c>
      <c r="D226" s="14">
        <v>0</v>
      </c>
      <c r="E226" s="14">
        <f t="shared" si="3"/>
        <v>3873.5675048076901</v>
      </c>
    </row>
    <row r="227" spans="1:5" x14ac:dyDescent="0.3">
      <c r="A227" s="7">
        <v>1000393</v>
      </c>
      <c r="B227" s="7" t="s">
        <v>228</v>
      </c>
      <c r="C227" s="14">
        <v>3987.0193777777799</v>
      </c>
      <c r="D227" s="14">
        <v>0</v>
      </c>
      <c r="E227" s="14">
        <f t="shared" si="3"/>
        <v>3987.0193777777799</v>
      </c>
    </row>
    <row r="228" spans="1:5" x14ac:dyDescent="0.3">
      <c r="A228" s="7">
        <v>1000394</v>
      </c>
      <c r="B228" s="7" t="s">
        <v>229</v>
      </c>
      <c r="C228" s="14">
        <v>3941.2412454212499</v>
      </c>
      <c r="D228" s="14">
        <v>0</v>
      </c>
      <c r="E228" s="14">
        <f t="shared" si="3"/>
        <v>3941.2412454212499</v>
      </c>
    </row>
    <row r="229" spans="1:5" x14ac:dyDescent="0.3">
      <c r="A229" s="7">
        <v>1000395</v>
      </c>
      <c r="B229" s="7" t="s">
        <v>230</v>
      </c>
      <c r="C229" s="14">
        <v>3865.01166666667</v>
      </c>
      <c r="D229" s="14">
        <v>0</v>
      </c>
      <c r="E229" s="14">
        <f t="shared" si="3"/>
        <v>3865.01166666667</v>
      </c>
    </row>
    <row r="230" spans="1:5" x14ac:dyDescent="0.3">
      <c r="A230" s="7">
        <v>1000396</v>
      </c>
      <c r="B230" s="7" t="s">
        <v>231</v>
      </c>
      <c r="C230" s="14">
        <v>4119.0836363636399</v>
      </c>
      <c r="D230" s="14">
        <v>0</v>
      </c>
      <c r="E230" s="14">
        <f t="shared" si="3"/>
        <v>4119.0836363636399</v>
      </c>
    </row>
    <row r="231" spans="1:5" x14ac:dyDescent="0.3">
      <c r="A231" s="7">
        <v>1000397</v>
      </c>
      <c r="B231" s="7" t="s">
        <v>232</v>
      </c>
      <c r="C231" s="14">
        <v>4160.6660507246297</v>
      </c>
      <c r="D231" s="14">
        <v>0</v>
      </c>
      <c r="E231" s="14">
        <f t="shared" si="3"/>
        <v>4160.6660507246297</v>
      </c>
    </row>
    <row r="232" spans="1:5" x14ac:dyDescent="0.3">
      <c r="A232" s="7">
        <v>1000398</v>
      </c>
      <c r="B232" s="7" t="s">
        <v>233</v>
      </c>
      <c r="C232" s="14">
        <v>4163.3921139971098</v>
      </c>
      <c r="D232" s="14">
        <v>0</v>
      </c>
      <c r="E232" s="14">
        <f t="shared" si="3"/>
        <v>4163.3921139971098</v>
      </c>
    </row>
    <row r="233" spans="1:5" x14ac:dyDescent="0.3">
      <c r="A233" s="7">
        <v>1000399</v>
      </c>
      <c r="B233" s="7" t="s">
        <v>234</v>
      </c>
      <c r="C233" s="14">
        <v>3929.8493255649701</v>
      </c>
      <c r="D233" s="14">
        <v>0</v>
      </c>
      <c r="E233" s="14">
        <f t="shared" si="3"/>
        <v>3929.8493255649701</v>
      </c>
    </row>
    <row r="234" spans="1:5" x14ac:dyDescent="0.3">
      <c r="A234" s="7">
        <v>1000400</v>
      </c>
      <c r="B234" s="7" t="s">
        <v>235</v>
      </c>
      <c r="C234" s="14">
        <v>4038.8831111111099</v>
      </c>
      <c r="D234" s="14">
        <v>0</v>
      </c>
      <c r="E234" s="14">
        <f t="shared" si="3"/>
        <v>4038.8831111111099</v>
      </c>
    </row>
    <row r="235" spans="1:5" x14ac:dyDescent="0.3">
      <c r="A235" s="7">
        <v>1000401</v>
      </c>
      <c r="B235" s="7" t="s">
        <v>236</v>
      </c>
      <c r="C235" s="14">
        <v>3844.19545532245</v>
      </c>
      <c r="D235" s="14">
        <v>0</v>
      </c>
      <c r="E235" s="14">
        <f t="shared" si="3"/>
        <v>3844.19545532245</v>
      </c>
    </row>
    <row r="236" spans="1:5" x14ac:dyDescent="0.3">
      <c r="A236" s="7">
        <v>1000402</v>
      </c>
      <c r="B236" s="7" t="s">
        <v>237</v>
      </c>
      <c r="C236" s="14">
        <v>3764.5716197377501</v>
      </c>
      <c r="D236" s="14">
        <v>0</v>
      </c>
      <c r="E236" s="14">
        <f t="shared" si="3"/>
        <v>3764.5716197377501</v>
      </c>
    </row>
    <row r="237" spans="1:5" x14ac:dyDescent="0.3">
      <c r="A237" s="7">
        <v>1000403</v>
      </c>
      <c r="B237" s="7" t="s">
        <v>238</v>
      </c>
      <c r="C237" s="14">
        <v>64.900000000000006</v>
      </c>
      <c r="D237" s="14">
        <v>0</v>
      </c>
      <c r="E237" s="14">
        <f t="shared" si="3"/>
        <v>64.900000000000006</v>
      </c>
    </row>
    <row r="238" spans="1:5" x14ac:dyDescent="0.3">
      <c r="A238" s="7">
        <v>1000405</v>
      </c>
      <c r="B238" s="7" t="s">
        <v>239</v>
      </c>
      <c r="C238" s="14">
        <v>129.53370493991989</v>
      </c>
      <c r="D238" s="14">
        <v>0</v>
      </c>
      <c r="E238" s="14">
        <f t="shared" si="3"/>
        <v>129.53370493991989</v>
      </c>
    </row>
    <row r="239" spans="1:5" x14ac:dyDescent="0.3">
      <c r="A239" s="7">
        <v>1000406</v>
      </c>
      <c r="B239" s="7" t="s">
        <v>240</v>
      </c>
      <c r="C239" s="14">
        <v>368.8</v>
      </c>
      <c r="D239" s="14">
        <v>0</v>
      </c>
      <c r="E239" s="14">
        <f t="shared" si="3"/>
        <v>368.8</v>
      </c>
    </row>
    <row r="240" spans="1:5" x14ac:dyDescent="0.3">
      <c r="A240" s="7">
        <v>1000408</v>
      </c>
      <c r="B240" s="7" t="s">
        <v>241</v>
      </c>
      <c r="C240" s="14">
        <v>1239.4785147480711</v>
      </c>
      <c r="D240" s="14">
        <v>0</v>
      </c>
      <c r="E240" s="14">
        <f t="shared" si="3"/>
        <v>1239.4785147480711</v>
      </c>
    </row>
    <row r="241" spans="1:5" x14ac:dyDescent="0.3">
      <c r="A241" s="7">
        <v>1000409</v>
      </c>
      <c r="B241" s="7" t="s">
        <v>242</v>
      </c>
      <c r="C241" s="14">
        <v>722.22</v>
      </c>
      <c r="D241" s="14">
        <v>272.38896321070234</v>
      </c>
      <c r="E241" s="14">
        <f t="shared" si="3"/>
        <v>722.22</v>
      </c>
    </row>
    <row r="242" spans="1:5" x14ac:dyDescent="0.3">
      <c r="A242" s="7">
        <v>1000410</v>
      </c>
      <c r="B242" s="7" t="s">
        <v>243</v>
      </c>
      <c r="C242" s="14">
        <v>283.59141454904989</v>
      </c>
      <c r="D242" s="14">
        <v>316.38718750000004</v>
      </c>
      <c r="E242" s="14">
        <f t="shared" si="3"/>
        <v>316.38718750000004</v>
      </c>
    </row>
    <row r="243" spans="1:5" x14ac:dyDescent="0.3">
      <c r="A243" s="7">
        <v>1000411</v>
      </c>
      <c r="B243" s="7" t="s">
        <v>244</v>
      </c>
      <c r="C243" s="14">
        <v>466.35083898610753</v>
      </c>
      <c r="D243" s="14">
        <v>372.62041062801933</v>
      </c>
      <c r="E243" s="14">
        <f t="shared" si="3"/>
        <v>466.35083898610753</v>
      </c>
    </row>
    <row r="244" spans="1:5" x14ac:dyDescent="0.3">
      <c r="A244" s="7">
        <v>1000412</v>
      </c>
      <c r="B244" s="7" t="s">
        <v>245</v>
      </c>
      <c r="C244" s="14">
        <v>2106.1637948717898</v>
      </c>
      <c r="D244" s="14">
        <v>0</v>
      </c>
      <c r="E244" s="14">
        <f t="shared" si="3"/>
        <v>2106.1637948717898</v>
      </c>
    </row>
    <row r="245" spans="1:5" x14ac:dyDescent="0.3">
      <c r="A245" s="7">
        <v>1000413</v>
      </c>
      <c r="B245" s="7" t="s">
        <v>246</v>
      </c>
      <c r="C245" s="14">
        <v>1439.0190887725623</v>
      </c>
      <c r="D245" s="14">
        <v>1344.8173858080736</v>
      </c>
      <c r="E245" s="14">
        <f t="shared" si="3"/>
        <v>1439.0190887725623</v>
      </c>
    </row>
    <row r="246" spans="1:5" x14ac:dyDescent="0.3">
      <c r="A246" s="7">
        <v>1000415</v>
      </c>
      <c r="B246" s="7" t="s">
        <v>247</v>
      </c>
      <c r="C246" s="14">
        <v>6993.9246569280103</v>
      </c>
      <c r="D246" s="14">
        <v>0</v>
      </c>
      <c r="E246" s="14">
        <f t="shared" si="3"/>
        <v>6993.9246569280103</v>
      </c>
    </row>
    <row r="247" spans="1:5" x14ac:dyDescent="0.3">
      <c r="A247" s="7">
        <v>1000419</v>
      </c>
      <c r="B247" s="7" t="s">
        <v>248</v>
      </c>
      <c r="C247" s="14">
        <v>214.6</v>
      </c>
      <c r="D247" s="14">
        <v>0</v>
      </c>
      <c r="E247" s="14">
        <f t="shared" si="3"/>
        <v>214.6</v>
      </c>
    </row>
    <row r="248" spans="1:5" x14ac:dyDescent="0.3">
      <c r="A248" s="7">
        <v>1000420</v>
      </c>
      <c r="B248" s="7" t="s">
        <v>249</v>
      </c>
      <c r="C248" s="14">
        <v>928.2</v>
      </c>
      <c r="D248" s="14">
        <v>258.55722896986055</v>
      </c>
      <c r="E248" s="14">
        <f t="shared" si="3"/>
        <v>928.2</v>
      </c>
    </row>
    <row r="249" spans="1:5" x14ac:dyDescent="0.3">
      <c r="A249" s="7">
        <v>1000422</v>
      </c>
      <c r="B249" s="7" t="s">
        <v>250</v>
      </c>
      <c r="C249" s="24">
        <v>928.97</v>
      </c>
      <c r="D249" s="14">
        <v>0</v>
      </c>
      <c r="E249" s="14">
        <f t="shared" si="3"/>
        <v>928.97</v>
      </c>
    </row>
    <row r="250" spans="1:5" x14ac:dyDescent="0.3">
      <c r="A250" s="7">
        <v>1000423</v>
      </c>
      <c r="B250" s="7" t="s">
        <v>251</v>
      </c>
      <c r="C250" s="14">
        <v>285.21477679629101</v>
      </c>
      <c r="D250" s="14">
        <v>0</v>
      </c>
      <c r="E250" s="14">
        <f t="shared" si="3"/>
        <v>285.21477679629101</v>
      </c>
    </row>
    <row r="251" spans="1:5" x14ac:dyDescent="0.3">
      <c r="A251" s="7">
        <v>1000424</v>
      </c>
      <c r="B251" s="7" t="s">
        <v>252</v>
      </c>
      <c r="C251" s="14">
        <v>28208.934644021701</v>
      </c>
      <c r="D251" s="14">
        <v>0</v>
      </c>
      <c r="E251" s="14">
        <f t="shared" si="3"/>
        <v>28208.934644021701</v>
      </c>
    </row>
    <row r="252" spans="1:5" x14ac:dyDescent="0.3">
      <c r="A252" s="7">
        <v>1000429</v>
      </c>
      <c r="B252" s="7" t="s">
        <v>253</v>
      </c>
      <c r="C252" s="14">
        <v>20412.958618421053</v>
      </c>
      <c r="D252" s="14">
        <v>22854.239999999998</v>
      </c>
      <c r="E252" s="14">
        <f t="shared" si="3"/>
        <v>22854.239999999998</v>
      </c>
    </row>
    <row r="253" spans="1:5" x14ac:dyDescent="0.3">
      <c r="A253" s="7">
        <v>1000430</v>
      </c>
      <c r="B253" s="7" t="s">
        <v>254</v>
      </c>
      <c r="C253" s="14">
        <v>7670</v>
      </c>
      <c r="D253" s="14">
        <v>7670</v>
      </c>
      <c r="E253" s="14">
        <f t="shared" si="3"/>
        <v>7670</v>
      </c>
    </row>
    <row r="254" spans="1:5" x14ac:dyDescent="0.3">
      <c r="A254" s="7">
        <v>1000432</v>
      </c>
      <c r="B254" s="7" t="s">
        <v>255</v>
      </c>
      <c r="C254" s="14">
        <v>3530.8173642476067</v>
      </c>
      <c r="D254" s="14">
        <v>4088.1099999999997</v>
      </c>
      <c r="E254" s="14">
        <f t="shared" si="3"/>
        <v>4088.1099999999997</v>
      </c>
    </row>
    <row r="255" spans="1:5" x14ac:dyDescent="0.3">
      <c r="A255" s="7">
        <v>1000433</v>
      </c>
      <c r="B255" s="7" t="s">
        <v>256</v>
      </c>
      <c r="C255" s="14">
        <v>4762.2087191254104</v>
      </c>
      <c r="D255" s="14">
        <v>5064.28</v>
      </c>
      <c r="E255" s="14">
        <f t="shared" si="3"/>
        <v>5064.28</v>
      </c>
    </row>
    <row r="256" spans="1:5" x14ac:dyDescent="0.3">
      <c r="A256" s="7">
        <v>1000434</v>
      </c>
      <c r="B256" s="7" t="s">
        <v>257</v>
      </c>
      <c r="C256" s="14">
        <v>6398.8016137094901</v>
      </c>
      <c r="D256" s="14">
        <v>0</v>
      </c>
      <c r="E256" s="14">
        <f t="shared" si="3"/>
        <v>6398.8016137094901</v>
      </c>
    </row>
    <row r="257" spans="1:5" x14ac:dyDescent="0.3">
      <c r="A257" s="7">
        <v>1000436</v>
      </c>
      <c r="B257" s="7" t="s">
        <v>258</v>
      </c>
      <c r="C257" s="14">
        <v>22945.02375</v>
      </c>
      <c r="D257" s="14">
        <v>0</v>
      </c>
      <c r="E257" s="14">
        <f t="shared" si="3"/>
        <v>22945.02375</v>
      </c>
    </row>
    <row r="258" spans="1:5" x14ac:dyDescent="0.3">
      <c r="A258" s="7">
        <v>1000437</v>
      </c>
      <c r="B258" s="7" t="s">
        <v>259</v>
      </c>
      <c r="C258" s="14">
        <v>29975.784242424201</v>
      </c>
      <c r="D258" s="14">
        <v>0</v>
      </c>
      <c r="E258" s="14">
        <f t="shared" si="3"/>
        <v>29975.784242424201</v>
      </c>
    </row>
    <row r="259" spans="1:5" x14ac:dyDescent="0.3">
      <c r="A259" s="7">
        <v>1000438</v>
      </c>
      <c r="B259" s="7" t="s">
        <v>260</v>
      </c>
      <c r="C259" s="14">
        <v>10998.31</v>
      </c>
      <c r="D259" s="14">
        <v>0</v>
      </c>
      <c r="E259" s="14">
        <f t="shared" ref="E259:E322" si="4">+MAX(C259, D259)</f>
        <v>10998.31</v>
      </c>
    </row>
    <row r="260" spans="1:5" x14ac:dyDescent="0.3">
      <c r="A260" s="7">
        <v>1000439</v>
      </c>
      <c r="B260" s="7" t="s">
        <v>261</v>
      </c>
      <c r="C260" s="14">
        <v>69934.214583333334</v>
      </c>
      <c r="D260" s="14">
        <v>44132</v>
      </c>
      <c r="E260" s="14">
        <f t="shared" si="4"/>
        <v>69934.214583333334</v>
      </c>
    </row>
    <row r="261" spans="1:5" x14ac:dyDescent="0.3">
      <c r="A261" s="7">
        <v>1000440</v>
      </c>
      <c r="B261" s="7" t="s">
        <v>262</v>
      </c>
      <c r="C261" s="14">
        <v>37462.132866666667</v>
      </c>
      <c r="D261" s="14">
        <v>0</v>
      </c>
      <c r="E261" s="14">
        <f t="shared" si="4"/>
        <v>37462.132866666667</v>
      </c>
    </row>
    <row r="262" spans="1:5" x14ac:dyDescent="0.3">
      <c r="A262" s="7">
        <v>1000443</v>
      </c>
      <c r="B262" s="7" t="s">
        <v>263</v>
      </c>
      <c r="C262" s="14">
        <v>24271.132967032965</v>
      </c>
      <c r="D262" s="14">
        <v>24271.131666666668</v>
      </c>
      <c r="E262" s="14">
        <f t="shared" si="4"/>
        <v>24271.132967032965</v>
      </c>
    </row>
    <row r="263" spans="1:5" x14ac:dyDescent="0.3">
      <c r="A263" s="7">
        <v>1000444</v>
      </c>
      <c r="B263" s="7" t="s">
        <v>264</v>
      </c>
      <c r="C263" s="14">
        <v>16885.933687789351</v>
      </c>
      <c r="D263" s="14">
        <v>0</v>
      </c>
      <c r="E263" s="14">
        <f t="shared" si="4"/>
        <v>16885.933687789351</v>
      </c>
    </row>
    <row r="264" spans="1:5" x14ac:dyDescent="0.3">
      <c r="A264" s="7">
        <v>1000446</v>
      </c>
      <c r="B264" s="7" t="s">
        <v>265</v>
      </c>
      <c r="C264" s="14">
        <v>814.58561590608497</v>
      </c>
      <c r="D264" s="14">
        <v>0</v>
      </c>
      <c r="E264" s="14">
        <f t="shared" si="4"/>
        <v>814.58561590608497</v>
      </c>
    </row>
    <row r="265" spans="1:5" x14ac:dyDescent="0.3">
      <c r="A265" s="7">
        <v>1000447</v>
      </c>
      <c r="B265" s="7" t="s">
        <v>266</v>
      </c>
      <c r="C265" s="14">
        <v>82.6</v>
      </c>
      <c r="D265" s="14">
        <v>257.78096053946052</v>
      </c>
      <c r="E265" s="14">
        <f t="shared" si="4"/>
        <v>257.78096053946052</v>
      </c>
    </row>
    <row r="266" spans="1:5" x14ac:dyDescent="0.3">
      <c r="A266" s="7">
        <v>1000448</v>
      </c>
      <c r="B266" s="7" t="s">
        <v>267</v>
      </c>
      <c r="C266" s="14">
        <v>0</v>
      </c>
      <c r="D266" s="14">
        <v>0</v>
      </c>
      <c r="E266" s="14">
        <f t="shared" si="4"/>
        <v>0</v>
      </c>
    </row>
    <row r="267" spans="1:5" x14ac:dyDescent="0.3">
      <c r="A267" s="7">
        <v>1000457</v>
      </c>
      <c r="B267" s="7" t="s">
        <v>268</v>
      </c>
      <c r="C267" s="14">
        <v>0</v>
      </c>
      <c r="D267" s="14">
        <v>0</v>
      </c>
      <c r="E267" s="14">
        <f t="shared" si="4"/>
        <v>0</v>
      </c>
    </row>
    <row r="268" spans="1:5" x14ac:dyDescent="0.3">
      <c r="A268" s="7">
        <v>1000459</v>
      </c>
      <c r="B268" s="7" t="s">
        <v>269</v>
      </c>
      <c r="C268" s="14">
        <v>0</v>
      </c>
      <c r="D268" s="14">
        <v>0</v>
      </c>
      <c r="E268" s="14">
        <f t="shared" si="4"/>
        <v>0</v>
      </c>
    </row>
    <row r="269" spans="1:5" x14ac:dyDescent="0.3">
      <c r="A269" s="7">
        <v>1000462</v>
      </c>
      <c r="B269" s="7" t="s">
        <v>270</v>
      </c>
      <c r="C269" s="14">
        <v>5415.2982259955397</v>
      </c>
      <c r="D269" s="14">
        <v>0</v>
      </c>
      <c r="E269" s="14">
        <f t="shared" si="4"/>
        <v>5415.2982259955397</v>
      </c>
    </row>
    <row r="270" spans="1:5" x14ac:dyDescent="0.3">
      <c r="A270" s="7">
        <v>1000463</v>
      </c>
      <c r="B270" s="7" t="s">
        <v>271</v>
      </c>
      <c r="C270" s="14">
        <v>3480</v>
      </c>
      <c r="D270" s="14">
        <v>0</v>
      </c>
      <c r="E270" s="14">
        <f t="shared" si="4"/>
        <v>3480</v>
      </c>
    </row>
    <row r="271" spans="1:5" x14ac:dyDescent="0.3">
      <c r="A271" s="7">
        <v>1000464</v>
      </c>
      <c r="B271" s="7" t="s">
        <v>272</v>
      </c>
      <c r="C271" s="14">
        <v>4215.4087052716504</v>
      </c>
      <c r="D271" s="14">
        <v>0</v>
      </c>
      <c r="E271" s="14">
        <f t="shared" si="4"/>
        <v>4215.4087052716504</v>
      </c>
    </row>
    <row r="272" spans="1:5" x14ac:dyDescent="0.3">
      <c r="A272" s="7">
        <v>1000465</v>
      </c>
      <c r="B272" s="7" t="s">
        <v>273</v>
      </c>
      <c r="C272" s="14">
        <v>2842.8178269779046</v>
      </c>
      <c r="D272" s="14">
        <v>2842.8178846153846</v>
      </c>
      <c r="E272" s="14">
        <f t="shared" si="4"/>
        <v>2842.8178846153846</v>
      </c>
    </row>
    <row r="273" spans="1:5" x14ac:dyDescent="0.3">
      <c r="A273" s="7">
        <v>1000467</v>
      </c>
      <c r="B273" s="7" t="s">
        <v>274</v>
      </c>
      <c r="C273" s="14">
        <v>70.180000000000007</v>
      </c>
      <c r="D273" s="14">
        <v>0</v>
      </c>
      <c r="E273" s="14">
        <f t="shared" si="4"/>
        <v>70.180000000000007</v>
      </c>
    </row>
    <row r="274" spans="1:5" x14ac:dyDescent="0.3">
      <c r="A274" s="7">
        <v>1000470</v>
      </c>
      <c r="B274" s="7" t="s">
        <v>275</v>
      </c>
      <c r="C274" s="14">
        <v>2475.3094050599047</v>
      </c>
      <c r="D274" s="14">
        <v>0</v>
      </c>
      <c r="E274" s="14">
        <f t="shared" si="4"/>
        <v>2475.3094050599047</v>
      </c>
    </row>
    <row r="275" spans="1:5" x14ac:dyDescent="0.3">
      <c r="A275" s="7">
        <v>1000476</v>
      </c>
      <c r="B275" s="7" t="s">
        <v>276</v>
      </c>
      <c r="C275" s="14">
        <v>4857.5640000000003</v>
      </c>
      <c r="D275" s="14">
        <v>0</v>
      </c>
      <c r="E275" s="14">
        <f t="shared" si="4"/>
        <v>4857.5640000000003</v>
      </c>
    </row>
    <row r="276" spans="1:5" x14ac:dyDescent="0.3">
      <c r="A276" s="7">
        <v>1000478</v>
      </c>
      <c r="B276" s="7" t="s">
        <v>277</v>
      </c>
      <c r="C276" s="14">
        <v>7572.2849999999999</v>
      </c>
      <c r="D276" s="14">
        <v>0</v>
      </c>
      <c r="E276" s="14">
        <f t="shared" si="4"/>
        <v>7572.2849999999999</v>
      </c>
    </row>
    <row r="277" spans="1:5" x14ac:dyDescent="0.3">
      <c r="A277" s="7">
        <v>1000479</v>
      </c>
      <c r="B277" s="7" t="s">
        <v>278</v>
      </c>
      <c r="C277" s="14">
        <v>8826.7099999999991</v>
      </c>
      <c r="D277" s="14">
        <v>0</v>
      </c>
      <c r="E277" s="14">
        <f t="shared" si="4"/>
        <v>8826.7099999999991</v>
      </c>
    </row>
    <row r="278" spans="1:5" x14ac:dyDescent="0.3">
      <c r="A278" s="7">
        <v>1000480</v>
      </c>
      <c r="B278" s="7" t="s">
        <v>279</v>
      </c>
      <c r="C278" s="14">
        <v>7572.2852307692301</v>
      </c>
      <c r="D278" s="14">
        <v>0</v>
      </c>
      <c r="E278" s="14">
        <f t="shared" si="4"/>
        <v>7572.2852307692301</v>
      </c>
    </row>
    <row r="279" spans="1:5" x14ac:dyDescent="0.3">
      <c r="A279" s="7">
        <v>1000484</v>
      </c>
      <c r="B279" s="7" t="s">
        <v>280</v>
      </c>
      <c r="C279" s="14">
        <v>1174.69</v>
      </c>
      <c r="D279" s="14">
        <v>0</v>
      </c>
      <c r="E279" s="14">
        <f t="shared" si="4"/>
        <v>1174.69</v>
      </c>
    </row>
    <row r="280" spans="1:5" x14ac:dyDescent="0.3">
      <c r="A280" s="7">
        <v>1000486</v>
      </c>
      <c r="B280" s="7" t="s">
        <v>281</v>
      </c>
      <c r="C280" s="14">
        <v>588.21833333333336</v>
      </c>
      <c r="D280" s="14">
        <v>0</v>
      </c>
      <c r="E280" s="14">
        <f t="shared" si="4"/>
        <v>588.21833333333336</v>
      </c>
    </row>
    <row r="281" spans="1:5" x14ac:dyDescent="0.3">
      <c r="A281" s="7">
        <v>1000487</v>
      </c>
      <c r="B281" s="7" t="s">
        <v>282</v>
      </c>
      <c r="C281" s="14">
        <v>22529.065684210502</v>
      </c>
      <c r="D281" s="14">
        <v>0</v>
      </c>
      <c r="E281" s="14">
        <f t="shared" si="4"/>
        <v>22529.065684210502</v>
      </c>
    </row>
    <row r="282" spans="1:5" x14ac:dyDescent="0.3">
      <c r="A282" s="7">
        <v>1000488</v>
      </c>
      <c r="B282" s="7" t="s">
        <v>283</v>
      </c>
      <c r="C282" s="14">
        <v>47.160000000000004</v>
      </c>
      <c r="D282" s="14">
        <v>47.160000000000004</v>
      </c>
      <c r="E282" s="14">
        <f t="shared" si="4"/>
        <v>47.160000000000004</v>
      </c>
    </row>
    <row r="283" spans="1:5" x14ac:dyDescent="0.3">
      <c r="A283" s="7">
        <v>1000489</v>
      </c>
      <c r="B283" s="7" t="s">
        <v>284</v>
      </c>
      <c r="C283" s="14">
        <v>50</v>
      </c>
      <c r="D283" s="14">
        <v>0</v>
      </c>
      <c r="E283" s="14">
        <f t="shared" si="4"/>
        <v>50</v>
      </c>
    </row>
    <row r="284" spans="1:5" x14ac:dyDescent="0.3">
      <c r="A284" s="7">
        <v>1000490</v>
      </c>
      <c r="B284" s="7" t="s">
        <v>285</v>
      </c>
      <c r="C284" s="14">
        <v>103.99458933871813</v>
      </c>
      <c r="D284" s="14">
        <v>103.99458946300457</v>
      </c>
      <c r="E284" s="14">
        <f t="shared" si="4"/>
        <v>103.99458946300457</v>
      </c>
    </row>
    <row r="285" spans="1:5" x14ac:dyDescent="0.3">
      <c r="A285" s="7">
        <v>1000491</v>
      </c>
      <c r="B285" s="7" t="s">
        <v>286</v>
      </c>
      <c r="C285" s="14">
        <v>75.899224833119916</v>
      </c>
      <c r="D285" s="14">
        <v>74.432009508061185</v>
      </c>
      <c r="E285" s="14">
        <f t="shared" si="4"/>
        <v>75.899224833119916</v>
      </c>
    </row>
    <row r="286" spans="1:5" x14ac:dyDescent="0.3">
      <c r="A286" s="7">
        <v>1000493</v>
      </c>
      <c r="B286" s="7" t="s">
        <v>287</v>
      </c>
      <c r="C286" s="14">
        <v>564.46059232853895</v>
      </c>
      <c r="D286" s="14">
        <v>0</v>
      </c>
      <c r="E286" s="14">
        <f t="shared" si="4"/>
        <v>564.46059232853895</v>
      </c>
    </row>
    <row r="287" spans="1:5" x14ac:dyDescent="0.3">
      <c r="A287" s="7">
        <v>1000495</v>
      </c>
      <c r="B287" s="7" t="s">
        <v>288</v>
      </c>
      <c r="C287" s="14">
        <v>0</v>
      </c>
      <c r="D287" s="14">
        <v>0</v>
      </c>
      <c r="E287" s="14">
        <f t="shared" si="4"/>
        <v>0</v>
      </c>
    </row>
    <row r="288" spans="1:5" x14ac:dyDescent="0.3">
      <c r="A288" s="7">
        <v>1000499</v>
      </c>
      <c r="B288" s="7" t="s">
        <v>289</v>
      </c>
      <c r="C288" s="14">
        <v>0</v>
      </c>
      <c r="D288" s="14">
        <v>0</v>
      </c>
      <c r="E288" s="14">
        <f t="shared" si="4"/>
        <v>0</v>
      </c>
    </row>
    <row r="289" spans="1:5" x14ac:dyDescent="0.3">
      <c r="A289" s="7">
        <v>1000500</v>
      </c>
      <c r="B289" s="7" t="s">
        <v>290</v>
      </c>
      <c r="C289" s="14">
        <v>187.57003069715901</v>
      </c>
      <c r="D289" s="14">
        <v>0</v>
      </c>
      <c r="E289" s="14">
        <f t="shared" si="4"/>
        <v>187.57003069715901</v>
      </c>
    </row>
    <row r="290" spans="1:5" x14ac:dyDescent="0.3">
      <c r="A290" s="7">
        <v>1000501</v>
      </c>
      <c r="B290" s="7" t="s">
        <v>291</v>
      </c>
      <c r="C290" s="14">
        <v>115.976666666667</v>
      </c>
      <c r="D290" s="14">
        <v>0</v>
      </c>
      <c r="E290" s="14">
        <f t="shared" si="4"/>
        <v>115.976666666667</v>
      </c>
    </row>
    <row r="291" spans="1:5" x14ac:dyDescent="0.3">
      <c r="A291" s="7">
        <v>1000502</v>
      </c>
      <c r="B291" s="7" t="s">
        <v>292</v>
      </c>
      <c r="C291" s="14">
        <v>1388.1439766170799</v>
      </c>
      <c r="D291" s="14">
        <v>0</v>
      </c>
      <c r="E291" s="14">
        <f t="shared" si="4"/>
        <v>1388.1439766170799</v>
      </c>
    </row>
    <row r="292" spans="1:5" x14ac:dyDescent="0.3">
      <c r="A292" s="7">
        <v>1000503</v>
      </c>
      <c r="B292" s="7" t="s">
        <v>293</v>
      </c>
      <c r="C292" s="14">
        <v>1274.3999999999999</v>
      </c>
      <c r="D292" s="14">
        <v>1274.3999999999999</v>
      </c>
      <c r="E292" s="14">
        <f t="shared" si="4"/>
        <v>1274.3999999999999</v>
      </c>
    </row>
    <row r="293" spans="1:5" x14ac:dyDescent="0.3">
      <c r="A293" s="7">
        <v>1000504</v>
      </c>
      <c r="B293" s="7" t="s">
        <v>294</v>
      </c>
      <c r="C293" s="14">
        <v>288.77</v>
      </c>
      <c r="D293" s="14">
        <v>0</v>
      </c>
      <c r="E293" s="14">
        <f t="shared" si="4"/>
        <v>288.77</v>
      </c>
    </row>
    <row r="294" spans="1:5" x14ac:dyDescent="0.3">
      <c r="A294" s="7">
        <v>1000505</v>
      </c>
      <c r="B294" s="7" t="s">
        <v>295</v>
      </c>
      <c r="C294" s="14">
        <v>179.8</v>
      </c>
      <c r="D294" s="14">
        <v>0</v>
      </c>
      <c r="E294" s="14">
        <f t="shared" si="4"/>
        <v>179.8</v>
      </c>
    </row>
    <row r="295" spans="1:5" x14ac:dyDescent="0.3">
      <c r="A295" s="7">
        <v>1000508</v>
      </c>
      <c r="B295" s="7" t="s">
        <v>296</v>
      </c>
      <c r="C295" s="14">
        <v>660.80612967934428</v>
      </c>
      <c r="D295" s="14">
        <v>660.80612957317078</v>
      </c>
      <c r="E295" s="14">
        <f t="shared" si="4"/>
        <v>660.80612967934428</v>
      </c>
    </row>
    <row r="296" spans="1:5" x14ac:dyDescent="0.3">
      <c r="A296" s="7">
        <v>1000509</v>
      </c>
      <c r="B296" s="7" t="s">
        <v>297</v>
      </c>
      <c r="C296" s="14">
        <v>650</v>
      </c>
      <c r="D296" s="14">
        <v>650</v>
      </c>
      <c r="E296" s="14">
        <f t="shared" si="4"/>
        <v>650</v>
      </c>
    </row>
    <row r="297" spans="1:5" x14ac:dyDescent="0.3">
      <c r="A297" s="7">
        <v>1000510</v>
      </c>
      <c r="B297" s="7" t="s">
        <v>298</v>
      </c>
      <c r="C297" s="14">
        <v>367.68</v>
      </c>
      <c r="D297" s="14">
        <v>0</v>
      </c>
      <c r="E297" s="14">
        <f t="shared" si="4"/>
        <v>367.68</v>
      </c>
    </row>
    <row r="298" spans="1:5" x14ac:dyDescent="0.3">
      <c r="A298" s="7">
        <v>1000511</v>
      </c>
      <c r="B298" s="7" t="s">
        <v>299</v>
      </c>
      <c r="C298" s="14">
        <v>862.5</v>
      </c>
      <c r="D298" s="14">
        <v>0</v>
      </c>
      <c r="E298" s="14">
        <f t="shared" si="4"/>
        <v>862.5</v>
      </c>
    </row>
    <row r="299" spans="1:5" x14ac:dyDescent="0.3">
      <c r="A299" s="7">
        <v>1000512</v>
      </c>
      <c r="B299" s="7" t="s">
        <v>300</v>
      </c>
      <c r="C299" s="14">
        <v>230</v>
      </c>
      <c r="D299" s="14">
        <v>0</v>
      </c>
      <c r="E299" s="14">
        <f t="shared" si="4"/>
        <v>230</v>
      </c>
    </row>
    <row r="300" spans="1:5" x14ac:dyDescent="0.3">
      <c r="A300" s="7">
        <v>1000513</v>
      </c>
      <c r="B300" s="7" t="s">
        <v>301</v>
      </c>
      <c r="C300" s="14">
        <v>1890</v>
      </c>
      <c r="D300" s="14">
        <v>1890</v>
      </c>
      <c r="E300" s="14">
        <f t="shared" si="4"/>
        <v>1890</v>
      </c>
    </row>
    <row r="301" spans="1:5" x14ac:dyDescent="0.3">
      <c r="A301" s="7">
        <v>1000516</v>
      </c>
      <c r="B301" s="7" t="s">
        <v>302</v>
      </c>
      <c r="C301" s="14">
        <v>164.28571428571399</v>
      </c>
      <c r="D301" s="14">
        <v>0</v>
      </c>
      <c r="E301" s="14">
        <f t="shared" si="4"/>
        <v>164.28571428571399</v>
      </c>
    </row>
    <row r="302" spans="1:5" x14ac:dyDescent="0.3">
      <c r="A302" s="7">
        <v>1000517</v>
      </c>
      <c r="B302" s="7" t="s">
        <v>303</v>
      </c>
      <c r="C302" s="14">
        <v>230</v>
      </c>
      <c r="D302" s="14">
        <v>0</v>
      </c>
      <c r="E302" s="14">
        <f t="shared" si="4"/>
        <v>230</v>
      </c>
    </row>
    <row r="303" spans="1:5" x14ac:dyDescent="0.3">
      <c r="A303" s="7">
        <v>1000518</v>
      </c>
      <c r="B303" s="7" t="s">
        <v>304</v>
      </c>
      <c r="C303" s="14">
        <v>224</v>
      </c>
      <c r="D303" s="14">
        <v>224</v>
      </c>
      <c r="E303" s="14">
        <f t="shared" si="4"/>
        <v>224</v>
      </c>
    </row>
    <row r="304" spans="1:5" x14ac:dyDescent="0.3">
      <c r="A304" s="7">
        <v>1000520</v>
      </c>
      <c r="B304" s="7" t="s">
        <v>305</v>
      </c>
      <c r="C304" s="14">
        <v>104.914285714286</v>
      </c>
      <c r="D304" s="14">
        <v>0</v>
      </c>
      <c r="E304" s="14">
        <f t="shared" si="4"/>
        <v>104.914285714286</v>
      </c>
    </row>
    <row r="305" spans="1:5" x14ac:dyDescent="0.3">
      <c r="A305" s="7">
        <v>1000525</v>
      </c>
      <c r="B305" s="7" t="s">
        <v>306</v>
      </c>
      <c r="C305" s="14">
        <v>121570.84</v>
      </c>
      <c r="D305" s="14">
        <v>0</v>
      </c>
      <c r="E305" s="14">
        <f t="shared" si="4"/>
        <v>121570.84</v>
      </c>
    </row>
    <row r="306" spans="1:5" x14ac:dyDescent="0.3">
      <c r="A306" s="7">
        <v>1000528</v>
      </c>
      <c r="B306" s="7" t="s">
        <v>307</v>
      </c>
      <c r="C306" s="14">
        <v>730.8</v>
      </c>
      <c r="D306" s="14">
        <v>0</v>
      </c>
      <c r="E306" s="14">
        <f t="shared" si="4"/>
        <v>730.8</v>
      </c>
    </row>
    <row r="307" spans="1:5" x14ac:dyDescent="0.3">
      <c r="A307" s="7">
        <v>1000531</v>
      </c>
      <c r="B307" s="7" t="s">
        <v>308</v>
      </c>
      <c r="C307" s="14">
        <v>4247.3754360713701</v>
      </c>
      <c r="D307" s="14">
        <v>0</v>
      </c>
      <c r="E307" s="14">
        <f t="shared" si="4"/>
        <v>4247.3754360713701</v>
      </c>
    </row>
    <row r="308" spans="1:5" x14ac:dyDescent="0.3">
      <c r="A308" s="7">
        <v>1000533</v>
      </c>
      <c r="B308" s="7" t="s">
        <v>309</v>
      </c>
      <c r="C308" s="14">
        <v>2639.8163928692702</v>
      </c>
      <c r="D308" s="14">
        <v>0</v>
      </c>
      <c r="E308" s="14">
        <f t="shared" si="4"/>
        <v>2639.8163928692702</v>
      </c>
    </row>
    <row r="309" spans="1:5" x14ac:dyDescent="0.3">
      <c r="A309" s="7">
        <v>1000534</v>
      </c>
      <c r="B309" s="7" t="s">
        <v>310</v>
      </c>
      <c r="C309" s="14">
        <v>2859.5879382183912</v>
      </c>
      <c r="D309" s="14">
        <v>2890.7211764705885</v>
      </c>
      <c r="E309" s="14">
        <f t="shared" si="4"/>
        <v>2890.7211764705885</v>
      </c>
    </row>
    <row r="310" spans="1:5" x14ac:dyDescent="0.3">
      <c r="A310" s="7">
        <v>1000537</v>
      </c>
      <c r="B310" s="7" t="s">
        <v>311</v>
      </c>
      <c r="C310" s="14">
        <v>2913.3758666666668</v>
      </c>
      <c r="D310" s="14">
        <v>2913.3758450704227</v>
      </c>
      <c r="E310" s="14">
        <f t="shared" si="4"/>
        <v>2913.3758666666668</v>
      </c>
    </row>
    <row r="311" spans="1:5" x14ac:dyDescent="0.3">
      <c r="A311" s="7">
        <v>1000539</v>
      </c>
      <c r="B311" s="7" t="s">
        <v>312</v>
      </c>
      <c r="C311" s="14">
        <v>5848.2367833379667</v>
      </c>
      <c r="D311" s="14">
        <v>0</v>
      </c>
      <c r="E311" s="14">
        <f t="shared" si="4"/>
        <v>5848.2367833379667</v>
      </c>
    </row>
    <row r="312" spans="1:5" x14ac:dyDescent="0.3">
      <c r="A312" s="7">
        <v>1000542</v>
      </c>
      <c r="B312" s="7" t="s">
        <v>313</v>
      </c>
      <c r="C312" s="14">
        <v>1543.4890279471501</v>
      </c>
      <c r="D312" s="14">
        <v>0</v>
      </c>
      <c r="E312" s="14">
        <f t="shared" si="4"/>
        <v>1543.4890279471501</v>
      </c>
    </row>
    <row r="313" spans="1:5" x14ac:dyDescent="0.3">
      <c r="A313" s="7">
        <v>1000543</v>
      </c>
      <c r="B313" s="7" t="s">
        <v>314</v>
      </c>
      <c r="C313" s="14">
        <v>0</v>
      </c>
      <c r="D313" s="14">
        <v>0</v>
      </c>
      <c r="E313" s="14">
        <f t="shared" si="4"/>
        <v>0</v>
      </c>
    </row>
    <row r="314" spans="1:5" x14ac:dyDescent="0.3">
      <c r="A314" s="7">
        <v>1000545</v>
      </c>
      <c r="B314" s="7" t="s">
        <v>315</v>
      </c>
      <c r="C314" s="14">
        <v>600.01791100172886</v>
      </c>
      <c r="D314" s="14">
        <v>393.2363599064243</v>
      </c>
      <c r="E314" s="14">
        <f t="shared" si="4"/>
        <v>600.01791100172886</v>
      </c>
    </row>
    <row r="315" spans="1:5" x14ac:dyDescent="0.3">
      <c r="A315" s="7">
        <v>1000548</v>
      </c>
      <c r="B315" s="7" t="s">
        <v>316</v>
      </c>
      <c r="C315" s="14">
        <v>11.02</v>
      </c>
      <c r="D315" s="14">
        <v>0</v>
      </c>
      <c r="E315" s="14">
        <f t="shared" si="4"/>
        <v>11.02</v>
      </c>
    </row>
    <row r="316" spans="1:5" x14ac:dyDescent="0.3">
      <c r="A316" s="7">
        <v>1000553</v>
      </c>
      <c r="B316" s="7" t="s">
        <v>317</v>
      </c>
      <c r="C316" s="14">
        <v>50307.94933333333</v>
      </c>
      <c r="D316" s="14">
        <v>50307.94933333333</v>
      </c>
      <c r="E316" s="14">
        <f t="shared" si="4"/>
        <v>50307.94933333333</v>
      </c>
    </row>
    <row r="317" spans="1:5" x14ac:dyDescent="0.3">
      <c r="A317" s="7">
        <v>1000554</v>
      </c>
      <c r="B317" s="7" t="s">
        <v>318</v>
      </c>
      <c r="C317" s="14">
        <v>43968.251212121213</v>
      </c>
      <c r="D317" s="14">
        <v>32109.629999999997</v>
      </c>
      <c r="E317" s="14">
        <f t="shared" si="4"/>
        <v>43968.251212121213</v>
      </c>
    </row>
    <row r="318" spans="1:5" x14ac:dyDescent="0.3">
      <c r="A318" s="7">
        <v>1000555</v>
      </c>
      <c r="B318" s="7" t="s">
        <v>319</v>
      </c>
      <c r="C318" s="14">
        <v>38618.899973404259</v>
      </c>
      <c r="D318" s="14">
        <v>19775.629946808509</v>
      </c>
      <c r="E318" s="14">
        <f t="shared" si="4"/>
        <v>38618.899973404259</v>
      </c>
    </row>
    <row r="319" spans="1:5" x14ac:dyDescent="0.3">
      <c r="A319" s="7">
        <v>1000563</v>
      </c>
      <c r="B319" s="7" t="s">
        <v>320</v>
      </c>
      <c r="C319" s="14">
        <v>312.37200000000001</v>
      </c>
      <c r="D319" s="14">
        <v>0</v>
      </c>
      <c r="E319" s="14">
        <f t="shared" si="4"/>
        <v>312.37200000000001</v>
      </c>
    </row>
    <row r="320" spans="1:5" x14ac:dyDescent="0.3">
      <c r="A320" s="7">
        <v>1000568</v>
      </c>
      <c r="B320" s="7" t="s">
        <v>321</v>
      </c>
      <c r="C320" s="14">
        <v>16225</v>
      </c>
      <c r="D320" s="14">
        <v>2704.17</v>
      </c>
      <c r="E320" s="14">
        <f t="shared" si="4"/>
        <v>16225</v>
      </c>
    </row>
    <row r="321" spans="1:5" x14ac:dyDescent="0.3">
      <c r="A321" s="7">
        <v>1000572</v>
      </c>
      <c r="B321" s="7" t="s">
        <v>322</v>
      </c>
      <c r="C321" s="14">
        <v>3724.0145324074051</v>
      </c>
      <c r="D321" s="14">
        <v>0</v>
      </c>
      <c r="E321" s="14">
        <f t="shared" si="4"/>
        <v>3724.0145324074051</v>
      </c>
    </row>
    <row r="322" spans="1:5" x14ac:dyDescent="0.3">
      <c r="A322" s="7">
        <v>1000573</v>
      </c>
      <c r="B322" s="7" t="s">
        <v>323</v>
      </c>
      <c r="C322" s="14">
        <v>7942.2495833333296</v>
      </c>
      <c r="D322" s="14">
        <v>0</v>
      </c>
      <c r="E322" s="14">
        <f t="shared" si="4"/>
        <v>7942.2495833333296</v>
      </c>
    </row>
    <row r="323" spans="1:5" x14ac:dyDescent="0.3">
      <c r="A323" s="7">
        <v>1000574</v>
      </c>
      <c r="B323" s="7" t="s">
        <v>324</v>
      </c>
      <c r="C323" s="14">
        <v>2196.601814814815</v>
      </c>
      <c r="D323" s="14">
        <v>0</v>
      </c>
      <c r="E323" s="14">
        <f t="shared" ref="E323:E386" si="5">+MAX(C323, D323)</f>
        <v>2196.601814814815</v>
      </c>
    </row>
    <row r="324" spans="1:5" x14ac:dyDescent="0.3">
      <c r="A324" s="7">
        <v>1000578</v>
      </c>
      <c r="B324" s="7" t="s">
        <v>325</v>
      </c>
      <c r="C324" s="14">
        <v>3.2952441509270365</v>
      </c>
      <c r="D324" s="14">
        <v>1.7240060349557176</v>
      </c>
      <c r="E324" s="14">
        <f t="shared" si="5"/>
        <v>3.2952441509270365</v>
      </c>
    </row>
    <row r="325" spans="1:5" x14ac:dyDescent="0.3">
      <c r="A325" s="7">
        <v>1000579</v>
      </c>
      <c r="B325" s="7" t="s">
        <v>326</v>
      </c>
      <c r="C325" s="14">
        <v>4.63</v>
      </c>
      <c r="D325" s="14">
        <v>4.63</v>
      </c>
      <c r="E325" s="14">
        <f t="shared" si="5"/>
        <v>4.63</v>
      </c>
    </row>
    <row r="326" spans="1:5" x14ac:dyDescent="0.3">
      <c r="A326" s="7">
        <v>1000584</v>
      </c>
      <c r="B326" s="7" t="s">
        <v>327</v>
      </c>
      <c r="C326" s="14">
        <v>12582.594999999999</v>
      </c>
      <c r="D326" s="14">
        <v>0</v>
      </c>
      <c r="E326" s="14">
        <f t="shared" si="5"/>
        <v>12582.594999999999</v>
      </c>
    </row>
    <row r="327" spans="1:5" x14ac:dyDescent="0.3">
      <c r="A327" s="7">
        <v>1000585</v>
      </c>
      <c r="B327" s="7" t="s">
        <v>328</v>
      </c>
      <c r="C327" s="14">
        <v>975.19308777198853</v>
      </c>
      <c r="D327" s="14">
        <v>690.69311989100822</v>
      </c>
      <c r="E327" s="14">
        <f t="shared" si="5"/>
        <v>975.19308777198853</v>
      </c>
    </row>
    <row r="328" spans="1:5" x14ac:dyDescent="0.3">
      <c r="A328" s="7">
        <v>1000586</v>
      </c>
      <c r="B328" s="7" t="s">
        <v>329</v>
      </c>
      <c r="C328" s="14">
        <v>234.89999999999998</v>
      </c>
      <c r="D328" s="14">
        <v>234.9</v>
      </c>
      <c r="E328" s="14">
        <f t="shared" si="5"/>
        <v>234.9</v>
      </c>
    </row>
    <row r="329" spans="1:5" x14ac:dyDescent="0.3">
      <c r="A329" s="7">
        <v>1000587</v>
      </c>
      <c r="B329" s="7" t="s">
        <v>330</v>
      </c>
      <c r="C329" s="14">
        <v>49.392834586466179</v>
      </c>
      <c r="D329" s="14">
        <v>36.164569288389515</v>
      </c>
      <c r="E329" s="14">
        <f t="shared" si="5"/>
        <v>49.392834586466179</v>
      </c>
    </row>
    <row r="330" spans="1:5" x14ac:dyDescent="0.3">
      <c r="A330" s="7">
        <v>1000588</v>
      </c>
      <c r="B330" s="7" t="s">
        <v>331</v>
      </c>
      <c r="C330" s="14">
        <v>2014.15238898148</v>
      </c>
      <c r="D330" s="14">
        <v>0</v>
      </c>
      <c r="E330" s="14">
        <f t="shared" si="5"/>
        <v>2014.15238898148</v>
      </c>
    </row>
    <row r="331" spans="1:5" x14ac:dyDescent="0.3">
      <c r="A331" s="7">
        <v>1000595</v>
      </c>
      <c r="B331" s="7" t="s">
        <v>332</v>
      </c>
      <c r="C331" s="14">
        <v>3817.5727272727299</v>
      </c>
      <c r="D331" s="14">
        <v>0</v>
      </c>
      <c r="E331" s="14">
        <f t="shared" si="5"/>
        <v>3817.5727272727299</v>
      </c>
    </row>
    <row r="332" spans="1:5" x14ac:dyDescent="0.3">
      <c r="A332" s="7">
        <v>1000602</v>
      </c>
      <c r="B332" s="7" t="s">
        <v>333</v>
      </c>
      <c r="C332" s="14">
        <v>4370.28</v>
      </c>
      <c r="D332" s="14">
        <v>4370.28</v>
      </c>
      <c r="E332" s="14">
        <f t="shared" si="5"/>
        <v>4370.28</v>
      </c>
    </row>
    <row r="333" spans="1:5" x14ac:dyDescent="0.3">
      <c r="A333" s="7">
        <v>1000609</v>
      </c>
      <c r="B333" s="7" t="s">
        <v>334</v>
      </c>
      <c r="C333" s="14">
        <v>2565.5380425993999</v>
      </c>
      <c r="D333" s="14">
        <v>0</v>
      </c>
      <c r="E333" s="14">
        <f t="shared" si="5"/>
        <v>2565.5380425993999</v>
      </c>
    </row>
    <row r="334" spans="1:5" x14ac:dyDescent="0.3">
      <c r="A334" s="7">
        <v>1000610</v>
      </c>
      <c r="B334" s="7" t="s">
        <v>335</v>
      </c>
      <c r="C334" s="14">
        <v>2552.1930833421748</v>
      </c>
      <c r="D334" s="14">
        <v>2585.0221747876617</v>
      </c>
      <c r="E334" s="14">
        <f t="shared" si="5"/>
        <v>2585.0221747876617</v>
      </c>
    </row>
    <row r="335" spans="1:5" x14ac:dyDescent="0.3">
      <c r="A335" s="7">
        <v>1000613</v>
      </c>
      <c r="B335" s="7" t="s">
        <v>336</v>
      </c>
      <c r="C335" s="14">
        <v>5082.7552338409168</v>
      </c>
      <c r="D335" s="14">
        <v>2764.0284887997327</v>
      </c>
      <c r="E335" s="14">
        <f t="shared" si="5"/>
        <v>5082.7552338409168</v>
      </c>
    </row>
    <row r="336" spans="1:5" x14ac:dyDescent="0.3">
      <c r="A336" s="7">
        <v>1000614</v>
      </c>
      <c r="B336" s="7" t="s">
        <v>337</v>
      </c>
      <c r="C336" s="14">
        <v>6398.79</v>
      </c>
      <c r="D336" s="14">
        <v>3001.6958333333337</v>
      </c>
      <c r="E336" s="14">
        <f t="shared" si="5"/>
        <v>6398.79</v>
      </c>
    </row>
    <row r="337" spans="1:5" x14ac:dyDescent="0.3">
      <c r="A337" s="7">
        <v>1000618</v>
      </c>
      <c r="B337" s="7" t="s">
        <v>338</v>
      </c>
      <c r="C337" s="14">
        <v>1796.5725</v>
      </c>
      <c r="D337" s="14">
        <v>0</v>
      </c>
      <c r="E337" s="14">
        <f t="shared" si="5"/>
        <v>1796.5725</v>
      </c>
    </row>
    <row r="338" spans="1:5" x14ac:dyDescent="0.3">
      <c r="A338" s="7">
        <v>1000627</v>
      </c>
      <c r="B338" s="7" t="s">
        <v>339</v>
      </c>
      <c r="C338" s="14">
        <v>8476.2417698412701</v>
      </c>
      <c r="D338" s="14">
        <v>0</v>
      </c>
      <c r="E338" s="14">
        <f t="shared" si="5"/>
        <v>8476.2417698412701</v>
      </c>
    </row>
    <row r="339" spans="1:5" x14ac:dyDescent="0.3">
      <c r="A339" s="7">
        <v>1000628</v>
      </c>
      <c r="B339" s="7" t="s">
        <v>340</v>
      </c>
      <c r="C339" s="14">
        <v>4626.5252930194802</v>
      </c>
      <c r="D339" s="14">
        <v>0</v>
      </c>
      <c r="E339" s="14">
        <f t="shared" si="5"/>
        <v>4626.5252930194802</v>
      </c>
    </row>
    <row r="340" spans="1:5" x14ac:dyDescent="0.3">
      <c r="A340" s="7">
        <v>1000631</v>
      </c>
      <c r="B340" s="7" t="s">
        <v>341</v>
      </c>
      <c r="C340" s="14">
        <v>9896.7382619047603</v>
      </c>
      <c r="D340" s="14">
        <v>0</v>
      </c>
      <c r="E340" s="14">
        <f t="shared" si="5"/>
        <v>9896.7382619047603</v>
      </c>
    </row>
    <row r="341" spans="1:5" x14ac:dyDescent="0.3">
      <c r="A341" s="7">
        <v>1000632</v>
      </c>
      <c r="B341" s="7" t="s">
        <v>342</v>
      </c>
      <c r="C341" s="14">
        <v>10607.318962584999</v>
      </c>
      <c r="D341" s="14">
        <v>0</v>
      </c>
      <c r="E341" s="14">
        <f t="shared" si="5"/>
        <v>10607.318962584999</v>
      </c>
    </row>
    <row r="342" spans="1:5" x14ac:dyDescent="0.3">
      <c r="A342" s="7">
        <v>1000634</v>
      </c>
      <c r="B342" s="7" t="s">
        <v>343</v>
      </c>
      <c r="C342" s="14">
        <v>10979.7045969388</v>
      </c>
      <c r="D342" s="14">
        <v>0</v>
      </c>
      <c r="E342" s="14">
        <f t="shared" si="5"/>
        <v>10979.7045969388</v>
      </c>
    </row>
    <row r="343" spans="1:5" x14ac:dyDescent="0.3">
      <c r="A343" s="7">
        <v>1000635</v>
      </c>
      <c r="B343" s="7" t="s">
        <v>344</v>
      </c>
      <c r="C343" s="14">
        <v>4443.8647849702402</v>
      </c>
      <c r="D343" s="14">
        <v>0</v>
      </c>
      <c r="E343" s="14">
        <f t="shared" si="5"/>
        <v>4443.8647849702402</v>
      </c>
    </row>
    <row r="344" spans="1:5" x14ac:dyDescent="0.3">
      <c r="A344" s="7">
        <v>1000637</v>
      </c>
      <c r="B344" s="7" t="s">
        <v>345</v>
      </c>
      <c r="C344" s="14">
        <v>7123.5461590476198</v>
      </c>
      <c r="D344" s="14">
        <v>0</v>
      </c>
      <c r="E344" s="14">
        <f t="shared" si="5"/>
        <v>7123.5461590476198</v>
      </c>
    </row>
    <row r="345" spans="1:5" x14ac:dyDescent="0.3">
      <c r="A345" s="7">
        <v>1000639</v>
      </c>
      <c r="B345" s="7" t="s">
        <v>346</v>
      </c>
      <c r="C345" s="14">
        <v>0</v>
      </c>
      <c r="D345" s="14">
        <v>0</v>
      </c>
      <c r="E345" s="14">
        <f t="shared" si="5"/>
        <v>0</v>
      </c>
    </row>
    <row r="346" spans="1:5" x14ac:dyDescent="0.3">
      <c r="A346" s="7">
        <v>1000640</v>
      </c>
      <c r="B346" s="7" t="s">
        <v>347</v>
      </c>
      <c r="C346" s="14">
        <v>0</v>
      </c>
      <c r="D346" s="14">
        <v>0</v>
      </c>
      <c r="E346" s="14">
        <f t="shared" si="5"/>
        <v>0</v>
      </c>
    </row>
    <row r="347" spans="1:5" x14ac:dyDescent="0.3">
      <c r="A347" s="7">
        <v>1000641</v>
      </c>
      <c r="B347" s="7" t="s">
        <v>348</v>
      </c>
      <c r="C347" s="14">
        <v>10732.273583333301</v>
      </c>
      <c r="D347" s="14">
        <v>0</v>
      </c>
      <c r="E347" s="14">
        <f t="shared" si="5"/>
        <v>10732.273583333301</v>
      </c>
    </row>
    <row r="348" spans="1:5" x14ac:dyDescent="0.3">
      <c r="A348" s="7">
        <v>1000645</v>
      </c>
      <c r="B348" s="7" t="s">
        <v>349</v>
      </c>
      <c r="C348" s="14">
        <v>8459.8647104700794</v>
      </c>
      <c r="D348" s="14">
        <v>0</v>
      </c>
      <c r="E348" s="14">
        <f t="shared" si="5"/>
        <v>8459.8647104700794</v>
      </c>
    </row>
    <row r="349" spans="1:5" x14ac:dyDescent="0.3">
      <c r="A349" s="7">
        <v>1000648</v>
      </c>
      <c r="B349" s="7" t="s">
        <v>350</v>
      </c>
      <c r="C349" s="14">
        <v>45.117771807838189</v>
      </c>
      <c r="D349" s="14">
        <v>298.83507094386181</v>
      </c>
      <c r="E349" s="14">
        <f t="shared" si="5"/>
        <v>298.83507094386181</v>
      </c>
    </row>
    <row r="350" spans="1:5" x14ac:dyDescent="0.3">
      <c r="A350" s="7">
        <v>1000649</v>
      </c>
      <c r="B350" s="7" t="s">
        <v>351</v>
      </c>
      <c r="C350" s="14">
        <v>55</v>
      </c>
      <c r="D350" s="14">
        <v>333.5746604046243</v>
      </c>
      <c r="E350" s="14">
        <f t="shared" si="5"/>
        <v>333.5746604046243</v>
      </c>
    </row>
    <row r="351" spans="1:5" x14ac:dyDescent="0.3">
      <c r="A351" s="7">
        <v>1000650</v>
      </c>
      <c r="B351" s="7" t="s">
        <v>352</v>
      </c>
      <c r="C351" s="14">
        <v>60</v>
      </c>
      <c r="D351" s="14">
        <v>255.01478896103899</v>
      </c>
      <c r="E351" s="14">
        <f t="shared" si="5"/>
        <v>255.01478896103899</v>
      </c>
    </row>
    <row r="352" spans="1:5" x14ac:dyDescent="0.3">
      <c r="A352" s="7">
        <v>1000653</v>
      </c>
      <c r="B352" s="7" t="s">
        <v>353</v>
      </c>
      <c r="C352" s="14">
        <v>0</v>
      </c>
      <c r="D352" s="14">
        <v>0</v>
      </c>
      <c r="E352" s="14">
        <f t="shared" si="5"/>
        <v>0</v>
      </c>
    </row>
    <row r="353" spans="1:5" x14ac:dyDescent="0.3">
      <c r="A353" s="7">
        <v>1000654</v>
      </c>
      <c r="B353" s="7" t="s">
        <v>354</v>
      </c>
      <c r="C353" s="14">
        <v>4053.64</v>
      </c>
      <c r="D353" s="14">
        <v>0</v>
      </c>
      <c r="E353" s="14">
        <f t="shared" si="5"/>
        <v>4053.64</v>
      </c>
    </row>
    <row r="354" spans="1:5" x14ac:dyDescent="0.3">
      <c r="A354" s="7">
        <v>1000655</v>
      </c>
      <c r="B354" s="7" t="s">
        <v>355</v>
      </c>
      <c r="C354" s="14">
        <v>5778.1511764705883</v>
      </c>
      <c r="D354" s="14">
        <v>5778.1512499999999</v>
      </c>
      <c r="E354" s="14">
        <f t="shared" si="5"/>
        <v>5778.1512499999999</v>
      </c>
    </row>
    <row r="355" spans="1:5" x14ac:dyDescent="0.3">
      <c r="A355" s="7">
        <v>1000656</v>
      </c>
      <c r="B355" s="7" t="s">
        <v>356</v>
      </c>
      <c r="C355" s="14">
        <v>0</v>
      </c>
      <c r="D355" s="14">
        <v>0</v>
      </c>
      <c r="E355" s="14">
        <f t="shared" si="5"/>
        <v>0</v>
      </c>
    </row>
    <row r="356" spans="1:5" x14ac:dyDescent="0.3">
      <c r="A356" s="7">
        <v>1000658</v>
      </c>
      <c r="B356" s="7" t="s">
        <v>357</v>
      </c>
      <c r="C356" s="14">
        <v>3630.13</v>
      </c>
      <c r="D356" s="14">
        <v>3630.1299999999997</v>
      </c>
      <c r="E356" s="14">
        <f t="shared" si="5"/>
        <v>3630.13</v>
      </c>
    </row>
    <row r="357" spans="1:5" x14ac:dyDescent="0.3">
      <c r="A357" s="7">
        <v>1000660</v>
      </c>
      <c r="B357" s="7" t="s">
        <v>358</v>
      </c>
      <c r="C357" s="14">
        <v>6375.1682619047597</v>
      </c>
      <c r="D357" s="14">
        <v>0</v>
      </c>
      <c r="E357" s="14">
        <f t="shared" si="5"/>
        <v>6375.1682619047597</v>
      </c>
    </row>
    <row r="358" spans="1:5" x14ac:dyDescent="0.3">
      <c r="A358" s="7">
        <v>1000662</v>
      </c>
      <c r="B358" s="7" t="s">
        <v>359</v>
      </c>
      <c r="C358" s="14">
        <v>4370.8100000000004</v>
      </c>
      <c r="D358" s="14">
        <v>0</v>
      </c>
      <c r="E358" s="14">
        <f t="shared" si="5"/>
        <v>4370.8100000000004</v>
      </c>
    </row>
    <row r="359" spans="1:5" x14ac:dyDescent="0.3">
      <c r="A359" s="7">
        <v>1000663</v>
      </c>
      <c r="B359" s="7" t="s">
        <v>360</v>
      </c>
      <c r="C359" s="14">
        <v>0</v>
      </c>
      <c r="D359" s="14">
        <v>0</v>
      </c>
      <c r="E359" s="14">
        <f t="shared" si="5"/>
        <v>0</v>
      </c>
    </row>
    <row r="360" spans="1:5" x14ac:dyDescent="0.3">
      <c r="A360" s="7">
        <v>1000664</v>
      </c>
      <c r="B360" s="7" t="s">
        <v>361</v>
      </c>
      <c r="C360" s="14">
        <v>3.1785714285714302</v>
      </c>
      <c r="D360" s="14">
        <v>0</v>
      </c>
      <c r="E360" s="14">
        <f t="shared" si="5"/>
        <v>3.1785714285714302</v>
      </c>
    </row>
    <row r="361" spans="1:5" x14ac:dyDescent="0.3">
      <c r="A361" s="7">
        <v>1000667</v>
      </c>
      <c r="B361" s="7" t="s">
        <v>362</v>
      </c>
      <c r="C361" s="14">
        <v>1409.50714285714</v>
      </c>
      <c r="D361" s="14">
        <v>0</v>
      </c>
      <c r="E361" s="14">
        <f t="shared" si="5"/>
        <v>1409.50714285714</v>
      </c>
    </row>
    <row r="362" spans="1:5" x14ac:dyDescent="0.3">
      <c r="A362" s="7">
        <v>1000670</v>
      </c>
      <c r="B362" s="7" t="s">
        <v>363</v>
      </c>
      <c r="C362" s="14">
        <v>206.852253090565</v>
      </c>
      <c r="D362" s="14">
        <v>347.485198019802</v>
      </c>
      <c r="E362" s="14">
        <f t="shared" si="5"/>
        <v>347.485198019802</v>
      </c>
    </row>
    <row r="363" spans="1:5" x14ac:dyDescent="0.3">
      <c r="A363" s="7">
        <v>1000671</v>
      </c>
      <c r="B363" s="7" t="s">
        <v>364</v>
      </c>
      <c r="C363" s="14">
        <v>96.403869188224405</v>
      </c>
      <c r="D363" s="14">
        <v>68.44</v>
      </c>
      <c r="E363" s="14">
        <f t="shared" si="5"/>
        <v>96.403869188224405</v>
      </c>
    </row>
    <row r="364" spans="1:5" x14ac:dyDescent="0.3">
      <c r="A364" s="7">
        <v>1000672</v>
      </c>
      <c r="B364" s="7" t="s">
        <v>365</v>
      </c>
      <c r="C364" s="14">
        <v>83.133239936167854</v>
      </c>
      <c r="D364" s="14">
        <v>110.92</v>
      </c>
      <c r="E364" s="14">
        <f t="shared" si="5"/>
        <v>110.92</v>
      </c>
    </row>
    <row r="365" spans="1:5" x14ac:dyDescent="0.3">
      <c r="A365" s="7">
        <v>1000673</v>
      </c>
      <c r="B365" s="7" t="s">
        <v>366</v>
      </c>
      <c r="C365" s="14">
        <v>878.57077683615819</v>
      </c>
      <c r="D365" s="14">
        <v>109.73888888888888</v>
      </c>
      <c r="E365" s="14">
        <f t="shared" si="5"/>
        <v>878.57077683615819</v>
      </c>
    </row>
    <row r="366" spans="1:5" x14ac:dyDescent="0.3">
      <c r="A366" s="7">
        <v>1000674</v>
      </c>
      <c r="B366" s="7" t="s">
        <v>367</v>
      </c>
      <c r="C366" s="14">
        <v>87.553581724748796</v>
      </c>
      <c r="D366" s="14">
        <v>0</v>
      </c>
      <c r="E366" s="14">
        <f t="shared" si="5"/>
        <v>87.553581724748796</v>
      </c>
    </row>
    <row r="367" spans="1:5" x14ac:dyDescent="0.3">
      <c r="A367" s="7">
        <v>1000675</v>
      </c>
      <c r="B367" s="7" t="s">
        <v>368</v>
      </c>
      <c r="C367" s="14">
        <v>89.43545921636175</v>
      </c>
      <c r="D367" s="14">
        <v>88.5</v>
      </c>
      <c r="E367" s="14">
        <f t="shared" si="5"/>
        <v>89.43545921636175</v>
      </c>
    </row>
    <row r="368" spans="1:5" x14ac:dyDescent="0.3">
      <c r="A368" s="7">
        <v>1000676</v>
      </c>
      <c r="B368" s="7" t="s">
        <v>369</v>
      </c>
      <c r="C368" s="14">
        <v>706.52618305814622</v>
      </c>
      <c r="D368" s="14">
        <v>0</v>
      </c>
      <c r="E368" s="14">
        <f t="shared" si="5"/>
        <v>706.52618305814622</v>
      </c>
    </row>
    <row r="369" spans="1:5" x14ac:dyDescent="0.3">
      <c r="A369" s="7">
        <v>1000677</v>
      </c>
      <c r="B369" s="7" t="s">
        <v>370</v>
      </c>
      <c r="C369" s="14">
        <v>101.28864344921153</v>
      </c>
      <c r="D369" s="14">
        <v>0</v>
      </c>
      <c r="E369" s="14">
        <f t="shared" si="5"/>
        <v>101.28864344921153</v>
      </c>
    </row>
    <row r="370" spans="1:5" x14ac:dyDescent="0.3">
      <c r="A370" s="7">
        <v>1000678</v>
      </c>
      <c r="B370" s="7" t="s">
        <v>371</v>
      </c>
      <c r="C370" s="14">
        <v>103.3817935026477</v>
      </c>
      <c r="D370" s="14">
        <v>146.63540445486518</v>
      </c>
      <c r="E370" s="14">
        <f t="shared" si="5"/>
        <v>146.63540445486518</v>
      </c>
    </row>
    <row r="371" spans="1:5" x14ac:dyDescent="0.3">
      <c r="A371" s="7">
        <v>1000679</v>
      </c>
      <c r="B371" s="7" t="s">
        <v>372</v>
      </c>
      <c r="C371" s="14">
        <v>49.979964170961999</v>
      </c>
      <c r="D371" s="14">
        <v>0</v>
      </c>
      <c r="E371" s="14">
        <f t="shared" si="5"/>
        <v>49.979964170961999</v>
      </c>
    </row>
    <row r="372" spans="1:5" x14ac:dyDescent="0.3">
      <c r="A372" s="7">
        <v>1000680</v>
      </c>
      <c r="B372" s="7" t="s">
        <v>373</v>
      </c>
      <c r="C372" s="14">
        <v>119.41636646906824</v>
      </c>
      <c r="D372" s="14">
        <v>67.49666666666667</v>
      </c>
      <c r="E372" s="14">
        <f t="shared" si="5"/>
        <v>119.41636646906824</v>
      </c>
    </row>
    <row r="373" spans="1:5" x14ac:dyDescent="0.3">
      <c r="A373" s="7">
        <v>1000681</v>
      </c>
      <c r="B373" s="7" t="s">
        <v>374</v>
      </c>
      <c r="C373" s="14">
        <v>85.173420824952444</v>
      </c>
      <c r="D373" s="14">
        <v>106.2</v>
      </c>
      <c r="E373" s="14">
        <f t="shared" si="5"/>
        <v>106.2</v>
      </c>
    </row>
    <row r="374" spans="1:5" x14ac:dyDescent="0.3">
      <c r="A374" s="7">
        <v>1000682</v>
      </c>
      <c r="B374" s="7" t="s">
        <v>375</v>
      </c>
      <c r="C374" s="14">
        <v>149.74549098447901</v>
      </c>
      <c r="D374" s="14">
        <v>159.20634920634922</v>
      </c>
      <c r="E374" s="14">
        <f t="shared" si="5"/>
        <v>159.20634920634922</v>
      </c>
    </row>
    <row r="375" spans="1:5" x14ac:dyDescent="0.3">
      <c r="A375" s="7">
        <v>1000683</v>
      </c>
      <c r="B375" s="7" t="s">
        <v>376</v>
      </c>
      <c r="C375" s="14">
        <v>118.62955628290086</v>
      </c>
      <c r="D375" s="14">
        <v>174.12975824175825</v>
      </c>
      <c r="E375" s="14">
        <f t="shared" si="5"/>
        <v>174.12975824175825</v>
      </c>
    </row>
    <row r="376" spans="1:5" x14ac:dyDescent="0.3">
      <c r="A376" s="7">
        <v>1000684</v>
      </c>
      <c r="B376" s="7" t="s">
        <v>377</v>
      </c>
      <c r="C376" s="14">
        <v>84.774166666666645</v>
      </c>
      <c r="D376" s="14">
        <v>0</v>
      </c>
      <c r="E376" s="14">
        <f t="shared" si="5"/>
        <v>84.774166666666645</v>
      </c>
    </row>
    <row r="377" spans="1:5" x14ac:dyDescent="0.3">
      <c r="A377" s="7">
        <v>1000685</v>
      </c>
      <c r="B377" s="7" t="s">
        <v>378</v>
      </c>
      <c r="C377" s="14">
        <v>193.30463368131052</v>
      </c>
      <c r="D377" s="14">
        <v>0</v>
      </c>
      <c r="E377" s="14">
        <f t="shared" si="5"/>
        <v>193.30463368131052</v>
      </c>
    </row>
    <row r="378" spans="1:5" x14ac:dyDescent="0.3">
      <c r="A378" s="7">
        <v>1000686</v>
      </c>
      <c r="B378" s="7" t="s">
        <v>379</v>
      </c>
      <c r="C378" s="14">
        <v>209.94153450292396</v>
      </c>
      <c r="D378" s="14">
        <v>368.87975103734442</v>
      </c>
      <c r="E378" s="14">
        <f t="shared" si="5"/>
        <v>368.87975103734442</v>
      </c>
    </row>
    <row r="379" spans="1:5" x14ac:dyDescent="0.3">
      <c r="A379" s="7">
        <v>1000687</v>
      </c>
      <c r="B379" s="7" t="s">
        <v>380</v>
      </c>
      <c r="C379" s="14">
        <v>96.8850665343099</v>
      </c>
      <c r="D379" s="14">
        <v>106.2</v>
      </c>
      <c r="E379" s="14">
        <f t="shared" si="5"/>
        <v>106.2</v>
      </c>
    </row>
    <row r="380" spans="1:5" x14ac:dyDescent="0.3">
      <c r="A380" s="7">
        <v>1000688</v>
      </c>
      <c r="B380" s="7" t="s">
        <v>381</v>
      </c>
      <c r="C380" s="14">
        <v>114.957666666667</v>
      </c>
      <c r="D380" s="14">
        <v>0</v>
      </c>
      <c r="E380" s="14">
        <f t="shared" si="5"/>
        <v>114.957666666667</v>
      </c>
    </row>
    <row r="381" spans="1:5" x14ac:dyDescent="0.3">
      <c r="A381" s="7">
        <v>1000689</v>
      </c>
      <c r="B381" s="7" t="s">
        <v>382</v>
      </c>
      <c r="C381" s="14">
        <v>195.40256294796299</v>
      </c>
      <c r="D381" s="14">
        <v>0</v>
      </c>
      <c r="E381" s="14">
        <f t="shared" si="5"/>
        <v>195.40256294796299</v>
      </c>
    </row>
    <row r="382" spans="1:5" x14ac:dyDescent="0.3">
      <c r="A382" s="7">
        <v>1000690</v>
      </c>
      <c r="B382" s="7" t="s">
        <v>383</v>
      </c>
      <c r="C382" s="14">
        <v>88.984030168462198</v>
      </c>
      <c r="D382" s="14">
        <v>96.884</v>
      </c>
      <c r="E382" s="14">
        <f t="shared" si="5"/>
        <v>96.884</v>
      </c>
    </row>
    <row r="383" spans="1:5" x14ac:dyDescent="0.3">
      <c r="A383" s="7">
        <v>1000699</v>
      </c>
      <c r="B383" s="7" t="s">
        <v>384</v>
      </c>
      <c r="C383" s="14">
        <v>106.2</v>
      </c>
      <c r="D383" s="14">
        <v>106.2</v>
      </c>
      <c r="E383" s="14">
        <f t="shared" si="5"/>
        <v>106.2</v>
      </c>
    </row>
    <row r="384" spans="1:5" x14ac:dyDescent="0.3">
      <c r="A384" s="7">
        <v>1000700</v>
      </c>
      <c r="B384" s="7" t="s">
        <v>385</v>
      </c>
      <c r="C384" s="14">
        <v>264.13114561766736</v>
      </c>
      <c r="D384" s="14">
        <v>174.20968253968255</v>
      </c>
      <c r="E384" s="14">
        <f t="shared" si="5"/>
        <v>264.13114561766736</v>
      </c>
    </row>
    <row r="385" spans="1:5" x14ac:dyDescent="0.3">
      <c r="A385" s="7">
        <v>1000701</v>
      </c>
      <c r="B385" s="7" t="s">
        <v>386</v>
      </c>
      <c r="C385" s="14">
        <v>355.44798165137615</v>
      </c>
      <c r="D385" s="14">
        <v>257.19851851851854</v>
      </c>
      <c r="E385" s="14">
        <f t="shared" si="5"/>
        <v>355.44798165137615</v>
      </c>
    </row>
    <row r="386" spans="1:5" x14ac:dyDescent="0.3">
      <c r="A386" s="7">
        <v>1000702</v>
      </c>
      <c r="B386" s="7" t="s">
        <v>387</v>
      </c>
      <c r="C386" s="14">
        <v>252.52</v>
      </c>
      <c r="D386" s="14">
        <v>183.64342175066312</v>
      </c>
      <c r="E386" s="14">
        <f t="shared" si="5"/>
        <v>252.52</v>
      </c>
    </row>
    <row r="387" spans="1:5" x14ac:dyDescent="0.3">
      <c r="A387" s="7">
        <v>1000703</v>
      </c>
      <c r="B387" s="7" t="s">
        <v>388</v>
      </c>
      <c r="C387" s="14">
        <v>368.39867786852324</v>
      </c>
      <c r="D387" s="14">
        <v>368.39867532467531</v>
      </c>
      <c r="E387" s="14">
        <f t="shared" ref="E387:E450" si="6">+MAX(C387, D387)</f>
        <v>368.39867786852324</v>
      </c>
    </row>
    <row r="388" spans="1:5" x14ac:dyDescent="0.3">
      <c r="A388" s="7">
        <v>1000704</v>
      </c>
      <c r="B388" s="7" t="s">
        <v>389</v>
      </c>
      <c r="C388" s="14">
        <v>74.85874261356804</v>
      </c>
      <c r="D388" s="14">
        <v>74.858584905660379</v>
      </c>
      <c r="E388" s="14">
        <f t="shared" si="6"/>
        <v>74.85874261356804</v>
      </c>
    </row>
    <row r="389" spans="1:5" x14ac:dyDescent="0.3">
      <c r="A389" s="7">
        <v>1000705</v>
      </c>
      <c r="B389" s="7" t="s">
        <v>390</v>
      </c>
      <c r="C389" s="14">
        <v>126.07</v>
      </c>
      <c r="D389" s="14">
        <v>0</v>
      </c>
      <c r="E389" s="14">
        <f t="shared" si="6"/>
        <v>126.07</v>
      </c>
    </row>
    <row r="390" spans="1:5" x14ac:dyDescent="0.3">
      <c r="A390" s="7">
        <v>1000706</v>
      </c>
      <c r="B390" s="7" t="s">
        <v>391</v>
      </c>
      <c r="C390" s="14">
        <v>220.4</v>
      </c>
      <c r="D390" s="14">
        <v>0</v>
      </c>
      <c r="E390" s="14">
        <f t="shared" si="6"/>
        <v>220.4</v>
      </c>
    </row>
    <row r="391" spans="1:5" x14ac:dyDescent="0.3">
      <c r="A391" s="7">
        <v>1000709</v>
      </c>
      <c r="B391" s="7" t="s">
        <v>392</v>
      </c>
      <c r="C391" s="14">
        <v>147.65</v>
      </c>
      <c r="D391" s="14">
        <v>147.65</v>
      </c>
      <c r="E391" s="14">
        <f t="shared" si="6"/>
        <v>147.65</v>
      </c>
    </row>
    <row r="392" spans="1:5" x14ac:dyDescent="0.3">
      <c r="A392" s="7">
        <v>1000712</v>
      </c>
      <c r="B392" s="7" t="s">
        <v>393</v>
      </c>
      <c r="C392" s="14">
        <v>6.8091428571428603</v>
      </c>
      <c r="D392" s="14">
        <v>0</v>
      </c>
      <c r="E392" s="14">
        <f t="shared" si="6"/>
        <v>6.8091428571428603</v>
      </c>
    </row>
    <row r="393" spans="1:5" x14ac:dyDescent="0.3">
      <c r="A393" s="7">
        <v>1000715</v>
      </c>
      <c r="B393" s="7" t="s">
        <v>394</v>
      </c>
      <c r="C393" s="14">
        <v>1806.2700000000002</v>
      </c>
      <c r="D393" s="14">
        <v>0</v>
      </c>
      <c r="E393" s="14">
        <f t="shared" si="6"/>
        <v>1806.2700000000002</v>
      </c>
    </row>
    <row r="394" spans="1:5" x14ac:dyDescent="0.3">
      <c r="A394" s="7">
        <v>1000720</v>
      </c>
      <c r="B394" s="7" t="s">
        <v>395</v>
      </c>
      <c r="C394" s="14">
        <v>1</v>
      </c>
      <c r="D394" s="14">
        <v>0</v>
      </c>
      <c r="E394" s="14">
        <f t="shared" si="6"/>
        <v>1</v>
      </c>
    </row>
    <row r="395" spans="1:5" x14ac:dyDescent="0.3">
      <c r="A395" s="7">
        <v>1000721</v>
      </c>
      <c r="B395" s="7" t="s">
        <v>396</v>
      </c>
      <c r="C395" s="14">
        <v>14495.092500000001</v>
      </c>
      <c r="D395" s="14">
        <v>0</v>
      </c>
      <c r="E395" s="14">
        <f t="shared" si="6"/>
        <v>14495.092500000001</v>
      </c>
    </row>
    <row r="396" spans="1:5" x14ac:dyDescent="0.3">
      <c r="A396" s="7">
        <v>1000723</v>
      </c>
      <c r="B396" s="7" t="s">
        <v>397</v>
      </c>
      <c r="C396" s="14">
        <v>10790.784</v>
      </c>
      <c r="D396" s="14">
        <v>0</v>
      </c>
      <c r="E396" s="14">
        <f t="shared" si="6"/>
        <v>10790.784</v>
      </c>
    </row>
    <row r="397" spans="1:5" x14ac:dyDescent="0.3">
      <c r="A397" s="7">
        <v>1000724</v>
      </c>
      <c r="B397" s="7" t="s">
        <v>398</v>
      </c>
      <c r="C397" s="14">
        <v>8623.2333333333299</v>
      </c>
      <c r="D397" s="14">
        <v>0</v>
      </c>
      <c r="E397" s="14">
        <f t="shared" si="6"/>
        <v>8623.2333333333299</v>
      </c>
    </row>
    <row r="398" spans="1:5" x14ac:dyDescent="0.3">
      <c r="A398" s="7">
        <v>1000725</v>
      </c>
      <c r="B398" s="7" t="s">
        <v>399</v>
      </c>
      <c r="C398" s="14">
        <v>4248.0914464285697</v>
      </c>
      <c r="D398" s="14">
        <v>0</v>
      </c>
      <c r="E398" s="14">
        <f t="shared" si="6"/>
        <v>4248.0914464285697</v>
      </c>
    </row>
    <row r="399" spans="1:5" x14ac:dyDescent="0.3">
      <c r="A399" s="7">
        <v>1000726</v>
      </c>
      <c r="B399" s="7" t="s">
        <v>400</v>
      </c>
      <c r="C399" s="14">
        <v>3211.7356529445401</v>
      </c>
      <c r="D399" s="14">
        <v>0</v>
      </c>
      <c r="E399" s="14">
        <f t="shared" si="6"/>
        <v>3211.7356529445401</v>
      </c>
    </row>
    <row r="400" spans="1:5" x14ac:dyDescent="0.3">
      <c r="A400" s="7">
        <v>1000729</v>
      </c>
      <c r="B400" s="7" t="s">
        <v>401</v>
      </c>
      <c r="C400" s="14">
        <v>173.93075462350399</v>
      </c>
      <c r="D400" s="14">
        <v>0</v>
      </c>
      <c r="E400" s="14">
        <f t="shared" si="6"/>
        <v>173.93075462350399</v>
      </c>
    </row>
    <row r="401" spans="1:5" x14ac:dyDescent="0.3">
      <c r="A401" s="7">
        <v>1000734</v>
      </c>
      <c r="B401" s="7" t="s">
        <v>402</v>
      </c>
      <c r="C401" s="14">
        <v>1238.8</v>
      </c>
      <c r="D401" s="14">
        <v>561.66819655521783</v>
      </c>
      <c r="E401" s="14">
        <f t="shared" si="6"/>
        <v>1238.8</v>
      </c>
    </row>
    <row r="402" spans="1:5" x14ac:dyDescent="0.3">
      <c r="A402" s="7">
        <v>1000735</v>
      </c>
      <c r="B402" s="7" t="s">
        <v>403</v>
      </c>
      <c r="C402" s="14">
        <v>942.82</v>
      </c>
      <c r="D402" s="14">
        <v>356.16276978417267</v>
      </c>
      <c r="E402" s="14">
        <f t="shared" si="6"/>
        <v>942.82</v>
      </c>
    </row>
    <row r="403" spans="1:5" x14ac:dyDescent="0.3">
      <c r="A403" s="7">
        <v>1000737</v>
      </c>
      <c r="B403" s="7" t="s">
        <v>404</v>
      </c>
      <c r="C403" s="14">
        <v>157.01006746066344</v>
      </c>
      <c r="D403" s="14">
        <v>151.11012538765581</v>
      </c>
      <c r="E403" s="14">
        <f t="shared" si="6"/>
        <v>157.01006746066344</v>
      </c>
    </row>
    <row r="404" spans="1:5" x14ac:dyDescent="0.3">
      <c r="A404" s="7">
        <v>1000738</v>
      </c>
      <c r="B404" s="7" t="s">
        <v>405</v>
      </c>
      <c r="C404" s="14">
        <v>538.29167987909955</v>
      </c>
      <c r="D404" s="14">
        <v>0</v>
      </c>
      <c r="E404" s="14">
        <f t="shared" si="6"/>
        <v>538.29167987909955</v>
      </c>
    </row>
    <row r="405" spans="1:5" x14ac:dyDescent="0.3">
      <c r="A405" s="7">
        <v>1000739</v>
      </c>
      <c r="B405" s="7" t="s">
        <v>406</v>
      </c>
      <c r="C405" s="14">
        <v>299.22000000000003</v>
      </c>
      <c r="D405" s="14">
        <v>0</v>
      </c>
      <c r="E405" s="14">
        <f t="shared" si="6"/>
        <v>299.22000000000003</v>
      </c>
    </row>
    <row r="406" spans="1:5" x14ac:dyDescent="0.3">
      <c r="A406" s="7">
        <v>1000740</v>
      </c>
      <c r="B406" s="7" t="s">
        <v>407</v>
      </c>
      <c r="C406" s="14">
        <v>466.06668124154635</v>
      </c>
      <c r="D406" s="14">
        <v>466.065</v>
      </c>
      <c r="E406" s="14">
        <f t="shared" si="6"/>
        <v>466.06668124154635</v>
      </c>
    </row>
    <row r="407" spans="1:5" x14ac:dyDescent="0.3">
      <c r="A407" s="7">
        <v>1000741</v>
      </c>
      <c r="B407" s="7" t="s">
        <v>408</v>
      </c>
      <c r="C407" s="14">
        <v>444.99985714285697</v>
      </c>
      <c r="D407" s="14">
        <v>0</v>
      </c>
      <c r="E407" s="14">
        <f t="shared" si="6"/>
        <v>444.99985714285697</v>
      </c>
    </row>
    <row r="408" spans="1:5" x14ac:dyDescent="0.3">
      <c r="A408" s="7">
        <v>1000742</v>
      </c>
      <c r="B408" s="7" t="s">
        <v>409</v>
      </c>
      <c r="C408" s="14">
        <v>635</v>
      </c>
      <c r="D408" s="14">
        <v>0</v>
      </c>
      <c r="E408" s="14">
        <f t="shared" si="6"/>
        <v>635</v>
      </c>
    </row>
    <row r="409" spans="1:5" x14ac:dyDescent="0.3">
      <c r="A409" s="7">
        <v>1000743</v>
      </c>
      <c r="B409" s="7" t="s">
        <v>410</v>
      </c>
      <c r="C409" s="14">
        <v>206.21999999999997</v>
      </c>
      <c r="D409" s="14">
        <v>206.21999999999997</v>
      </c>
      <c r="E409" s="14">
        <f t="shared" si="6"/>
        <v>206.21999999999997</v>
      </c>
    </row>
    <row r="410" spans="1:5" x14ac:dyDescent="0.3">
      <c r="A410" s="7">
        <v>1000744</v>
      </c>
      <c r="B410" s="7" t="s">
        <v>411</v>
      </c>
      <c r="C410" s="14">
        <v>154.81</v>
      </c>
      <c r="D410" s="14">
        <v>57.285646606914206</v>
      </c>
      <c r="E410" s="14">
        <f t="shared" si="6"/>
        <v>154.81</v>
      </c>
    </row>
    <row r="411" spans="1:5" x14ac:dyDescent="0.3">
      <c r="A411" s="7">
        <v>1000745</v>
      </c>
      <c r="B411" s="7" t="s">
        <v>412</v>
      </c>
      <c r="C411" s="14">
        <v>0</v>
      </c>
      <c r="D411" s="14">
        <v>0</v>
      </c>
      <c r="E411" s="14">
        <f t="shared" si="6"/>
        <v>0</v>
      </c>
    </row>
    <row r="412" spans="1:5" x14ac:dyDescent="0.3">
      <c r="A412" s="7">
        <v>1000746</v>
      </c>
      <c r="B412" s="7" t="s">
        <v>413</v>
      </c>
      <c r="C412" s="14">
        <v>321.61494708343588</v>
      </c>
      <c r="D412" s="14">
        <v>321.61494708343588</v>
      </c>
      <c r="E412" s="14">
        <f t="shared" si="6"/>
        <v>321.61494708343588</v>
      </c>
    </row>
    <row r="413" spans="1:5" x14ac:dyDescent="0.3">
      <c r="A413" s="7">
        <v>1000750</v>
      </c>
      <c r="B413" s="7" t="s">
        <v>414</v>
      </c>
      <c r="C413" s="14">
        <v>1.5714285714285701</v>
      </c>
      <c r="D413" s="14">
        <v>0</v>
      </c>
      <c r="E413" s="14">
        <f t="shared" si="6"/>
        <v>1.5714285714285701</v>
      </c>
    </row>
    <row r="414" spans="1:5" x14ac:dyDescent="0.3">
      <c r="A414" s="7">
        <v>1000751</v>
      </c>
      <c r="B414" s="7" t="s">
        <v>415</v>
      </c>
      <c r="C414" s="14">
        <v>359.29290083769814</v>
      </c>
      <c r="D414" s="14">
        <v>463.86660162601629</v>
      </c>
      <c r="E414" s="14">
        <f t="shared" si="6"/>
        <v>463.86660162601629</v>
      </c>
    </row>
    <row r="415" spans="1:5" x14ac:dyDescent="0.3">
      <c r="A415" s="7">
        <v>1000752</v>
      </c>
      <c r="B415" s="7" t="s">
        <v>416</v>
      </c>
      <c r="C415" s="14">
        <v>810</v>
      </c>
      <c r="D415" s="14">
        <v>0</v>
      </c>
      <c r="E415" s="14">
        <f t="shared" si="6"/>
        <v>810</v>
      </c>
    </row>
    <row r="416" spans="1:5" x14ac:dyDescent="0.3">
      <c r="A416" s="7">
        <v>1000755</v>
      </c>
      <c r="B416" s="7" t="s">
        <v>417</v>
      </c>
      <c r="C416" s="14">
        <v>3388.1645834859601</v>
      </c>
      <c r="D416" s="14">
        <v>0</v>
      </c>
      <c r="E416" s="14">
        <f t="shared" si="6"/>
        <v>3388.1645834859601</v>
      </c>
    </row>
    <row r="417" spans="1:5" x14ac:dyDescent="0.3">
      <c r="A417" s="7">
        <v>1000756</v>
      </c>
      <c r="B417" s="7" t="s">
        <v>418</v>
      </c>
      <c r="C417" s="14">
        <v>7864.1750000000002</v>
      </c>
      <c r="D417" s="14">
        <v>0</v>
      </c>
      <c r="E417" s="14">
        <f t="shared" si="6"/>
        <v>7864.1750000000002</v>
      </c>
    </row>
    <row r="418" spans="1:5" x14ac:dyDescent="0.3">
      <c r="A418" s="7">
        <v>1000758</v>
      </c>
      <c r="B418" s="7" t="s">
        <v>419</v>
      </c>
      <c r="C418" s="14">
        <v>14162.95</v>
      </c>
      <c r="D418" s="14">
        <v>0</v>
      </c>
      <c r="E418" s="14">
        <f t="shared" si="6"/>
        <v>14162.95</v>
      </c>
    </row>
    <row r="419" spans="1:5" x14ac:dyDescent="0.3">
      <c r="A419" s="7">
        <v>1000764</v>
      </c>
      <c r="B419" s="7" t="s">
        <v>420</v>
      </c>
      <c r="C419" s="14">
        <v>10603.662857142899</v>
      </c>
      <c r="D419" s="14">
        <v>0</v>
      </c>
      <c r="E419" s="14">
        <f t="shared" si="6"/>
        <v>10603.662857142899</v>
      </c>
    </row>
    <row r="420" spans="1:5" x14ac:dyDescent="0.3">
      <c r="A420" s="7">
        <v>1000765</v>
      </c>
      <c r="B420" s="7" t="s">
        <v>421</v>
      </c>
      <c r="C420" s="14">
        <v>169.42383233532934</v>
      </c>
      <c r="D420" s="14">
        <v>169.42383233532934</v>
      </c>
      <c r="E420" s="14">
        <f t="shared" si="6"/>
        <v>169.42383233532934</v>
      </c>
    </row>
    <row r="421" spans="1:5" x14ac:dyDescent="0.3">
      <c r="A421" s="7">
        <v>1000767</v>
      </c>
      <c r="B421" s="7" t="s">
        <v>422</v>
      </c>
      <c r="C421" s="14">
        <v>46.44</v>
      </c>
      <c r="D421" s="14">
        <v>0</v>
      </c>
      <c r="E421" s="14">
        <f t="shared" si="6"/>
        <v>46.44</v>
      </c>
    </row>
    <row r="422" spans="1:5" x14ac:dyDescent="0.3">
      <c r="A422" s="7">
        <v>1000768</v>
      </c>
      <c r="B422" s="7" t="s">
        <v>423</v>
      </c>
      <c r="C422" s="14">
        <v>46.44</v>
      </c>
      <c r="D422" s="14">
        <v>46.44</v>
      </c>
      <c r="E422" s="14">
        <f t="shared" si="6"/>
        <v>46.44</v>
      </c>
    </row>
    <row r="423" spans="1:5" x14ac:dyDescent="0.3">
      <c r="A423" s="7">
        <v>1000774</v>
      </c>
      <c r="B423" s="7" t="s">
        <v>424</v>
      </c>
      <c r="C423" s="14">
        <v>19762.249266666699</v>
      </c>
      <c r="D423" s="14">
        <v>0</v>
      </c>
      <c r="E423" s="14">
        <f t="shared" si="6"/>
        <v>19762.249266666699</v>
      </c>
    </row>
    <row r="424" spans="1:5" x14ac:dyDescent="0.3">
      <c r="A424" s="7">
        <v>1000775</v>
      </c>
      <c r="B424" s="7" t="s">
        <v>425</v>
      </c>
      <c r="C424" s="14">
        <v>13424.697761904799</v>
      </c>
      <c r="D424" s="14">
        <v>0</v>
      </c>
      <c r="E424" s="14">
        <f t="shared" si="6"/>
        <v>13424.697761904799</v>
      </c>
    </row>
    <row r="425" spans="1:5" x14ac:dyDescent="0.3">
      <c r="A425" s="7">
        <v>1000777</v>
      </c>
      <c r="B425" s="7" t="s">
        <v>426</v>
      </c>
      <c r="C425" s="14">
        <v>12775.373577712609</v>
      </c>
      <c r="D425" s="14">
        <v>15636.608260869565</v>
      </c>
      <c r="E425" s="14">
        <f t="shared" si="6"/>
        <v>15636.608260869565</v>
      </c>
    </row>
    <row r="426" spans="1:5" x14ac:dyDescent="0.3">
      <c r="A426" s="7">
        <v>1000778</v>
      </c>
      <c r="B426" s="7" t="s">
        <v>427</v>
      </c>
      <c r="C426" s="14">
        <v>9428.9623684210528</v>
      </c>
      <c r="D426" s="14">
        <v>10150.975</v>
      </c>
      <c r="E426" s="14">
        <f t="shared" si="6"/>
        <v>10150.975</v>
      </c>
    </row>
    <row r="427" spans="1:5" x14ac:dyDescent="0.3">
      <c r="A427" s="7">
        <v>1000779</v>
      </c>
      <c r="B427" s="7" t="s">
        <v>428</v>
      </c>
      <c r="C427" s="14">
        <v>1799.54</v>
      </c>
      <c r="D427" s="14">
        <v>1799.54</v>
      </c>
      <c r="E427" s="14">
        <f t="shared" si="6"/>
        <v>1799.54</v>
      </c>
    </row>
    <row r="428" spans="1:5" x14ac:dyDescent="0.3">
      <c r="A428" s="7">
        <v>1000780</v>
      </c>
      <c r="B428" s="7" t="s">
        <v>429</v>
      </c>
      <c r="C428" s="14">
        <v>3097.2369504208341</v>
      </c>
      <c r="D428" s="14">
        <v>3053.1311056376576</v>
      </c>
      <c r="E428" s="14">
        <f t="shared" si="6"/>
        <v>3097.2369504208341</v>
      </c>
    </row>
    <row r="429" spans="1:5" x14ac:dyDescent="0.3">
      <c r="A429" s="7">
        <v>1000781</v>
      </c>
      <c r="B429" s="7" t="s">
        <v>430</v>
      </c>
      <c r="C429" s="14">
        <v>14.224573211729286</v>
      </c>
      <c r="D429" s="14">
        <v>13.402502342848905</v>
      </c>
      <c r="E429" s="14">
        <f t="shared" si="6"/>
        <v>14.224573211729286</v>
      </c>
    </row>
    <row r="430" spans="1:5" x14ac:dyDescent="0.3">
      <c r="A430" s="7">
        <v>1000782</v>
      </c>
      <c r="B430" s="7" t="s">
        <v>431</v>
      </c>
      <c r="C430" s="14">
        <v>11981.68</v>
      </c>
      <c r="D430" s="14">
        <v>0</v>
      </c>
      <c r="E430" s="14">
        <f t="shared" si="6"/>
        <v>11981.68</v>
      </c>
    </row>
    <row r="431" spans="1:5" x14ac:dyDescent="0.3">
      <c r="A431" s="7">
        <v>1000783</v>
      </c>
      <c r="B431" s="7" t="s">
        <v>432</v>
      </c>
      <c r="C431" s="14">
        <v>1</v>
      </c>
      <c r="D431" s="14">
        <v>0</v>
      </c>
      <c r="E431" s="14">
        <f t="shared" si="6"/>
        <v>1</v>
      </c>
    </row>
    <row r="432" spans="1:5" x14ac:dyDescent="0.3">
      <c r="A432" s="7">
        <v>1000785</v>
      </c>
      <c r="B432" s="7" t="s">
        <v>433</v>
      </c>
      <c r="C432" s="14">
        <v>19929</v>
      </c>
      <c r="D432" s="14">
        <v>0</v>
      </c>
      <c r="E432" s="14">
        <f t="shared" si="6"/>
        <v>19929</v>
      </c>
    </row>
    <row r="433" spans="1:5" x14ac:dyDescent="0.3">
      <c r="A433" s="7">
        <v>1000786</v>
      </c>
      <c r="B433" s="7" t="s">
        <v>434</v>
      </c>
      <c r="C433" s="14">
        <v>10666.666666666701</v>
      </c>
      <c r="D433" s="14">
        <v>0</v>
      </c>
      <c r="E433" s="14">
        <f t="shared" si="6"/>
        <v>10666.666666666701</v>
      </c>
    </row>
    <row r="434" spans="1:5" x14ac:dyDescent="0.3">
      <c r="A434" s="7">
        <v>1000788</v>
      </c>
      <c r="B434" s="7" t="s">
        <v>435</v>
      </c>
      <c r="C434" s="14">
        <v>16308.8</v>
      </c>
      <c r="D434" s="14">
        <v>0</v>
      </c>
      <c r="E434" s="14">
        <f t="shared" si="6"/>
        <v>16308.8</v>
      </c>
    </row>
    <row r="435" spans="1:5" x14ac:dyDescent="0.3">
      <c r="A435" s="7">
        <v>1000794</v>
      </c>
      <c r="B435" s="7" t="s">
        <v>436</v>
      </c>
      <c r="C435" s="14">
        <v>3182.02</v>
      </c>
      <c r="D435" s="14">
        <v>0</v>
      </c>
      <c r="E435" s="14">
        <f t="shared" si="6"/>
        <v>3182.02</v>
      </c>
    </row>
    <row r="436" spans="1:5" x14ac:dyDescent="0.3">
      <c r="A436" s="7">
        <v>1000795</v>
      </c>
      <c r="B436" s="7" t="s">
        <v>437</v>
      </c>
      <c r="C436" s="14">
        <v>0</v>
      </c>
      <c r="D436" s="14">
        <v>0</v>
      </c>
      <c r="E436" s="14">
        <f t="shared" si="6"/>
        <v>0</v>
      </c>
    </row>
    <row r="437" spans="1:5" x14ac:dyDescent="0.3">
      <c r="A437" s="7">
        <v>1000796</v>
      </c>
      <c r="B437" s="7" t="s">
        <v>438</v>
      </c>
      <c r="C437" s="14">
        <v>66.745978748727651</v>
      </c>
      <c r="D437" s="14">
        <v>61.292051812941729</v>
      </c>
      <c r="E437" s="14">
        <f t="shared" si="6"/>
        <v>66.745978748727651</v>
      </c>
    </row>
    <row r="438" spans="1:5" x14ac:dyDescent="0.3">
      <c r="A438" s="7">
        <v>1000799</v>
      </c>
      <c r="B438" s="7" t="s">
        <v>439</v>
      </c>
      <c r="C438" s="14">
        <v>74614.69</v>
      </c>
      <c r="D438" s="14">
        <v>74614.69</v>
      </c>
      <c r="E438" s="14">
        <f t="shared" si="6"/>
        <v>74614.69</v>
      </c>
    </row>
    <row r="439" spans="1:5" x14ac:dyDescent="0.3">
      <c r="A439" s="7">
        <v>1000800</v>
      </c>
      <c r="B439" s="7" t="s">
        <v>440</v>
      </c>
      <c r="C439" s="14">
        <v>16788.21608275058</v>
      </c>
      <c r="D439" s="14">
        <v>16788.215909090908</v>
      </c>
      <c r="E439" s="14">
        <f t="shared" si="6"/>
        <v>16788.21608275058</v>
      </c>
    </row>
    <row r="440" spans="1:5" x14ac:dyDescent="0.3">
      <c r="A440" s="7">
        <v>1000802</v>
      </c>
      <c r="B440" s="7" t="s">
        <v>441</v>
      </c>
      <c r="C440" s="14">
        <v>22933.3</v>
      </c>
      <c r="D440" s="14">
        <v>7198</v>
      </c>
      <c r="E440" s="14">
        <f t="shared" si="6"/>
        <v>22933.3</v>
      </c>
    </row>
    <row r="441" spans="1:5" x14ac:dyDescent="0.3">
      <c r="A441" s="7">
        <v>1000805</v>
      </c>
      <c r="B441" s="7" t="s">
        <v>442</v>
      </c>
      <c r="C441" s="14">
        <v>1164</v>
      </c>
      <c r="D441" s="14">
        <v>1164</v>
      </c>
      <c r="E441" s="14">
        <f t="shared" si="6"/>
        <v>1164</v>
      </c>
    </row>
    <row r="442" spans="1:5" x14ac:dyDescent="0.3">
      <c r="A442" s="7">
        <v>1000806</v>
      </c>
      <c r="B442" s="7" t="s">
        <v>443</v>
      </c>
      <c r="C442" s="14">
        <v>1608.1431271477663</v>
      </c>
      <c r="D442" s="14">
        <v>1608.1431318681318</v>
      </c>
      <c r="E442" s="14">
        <f t="shared" si="6"/>
        <v>1608.1431318681318</v>
      </c>
    </row>
    <row r="443" spans="1:5" x14ac:dyDescent="0.3">
      <c r="A443" s="7">
        <v>1000807</v>
      </c>
      <c r="B443" s="7" t="s">
        <v>444</v>
      </c>
      <c r="C443" s="14">
        <v>2004.1779933049299</v>
      </c>
      <c r="D443" s="14">
        <v>1502.3934680451127</v>
      </c>
      <c r="E443" s="14">
        <f t="shared" si="6"/>
        <v>2004.1779933049299</v>
      </c>
    </row>
    <row r="444" spans="1:5" x14ac:dyDescent="0.3">
      <c r="A444" s="7">
        <v>1000808</v>
      </c>
      <c r="B444" s="7" t="s">
        <v>445</v>
      </c>
      <c r="C444" s="14">
        <v>0</v>
      </c>
      <c r="D444" s="14">
        <v>0</v>
      </c>
      <c r="E444" s="14">
        <f t="shared" si="6"/>
        <v>0</v>
      </c>
    </row>
    <row r="445" spans="1:5" x14ac:dyDescent="0.3">
      <c r="A445" s="7">
        <v>1000809</v>
      </c>
      <c r="B445" s="7" t="s">
        <v>446</v>
      </c>
      <c r="C445" s="14">
        <v>1033.6531547555776</v>
      </c>
      <c r="D445" s="14">
        <v>1033.6531648351649</v>
      </c>
      <c r="E445" s="14">
        <f t="shared" si="6"/>
        <v>1033.6531648351649</v>
      </c>
    </row>
    <row r="446" spans="1:5" x14ac:dyDescent="0.3">
      <c r="A446" s="7">
        <v>1000813</v>
      </c>
      <c r="B446" s="7" t="s">
        <v>447</v>
      </c>
      <c r="C446" s="14">
        <v>2520.61333333333</v>
      </c>
      <c r="D446" s="14">
        <v>0</v>
      </c>
      <c r="E446" s="14">
        <f t="shared" si="6"/>
        <v>2520.61333333333</v>
      </c>
    </row>
    <row r="447" spans="1:5" x14ac:dyDescent="0.3">
      <c r="A447" s="7">
        <v>1000814</v>
      </c>
      <c r="B447" s="7" t="s">
        <v>448</v>
      </c>
      <c r="C447" s="14">
        <v>62.554186046511603</v>
      </c>
      <c r="D447" s="14">
        <v>0</v>
      </c>
      <c r="E447" s="14">
        <f t="shared" si="6"/>
        <v>62.554186046511603</v>
      </c>
    </row>
    <row r="448" spans="1:5" x14ac:dyDescent="0.3">
      <c r="A448" s="7">
        <v>1000815</v>
      </c>
      <c r="B448" s="7" t="s">
        <v>449</v>
      </c>
      <c r="C448" s="14">
        <v>17.584944979367261</v>
      </c>
      <c r="D448" s="14">
        <v>17.584944979367261</v>
      </c>
      <c r="E448" s="14">
        <f t="shared" si="6"/>
        <v>17.584944979367261</v>
      </c>
    </row>
    <row r="449" spans="1:5" x14ac:dyDescent="0.3">
      <c r="A449" s="7">
        <v>1000816</v>
      </c>
      <c r="B449" s="7" t="s">
        <v>450</v>
      </c>
      <c r="C449" s="14">
        <v>41.211957615042316</v>
      </c>
      <c r="D449" s="14">
        <v>38.588770523966069</v>
      </c>
      <c r="E449" s="14">
        <f t="shared" si="6"/>
        <v>41.211957615042316</v>
      </c>
    </row>
    <row r="450" spans="1:5" x14ac:dyDescent="0.3">
      <c r="A450" s="7">
        <v>1000817</v>
      </c>
      <c r="B450" s="7" t="s">
        <v>451</v>
      </c>
      <c r="C450" s="14">
        <v>3072.7533749999998</v>
      </c>
      <c r="D450" s="14">
        <v>0</v>
      </c>
      <c r="E450" s="14">
        <f t="shared" si="6"/>
        <v>3072.7533749999998</v>
      </c>
    </row>
    <row r="451" spans="1:5" x14ac:dyDescent="0.3">
      <c r="A451" s="7">
        <v>1000819</v>
      </c>
      <c r="B451" s="7" t="s">
        <v>452</v>
      </c>
      <c r="C451" s="14">
        <v>16.422774086378737</v>
      </c>
      <c r="D451" s="14">
        <v>16.422774086378737</v>
      </c>
      <c r="E451" s="14">
        <f t="shared" ref="E451:E514" si="7">+MAX(C451, D451)</f>
        <v>16.422774086378737</v>
      </c>
    </row>
    <row r="452" spans="1:5" x14ac:dyDescent="0.3">
      <c r="A452" s="7">
        <v>1000820</v>
      </c>
      <c r="B452" s="7" t="s">
        <v>453</v>
      </c>
      <c r="C452" s="14">
        <v>0</v>
      </c>
      <c r="D452" s="14">
        <v>0</v>
      </c>
      <c r="E452" s="14">
        <f t="shared" si="7"/>
        <v>0</v>
      </c>
    </row>
    <row r="453" spans="1:5" x14ac:dyDescent="0.3">
      <c r="A453" s="7">
        <v>1000826</v>
      </c>
      <c r="B453" s="7" t="s">
        <v>454</v>
      </c>
      <c r="C453" s="14">
        <v>0.66666666666666696</v>
      </c>
      <c r="D453" s="14">
        <v>0</v>
      </c>
      <c r="E453" s="14">
        <f t="shared" si="7"/>
        <v>0.66666666666666696</v>
      </c>
    </row>
    <row r="454" spans="1:5" x14ac:dyDescent="0.3">
      <c r="A454" s="7">
        <v>1000843</v>
      </c>
      <c r="B454" s="7" t="s">
        <v>455</v>
      </c>
      <c r="C454" s="14">
        <v>104184.107058824</v>
      </c>
      <c r="D454" s="14">
        <v>0</v>
      </c>
      <c r="E454" s="14">
        <f t="shared" si="7"/>
        <v>104184.107058824</v>
      </c>
    </row>
    <row r="455" spans="1:5" x14ac:dyDescent="0.3">
      <c r="A455" s="7">
        <v>1000846</v>
      </c>
      <c r="B455" s="7" t="s">
        <v>456</v>
      </c>
      <c r="C455" s="14">
        <v>142570.00483913801</v>
      </c>
      <c r="D455" s="14">
        <v>0</v>
      </c>
      <c r="E455" s="14">
        <f t="shared" si="7"/>
        <v>142570.00483913801</v>
      </c>
    </row>
    <row r="456" spans="1:5" x14ac:dyDescent="0.3">
      <c r="A456" s="7">
        <v>1000848</v>
      </c>
      <c r="B456" s="7" t="s">
        <v>457</v>
      </c>
      <c r="C456" s="14">
        <v>224425.75718333299</v>
      </c>
      <c r="D456" s="14">
        <v>0</v>
      </c>
      <c r="E456" s="14">
        <f t="shared" si="7"/>
        <v>224425.75718333299</v>
      </c>
    </row>
    <row r="457" spans="1:5" x14ac:dyDescent="0.3">
      <c r="A457" s="7">
        <v>1000859</v>
      </c>
      <c r="B457" s="7" t="s">
        <v>458</v>
      </c>
      <c r="C457" s="14">
        <v>164008.106111111</v>
      </c>
      <c r="D457" s="14">
        <v>0</v>
      </c>
      <c r="E457" s="14">
        <f t="shared" si="7"/>
        <v>164008.106111111</v>
      </c>
    </row>
    <row r="458" spans="1:5" x14ac:dyDescent="0.3">
      <c r="A458" s="7">
        <v>1000860</v>
      </c>
      <c r="B458" s="7" t="s">
        <v>459</v>
      </c>
      <c r="C458" s="14">
        <v>4670.93</v>
      </c>
      <c r="D458" s="14">
        <v>4670.9299999999994</v>
      </c>
      <c r="E458" s="14">
        <f t="shared" si="7"/>
        <v>4670.93</v>
      </c>
    </row>
    <row r="459" spans="1:5" x14ac:dyDescent="0.3">
      <c r="A459" s="7">
        <v>1000863</v>
      </c>
      <c r="B459" s="7" t="s">
        <v>460</v>
      </c>
      <c r="C459" s="14">
        <v>0</v>
      </c>
      <c r="D459" s="14">
        <v>0</v>
      </c>
      <c r="E459" s="14">
        <f t="shared" si="7"/>
        <v>0</v>
      </c>
    </row>
    <row r="460" spans="1:5" x14ac:dyDescent="0.3">
      <c r="A460" s="7">
        <v>1000866</v>
      </c>
      <c r="B460" s="7" t="s">
        <v>461</v>
      </c>
      <c r="C460" s="14">
        <v>28436.18</v>
      </c>
      <c r="D460" s="14">
        <v>0</v>
      </c>
      <c r="E460" s="14">
        <f t="shared" si="7"/>
        <v>28436.18</v>
      </c>
    </row>
    <row r="461" spans="1:5" x14ac:dyDescent="0.3">
      <c r="A461" s="7">
        <v>1000867</v>
      </c>
      <c r="B461" s="7" t="s">
        <v>462</v>
      </c>
      <c r="C461" s="14">
        <v>2782.6906296296302</v>
      </c>
      <c r="D461" s="14">
        <v>0</v>
      </c>
      <c r="E461" s="14">
        <f t="shared" si="7"/>
        <v>2782.6906296296302</v>
      </c>
    </row>
    <row r="462" spans="1:5" x14ac:dyDescent="0.3">
      <c r="A462" s="7">
        <v>1000868</v>
      </c>
      <c r="B462" s="7" t="s">
        <v>463</v>
      </c>
      <c r="C462" s="14">
        <v>2551.1102042327998</v>
      </c>
      <c r="D462" s="14">
        <v>0</v>
      </c>
      <c r="E462" s="14">
        <f t="shared" si="7"/>
        <v>2551.1102042327998</v>
      </c>
    </row>
    <row r="463" spans="1:5" x14ac:dyDescent="0.3">
      <c r="A463" s="7">
        <v>1000869</v>
      </c>
      <c r="B463" s="7" t="s">
        <v>464</v>
      </c>
      <c r="C463" s="14">
        <v>2551.1106249999998</v>
      </c>
      <c r="D463" s="14">
        <v>0</v>
      </c>
      <c r="E463" s="14">
        <f t="shared" si="7"/>
        <v>2551.1106249999998</v>
      </c>
    </row>
    <row r="464" spans="1:5" x14ac:dyDescent="0.3">
      <c r="A464" s="7">
        <v>1000870</v>
      </c>
      <c r="B464" s="7" t="s">
        <v>465</v>
      </c>
      <c r="C464" s="14">
        <v>2551.1048148148102</v>
      </c>
      <c r="D464" s="14">
        <v>0</v>
      </c>
      <c r="E464" s="14">
        <f t="shared" si="7"/>
        <v>2551.1048148148102</v>
      </c>
    </row>
    <row r="465" spans="1:5" x14ac:dyDescent="0.3">
      <c r="A465" s="7">
        <v>1000872</v>
      </c>
      <c r="B465" s="7" t="s">
        <v>466</v>
      </c>
      <c r="C465" s="14">
        <v>2551.11055555556</v>
      </c>
      <c r="D465" s="14">
        <v>0</v>
      </c>
      <c r="E465" s="14">
        <f t="shared" si="7"/>
        <v>2551.11055555556</v>
      </c>
    </row>
    <row r="466" spans="1:5" x14ac:dyDescent="0.3">
      <c r="A466" s="7">
        <v>1000874</v>
      </c>
      <c r="B466" s="7" t="s">
        <v>467</v>
      </c>
      <c r="C466" s="14">
        <v>44426.123096153839</v>
      </c>
      <c r="D466" s="14">
        <v>0</v>
      </c>
      <c r="E466" s="14">
        <f t="shared" si="7"/>
        <v>44426.123096153839</v>
      </c>
    </row>
    <row r="467" spans="1:5" x14ac:dyDescent="0.3">
      <c r="A467" s="7">
        <v>1000875</v>
      </c>
      <c r="B467" s="7" t="s">
        <v>468</v>
      </c>
      <c r="C467" s="14">
        <v>639757.96</v>
      </c>
      <c r="D467" s="14">
        <v>0</v>
      </c>
      <c r="E467" s="14">
        <f t="shared" si="7"/>
        <v>639757.96</v>
      </c>
    </row>
    <row r="468" spans="1:5" x14ac:dyDescent="0.3">
      <c r="A468" s="7">
        <v>1000876</v>
      </c>
      <c r="B468" s="7" t="s">
        <v>469</v>
      </c>
      <c r="C468" s="14">
        <v>48013.870296431851</v>
      </c>
      <c r="D468" s="14">
        <v>22489.124508196721</v>
      </c>
      <c r="E468" s="14">
        <f t="shared" si="7"/>
        <v>48013.870296431851</v>
      </c>
    </row>
    <row r="469" spans="1:5" x14ac:dyDescent="0.3">
      <c r="A469" s="7">
        <v>1000877</v>
      </c>
      <c r="B469" s="7" t="s">
        <v>470</v>
      </c>
      <c r="C469" s="14">
        <v>4.78</v>
      </c>
      <c r="D469" s="14">
        <v>0</v>
      </c>
      <c r="E469" s="14">
        <f t="shared" si="7"/>
        <v>4.78</v>
      </c>
    </row>
    <row r="470" spans="1:5" x14ac:dyDescent="0.3">
      <c r="A470" s="7">
        <v>1000878</v>
      </c>
      <c r="B470" s="7" t="s">
        <v>471</v>
      </c>
      <c r="C470" s="14">
        <v>7.124978441898195</v>
      </c>
      <c r="D470" s="14">
        <v>7.7252553050397879</v>
      </c>
      <c r="E470" s="14">
        <f t="shared" si="7"/>
        <v>7.7252553050397879</v>
      </c>
    </row>
    <row r="471" spans="1:5" x14ac:dyDescent="0.3">
      <c r="A471" s="7">
        <v>1000879</v>
      </c>
      <c r="B471" s="7" t="s">
        <v>472</v>
      </c>
      <c r="C471" s="14">
        <v>12.4854777788335</v>
      </c>
      <c r="D471" s="14">
        <v>0</v>
      </c>
      <c r="E471" s="14">
        <f t="shared" si="7"/>
        <v>12.4854777788335</v>
      </c>
    </row>
    <row r="472" spans="1:5" x14ac:dyDescent="0.3">
      <c r="A472" s="7">
        <v>1000880</v>
      </c>
      <c r="B472" s="7" t="s">
        <v>473</v>
      </c>
      <c r="C472" s="14">
        <v>9.9789117531743496</v>
      </c>
      <c r="D472" s="14">
        <v>0</v>
      </c>
      <c r="E472" s="14">
        <f t="shared" si="7"/>
        <v>9.9789117531743496</v>
      </c>
    </row>
    <row r="473" spans="1:5" x14ac:dyDescent="0.3">
      <c r="A473" s="7">
        <v>1000881</v>
      </c>
      <c r="B473" s="7" t="s">
        <v>474</v>
      </c>
      <c r="C473" s="14">
        <v>10.876763493027999</v>
      </c>
      <c r="D473" s="14">
        <v>0</v>
      </c>
      <c r="E473" s="14">
        <f t="shared" si="7"/>
        <v>10.876763493027999</v>
      </c>
    </row>
    <row r="474" spans="1:5" x14ac:dyDescent="0.3">
      <c r="A474" s="7">
        <v>1000882</v>
      </c>
      <c r="B474" s="7" t="s">
        <v>475</v>
      </c>
      <c r="C474" s="14">
        <v>2.1666666666666701</v>
      </c>
      <c r="D474" s="14">
        <v>0</v>
      </c>
      <c r="E474" s="14">
        <f t="shared" si="7"/>
        <v>2.1666666666666701</v>
      </c>
    </row>
    <row r="475" spans="1:5" x14ac:dyDescent="0.3">
      <c r="A475" s="7">
        <v>1000883</v>
      </c>
      <c r="B475" s="7" t="s">
        <v>476</v>
      </c>
      <c r="C475" s="14">
        <v>9.86</v>
      </c>
      <c r="D475" s="14">
        <v>0</v>
      </c>
      <c r="E475" s="14">
        <f t="shared" si="7"/>
        <v>9.86</v>
      </c>
    </row>
    <row r="476" spans="1:5" x14ac:dyDescent="0.3">
      <c r="A476" s="7">
        <v>1000884</v>
      </c>
      <c r="B476" s="7" t="s">
        <v>477</v>
      </c>
      <c r="C476" s="14">
        <v>10.8834603472457</v>
      </c>
      <c r="D476" s="14">
        <v>0</v>
      </c>
      <c r="E476" s="14">
        <f t="shared" si="7"/>
        <v>10.8834603472457</v>
      </c>
    </row>
    <row r="477" spans="1:5" x14ac:dyDescent="0.3">
      <c r="A477" s="7">
        <v>1000885</v>
      </c>
      <c r="B477" s="7" t="s">
        <v>478</v>
      </c>
      <c r="C477" s="14">
        <v>3.72009302325581</v>
      </c>
      <c r="D477" s="14">
        <v>3.7120000000000002</v>
      </c>
      <c r="E477" s="14">
        <f t="shared" si="7"/>
        <v>3.72009302325581</v>
      </c>
    </row>
    <row r="478" spans="1:5" x14ac:dyDescent="0.3">
      <c r="A478" s="7">
        <v>1000887</v>
      </c>
      <c r="B478" s="7" t="s">
        <v>479</v>
      </c>
      <c r="C478" s="14">
        <v>109.62</v>
      </c>
      <c r="D478" s="14">
        <v>0</v>
      </c>
      <c r="E478" s="14">
        <f t="shared" si="7"/>
        <v>109.62</v>
      </c>
    </row>
    <row r="479" spans="1:5" x14ac:dyDescent="0.3">
      <c r="A479" s="7">
        <v>1000888</v>
      </c>
      <c r="B479" s="7" t="s">
        <v>480</v>
      </c>
      <c r="C479" s="14">
        <v>3.9386648935734918</v>
      </c>
      <c r="D479" s="14">
        <v>0</v>
      </c>
      <c r="E479" s="14">
        <f t="shared" si="7"/>
        <v>3.9386648935734918</v>
      </c>
    </row>
    <row r="480" spans="1:5" x14ac:dyDescent="0.3">
      <c r="A480" s="7">
        <v>1000889</v>
      </c>
      <c r="B480" s="7" t="s">
        <v>481</v>
      </c>
      <c r="C480" s="14">
        <v>15.805</v>
      </c>
      <c r="D480" s="14">
        <v>0</v>
      </c>
      <c r="E480" s="14">
        <f t="shared" si="7"/>
        <v>15.805</v>
      </c>
    </row>
    <row r="481" spans="1:5" x14ac:dyDescent="0.3">
      <c r="A481" s="7">
        <v>1000890</v>
      </c>
      <c r="B481" s="7" t="s">
        <v>482</v>
      </c>
      <c r="C481" s="14">
        <v>10.9510179611189</v>
      </c>
      <c r="D481" s="14">
        <v>0</v>
      </c>
      <c r="E481" s="14">
        <f t="shared" si="7"/>
        <v>10.9510179611189</v>
      </c>
    </row>
    <row r="482" spans="1:5" x14ac:dyDescent="0.3">
      <c r="A482" s="7">
        <v>1000896</v>
      </c>
      <c r="B482" s="7" t="s">
        <v>483</v>
      </c>
      <c r="C482" s="14">
        <v>534.26091666666696</v>
      </c>
      <c r="D482" s="14">
        <v>0</v>
      </c>
      <c r="E482" s="14">
        <f t="shared" si="7"/>
        <v>534.26091666666696</v>
      </c>
    </row>
    <row r="483" spans="1:5" x14ac:dyDescent="0.3">
      <c r="A483" s="7">
        <v>1000897</v>
      </c>
      <c r="B483" s="7" t="s">
        <v>484</v>
      </c>
      <c r="C483" s="14">
        <v>6.1788203099282573</v>
      </c>
      <c r="D483" s="14">
        <v>0</v>
      </c>
      <c r="E483" s="14">
        <f t="shared" si="7"/>
        <v>6.1788203099282573</v>
      </c>
    </row>
    <row r="484" spans="1:5" x14ac:dyDescent="0.3">
      <c r="A484" s="7">
        <v>1000898</v>
      </c>
      <c r="B484" s="7" t="s">
        <v>485</v>
      </c>
      <c r="C484" s="14">
        <v>6.0897991958914011</v>
      </c>
      <c r="D484" s="14">
        <v>2.6173565275333868</v>
      </c>
      <c r="E484" s="14">
        <f t="shared" si="7"/>
        <v>6.0897991958914011</v>
      </c>
    </row>
    <row r="485" spans="1:5" x14ac:dyDescent="0.3">
      <c r="A485" s="7">
        <v>1000900</v>
      </c>
      <c r="B485" s="7" t="s">
        <v>486</v>
      </c>
      <c r="C485" s="14">
        <v>10.4979996423733</v>
      </c>
      <c r="D485" s="14">
        <v>0</v>
      </c>
      <c r="E485" s="14">
        <f t="shared" si="7"/>
        <v>10.4979996423733</v>
      </c>
    </row>
    <row r="486" spans="1:5" x14ac:dyDescent="0.3">
      <c r="A486" s="7">
        <v>1000903</v>
      </c>
      <c r="B486" s="7" t="s">
        <v>487</v>
      </c>
      <c r="C486" s="14">
        <v>12.300989464896345</v>
      </c>
      <c r="D486" s="14">
        <v>7.1500000783705202</v>
      </c>
      <c r="E486" s="14">
        <f t="shared" si="7"/>
        <v>12.300989464896345</v>
      </c>
    </row>
    <row r="487" spans="1:5" x14ac:dyDescent="0.3">
      <c r="A487" s="7">
        <v>1000904</v>
      </c>
      <c r="B487" s="7" t="s">
        <v>488</v>
      </c>
      <c r="C487" s="14">
        <v>0.48197465253234301</v>
      </c>
      <c r="D487" s="14">
        <v>0</v>
      </c>
      <c r="E487" s="14">
        <f t="shared" si="7"/>
        <v>0.48197465253234301</v>
      </c>
    </row>
    <row r="488" spans="1:5" x14ac:dyDescent="0.3">
      <c r="A488" s="7">
        <v>1000905</v>
      </c>
      <c r="B488" s="7" t="s">
        <v>489</v>
      </c>
      <c r="C488" s="14">
        <v>3.0291094076705498</v>
      </c>
      <c r="D488" s="14">
        <v>0</v>
      </c>
      <c r="E488" s="14">
        <f t="shared" si="7"/>
        <v>3.0291094076705498</v>
      </c>
    </row>
    <row r="489" spans="1:5" x14ac:dyDescent="0.3">
      <c r="A489" s="7">
        <v>1000908</v>
      </c>
      <c r="B489" s="7" t="s">
        <v>490</v>
      </c>
      <c r="C489" s="14">
        <v>2126.8030279706791</v>
      </c>
      <c r="D489" s="14">
        <v>2126.8030263157893</v>
      </c>
      <c r="E489" s="14">
        <f t="shared" si="7"/>
        <v>2126.8030279706791</v>
      </c>
    </row>
    <row r="490" spans="1:5" x14ac:dyDescent="0.3">
      <c r="A490" s="7">
        <v>1000909</v>
      </c>
      <c r="B490" s="7" t="s">
        <v>491</v>
      </c>
      <c r="C490" s="14">
        <v>1889.55</v>
      </c>
      <c r="D490" s="14">
        <v>0</v>
      </c>
      <c r="E490" s="14">
        <f t="shared" si="7"/>
        <v>1889.55</v>
      </c>
    </row>
    <row r="491" spans="1:5" x14ac:dyDescent="0.3">
      <c r="A491" s="7">
        <v>1000911</v>
      </c>
      <c r="B491" s="7" t="s">
        <v>492</v>
      </c>
      <c r="C491" s="14">
        <v>25.445995082908802</v>
      </c>
      <c r="D491" s="14">
        <v>0</v>
      </c>
      <c r="E491" s="14">
        <f t="shared" si="7"/>
        <v>25.445995082908802</v>
      </c>
    </row>
    <row r="492" spans="1:5" x14ac:dyDescent="0.3">
      <c r="A492" s="7">
        <v>1000916</v>
      </c>
      <c r="B492" s="7" t="s">
        <v>493</v>
      </c>
      <c r="C492" s="14">
        <v>398.99</v>
      </c>
      <c r="D492" s="14">
        <v>398.99</v>
      </c>
      <c r="E492" s="14">
        <f t="shared" si="7"/>
        <v>398.99</v>
      </c>
    </row>
    <row r="493" spans="1:5" x14ac:dyDescent="0.3">
      <c r="A493" s="7">
        <v>1000917</v>
      </c>
      <c r="B493" s="7" t="s">
        <v>494</v>
      </c>
      <c r="C493" s="14">
        <v>422.11597711882018</v>
      </c>
      <c r="D493" s="14">
        <v>358.77950112247441</v>
      </c>
      <c r="E493" s="14">
        <f t="shared" si="7"/>
        <v>422.11597711882018</v>
      </c>
    </row>
    <row r="494" spans="1:5" x14ac:dyDescent="0.3">
      <c r="A494" s="7">
        <v>1000919</v>
      </c>
      <c r="B494" s="7" t="s">
        <v>495</v>
      </c>
      <c r="C494" s="14">
        <v>54</v>
      </c>
      <c r="D494" s="14">
        <v>0</v>
      </c>
      <c r="E494" s="14">
        <f t="shared" si="7"/>
        <v>54</v>
      </c>
    </row>
    <row r="495" spans="1:5" x14ac:dyDescent="0.3">
      <c r="A495" s="7">
        <v>1000921</v>
      </c>
      <c r="B495" s="7" t="s">
        <v>496</v>
      </c>
      <c r="C495" s="14">
        <v>125</v>
      </c>
      <c r="D495" s="14">
        <v>125</v>
      </c>
      <c r="E495" s="14">
        <f t="shared" si="7"/>
        <v>125</v>
      </c>
    </row>
    <row r="496" spans="1:5" x14ac:dyDescent="0.3">
      <c r="A496" s="7">
        <v>1000922</v>
      </c>
      <c r="B496" s="7" t="s">
        <v>497</v>
      </c>
      <c r="C496" s="14">
        <v>226.95627626529631</v>
      </c>
      <c r="D496" s="14">
        <v>194.10109739369</v>
      </c>
      <c r="E496" s="14">
        <f t="shared" si="7"/>
        <v>226.95627626529631</v>
      </c>
    </row>
    <row r="497" spans="1:5" x14ac:dyDescent="0.3">
      <c r="A497" s="7">
        <v>1000923</v>
      </c>
      <c r="B497" s="7" t="s">
        <v>498</v>
      </c>
      <c r="C497" s="14">
        <v>71.356583260278626</v>
      </c>
      <c r="D497" s="14" t="e">
        <v>#DIV/0!</v>
      </c>
      <c r="E497" s="14" t="e">
        <f t="shared" si="7"/>
        <v>#DIV/0!</v>
      </c>
    </row>
    <row r="498" spans="1:5" x14ac:dyDescent="0.3">
      <c r="A498" s="7">
        <v>1000925</v>
      </c>
      <c r="B498" s="7" t="s">
        <v>499</v>
      </c>
      <c r="C498" s="14">
        <v>365.00557849802402</v>
      </c>
      <c r="D498" s="14">
        <v>0</v>
      </c>
      <c r="E498" s="14">
        <f t="shared" si="7"/>
        <v>365.00557849802402</v>
      </c>
    </row>
    <row r="499" spans="1:5" x14ac:dyDescent="0.3">
      <c r="A499" s="7">
        <v>1000927</v>
      </c>
      <c r="B499" s="7" t="s">
        <v>500</v>
      </c>
      <c r="C499" s="14">
        <v>34630.949999999997</v>
      </c>
      <c r="D499" s="14">
        <v>0</v>
      </c>
      <c r="E499" s="14">
        <f t="shared" si="7"/>
        <v>34630.949999999997</v>
      </c>
    </row>
    <row r="500" spans="1:5" x14ac:dyDescent="0.3">
      <c r="A500" s="7">
        <v>1000928</v>
      </c>
      <c r="B500" s="7" t="s">
        <v>501</v>
      </c>
      <c r="C500" s="14">
        <v>42791.5</v>
      </c>
      <c r="D500" s="14">
        <v>0</v>
      </c>
      <c r="E500" s="14">
        <f t="shared" si="7"/>
        <v>42791.5</v>
      </c>
    </row>
    <row r="501" spans="1:5" x14ac:dyDescent="0.3">
      <c r="A501" s="7">
        <v>1000930</v>
      </c>
      <c r="B501" s="7" t="s">
        <v>502</v>
      </c>
      <c r="C501" s="14">
        <v>1348.5</v>
      </c>
      <c r="D501" s="14">
        <v>0</v>
      </c>
      <c r="E501" s="14">
        <f t="shared" si="7"/>
        <v>1348.5</v>
      </c>
    </row>
    <row r="502" spans="1:5" x14ac:dyDescent="0.3">
      <c r="A502" s="7">
        <v>1000933</v>
      </c>
      <c r="B502" s="7" t="s">
        <v>503</v>
      </c>
      <c r="C502" s="14">
        <v>9920.0877777777805</v>
      </c>
      <c r="D502" s="14">
        <v>0</v>
      </c>
      <c r="E502" s="14">
        <f t="shared" si="7"/>
        <v>9920.0877777777805</v>
      </c>
    </row>
    <row r="503" spans="1:5" x14ac:dyDescent="0.3">
      <c r="A503" s="7">
        <v>1000936</v>
      </c>
      <c r="B503" s="7" t="s">
        <v>504</v>
      </c>
      <c r="C503" s="14">
        <v>725.79316666666705</v>
      </c>
      <c r="D503" s="14">
        <v>0</v>
      </c>
      <c r="E503" s="14">
        <f t="shared" si="7"/>
        <v>725.79316666666705</v>
      </c>
    </row>
    <row r="504" spans="1:5" x14ac:dyDescent="0.3">
      <c r="A504" s="7">
        <v>1000941</v>
      </c>
      <c r="B504" s="7" t="s">
        <v>505</v>
      </c>
      <c r="C504" s="14">
        <v>32489.0655555556</v>
      </c>
      <c r="D504" s="14">
        <v>0</v>
      </c>
      <c r="E504" s="14">
        <f t="shared" si="7"/>
        <v>32489.0655555556</v>
      </c>
    </row>
    <row r="505" spans="1:5" x14ac:dyDescent="0.3">
      <c r="A505" s="7">
        <v>1000942</v>
      </c>
      <c r="B505" s="7" t="s">
        <v>506</v>
      </c>
      <c r="C505" s="14">
        <v>87</v>
      </c>
      <c r="D505" s="14">
        <v>0</v>
      </c>
      <c r="E505" s="14">
        <f t="shared" si="7"/>
        <v>87</v>
      </c>
    </row>
    <row r="506" spans="1:5" x14ac:dyDescent="0.3">
      <c r="A506" s="7">
        <v>1000944</v>
      </c>
      <c r="B506" s="7" t="s">
        <v>507</v>
      </c>
      <c r="C506" s="14">
        <v>2176.0279999999998</v>
      </c>
      <c r="D506" s="14">
        <v>0</v>
      </c>
      <c r="E506" s="14">
        <f t="shared" si="7"/>
        <v>2176.0279999999998</v>
      </c>
    </row>
    <row r="507" spans="1:5" x14ac:dyDescent="0.3">
      <c r="A507" s="7">
        <v>1000945</v>
      </c>
      <c r="B507" s="7" t="s">
        <v>508</v>
      </c>
      <c r="C507" s="14">
        <v>2147.02766666667</v>
      </c>
      <c r="D507" s="14">
        <v>0</v>
      </c>
      <c r="E507" s="14">
        <f t="shared" si="7"/>
        <v>2147.02766666667</v>
      </c>
    </row>
    <row r="508" spans="1:5" x14ac:dyDescent="0.3">
      <c r="A508" s="7">
        <v>1000947</v>
      </c>
      <c r="B508" s="7" t="s">
        <v>509</v>
      </c>
      <c r="C508" s="14">
        <v>1913.1718000000001</v>
      </c>
      <c r="D508" s="14">
        <v>0</v>
      </c>
      <c r="E508" s="14">
        <f t="shared" si="7"/>
        <v>1913.1718000000001</v>
      </c>
    </row>
    <row r="509" spans="1:5" x14ac:dyDescent="0.3">
      <c r="A509" s="7">
        <v>1000948</v>
      </c>
      <c r="B509" s="7" t="s">
        <v>510</v>
      </c>
      <c r="C509" s="14">
        <v>64.031999999999996</v>
      </c>
      <c r="D509" s="14">
        <v>0</v>
      </c>
      <c r="E509" s="14">
        <f t="shared" si="7"/>
        <v>64.031999999999996</v>
      </c>
    </row>
    <row r="510" spans="1:5" x14ac:dyDescent="0.3">
      <c r="A510" s="7">
        <v>1000949</v>
      </c>
      <c r="B510" s="7" t="s">
        <v>511</v>
      </c>
      <c r="C510" s="14">
        <v>2210.4066666666699</v>
      </c>
      <c r="D510" s="14">
        <v>0</v>
      </c>
      <c r="E510" s="14">
        <f t="shared" si="7"/>
        <v>2210.4066666666699</v>
      </c>
    </row>
    <row r="511" spans="1:5" x14ac:dyDescent="0.3">
      <c r="A511" s="7">
        <v>1000962</v>
      </c>
      <c r="B511" s="7" t="s">
        <v>512</v>
      </c>
      <c r="C511" s="14">
        <v>24468.966340659299</v>
      </c>
      <c r="D511" s="14">
        <v>0</v>
      </c>
      <c r="E511" s="14">
        <f t="shared" si="7"/>
        <v>24468.966340659299</v>
      </c>
    </row>
    <row r="512" spans="1:5" x14ac:dyDescent="0.3">
      <c r="A512" s="7">
        <v>1000966</v>
      </c>
      <c r="B512" s="7" t="s">
        <v>513</v>
      </c>
      <c r="C512" s="14">
        <v>2262</v>
      </c>
      <c r="D512" s="14">
        <v>0</v>
      </c>
      <c r="E512" s="14">
        <f t="shared" si="7"/>
        <v>2262</v>
      </c>
    </row>
    <row r="513" spans="1:5" x14ac:dyDescent="0.3">
      <c r="A513" s="7">
        <v>1000969</v>
      </c>
      <c r="B513" s="7" t="s">
        <v>514</v>
      </c>
      <c r="C513" s="14">
        <v>1220.0218749999999</v>
      </c>
      <c r="D513" s="14">
        <v>0</v>
      </c>
      <c r="E513" s="14">
        <f t="shared" si="7"/>
        <v>1220.0218749999999</v>
      </c>
    </row>
    <row r="514" spans="1:5" x14ac:dyDescent="0.3">
      <c r="A514" s="7">
        <v>1000972</v>
      </c>
      <c r="B514" s="7" t="s">
        <v>515</v>
      </c>
      <c r="C514" s="14">
        <v>2520.61333333333</v>
      </c>
      <c r="D514" s="14">
        <v>0</v>
      </c>
      <c r="E514" s="14">
        <f t="shared" si="7"/>
        <v>2520.61333333333</v>
      </c>
    </row>
    <row r="515" spans="1:5" x14ac:dyDescent="0.3">
      <c r="A515" s="7">
        <v>1000973</v>
      </c>
      <c r="B515" s="7" t="s">
        <v>516</v>
      </c>
      <c r="C515" s="14">
        <v>39205.120000000003</v>
      </c>
      <c r="D515" s="14">
        <v>0</v>
      </c>
      <c r="E515" s="14">
        <f t="shared" ref="E515:E578" si="8">+MAX(C515, D515)</f>
        <v>39205.120000000003</v>
      </c>
    </row>
    <row r="516" spans="1:5" x14ac:dyDescent="0.3">
      <c r="A516" s="7">
        <v>1000974</v>
      </c>
      <c r="B516" s="7" t="s">
        <v>517</v>
      </c>
      <c r="C516" s="14">
        <v>25865.314999999999</v>
      </c>
      <c r="D516" s="14">
        <v>0</v>
      </c>
      <c r="E516" s="14">
        <f t="shared" si="8"/>
        <v>25865.314999999999</v>
      </c>
    </row>
    <row r="517" spans="1:5" x14ac:dyDescent="0.3">
      <c r="A517" s="7">
        <v>1000977</v>
      </c>
      <c r="B517" s="7" t="s">
        <v>518</v>
      </c>
      <c r="C517" s="14">
        <v>512.5</v>
      </c>
      <c r="D517" s="14">
        <v>512.5</v>
      </c>
      <c r="E517" s="14">
        <f t="shared" si="8"/>
        <v>512.5</v>
      </c>
    </row>
    <row r="518" spans="1:5" x14ac:dyDescent="0.3">
      <c r="A518" s="7">
        <v>1000990</v>
      </c>
      <c r="B518" s="7" t="s">
        <v>519</v>
      </c>
      <c r="C518" s="14">
        <v>16093.26</v>
      </c>
      <c r="D518" s="14">
        <v>0</v>
      </c>
      <c r="E518" s="14">
        <f t="shared" si="8"/>
        <v>16093.26</v>
      </c>
    </row>
    <row r="519" spans="1:5" x14ac:dyDescent="0.3">
      <c r="A519" s="7">
        <v>1000992</v>
      </c>
      <c r="B519" s="7" t="s">
        <v>520</v>
      </c>
      <c r="C519" s="14">
        <v>565.88841538461497</v>
      </c>
      <c r="D519" s="14">
        <v>0</v>
      </c>
      <c r="E519" s="14">
        <f t="shared" si="8"/>
        <v>565.88841538461497</v>
      </c>
    </row>
    <row r="520" spans="1:5" x14ac:dyDescent="0.3">
      <c r="A520" s="7">
        <v>1000994</v>
      </c>
      <c r="B520" s="7" t="s">
        <v>521</v>
      </c>
      <c r="C520" s="14">
        <v>174.905</v>
      </c>
      <c r="D520" s="14">
        <v>0</v>
      </c>
      <c r="E520" s="14">
        <f t="shared" si="8"/>
        <v>174.905</v>
      </c>
    </row>
    <row r="521" spans="1:5" x14ac:dyDescent="0.3">
      <c r="A521" s="7">
        <v>1000995</v>
      </c>
      <c r="B521" s="7" t="s">
        <v>522</v>
      </c>
      <c r="C521" s="14">
        <v>174.905</v>
      </c>
      <c r="D521" s="14">
        <v>0</v>
      </c>
      <c r="E521" s="14">
        <f t="shared" si="8"/>
        <v>174.905</v>
      </c>
    </row>
    <row r="522" spans="1:5" x14ac:dyDescent="0.3">
      <c r="A522" s="7">
        <v>1001003</v>
      </c>
      <c r="B522" s="7" t="s">
        <v>523</v>
      </c>
      <c r="C522" s="14">
        <v>13243.7771769462</v>
      </c>
      <c r="D522" s="14">
        <v>0</v>
      </c>
      <c r="E522" s="14">
        <f t="shared" si="8"/>
        <v>13243.7771769462</v>
      </c>
    </row>
    <row r="523" spans="1:5" x14ac:dyDescent="0.3">
      <c r="A523" s="7">
        <v>1001007</v>
      </c>
      <c r="B523" s="7" t="s">
        <v>524</v>
      </c>
      <c r="C523" s="14">
        <v>37529.71</v>
      </c>
      <c r="D523" s="14">
        <v>0</v>
      </c>
      <c r="E523" s="14">
        <f t="shared" si="8"/>
        <v>37529.71</v>
      </c>
    </row>
    <row r="524" spans="1:5" x14ac:dyDescent="0.3">
      <c r="A524" s="7">
        <v>1001008</v>
      </c>
      <c r="B524" s="7" t="s">
        <v>525</v>
      </c>
      <c r="C524" s="14">
        <v>22031.463333333333</v>
      </c>
      <c r="D524" s="14">
        <v>41772</v>
      </c>
      <c r="E524" s="14">
        <f t="shared" si="8"/>
        <v>41772</v>
      </c>
    </row>
    <row r="525" spans="1:5" x14ac:dyDescent="0.3">
      <c r="A525" s="7">
        <v>1001009</v>
      </c>
      <c r="B525" s="7" t="s">
        <v>526</v>
      </c>
      <c r="C525" s="14">
        <v>3225.7066666666701</v>
      </c>
      <c r="D525" s="14">
        <v>0</v>
      </c>
      <c r="E525" s="14">
        <f t="shared" si="8"/>
        <v>3225.7066666666701</v>
      </c>
    </row>
    <row r="526" spans="1:5" x14ac:dyDescent="0.3">
      <c r="A526" s="7">
        <v>1001010</v>
      </c>
      <c r="B526" s="7" t="s">
        <v>527</v>
      </c>
      <c r="C526" s="14">
        <v>286.346</v>
      </c>
      <c r="D526" s="14">
        <v>0</v>
      </c>
      <c r="E526" s="14">
        <f t="shared" si="8"/>
        <v>286.346</v>
      </c>
    </row>
    <row r="527" spans="1:5" x14ac:dyDescent="0.3">
      <c r="A527" s="7">
        <v>1001013</v>
      </c>
      <c r="B527" s="7" t="s">
        <v>528</v>
      </c>
      <c r="C527" s="14">
        <v>2520.61333333333</v>
      </c>
      <c r="D527" s="14">
        <v>0</v>
      </c>
      <c r="E527" s="14">
        <f t="shared" si="8"/>
        <v>2520.61333333333</v>
      </c>
    </row>
    <row r="528" spans="1:5" x14ac:dyDescent="0.3">
      <c r="A528" s="7">
        <v>1001014</v>
      </c>
      <c r="B528" s="7" t="s">
        <v>529</v>
      </c>
      <c r="C528" s="14">
        <v>2520.61333333333</v>
      </c>
      <c r="D528" s="14">
        <v>0</v>
      </c>
      <c r="E528" s="14">
        <f t="shared" si="8"/>
        <v>2520.61333333333</v>
      </c>
    </row>
    <row r="529" spans="1:5" x14ac:dyDescent="0.3">
      <c r="A529" s="7">
        <v>1001015</v>
      </c>
      <c r="B529" s="7" t="s">
        <v>530</v>
      </c>
      <c r="C529" s="14">
        <v>2520.61333333333</v>
      </c>
      <c r="D529" s="14">
        <v>0</v>
      </c>
      <c r="E529" s="14">
        <f t="shared" si="8"/>
        <v>2520.61333333333</v>
      </c>
    </row>
    <row r="530" spans="1:5" x14ac:dyDescent="0.3">
      <c r="A530" s="7">
        <v>1001021</v>
      </c>
      <c r="B530" s="7" t="s">
        <v>531</v>
      </c>
      <c r="C530" s="14">
        <v>282.51744124262655</v>
      </c>
      <c r="D530" s="14">
        <v>239.01305496024887</v>
      </c>
      <c r="E530" s="14">
        <f t="shared" si="8"/>
        <v>282.51744124262655</v>
      </c>
    </row>
    <row r="531" spans="1:5" x14ac:dyDescent="0.3">
      <c r="A531" s="7">
        <v>1001024</v>
      </c>
      <c r="B531" s="7" t="s">
        <v>532</v>
      </c>
      <c r="C531" s="14">
        <v>29551</v>
      </c>
      <c r="D531" s="14">
        <v>0</v>
      </c>
      <c r="E531" s="14">
        <f t="shared" si="8"/>
        <v>29551</v>
      </c>
    </row>
    <row r="532" spans="1:5" x14ac:dyDescent="0.3">
      <c r="A532" s="7">
        <v>1001026</v>
      </c>
      <c r="B532" s="7" t="s">
        <v>533</v>
      </c>
      <c r="C532" s="14">
        <v>62085.52</v>
      </c>
      <c r="D532" s="14">
        <v>0</v>
      </c>
      <c r="E532" s="14">
        <f t="shared" si="8"/>
        <v>62085.52</v>
      </c>
    </row>
    <row r="533" spans="1:5" x14ac:dyDescent="0.3">
      <c r="A533" s="7">
        <v>1001027</v>
      </c>
      <c r="B533" s="7" t="s">
        <v>534</v>
      </c>
      <c r="C533" s="14">
        <v>32224.799999999999</v>
      </c>
      <c r="D533" s="14">
        <v>0</v>
      </c>
      <c r="E533" s="14">
        <f t="shared" si="8"/>
        <v>32224.799999999999</v>
      </c>
    </row>
    <row r="534" spans="1:5" x14ac:dyDescent="0.3">
      <c r="A534" s="7">
        <v>1001035</v>
      </c>
      <c r="B534" s="7" t="s">
        <v>535</v>
      </c>
      <c r="C534" s="14">
        <v>21248.622222222199</v>
      </c>
      <c r="D534" s="14">
        <v>0</v>
      </c>
      <c r="E534" s="14">
        <f t="shared" si="8"/>
        <v>21248.622222222199</v>
      </c>
    </row>
    <row r="535" spans="1:5" x14ac:dyDescent="0.3">
      <c r="A535" s="7">
        <v>1001036</v>
      </c>
      <c r="B535" s="7" t="s">
        <v>536</v>
      </c>
      <c r="C535" s="14">
        <v>22828.799999999999</v>
      </c>
      <c r="D535" s="14">
        <v>0</v>
      </c>
      <c r="E535" s="14">
        <f t="shared" si="8"/>
        <v>22828.799999999999</v>
      </c>
    </row>
    <row r="536" spans="1:5" x14ac:dyDescent="0.3">
      <c r="A536" s="7">
        <v>1001041</v>
      </c>
      <c r="B536" s="7" t="s">
        <v>537</v>
      </c>
      <c r="C536" s="14">
        <v>85724</v>
      </c>
      <c r="D536" s="14">
        <v>0</v>
      </c>
      <c r="E536" s="14">
        <f t="shared" si="8"/>
        <v>85724</v>
      </c>
    </row>
    <row r="537" spans="1:5" x14ac:dyDescent="0.3">
      <c r="A537" s="7">
        <v>1001050</v>
      </c>
      <c r="B537" s="7" t="s">
        <v>538</v>
      </c>
      <c r="C537" s="14">
        <v>0</v>
      </c>
      <c r="D537" s="14">
        <v>0</v>
      </c>
      <c r="E537" s="14">
        <f t="shared" si="8"/>
        <v>0</v>
      </c>
    </row>
    <row r="538" spans="1:5" x14ac:dyDescent="0.3">
      <c r="A538" s="7">
        <v>1001075</v>
      </c>
      <c r="B538" s="7" t="s">
        <v>539</v>
      </c>
      <c r="C538" s="14">
        <v>17525.88</v>
      </c>
      <c r="D538" s="14">
        <v>0</v>
      </c>
      <c r="E538" s="14">
        <f t="shared" si="8"/>
        <v>17525.88</v>
      </c>
    </row>
    <row r="539" spans="1:5" x14ac:dyDescent="0.3">
      <c r="A539" s="7">
        <v>1001081</v>
      </c>
      <c r="B539" s="7" t="s">
        <v>540</v>
      </c>
      <c r="C539" s="14">
        <v>247.29023809523801</v>
      </c>
      <c r="D539" s="14">
        <v>0</v>
      </c>
      <c r="E539" s="14">
        <f t="shared" si="8"/>
        <v>247.29023809523801</v>
      </c>
    </row>
    <row r="540" spans="1:5" x14ac:dyDescent="0.3">
      <c r="A540" s="7">
        <v>1001106</v>
      </c>
      <c r="B540" s="7" t="s">
        <v>541</v>
      </c>
      <c r="C540" s="14">
        <v>94228.80383694348</v>
      </c>
      <c r="D540" s="14">
        <v>136924.31483870966</v>
      </c>
      <c r="E540" s="14">
        <f t="shared" si="8"/>
        <v>136924.31483870966</v>
      </c>
    </row>
    <row r="541" spans="1:5" x14ac:dyDescent="0.3">
      <c r="A541" s="7">
        <v>1001111</v>
      </c>
      <c r="B541" s="7" t="s">
        <v>542</v>
      </c>
      <c r="C541" s="14">
        <v>13117.812222222223</v>
      </c>
      <c r="D541" s="14">
        <v>0</v>
      </c>
      <c r="E541" s="14">
        <f t="shared" si="8"/>
        <v>13117.812222222223</v>
      </c>
    </row>
    <row r="542" spans="1:5" x14ac:dyDescent="0.3">
      <c r="A542" s="7">
        <v>1001113</v>
      </c>
      <c r="B542" s="7" t="s">
        <v>543</v>
      </c>
      <c r="C542" s="14">
        <v>34202.300000000003</v>
      </c>
      <c r="D542" s="14">
        <v>0</v>
      </c>
      <c r="E542" s="14">
        <f t="shared" si="8"/>
        <v>34202.300000000003</v>
      </c>
    </row>
    <row r="543" spans="1:5" x14ac:dyDescent="0.3">
      <c r="A543" s="7">
        <v>1001114</v>
      </c>
      <c r="B543" s="7" t="s">
        <v>544</v>
      </c>
      <c r="C543" s="14">
        <v>777.2</v>
      </c>
      <c r="D543" s="14">
        <v>0</v>
      </c>
      <c r="E543" s="14">
        <f t="shared" si="8"/>
        <v>777.2</v>
      </c>
    </row>
    <row r="544" spans="1:5" x14ac:dyDescent="0.3">
      <c r="A544" s="7">
        <v>1001126</v>
      </c>
      <c r="B544" s="7" t="s">
        <v>545</v>
      </c>
      <c r="C544" s="14">
        <v>13059.736000000001</v>
      </c>
      <c r="D544" s="14">
        <v>0</v>
      </c>
      <c r="E544" s="14">
        <f t="shared" si="8"/>
        <v>13059.736000000001</v>
      </c>
    </row>
    <row r="545" spans="1:5" x14ac:dyDescent="0.3">
      <c r="A545" s="7">
        <v>1001129</v>
      </c>
      <c r="B545" s="7" t="s">
        <v>546</v>
      </c>
      <c r="C545" s="14">
        <v>8534.5</v>
      </c>
      <c r="D545" s="14">
        <v>35872</v>
      </c>
      <c r="E545" s="14">
        <f t="shared" si="8"/>
        <v>35872</v>
      </c>
    </row>
    <row r="546" spans="1:5" x14ac:dyDescent="0.3">
      <c r="A546" s="7">
        <v>1001133</v>
      </c>
      <c r="B546" s="7" t="s">
        <v>547</v>
      </c>
      <c r="C546" s="14">
        <v>1534</v>
      </c>
      <c r="D546" s="14">
        <v>0</v>
      </c>
      <c r="E546" s="14">
        <f t="shared" si="8"/>
        <v>1534</v>
      </c>
    </row>
    <row r="547" spans="1:5" x14ac:dyDescent="0.3">
      <c r="A547" s="7">
        <v>1001141</v>
      </c>
      <c r="B547" s="7" t="s">
        <v>548</v>
      </c>
      <c r="C547" s="14">
        <v>21960.54</v>
      </c>
      <c r="D547" s="14">
        <v>0</v>
      </c>
      <c r="E547" s="14">
        <f t="shared" si="8"/>
        <v>21960.54</v>
      </c>
    </row>
    <row r="548" spans="1:5" x14ac:dyDescent="0.3">
      <c r="A548" s="7">
        <v>1001149</v>
      </c>
      <c r="B548" s="7" t="s">
        <v>549</v>
      </c>
      <c r="C548" s="14">
        <v>26606.388571428601</v>
      </c>
      <c r="D548" s="14">
        <v>0</v>
      </c>
      <c r="E548" s="14">
        <f t="shared" si="8"/>
        <v>26606.388571428601</v>
      </c>
    </row>
    <row r="549" spans="1:5" x14ac:dyDescent="0.3">
      <c r="A549" s="7">
        <v>1001153</v>
      </c>
      <c r="B549" s="7" t="s">
        <v>550</v>
      </c>
      <c r="C549" s="14">
        <v>15341</v>
      </c>
      <c r="D549" s="14">
        <v>0</v>
      </c>
      <c r="E549" s="14">
        <f t="shared" si="8"/>
        <v>15341</v>
      </c>
    </row>
    <row r="550" spans="1:5" x14ac:dyDescent="0.3">
      <c r="A550" s="7">
        <v>1001171</v>
      </c>
      <c r="B550" s="7" t="s">
        <v>551</v>
      </c>
      <c r="C550" s="14">
        <v>10137.595172413796</v>
      </c>
      <c r="D550" s="14">
        <v>5356.2910000000002</v>
      </c>
      <c r="E550" s="14">
        <f t="shared" si="8"/>
        <v>10137.595172413796</v>
      </c>
    </row>
    <row r="551" spans="1:5" x14ac:dyDescent="0.3">
      <c r="A551" s="7">
        <v>1001175</v>
      </c>
      <c r="B551" s="7" t="s">
        <v>552</v>
      </c>
      <c r="C551" s="14">
        <v>25734.6</v>
      </c>
      <c r="D551" s="14">
        <v>0</v>
      </c>
      <c r="E551" s="14">
        <f t="shared" si="8"/>
        <v>25734.6</v>
      </c>
    </row>
    <row r="552" spans="1:5" x14ac:dyDescent="0.3">
      <c r="A552" s="7">
        <v>1001178</v>
      </c>
      <c r="B552" s="7" t="s">
        <v>553</v>
      </c>
      <c r="C552" s="14">
        <v>6410.75</v>
      </c>
      <c r="D552" s="14">
        <v>0</v>
      </c>
      <c r="E552" s="14">
        <f t="shared" si="8"/>
        <v>6410.75</v>
      </c>
    </row>
    <row r="553" spans="1:5" x14ac:dyDescent="0.3">
      <c r="A553" s="7">
        <v>1001182</v>
      </c>
      <c r="B553" s="7" t="s">
        <v>554</v>
      </c>
      <c r="C553" s="14">
        <v>755.16</v>
      </c>
      <c r="D553" s="14">
        <v>0</v>
      </c>
      <c r="E553" s="14">
        <f t="shared" si="8"/>
        <v>755.16</v>
      </c>
    </row>
    <row r="554" spans="1:5" x14ac:dyDescent="0.3">
      <c r="A554" s="7">
        <v>1001183</v>
      </c>
      <c r="B554" s="7" t="s">
        <v>555</v>
      </c>
      <c r="C554" s="14">
        <v>644.28</v>
      </c>
      <c r="D554" s="14">
        <v>644.28</v>
      </c>
      <c r="E554" s="14">
        <f t="shared" si="8"/>
        <v>644.28</v>
      </c>
    </row>
    <row r="555" spans="1:5" x14ac:dyDescent="0.3">
      <c r="A555" s="7">
        <v>1001184</v>
      </c>
      <c r="B555" s="7" t="s">
        <v>556</v>
      </c>
      <c r="C555" s="14">
        <v>710.36</v>
      </c>
      <c r="D555" s="14">
        <v>710.36</v>
      </c>
      <c r="E555" s="14">
        <f t="shared" si="8"/>
        <v>710.36</v>
      </c>
    </row>
    <row r="556" spans="1:5" x14ac:dyDescent="0.3">
      <c r="A556" s="7">
        <v>1001187</v>
      </c>
      <c r="B556" s="7" t="s">
        <v>557</v>
      </c>
      <c r="C556" s="14">
        <v>812.09957894736851</v>
      </c>
      <c r="D556" s="14">
        <v>812.09957894736851</v>
      </c>
      <c r="E556" s="14">
        <f t="shared" si="8"/>
        <v>812.09957894736851</v>
      </c>
    </row>
    <row r="557" spans="1:5" x14ac:dyDescent="0.3">
      <c r="A557" s="7">
        <v>1001188</v>
      </c>
      <c r="B557" s="7" t="s">
        <v>558</v>
      </c>
      <c r="C557" s="14">
        <v>38.0085714285714</v>
      </c>
      <c r="D557" s="14">
        <v>0</v>
      </c>
      <c r="E557" s="14">
        <f t="shared" si="8"/>
        <v>38.0085714285714</v>
      </c>
    </row>
    <row r="558" spans="1:5" x14ac:dyDescent="0.3">
      <c r="A558" s="7">
        <v>1001190</v>
      </c>
      <c r="B558" s="7" t="s">
        <v>559</v>
      </c>
      <c r="C558" s="14">
        <v>81.064999999999998</v>
      </c>
      <c r="D558" s="14">
        <v>0</v>
      </c>
      <c r="E558" s="14">
        <f t="shared" si="8"/>
        <v>81.064999999999998</v>
      </c>
    </row>
    <row r="559" spans="1:5" x14ac:dyDescent="0.3">
      <c r="A559" s="7">
        <v>1001191</v>
      </c>
      <c r="B559" s="7" t="s">
        <v>560</v>
      </c>
      <c r="C559" s="14">
        <v>178.76</v>
      </c>
      <c r="D559" s="14">
        <v>178.76</v>
      </c>
      <c r="E559" s="14">
        <f t="shared" si="8"/>
        <v>178.76</v>
      </c>
    </row>
    <row r="560" spans="1:5" x14ac:dyDescent="0.3">
      <c r="A560" s="7">
        <v>1001194</v>
      </c>
      <c r="B560" s="7" t="s">
        <v>561</v>
      </c>
      <c r="C560" s="14">
        <v>788.18508813719609</v>
      </c>
      <c r="D560" s="14">
        <v>696.72906567992607</v>
      </c>
      <c r="E560" s="14">
        <f t="shared" si="8"/>
        <v>788.18508813719609</v>
      </c>
    </row>
    <row r="561" spans="1:5" x14ac:dyDescent="0.3">
      <c r="A561" s="7">
        <v>1001196</v>
      </c>
      <c r="B561" s="7" t="s">
        <v>562</v>
      </c>
      <c r="C561" s="14">
        <v>5.0032034294621974</v>
      </c>
      <c r="D561" s="14">
        <v>5.003206225680934</v>
      </c>
      <c r="E561" s="14">
        <f t="shared" si="8"/>
        <v>5.003206225680934</v>
      </c>
    </row>
    <row r="562" spans="1:5" x14ac:dyDescent="0.3">
      <c r="A562" s="7">
        <v>1001197</v>
      </c>
      <c r="B562" s="7" t="s">
        <v>563</v>
      </c>
      <c r="C562" s="14">
        <v>1.9100000000000001</v>
      </c>
      <c r="D562" s="14">
        <v>1.9100000000000001</v>
      </c>
      <c r="E562" s="14">
        <f t="shared" si="8"/>
        <v>1.9100000000000001</v>
      </c>
    </row>
    <row r="563" spans="1:5" x14ac:dyDescent="0.3">
      <c r="A563" s="7">
        <v>1001198</v>
      </c>
      <c r="B563" s="7" t="s">
        <v>564</v>
      </c>
      <c r="C563" s="14">
        <v>17.172643563153894</v>
      </c>
      <c r="D563" s="14">
        <v>0.13326082949308757</v>
      </c>
      <c r="E563" s="14">
        <f t="shared" si="8"/>
        <v>17.172643563153894</v>
      </c>
    </row>
    <row r="564" spans="1:5" x14ac:dyDescent="0.3">
      <c r="A564" s="7">
        <v>1001199</v>
      </c>
      <c r="B564" s="7" t="s">
        <v>565</v>
      </c>
      <c r="C564" s="14">
        <v>51.315151515151513</v>
      </c>
      <c r="D564" s="14">
        <v>51.315000000000005</v>
      </c>
      <c r="E564" s="14">
        <f t="shared" si="8"/>
        <v>51.315151515151513</v>
      </c>
    </row>
    <row r="565" spans="1:5" x14ac:dyDescent="0.3">
      <c r="A565" s="7">
        <v>1001201</v>
      </c>
      <c r="B565" s="7" t="s">
        <v>566</v>
      </c>
      <c r="C565" s="14">
        <v>7.89</v>
      </c>
      <c r="D565" s="14">
        <v>7.89</v>
      </c>
      <c r="E565" s="14">
        <f t="shared" si="8"/>
        <v>7.89</v>
      </c>
    </row>
    <row r="566" spans="1:5" x14ac:dyDescent="0.3">
      <c r="A566" s="7">
        <v>1001203</v>
      </c>
      <c r="B566" s="7" t="s">
        <v>567</v>
      </c>
      <c r="C566" s="14">
        <v>1</v>
      </c>
      <c r="D566" s="14">
        <v>0</v>
      </c>
      <c r="E566" s="14">
        <f t="shared" si="8"/>
        <v>1</v>
      </c>
    </row>
    <row r="567" spans="1:5" x14ac:dyDescent="0.3">
      <c r="A567" s="7">
        <v>1001204</v>
      </c>
      <c r="B567" s="7" t="s">
        <v>568</v>
      </c>
      <c r="C567" s="14">
        <v>355.66064170376683</v>
      </c>
      <c r="D567" s="14">
        <v>224.96172966047402</v>
      </c>
      <c r="E567" s="14">
        <f t="shared" si="8"/>
        <v>355.66064170376683</v>
      </c>
    </row>
    <row r="568" spans="1:5" x14ac:dyDescent="0.3">
      <c r="A568" s="7">
        <v>1001205</v>
      </c>
      <c r="B568" s="7" t="s">
        <v>569</v>
      </c>
      <c r="C568" s="14">
        <v>0.71428571428571397</v>
      </c>
      <c r="D568" s="14">
        <v>0</v>
      </c>
      <c r="E568" s="14">
        <f t="shared" si="8"/>
        <v>0.71428571428571397</v>
      </c>
    </row>
    <row r="569" spans="1:5" x14ac:dyDescent="0.3">
      <c r="A569" s="7">
        <v>1001206</v>
      </c>
      <c r="B569" s="7" t="s">
        <v>570</v>
      </c>
      <c r="C569" s="14">
        <v>16.484545454545454</v>
      </c>
      <c r="D569" s="14">
        <v>16.484999999999999</v>
      </c>
      <c r="E569" s="14">
        <f t="shared" si="8"/>
        <v>16.484999999999999</v>
      </c>
    </row>
    <row r="570" spans="1:5" x14ac:dyDescent="0.3">
      <c r="A570" s="7">
        <v>1001212</v>
      </c>
      <c r="B570" s="7" t="s">
        <v>571</v>
      </c>
      <c r="C570" s="14">
        <v>0</v>
      </c>
      <c r="D570" s="14">
        <v>0</v>
      </c>
      <c r="E570" s="14">
        <f t="shared" si="8"/>
        <v>0</v>
      </c>
    </row>
    <row r="571" spans="1:5" x14ac:dyDescent="0.3">
      <c r="A571" s="7">
        <v>1001217</v>
      </c>
      <c r="B571" s="7" t="s">
        <v>572</v>
      </c>
      <c r="C571" s="14">
        <v>242.83999999999997</v>
      </c>
      <c r="D571" s="14">
        <v>0</v>
      </c>
      <c r="E571" s="14">
        <f t="shared" si="8"/>
        <v>242.83999999999997</v>
      </c>
    </row>
    <row r="572" spans="1:5" x14ac:dyDescent="0.3">
      <c r="A572" s="7">
        <v>1001219</v>
      </c>
      <c r="B572" s="7" t="s">
        <v>573</v>
      </c>
      <c r="C572" s="14">
        <v>5.45</v>
      </c>
      <c r="D572" s="14">
        <v>0</v>
      </c>
      <c r="E572" s="14">
        <f t="shared" si="8"/>
        <v>5.45</v>
      </c>
    </row>
    <row r="573" spans="1:5" x14ac:dyDescent="0.3">
      <c r="A573" s="7">
        <v>1001220</v>
      </c>
      <c r="B573" s="7" t="s">
        <v>574</v>
      </c>
      <c r="C573" s="14">
        <v>69.25</v>
      </c>
      <c r="D573" s="14">
        <v>179.87037037037038</v>
      </c>
      <c r="E573" s="14">
        <f t="shared" si="8"/>
        <v>179.87037037037038</v>
      </c>
    </row>
    <row r="574" spans="1:5" x14ac:dyDescent="0.3">
      <c r="A574" s="7">
        <v>1001221</v>
      </c>
      <c r="B574" s="7" t="s">
        <v>575</v>
      </c>
      <c r="C574" s="14">
        <v>468.66836339550002</v>
      </c>
      <c r="D574" s="14">
        <v>0</v>
      </c>
      <c r="E574" s="14">
        <f t="shared" si="8"/>
        <v>468.66836339550002</v>
      </c>
    </row>
    <row r="575" spans="1:5" x14ac:dyDescent="0.3">
      <c r="A575" s="7">
        <v>1001222</v>
      </c>
      <c r="B575" s="7" t="s">
        <v>576</v>
      </c>
      <c r="C575" s="14">
        <v>1512.7250069367369</v>
      </c>
      <c r="D575" s="14">
        <v>1368.2166071428571</v>
      </c>
      <c r="E575" s="14">
        <f t="shared" si="8"/>
        <v>1512.7250069367369</v>
      </c>
    </row>
    <row r="576" spans="1:5" x14ac:dyDescent="0.3">
      <c r="A576" s="7">
        <v>1001223</v>
      </c>
      <c r="B576" s="7" t="s">
        <v>577</v>
      </c>
      <c r="C576" s="14">
        <v>267.62697402151389</v>
      </c>
      <c r="D576" s="14">
        <v>284.78245051575129</v>
      </c>
      <c r="E576" s="14">
        <f t="shared" si="8"/>
        <v>284.78245051575129</v>
      </c>
    </row>
    <row r="577" spans="1:5" x14ac:dyDescent="0.3">
      <c r="A577" s="7">
        <v>1001224</v>
      </c>
      <c r="B577" s="7" t="s">
        <v>578</v>
      </c>
      <c r="C577" s="14">
        <v>657.52820699708457</v>
      </c>
      <c r="D577" s="14">
        <v>657.52821018815973</v>
      </c>
      <c r="E577" s="14">
        <f t="shared" si="8"/>
        <v>657.52821018815973</v>
      </c>
    </row>
    <row r="578" spans="1:5" x14ac:dyDescent="0.3">
      <c r="A578" s="7">
        <v>1001225</v>
      </c>
      <c r="B578" s="7" t="s">
        <v>579</v>
      </c>
      <c r="C578" s="14">
        <v>666.99500470366877</v>
      </c>
      <c r="D578" s="14">
        <v>666.99500732064428</v>
      </c>
      <c r="E578" s="14">
        <f t="shared" si="8"/>
        <v>666.99500732064428</v>
      </c>
    </row>
    <row r="579" spans="1:5" x14ac:dyDescent="0.3">
      <c r="A579" s="7">
        <v>1001226</v>
      </c>
      <c r="B579" s="7" t="s">
        <v>580</v>
      </c>
      <c r="C579" s="14">
        <v>296.54381611339522</v>
      </c>
      <c r="D579" s="14">
        <v>296.54381355932202</v>
      </c>
      <c r="E579" s="14">
        <f t="shared" ref="E579:E642" si="9">+MAX(C579, D579)</f>
        <v>296.54381611339522</v>
      </c>
    </row>
    <row r="580" spans="1:5" x14ac:dyDescent="0.3">
      <c r="A580" s="7">
        <v>1001227</v>
      </c>
      <c r="B580" s="7" t="s">
        <v>581</v>
      </c>
      <c r="C580" s="14">
        <v>41.727272727272698</v>
      </c>
      <c r="D580" s="14">
        <v>0</v>
      </c>
      <c r="E580" s="14">
        <f t="shared" si="9"/>
        <v>41.727272727272698</v>
      </c>
    </row>
    <row r="581" spans="1:5" x14ac:dyDescent="0.3">
      <c r="A581" s="7">
        <v>1001228</v>
      </c>
      <c r="B581" s="7" t="s">
        <v>582</v>
      </c>
      <c r="C581" s="14">
        <v>0</v>
      </c>
      <c r="D581" s="14">
        <v>0</v>
      </c>
      <c r="E581" s="14">
        <f t="shared" si="9"/>
        <v>0</v>
      </c>
    </row>
    <row r="582" spans="1:5" x14ac:dyDescent="0.3">
      <c r="A582" s="7">
        <v>1001229</v>
      </c>
      <c r="B582" s="7" t="s">
        <v>583</v>
      </c>
      <c r="C582" s="14">
        <v>467.766152330735</v>
      </c>
      <c r="D582" s="14">
        <v>0</v>
      </c>
      <c r="E582" s="14">
        <f t="shared" si="9"/>
        <v>467.766152330735</v>
      </c>
    </row>
    <row r="583" spans="1:5" x14ac:dyDescent="0.3">
      <c r="A583" s="7">
        <v>1001230</v>
      </c>
      <c r="B583" s="7" t="s">
        <v>584</v>
      </c>
      <c r="C583" s="14">
        <v>330.25</v>
      </c>
      <c r="D583" s="14">
        <v>480.15379661016948</v>
      </c>
      <c r="E583" s="14">
        <f t="shared" si="9"/>
        <v>480.15379661016948</v>
      </c>
    </row>
    <row r="584" spans="1:5" x14ac:dyDescent="0.3">
      <c r="A584" s="7">
        <v>1001231</v>
      </c>
      <c r="B584" s="7" t="s">
        <v>585</v>
      </c>
      <c r="C584" s="14">
        <v>851.28790216915399</v>
      </c>
      <c r="D584" s="14">
        <v>0</v>
      </c>
      <c r="E584" s="14">
        <f t="shared" si="9"/>
        <v>851.28790216915399</v>
      </c>
    </row>
    <row r="585" spans="1:5" x14ac:dyDescent="0.3">
      <c r="A585" s="7">
        <v>1001232</v>
      </c>
      <c r="B585" s="7" t="s">
        <v>586</v>
      </c>
      <c r="C585" s="14">
        <v>616.95557246230248</v>
      </c>
      <c r="D585" s="14">
        <v>532.35967642526964</v>
      </c>
      <c r="E585" s="14">
        <f t="shared" si="9"/>
        <v>616.95557246230248</v>
      </c>
    </row>
    <row r="586" spans="1:5" x14ac:dyDescent="0.3">
      <c r="A586" s="7">
        <v>1001233</v>
      </c>
      <c r="B586" s="7" t="s">
        <v>587</v>
      </c>
      <c r="C586" s="14">
        <v>9084.73</v>
      </c>
      <c r="D586" s="14">
        <v>0</v>
      </c>
      <c r="E586" s="14">
        <f t="shared" si="9"/>
        <v>9084.73</v>
      </c>
    </row>
    <row r="587" spans="1:5" x14ac:dyDescent="0.3">
      <c r="A587" s="7">
        <v>1001234</v>
      </c>
      <c r="B587" s="7" t="s">
        <v>588</v>
      </c>
      <c r="C587" s="14">
        <v>1809.5646072762261</v>
      </c>
      <c r="D587" s="14">
        <v>1809.5645652173914</v>
      </c>
      <c r="E587" s="14">
        <f t="shared" si="9"/>
        <v>1809.5646072762261</v>
      </c>
    </row>
    <row r="588" spans="1:5" x14ac:dyDescent="0.3">
      <c r="A588" s="7">
        <v>1001235</v>
      </c>
      <c r="B588" s="7" t="s">
        <v>589</v>
      </c>
      <c r="C588" s="14">
        <v>1328.4850611648162</v>
      </c>
      <c r="D588" s="14">
        <v>1047.1714873553365</v>
      </c>
      <c r="E588" s="14">
        <f t="shared" si="9"/>
        <v>1328.4850611648162</v>
      </c>
    </row>
    <row r="589" spans="1:5" x14ac:dyDescent="0.3">
      <c r="A589" s="7">
        <v>1001236</v>
      </c>
      <c r="B589" s="7" t="s">
        <v>590</v>
      </c>
      <c r="C589" s="14">
        <v>58.841754052867834</v>
      </c>
      <c r="D589" s="14">
        <v>59.726636909131841</v>
      </c>
      <c r="E589" s="14">
        <f t="shared" si="9"/>
        <v>59.726636909131841</v>
      </c>
    </row>
    <row r="590" spans="1:5" x14ac:dyDescent="0.3">
      <c r="A590" s="7">
        <v>1001238</v>
      </c>
      <c r="B590" s="7" t="s">
        <v>591</v>
      </c>
      <c r="C590" s="14">
        <v>1014.5609140754273</v>
      </c>
      <c r="D590" s="14">
        <v>1224.1329889228418</v>
      </c>
      <c r="E590" s="14">
        <f t="shared" si="9"/>
        <v>1224.1329889228418</v>
      </c>
    </row>
    <row r="591" spans="1:5" x14ac:dyDescent="0.3">
      <c r="A591" s="7">
        <v>1001241</v>
      </c>
      <c r="B591" s="7" t="s">
        <v>592</v>
      </c>
      <c r="C591" s="14">
        <v>157.29661207830299</v>
      </c>
      <c r="D591" s="14">
        <v>172.2</v>
      </c>
      <c r="E591" s="14">
        <f t="shared" si="9"/>
        <v>172.2</v>
      </c>
    </row>
    <row r="592" spans="1:5" x14ac:dyDescent="0.3">
      <c r="A592" s="7">
        <v>1001242</v>
      </c>
      <c r="B592" s="7" t="s">
        <v>593</v>
      </c>
      <c r="C592" s="14">
        <v>178.43707481102399</v>
      </c>
      <c r="D592" s="14">
        <v>0</v>
      </c>
      <c r="E592" s="14">
        <f t="shared" si="9"/>
        <v>178.43707481102399</v>
      </c>
    </row>
    <row r="593" spans="1:5" x14ac:dyDescent="0.3">
      <c r="A593" s="7">
        <v>1001243</v>
      </c>
      <c r="B593" s="7" t="s">
        <v>594</v>
      </c>
      <c r="C593" s="14">
        <v>1328.1999999999998</v>
      </c>
      <c r="D593" s="14">
        <v>1328.1999999999998</v>
      </c>
      <c r="E593" s="14">
        <f t="shared" si="9"/>
        <v>1328.1999999999998</v>
      </c>
    </row>
    <row r="594" spans="1:5" x14ac:dyDescent="0.3">
      <c r="A594" s="7">
        <v>1001244</v>
      </c>
      <c r="B594" s="7" t="s">
        <v>595</v>
      </c>
      <c r="C594" s="14">
        <v>1660.4836859077061</v>
      </c>
      <c r="D594" s="14">
        <v>0</v>
      </c>
      <c r="E594" s="14">
        <f t="shared" si="9"/>
        <v>1660.4836859077061</v>
      </c>
    </row>
    <row r="595" spans="1:5" x14ac:dyDescent="0.3">
      <c r="A595" s="7">
        <v>1001245</v>
      </c>
      <c r="B595" s="7" t="s">
        <v>596</v>
      </c>
      <c r="C595" s="14">
        <v>500.60279130434799</v>
      </c>
      <c r="D595" s="14">
        <v>0</v>
      </c>
      <c r="E595" s="14">
        <f t="shared" si="9"/>
        <v>500.60279130434799</v>
      </c>
    </row>
    <row r="596" spans="1:5" x14ac:dyDescent="0.3">
      <c r="A596" s="7">
        <v>1001246</v>
      </c>
      <c r="B596" s="7" t="s">
        <v>597</v>
      </c>
      <c r="C596" s="14">
        <v>3055.44</v>
      </c>
      <c r="D596" s="14">
        <v>0</v>
      </c>
      <c r="E596" s="14">
        <f t="shared" si="9"/>
        <v>3055.44</v>
      </c>
    </row>
    <row r="597" spans="1:5" x14ac:dyDescent="0.3">
      <c r="A597" s="7">
        <v>1001253</v>
      </c>
      <c r="B597" s="7" t="s">
        <v>598</v>
      </c>
      <c r="C597" s="14">
        <v>103.06</v>
      </c>
      <c r="D597" s="14">
        <v>0</v>
      </c>
      <c r="E597" s="14">
        <f t="shared" si="9"/>
        <v>103.06</v>
      </c>
    </row>
    <row r="598" spans="1:5" x14ac:dyDescent="0.3">
      <c r="A598" s="7">
        <v>1001254</v>
      </c>
      <c r="B598" s="7" t="s">
        <v>599</v>
      </c>
      <c r="C598" s="14">
        <v>47.693999515720897</v>
      </c>
      <c r="D598" s="14">
        <v>0</v>
      </c>
      <c r="E598" s="14">
        <f t="shared" si="9"/>
        <v>47.693999515720897</v>
      </c>
    </row>
    <row r="599" spans="1:5" x14ac:dyDescent="0.3">
      <c r="A599" s="7">
        <v>1001256</v>
      </c>
      <c r="B599" s="7" t="s">
        <v>600</v>
      </c>
      <c r="C599" s="14">
        <v>524.61339026470102</v>
      </c>
      <c r="D599" s="14">
        <v>0</v>
      </c>
      <c r="E599" s="14">
        <f t="shared" si="9"/>
        <v>524.61339026470102</v>
      </c>
    </row>
    <row r="600" spans="1:5" x14ac:dyDescent="0.3">
      <c r="A600" s="7">
        <v>1001257</v>
      </c>
      <c r="B600" s="7" t="s">
        <v>601</v>
      </c>
      <c r="C600" s="14">
        <v>21.153241958036698</v>
      </c>
      <c r="D600" s="14">
        <v>0</v>
      </c>
      <c r="E600" s="14">
        <f t="shared" si="9"/>
        <v>21.153241958036698</v>
      </c>
    </row>
    <row r="601" spans="1:5" x14ac:dyDescent="0.3">
      <c r="A601" s="7">
        <v>1001259</v>
      </c>
      <c r="B601" s="7" t="s">
        <v>602</v>
      </c>
      <c r="C601" s="14">
        <v>1450</v>
      </c>
      <c r="D601" s="14">
        <v>1450</v>
      </c>
      <c r="E601" s="14">
        <f t="shared" si="9"/>
        <v>1450</v>
      </c>
    </row>
    <row r="602" spans="1:5" x14ac:dyDescent="0.3">
      <c r="A602" s="7">
        <v>1001261</v>
      </c>
      <c r="B602" s="7" t="s">
        <v>603</v>
      </c>
      <c r="C602" s="14">
        <v>865.33333333333303</v>
      </c>
      <c r="D602" s="14">
        <v>0</v>
      </c>
      <c r="E602" s="14">
        <f t="shared" si="9"/>
        <v>865.33333333333303</v>
      </c>
    </row>
    <row r="603" spans="1:5" x14ac:dyDescent="0.3">
      <c r="A603" s="7">
        <v>1001262</v>
      </c>
      <c r="B603" s="7" t="s">
        <v>604</v>
      </c>
      <c r="C603" s="14">
        <v>0</v>
      </c>
      <c r="D603" s="14">
        <v>0</v>
      </c>
      <c r="E603" s="14">
        <f t="shared" si="9"/>
        <v>0</v>
      </c>
    </row>
    <row r="604" spans="1:5" x14ac:dyDescent="0.3">
      <c r="A604" s="7">
        <v>1001263</v>
      </c>
      <c r="B604" s="7" t="s">
        <v>605</v>
      </c>
      <c r="C604" s="14">
        <v>167.91684447219424</v>
      </c>
      <c r="D604" s="14">
        <v>0</v>
      </c>
      <c r="E604" s="14">
        <f t="shared" si="9"/>
        <v>167.91684447219424</v>
      </c>
    </row>
    <row r="605" spans="1:5" x14ac:dyDescent="0.3">
      <c r="A605" s="7">
        <v>1001264</v>
      </c>
      <c r="B605" s="7" t="s">
        <v>606</v>
      </c>
      <c r="C605" s="14">
        <v>116</v>
      </c>
      <c r="D605" s="14">
        <v>115.54841849148418</v>
      </c>
      <c r="E605" s="14">
        <f t="shared" si="9"/>
        <v>116</v>
      </c>
    </row>
    <row r="606" spans="1:5" x14ac:dyDescent="0.3">
      <c r="A606" s="7">
        <v>1001265</v>
      </c>
      <c r="B606" s="7" t="s">
        <v>607</v>
      </c>
      <c r="C606" s="14">
        <v>101.430769230769</v>
      </c>
      <c r="D606" s="14">
        <v>0</v>
      </c>
      <c r="E606" s="14">
        <f t="shared" si="9"/>
        <v>101.430769230769</v>
      </c>
    </row>
    <row r="607" spans="1:5" x14ac:dyDescent="0.3">
      <c r="A607" s="7">
        <v>1001266</v>
      </c>
      <c r="B607" s="7" t="s">
        <v>608</v>
      </c>
      <c r="C607" s="14">
        <v>2335.7933333333299</v>
      </c>
      <c r="D607" s="14">
        <v>0</v>
      </c>
      <c r="E607" s="14">
        <f t="shared" si="9"/>
        <v>2335.7933333333299</v>
      </c>
    </row>
    <row r="608" spans="1:5" x14ac:dyDescent="0.3">
      <c r="A608" s="7">
        <v>1001267</v>
      </c>
      <c r="B608" s="7" t="s">
        <v>609</v>
      </c>
      <c r="C608" s="14">
        <v>2437.8760000000002</v>
      </c>
      <c r="D608" s="14">
        <v>0</v>
      </c>
      <c r="E608" s="14">
        <f t="shared" si="9"/>
        <v>2437.8760000000002</v>
      </c>
    </row>
    <row r="609" spans="1:5" x14ac:dyDescent="0.3">
      <c r="A609" s="7">
        <v>1001268</v>
      </c>
      <c r="B609" s="7" t="s">
        <v>610</v>
      </c>
      <c r="C609" s="14">
        <v>8958.0499999999902</v>
      </c>
      <c r="D609" s="14">
        <v>0</v>
      </c>
      <c r="E609" s="14">
        <f t="shared" si="9"/>
        <v>8958.0499999999902</v>
      </c>
    </row>
    <row r="610" spans="1:5" x14ac:dyDescent="0.3">
      <c r="A610" s="7">
        <v>1001269</v>
      </c>
      <c r="B610" s="7" t="s">
        <v>611</v>
      </c>
      <c r="C610" s="14">
        <v>441.1</v>
      </c>
      <c r="D610" s="14">
        <v>540.61237837837837</v>
      </c>
      <c r="E610" s="14">
        <f t="shared" si="9"/>
        <v>540.61237837837837</v>
      </c>
    </row>
    <row r="611" spans="1:5" x14ac:dyDescent="0.3">
      <c r="A611" s="7">
        <v>1001270</v>
      </c>
      <c r="B611" s="7" t="s">
        <v>612</v>
      </c>
      <c r="C611" s="14">
        <v>1067.93</v>
      </c>
      <c r="D611" s="14">
        <v>0</v>
      </c>
      <c r="E611" s="14">
        <f t="shared" si="9"/>
        <v>1067.93</v>
      </c>
    </row>
    <row r="612" spans="1:5" x14ac:dyDescent="0.3">
      <c r="A612" s="7">
        <v>1001271</v>
      </c>
      <c r="B612" s="7" t="s">
        <v>613</v>
      </c>
      <c r="C612" s="14">
        <v>73.567148487131618</v>
      </c>
      <c r="D612" s="14">
        <v>91.021111111111111</v>
      </c>
      <c r="E612" s="14">
        <f t="shared" si="9"/>
        <v>91.021111111111111</v>
      </c>
    </row>
    <row r="613" spans="1:5" x14ac:dyDescent="0.3">
      <c r="A613" s="7">
        <v>1001275</v>
      </c>
      <c r="B613" s="7" t="s">
        <v>614</v>
      </c>
      <c r="C613" s="14">
        <v>9001</v>
      </c>
      <c r="D613" s="14">
        <v>0</v>
      </c>
      <c r="E613" s="14">
        <f t="shared" si="9"/>
        <v>9001</v>
      </c>
    </row>
    <row r="614" spans="1:5" x14ac:dyDescent="0.3">
      <c r="A614" s="7">
        <v>1001276</v>
      </c>
      <c r="B614" s="7" t="s">
        <v>615</v>
      </c>
      <c r="C614" s="14">
        <v>2090.4123076923102</v>
      </c>
      <c r="D614" s="14">
        <v>0</v>
      </c>
      <c r="E614" s="14">
        <f t="shared" si="9"/>
        <v>2090.4123076923102</v>
      </c>
    </row>
    <row r="615" spans="1:5" x14ac:dyDescent="0.3">
      <c r="A615" s="7">
        <v>1001277</v>
      </c>
      <c r="B615" s="7" t="s">
        <v>616</v>
      </c>
      <c r="C615" s="14">
        <v>1082.99</v>
      </c>
      <c r="D615" s="14">
        <v>1082.99</v>
      </c>
      <c r="E615" s="14">
        <f t="shared" si="9"/>
        <v>1082.99</v>
      </c>
    </row>
    <row r="616" spans="1:5" x14ac:dyDescent="0.3">
      <c r="A616" s="7">
        <v>1001278</v>
      </c>
      <c r="B616" s="7" t="s">
        <v>617</v>
      </c>
      <c r="C616" s="14">
        <v>220.46542485378598</v>
      </c>
      <c r="D616" s="14">
        <v>0</v>
      </c>
      <c r="E616" s="14">
        <f t="shared" si="9"/>
        <v>220.46542485378598</v>
      </c>
    </row>
    <row r="617" spans="1:5" x14ac:dyDescent="0.3">
      <c r="A617" s="7">
        <v>1001280</v>
      </c>
      <c r="B617" s="7" t="s">
        <v>618</v>
      </c>
      <c r="C617" s="14">
        <v>0</v>
      </c>
      <c r="D617" s="14">
        <v>0</v>
      </c>
      <c r="E617" s="14">
        <f t="shared" si="9"/>
        <v>0</v>
      </c>
    </row>
    <row r="618" spans="1:5" x14ac:dyDescent="0.3">
      <c r="A618" s="7">
        <v>1001282</v>
      </c>
      <c r="B618" s="7" t="s">
        <v>619</v>
      </c>
      <c r="C618" s="14">
        <v>250</v>
      </c>
      <c r="D618" s="14">
        <v>250</v>
      </c>
      <c r="E618" s="14">
        <f t="shared" si="9"/>
        <v>250</v>
      </c>
    </row>
    <row r="619" spans="1:5" x14ac:dyDescent="0.3">
      <c r="A619" s="7">
        <v>1001285</v>
      </c>
      <c r="B619" s="7" t="s">
        <v>620</v>
      </c>
      <c r="C619" s="14">
        <v>200</v>
      </c>
      <c r="D619" s="14">
        <v>200</v>
      </c>
      <c r="E619" s="14">
        <f t="shared" si="9"/>
        <v>200</v>
      </c>
    </row>
    <row r="620" spans="1:5" x14ac:dyDescent="0.3">
      <c r="A620" s="7">
        <v>1001286</v>
      </c>
      <c r="B620" s="7" t="s">
        <v>621</v>
      </c>
      <c r="C620" s="14">
        <v>1025.0340756908231</v>
      </c>
      <c r="D620" s="14">
        <v>752.22259773662552</v>
      </c>
      <c r="E620" s="14">
        <f t="shared" si="9"/>
        <v>1025.0340756908231</v>
      </c>
    </row>
    <row r="621" spans="1:5" x14ac:dyDescent="0.3">
      <c r="A621" s="7">
        <v>1001287</v>
      </c>
      <c r="B621" s="7" t="s">
        <v>622</v>
      </c>
      <c r="C621" s="14">
        <v>335.22981277149159</v>
      </c>
      <c r="D621" s="14">
        <v>0</v>
      </c>
      <c r="E621" s="14">
        <f t="shared" si="9"/>
        <v>335.22981277149159</v>
      </c>
    </row>
    <row r="622" spans="1:5" x14ac:dyDescent="0.3">
      <c r="A622" s="7">
        <v>1001291</v>
      </c>
      <c r="B622" s="7" t="s">
        <v>623</v>
      </c>
      <c r="C622" s="14">
        <v>35.036129032258067</v>
      </c>
      <c r="D622" s="14">
        <v>35.036129032258067</v>
      </c>
      <c r="E622" s="14">
        <f t="shared" si="9"/>
        <v>35.036129032258067</v>
      </c>
    </row>
    <row r="623" spans="1:5" x14ac:dyDescent="0.3">
      <c r="A623" s="7">
        <v>1001292</v>
      </c>
      <c r="B623" s="7" t="s">
        <v>624</v>
      </c>
      <c r="C623" s="14">
        <v>35.865369951167054</v>
      </c>
      <c r="D623" s="14">
        <v>35.86536998696419</v>
      </c>
      <c r="E623" s="14">
        <f t="shared" si="9"/>
        <v>35.86536998696419</v>
      </c>
    </row>
    <row r="624" spans="1:5" x14ac:dyDescent="0.3">
      <c r="A624" s="7">
        <v>1001293</v>
      </c>
      <c r="B624" s="7" t="s">
        <v>625</v>
      </c>
      <c r="C624" s="14">
        <v>2555</v>
      </c>
      <c r="D624" s="14">
        <v>0</v>
      </c>
      <c r="E624" s="14">
        <f t="shared" si="9"/>
        <v>2555</v>
      </c>
    </row>
    <row r="625" spans="1:5" x14ac:dyDescent="0.3">
      <c r="A625" s="7">
        <v>1001294</v>
      </c>
      <c r="B625" s="7" t="s">
        <v>626</v>
      </c>
      <c r="C625" s="14">
        <v>71.345885032003906</v>
      </c>
      <c r="D625" s="14">
        <v>0</v>
      </c>
      <c r="E625" s="14">
        <f t="shared" si="9"/>
        <v>71.345885032003906</v>
      </c>
    </row>
    <row r="626" spans="1:5" x14ac:dyDescent="0.3">
      <c r="A626" s="7">
        <v>1001295</v>
      </c>
      <c r="B626" s="7" t="s">
        <v>627</v>
      </c>
      <c r="C626" s="14">
        <v>2360</v>
      </c>
      <c r="D626" s="14">
        <v>0</v>
      </c>
      <c r="E626" s="14">
        <f t="shared" si="9"/>
        <v>2360</v>
      </c>
    </row>
    <row r="627" spans="1:5" x14ac:dyDescent="0.3">
      <c r="A627" s="7">
        <v>1001298</v>
      </c>
      <c r="B627" s="7" t="s">
        <v>628</v>
      </c>
      <c r="C627" s="14">
        <v>542.23</v>
      </c>
      <c r="D627" s="14">
        <v>281.98134831460675</v>
      </c>
      <c r="E627" s="14">
        <f t="shared" si="9"/>
        <v>542.23</v>
      </c>
    </row>
    <row r="628" spans="1:5" x14ac:dyDescent="0.3">
      <c r="A628" s="7">
        <v>1001300</v>
      </c>
      <c r="B628" s="7" t="s">
        <v>629</v>
      </c>
      <c r="C628" s="14">
        <v>1183.9884040816326</v>
      </c>
      <c r="D628" s="14">
        <v>1183.9884</v>
      </c>
      <c r="E628" s="14">
        <f t="shared" si="9"/>
        <v>1183.9884040816326</v>
      </c>
    </row>
    <row r="629" spans="1:5" x14ac:dyDescent="0.3">
      <c r="A629" s="7">
        <v>1001301</v>
      </c>
      <c r="B629" s="7" t="s">
        <v>630</v>
      </c>
      <c r="C629" s="14">
        <v>1350</v>
      </c>
      <c r="D629" s="14">
        <v>0</v>
      </c>
      <c r="E629" s="14">
        <f t="shared" si="9"/>
        <v>1350</v>
      </c>
    </row>
    <row r="630" spans="1:5" x14ac:dyDescent="0.3">
      <c r="A630" s="7">
        <v>1001302</v>
      </c>
      <c r="B630" s="7" t="s">
        <v>631</v>
      </c>
      <c r="C630" s="14">
        <v>1276</v>
      </c>
      <c r="D630" s="14">
        <v>0</v>
      </c>
      <c r="E630" s="14">
        <f t="shared" si="9"/>
        <v>1276</v>
      </c>
    </row>
    <row r="631" spans="1:5" x14ac:dyDescent="0.3">
      <c r="A631" s="7">
        <v>1001303</v>
      </c>
      <c r="B631" s="7" t="s">
        <v>632</v>
      </c>
      <c r="C631" s="14">
        <v>12.1</v>
      </c>
      <c r="D631" s="14">
        <v>0</v>
      </c>
      <c r="E631" s="14">
        <f t="shared" si="9"/>
        <v>12.1</v>
      </c>
    </row>
    <row r="632" spans="1:5" x14ac:dyDescent="0.3">
      <c r="A632" s="7">
        <v>1001304</v>
      </c>
      <c r="B632" s="7" t="s">
        <v>633</v>
      </c>
      <c r="C632" s="14">
        <v>0</v>
      </c>
      <c r="D632" s="14">
        <v>0</v>
      </c>
      <c r="E632" s="14">
        <f t="shared" si="9"/>
        <v>0</v>
      </c>
    </row>
    <row r="633" spans="1:5" x14ac:dyDescent="0.3">
      <c r="A633" s="7">
        <v>1001305</v>
      </c>
      <c r="B633" s="7" t="s">
        <v>634</v>
      </c>
      <c r="C633" s="14">
        <v>870.58360362554106</v>
      </c>
      <c r="D633" s="14">
        <v>1097.4000000000001</v>
      </c>
      <c r="E633" s="14">
        <f t="shared" si="9"/>
        <v>1097.4000000000001</v>
      </c>
    </row>
    <row r="634" spans="1:5" x14ac:dyDescent="0.3">
      <c r="A634" s="7">
        <v>1001306</v>
      </c>
      <c r="B634" s="7" t="s">
        <v>635</v>
      </c>
      <c r="C634" s="14">
        <v>2598.4</v>
      </c>
      <c r="D634" s="14">
        <v>0</v>
      </c>
      <c r="E634" s="14">
        <f t="shared" si="9"/>
        <v>2598.4</v>
      </c>
    </row>
    <row r="635" spans="1:5" x14ac:dyDescent="0.3">
      <c r="A635" s="7">
        <v>1001307</v>
      </c>
      <c r="B635" s="7" t="s">
        <v>636</v>
      </c>
      <c r="C635" s="14">
        <v>7670</v>
      </c>
      <c r="D635" s="14">
        <v>4738.4104920913878</v>
      </c>
      <c r="E635" s="14">
        <f t="shared" si="9"/>
        <v>7670</v>
      </c>
    </row>
    <row r="636" spans="1:5" x14ac:dyDescent="0.3">
      <c r="A636" s="7">
        <v>1001308</v>
      </c>
      <c r="B636" s="7" t="s">
        <v>637</v>
      </c>
      <c r="C636" s="14">
        <v>116.48902323688802</v>
      </c>
      <c r="D636" s="14">
        <v>108.21265670118922</v>
      </c>
      <c r="E636" s="14">
        <f t="shared" si="9"/>
        <v>116.48902323688802</v>
      </c>
    </row>
    <row r="637" spans="1:5" x14ac:dyDescent="0.3">
      <c r="A637" s="7">
        <v>1001309</v>
      </c>
      <c r="B637" s="7" t="s">
        <v>638</v>
      </c>
      <c r="C637" s="14">
        <v>88.633564532104401</v>
      </c>
      <c r="D637" s="14">
        <v>0</v>
      </c>
      <c r="E637" s="14">
        <f t="shared" si="9"/>
        <v>88.633564532104401</v>
      </c>
    </row>
    <row r="638" spans="1:5" x14ac:dyDescent="0.3">
      <c r="A638" s="7">
        <v>1001311</v>
      </c>
      <c r="B638" s="7" t="s">
        <v>639</v>
      </c>
      <c r="C638" s="14">
        <v>773.49002779540797</v>
      </c>
      <c r="D638" s="14">
        <v>1003.434075924076</v>
      </c>
      <c r="E638" s="14">
        <f t="shared" si="9"/>
        <v>1003.434075924076</v>
      </c>
    </row>
    <row r="639" spans="1:5" x14ac:dyDescent="0.3">
      <c r="A639" s="7">
        <v>1001312</v>
      </c>
      <c r="B639" s="7" t="s">
        <v>640</v>
      </c>
      <c r="C639" s="14">
        <v>702.34095145547394</v>
      </c>
      <c r="D639" s="14">
        <v>711.6908617594255</v>
      </c>
      <c r="E639" s="14">
        <f t="shared" si="9"/>
        <v>711.6908617594255</v>
      </c>
    </row>
    <row r="640" spans="1:5" x14ac:dyDescent="0.3">
      <c r="A640" s="7">
        <v>1001313</v>
      </c>
      <c r="B640" s="7" t="s">
        <v>641</v>
      </c>
      <c r="C640" s="14">
        <v>48.388571428571403</v>
      </c>
      <c r="D640" s="14">
        <v>0</v>
      </c>
      <c r="E640" s="14">
        <f t="shared" si="9"/>
        <v>48.388571428571403</v>
      </c>
    </row>
    <row r="641" spans="1:5" x14ac:dyDescent="0.3">
      <c r="A641" s="7">
        <v>1001314</v>
      </c>
      <c r="B641" s="7" t="s">
        <v>642</v>
      </c>
      <c r="C641" s="14">
        <v>635.83299789560078</v>
      </c>
      <c r="D641" s="14">
        <v>616.15787044806177</v>
      </c>
      <c r="E641" s="14">
        <f t="shared" si="9"/>
        <v>635.83299789560078</v>
      </c>
    </row>
    <row r="642" spans="1:5" x14ac:dyDescent="0.3">
      <c r="A642" s="7">
        <v>1001315</v>
      </c>
      <c r="B642" s="7" t="s">
        <v>643</v>
      </c>
      <c r="C642" s="14">
        <v>353.28999999999996</v>
      </c>
      <c r="D642" s="14">
        <v>353.29</v>
      </c>
      <c r="E642" s="14">
        <f t="shared" si="9"/>
        <v>353.29</v>
      </c>
    </row>
    <row r="643" spans="1:5" x14ac:dyDescent="0.3">
      <c r="A643" s="7">
        <v>1001318</v>
      </c>
      <c r="B643" s="7" t="s">
        <v>644</v>
      </c>
      <c r="C643" s="14">
        <v>222.56224165363773</v>
      </c>
      <c r="D643" s="14">
        <v>0</v>
      </c>
      <c r="E643" s="14">
        <f t="shared" ref="E643:E706" si="10">+MAX(C643, D643)</f>
        <v>222.56224165363773</v>
      </c>
    </row>
    <row r="644" spans="1:5" x14ac:dyDescent="0.3">
      <c r="A644" s="7">
        <v>1001319</v>
      </c>
      <c r="B644" s="7" t="s">
        <v>645</v>
      </c>
      <c r="C644" s="14">
        <v>587.96607466573857</v>
      </c>
      <c r="D644" s="14">
        <v>506.41296008348547</v>
      </c>
      <c r="E644" s="14">
        <f t="shared" si="10"/>
        <v>587.96607466573857</v>
      </c>
    </row>
    <row r="645" spans="1:5" x14ac:dyDescent="0.3">
      <c r="A645" s="7">
        <v>1001320</v>
      </c>
      <c r="B645" s="7" t="s">
        <v>646</v>
      </c>
      <c r="C645" s="14">
        <v>257.88156027336652</v>
      </c>
      <c r="D645" s="14">
        <v>257.88153477218225</v>
      </c>
      <c r="E645" s="14">
        <f t="shared" si="10"/>
        <v>257.88156027336652</v>
      </c>
    </row>
    <row r="646" spans="1:5" x14ac:dyDescent="0.3">
      <c r="A646" s="7">
        <v>1001322</v>
      </c>
      <c r="B646" s="7" t="s">
        <v>647</v>
      </c>
      <c r="C646" s="14">
        <v>3979.6497981103598</v>
      </c>
      <c r="D646" s="14">
        <v>0</v>
      </c>
      <c r="E646" s="14">
        <f t="shared" si="10"/>
        <v>3979.6497981103598</v>
      </c>
    </row>
    <row r="647" spans="1:5" x14ac:dyDescent="0.3">
      <c r="A647" s="7">
        <v>1001323</v>
      </c>
      <c r="B647" s="7" t="s">
        <v>648</v>
      </c>
      <c r="C647" s="14">
        <v>2546.1821800708499</v>
      </c>
      <c r="D647" s="14">
        <v>0</v>
      </c>
      <c r="E647" s="14">
        <f t="shared" si="10"/>
        <v>2546.1821800708499</v>
      </c>
    </row>
    <row r="648" spans="1:5" x14ac:dyDescent="0.3">
      <c r="A648" s="7">
        <v>1001324</v>
      </c>
      <c r="B648" s="7" t="s">
        <v>649</v>
      </c>
      <c r="C648" s="14">
        <v>1468.2788171651982</v>
      </c>
      <c r="D648" s="14">
        <v>0</v>
      </c>
      <c r="E648" s="14">
        <f t="shared" si="10"/>
        <v>1468.2788171651982</v>
      </c>
    </row>
    <row r="649" spans="1:5" x14ac:dyDescent="0.3">
      <c r="A649" s="7">
        <v>1001326</v>
      </c>
      <c r="B649" s="7" t="s">
        <v>650</v>
      </c>
      <c r="C649" s="14">
        <v>3404.2723526353875</v>
      </c>
      <c r="D649" s="14">
        <v>5267.0025000000005</v>
      </c>
      <c r="E649" s="14">
        <f t="shared" si="10"/>
        <v>5267.0025000000005</v>
      </c>
    </row>
    <row r="650" spans="1:5" x14ac:dyDescent="0.3">
      <c r="A650" s="7">
        <v>1001329</v>
      </c>
      <c r="B650" s="7" t="s">
        <v>651</v>
      </c>
      <c r="C650" s="14">
        <v>3884.8742434061701</v>
      </c>
      <c r="D650" s="14">
        <v>1355.643</v>
      </c>
      <c r="E650" s="14">
        <f t="shared" si="10"/>
        <v>3884.8742434061701</v>
      </c>
    </row>
    <row r="651" spans="1:5" x14ac:dyDescent="0.3">
      <c r="A651" s="7">
        <v>1001330</v>
      </c>
      <c r="B651" s="7" t="s">
        <v>652</v>
      </c>
      <c r="C651" s="14">
        <v>440.8</v>
      </c>
      <c r="D651" s="14">
        <v>0</v>
      </c>
      <c r="E651" s="14">
        <f t="shared" si="10"/>
        <v>440.8</v>
      </c>
    </row>
    <row r="652" spans="1:5" x14ac:dyDescent="0.3">
      <c r="A652" s="7">
        <v>1001333</v>
      </c>
      <c r="B652" s="7" t="s">
        <v>653</v>
      </c>
      <c r="C652" s="14">
        <v>626.82962962962995</v>
      </c>
      <c r="D652" s="14">
        <v>0</v>
      </c>
      <c r="E652" s="14">
        <f t="shared" si="10"/>
        <v>626.82962962962995</v>
      </c>
    </row>
    <row r="653" spans="1:5" x14ac:dyDescent="0.3">
      <c r="A653" s="7">
        <v>1001341</v>
      </c>
      <c r="B653" s="7" t="s">
        <v>654</v>
      </c>
      <c r="C653" s="14">
        <v>323.142857142857</v>
      </c>
      <c r="D653" s="14">
        <v>0</v>
      </c>
      <c r="E653" s="14">
        <f t="shared" si="10"/>
        <v>323.142857142857</v>
      </c>
    </row>
    <row r="654" spans="1:5" x14ac:dyDescent="0.3">
      <c r="A654" s="7">
        <v>1001344</v>
      </c>
      <c r="B654" s="7" t="s">
        <v>655</v>
      </c>
      <c r="C654" s="14">
        <v>100.3</v>
      </c>
      <c r="D654" s="14">
        <v>100.3</v>
      </c>
      <c r="E654" s="14">
        <f t="shared" si="10"/>
        <v>100.3</v>
      </c>
    </row>
    <row r="655" spans="1:5" x14ac:dyDescent="0.3">
      <c r="A655" s="7">
        <v>1001349</v>
      </c>
      <c r="B655" s="7" t="s">
        <v>656</v>
      </c>
      <c r="C655" s="14">
        <v>81.2</v>
      </c>
      <c r="D655" s="14">
        <v>0</v>
      </c>
      <c r="E655" s="14">
        <f t="shared" si="10"/>
        <v>81.2</v>
      </c>
    </row>
    <row r="656" spans="1:5" x14ac:dyDescent="0.3">
      <c r="A656" s="7">
        <v>1001358</v>
      </c>
      <c r="B656" s="7" t="s">
        <v>657</v>
      </c>
      <c r="C656" s="14">
        <v>86.05</v>
      </c>
      <c r="D656" s="14">
        <v>0</v>
      </c>
      <c r="E656" s="14">
        <f t="shared" si="10"/>
        <v>86.05</v>
      </c>
    </row>
    <row r="657" spans="1:5" x14ac:dyDescent="0.3">
      <c r="A657" s="7">
        <v>1001363</v>
      </c>
      <c r="B657" s="7" t="s">
        <v>658</v>
      </c>
      <c r="C657" s="14">
        <v>2081.94333333333</v>
      </c>
      <c r="D657" s="14">
        <v>0</v>
      </c>
      <c r="E657" s="14">
        <f t="shared" si="10"/>
        <v>2081.94333333333</v>
      </c>
    </row>
    <row r="658" spans="1:5" x14ac:dyDescent="0.3">
      <c r="A658" s="7">
        <v>1001366</v>
      </c>
      <c r="B658" s="7" t="s">
        <v>659</v>
      </c>
      <c r="C658" s="14">
        <v>1484.84</v>
      </c>
      <c r="D658" s="14">
        <v>1484.84</v>
      </c>
      <c r="E658" s="14">
        <f t="shared" si="10"/>
        <v>1484.84</v>
      </c>
    </row>
    <row r="659" spans="1:5" x14ac:dyDescent="0.3">
      <c r="A659" s="7">
        <v>1001374</v>
      </c>
      <c r="B659" s="7" t="s">
        <v>660</v>
      </c>
      <c r="C659" s="14">
        <v>1870.3046493059701</v>
      </c>
      <c r="D659" s="14">
        <v>0</v>
      </c>
      <c r="E659" s="14">
        <f t="shared" si="10"/>
        <v>1870.3046493059701</v>
      </c>
    </row>
    <row r="660" spans="1:5" x14ac:dyDescent="0.3">
      <c r="A660" s="7">
        <v>1001378</v>
      </c>
      <c r="B660" s="7" t="s">
        <v>661</v>
      </c>
      <c r="C660" s="14">
        <v>63.8</v>
      </c>
      <c r="D660" s="14">
        <v>63.8</v>
      </c>
      <c r="E660" s="14">
        <f t="shared" si="10"/>
        <v>63.8</v>
      </c>
    </row>
    <row r="661" spans="1:5" x14ac:dyDescent="0.3">
      <c r="A661" s="7">
        <v>1001383</v>
      </c>
      <c r="B661" s="7" t="s">
        <v>662</v>
      </c>
      <c r="C661" s="14">
        <v>610.00999999999897</v>
      </c>
      <c r="D661" s="14">
        <v>0</v>
      </c>
      <c r="E661" s="14">
        <f t="shared" si="10"/>
        <v>610.00999999999897</v>
      </c>
    </row>
    <row r="662" spans="1:5" x14ac:dyDescent="0.3">
      <c r="A662" s="7">
        <v>1001386</v>
      </c>
      <c r="B662" s="7" t="s">
        <v>663</v>
      </c>
      <c r="C662" s="14">
        <v>647.22857142857094</v>
      </c>
      <c r="D662" s="14">
        <v>0</v>
      </c>
      <c r="E662" s="14">
        <f t="shared" si="10"/>
        <v>647.22857142857094</v>
      </c>
    </row>
    <row r="663" spans="1:5" x14ac:dyDescent="0.3">
      <c r="A663" s="7">
        <v>1001387</v>
      </c>
      <c r="B663" s="7" t="s">
        <v>664</v>
      </c>
      <c r="C663" s="14">
        <v>584.1</v>
      </c>
      <c r="D663" s="14">
        <v>0</v>
      </c>
      <c r="E663" s="14">
        <f t="shared" si="10"/>
        <v>584.1</v>
      </c>
    </row>
    <row r="664" spans="1:5" x14ac:dyDescent="0.3">
      <c r="A664" s="7">
        <v>1001389</v>
      </c>
      <c r="B664" s="7" t="s">
        <v>665</v>
      </c>
      <c r="C664" s="14">
        <v>503.44</v>
      </c>
      <c r="D664" s="14">
        <v>0</v>
      </c>
      <c r="E664" s="14">
        <f t="shared" si="10"/>
        <v>503.44</v>
      </c>
    </row>
    <row r="665" spans="1:5" x14ac:dyDescent="0.3">
      <c r="A665" s="7">
        <v>1001390</v>
      </c>
      <c r="B665" s="7" t="s">
        <v>666</v>
      </c>
      <c r="C665" s="14">
        <v>66.099999999999994</v>
      </c>
      <c r="D665" s="14">
        <v>0</v>
      </c>
      <c r="E665" s="14">
        <f t="shared" si="10"/>
        <v>66.099999999999994</v>
      </c>
    </row>
    <row r="666" spans="1:5" x14ac:dyDescent="0.3">
      <c r="A666" s="7">
        <v>1001393</v>
      </c>
      <c r="B666" s="7" t="s">
        <v>667</v>
      </c>
      <c r="C666" s="14">
        <v>4.3499999999999996</v>
      </c>
      <c r="D666" s="14">
        <v>4.3499999999999996</v>
      </c>
      <c r="E666" s="14">
        <f t="shared" si="10"/>
        <v>4.3499999999999996</v>
      </c>
    </row>
    <row r="667" spans="1:5" x14ac:dyDescent="0.3">
      <c r="A667" s="7">
        <v>1001395</v>
      </c>
      <c r="B667" s="7" t="s">
        <v>668</v>
      </c>
      <c r="C667" s="14">
        <v>0</v>
      </c>
      <c r="D667" s="14">
        <v>0</v>
      </c>
      <c r="E667" s="14">
        <f t="shared" si="10"/>
        <v>0</v>
      </c>
    </row>
    <row r="668" spans="1:5" x14ac:dyDescent="0.3">
      <c r="A668" s="7">
        <v>1001396</v>
      </c>
      <c r="B668" s="7" t="s">
        <v>669</v>
      </c>
      <c r="C668" s="14">
        <v>46.4</v>
      </c>
      <c r="D668" s="14">
        <v>0</v>
      </c>
      <c r="E668" s="14">
        <f t="shared" si="10"/>
        <v>46.4</v>
      </c>
    </row>
    <row r="669" spans="1:5" x14ac:dyDescent="0.3">
      <c r="A669" s="7">
        <v>1001397</v>
      </c>
      <c r="B669" s="7" t="s">
        <v>670</v>
      </c>
      <c r="C669" s="14">
        <v>220.008088235294</v>
      </c>
      <c r="D669" s="14">
        <v>0</v>
      </c>
      <c r="E669" s="14">
        <f t="shared" si="10"/>
        <v>220.008088235294</v>
      </c>
    </row>
    <row r="670" spans="1:5" x14ac:dyDescent="0.3">
      <c r="A670" s="7">
        <v>1001403</v>
      </c>
      <c r="B670" s="7" t="s">
        <v>671</v>
      </c>
      <c r="C670" s="14">
        <v>27865.295019345202</v>
      </c>
      <c r="D670" s="14">
        <v>8562.375</v>
      </c>
      <c r="E670" s="14">
        <f t="shared" si="10"/>
        <v>27865.295019345202</v>
      </c>
    </row>
    <row r="671" spans="1:5" x14ac:dyDescent="0.3">
      <c r="A671" s="7">
        <v>1001404</v>
      </c>
      <c r="B671" s="7" t="s">
        <v>672</v>
      </c>
      <c r="C671" s="14">
        <v>52033.773111904797</v>
      </c>
      <c r="D671" s="14">
        <v>0</v>
      </c>
      <c r="E671" s="14">
        <f t="shared" si="10"/>
        <v>52033.773111904797</v>
      </c>
    </row>
    <row r="672" spans="1:5" x14ac:dyDescent="0.3">
      <c r="A672" s="7">
        <v>1001406</v>
      </c>
      <c r="B672" s="7" t="s">
        <v>673</v>
      </c>
      <c r="C672" s="14">
        <v>1681.5</v>
      </c>
      <c r="D672" s="14">
        <v>0</v>
      </c>
      <c r="E672" s="14">
        <f t="shared" si="10"/>
        <v>1681.5</v>
      </c>
    </row>
    <row r="673" spans="1:5" x14ac:dyDescent="0.3">
      <c r="A673" s="7">
        <v>1001411</v>
      </c>
      <c r="B673" s="7" t="s">
        <v>674</v>
      </c>
      <c r="C673" s="14">
        <v>0</v>
      </c>
      <c r="D673" s="14">
        <v>0</v>
      </c>
      <c r="E673" s="14">
        <f t="shared" si="10"/>
        <v>0</v>
      </c>
    </row>
    <row r="674" spans="1:5" x14ac:dyDescent="0.3">
      <c r="A674" s="7">
        <v>1001413</v>
      </c>
      <c r="B674" s="7" t="s">
        <v>675</v>
      </c>
      <c r="C674" s="14">
        <v>4096.5614863334804</v>
      </c>
      <c r="D674" s="14">
        <v>0</v>
      </c>
      <c r="E674" s="14">
        <f t="shared" si="10"/>
        <v>4096.5614863334804</v>
      </c>
    </row>
    <row r="675" spans="1:5" x14ac:dyDescent="0.3">
      <c r="A675" s="7">
        <v>1001419</v>
      </c>
      <c r="B675" s="7" t="s">
        <v>676</v>
      </c>
      <c r="C675" s="14">
        <v>2471.2369205146701</v>
      </c>
      <c r="D675" s="14">
        <v>938.1</v>
      </c>
      <c r="E675" s="14">
        <f t="shared" si="10"/>
        <v>2471.2369205146701</v>
      </c>
    </row>
    <row r="676" spans="1:5" x14ac:dyDescent="0.3">
      <c r="A676" s="7">
        <v>1001420</v>
      </c>
      <c r="B676" s="7" t="s">
        <v>677</v>
      </c>
      <c r="C676" s="14">
        <v>772.61904761904782</v>
      </c>
      <c r="D676" s="14">
        <v>1170.5600000000002</v>
      </c>
      <c r="E676" s="14">
        <f t="shared" si="10"/>
        <v>1170.5600000000002</v>
      </c>
    </row>
    <row r="677" spans="1:5" x14ac:dyDescent="0.3">
      <c r="A677" s="7">
        <v>1001422</v>
      </c>
      <c r="B677" s="7" t="s">
        <v>678</v>
      </c>
      <c r="C677" s="14">
        <v>10889.51081632653</v>
      </c>
      <c r="D677" s="14">
        <v>0</v>
      </c>
      <c r="E677" s="14">
        <f t="shared" si="10"/>
        <v>10889.51081632653</v>
      </c>
    </row>
    <row r="678" spans="1:5" x14ac:dyDescent="0.3">
      <c r="A678" s="7">
        <v>1001423</v>
      </c>
      <c r="B678" s="7" t="s">
        <v>679</v>
      </c>
      <c r="C678" s="14">
        <v>2966.5891532805454</v>
      </c>
      <c r="D678" s="14">
        <v>2966.59</v>
      </c>
      <c r="E678" s="14">
        <f t="shared" si="10"/>
        <v>2966.59</v>
      </c>
    </row>
    <row r="679" spans="1:5" x14ac:dyDescent="0.3">
      <c r="A679" s="7">
        <v>1001425</v>
      </c>
      <c r="B679" s="7" t="s">
        <v>680</v>
      </c>
      <c r="C679" s="14">
        <v>990.02</v>
      </c>
      <c r="D679" s="14">
        <v>0</v>
      </c>
      <c r="E679" s="14">
        <f t="shared" si="10"/>
        <v>990.02</v>
      </c>
    </row>
    <row r="680" spans="1:5" x14ac:dyDescent="0.3">
      <c r="A680" s="7">
        <v>1001430</v>
      </c>
      <c r="B680" s="7" t="s">
        <v>681</v>
      </c>
      <c r="C680" s="14">
        <v>880.54588462205515</v>
      </c>
      <c r="D680" s="14">
        <v>829.7667132867133</v>
      </c>
      <c r="E680" s="14">
        <f t="shared" si="10"/>
        <v>880.54588462205515</v>
      </c>
    </row>
    <row r="681" spans="1:5" x14ac:dyDescent="0.3">
      <c r="A681" s="7">
        <v>1001431</v>
      </c>
      <c r="B681" s="7" t="s">
        <v>682</v>
      </c>
      <c r="C681" s="14">
        <v>378.15999999999997</v>
      </c>
      <c r="D681" s="14">
        <v>378.16</v>
      </c>
      <c r="E681" s="14">
        <f t="shared" si="10"/>
        <v>378.16</v>
      </c>
    </row>
    <row r="682" spans="1:5" x14ac:dyDescent="0.3">
      <c r="A682" s="7">
        <v>1001438</v>
      </c>
      <c r="B682" s="7" t="s">
        <v>683</v>
      </c>
      <c r="C682" s="14">
        <v>0</v>
      </c>
      <c r="D682" s="14">
        <v>0</v>
      </c>
      <c r="E682" s="14">
        <f t="shared" si="10"/>
        <v>0</v>
      </c>
    </row>
    <row r="683" spans="1:5" x14ac:dyDescent="0.3">
      <c r="A683" s="7">
        <v>1001443</v>
      </c>
      <c r="B683" s="7" t="s">
        <v>684</v>
      </c>
      <c r="C683" s="14">
        <v>9150.6730985686409</v>
      </c>
      <c r="D683" s="14">
        <v>12367.672272727272</v>
      </c>
      <c r="E683" s="14">
        <f t="shared" si="10"/>
        <v>12367.672272727272</v>
      </c>
    </row>
    <row r="684" spans="1:5" x14ac:dyDescent="0.3">
      <c r="A684" s="7">
        <v>1001445</v>
      </c>
      <c r="B684" s="7" t="s">
        <v>685</v>
      </c>
      <c r="C684" s="14">
        <v>17412.007830506634</v>
      </c>
      <c r="D684" s="14">
        <v>21590.114761904762</v>
      </c>
      <c r="E684" s="14">
        <f t="shared" si="10"/>
        <v>21590.114761904762</v>
      </c>
    </row>
    <row r="685" spans="1:5" x14ac:dyDescent="0.3">
      <c r="A685" s="7">
        <v>1001446</v>
      </c>
      <c r="B685" s="7" t="s">
        <v>686</v>
      </c>
      <c r="C685" s="14">
        <v>18968.5</v>
      </c>
      <c r="D685" s="14">
        <v>0</v>
      </c>
      <c r="E685" s="14">
        <f t="shared" si="10"/>
        <v>18968.5</v>
      </c>
    </row>
    <row r="686" spans="1:5" x14ac:dyDescent="0.3">
      <c r="A686" s="7">
        <v>1001447</v>
      </c>
      <c r="B686" s="7" t="s">
        <v>687</v>
      </c>
      <c r="C686" s="14">
        <v>4289.4475000000002</v>
      </c>
      <c r="D686" s="14">
        <v>0</v>
      </c>
      <c r="E686" s="14">
        <f t="shared" si="10"/>
        <v>4289.4475000000002</v>
      </c>
    </row>
    <row r="687" spans="1:5" x14ac:dyDescent="0.3">
      <c r="A687" s="7">
        <v>1001451</v>
      </c>
      <c r="B687" s="7" t="s">
        <v>688</v>
      </c>
      <c r="C687" s="14">
        <v>800.00852272727298</v>
      </c>
      <c r="D687" s="14">
        <v>0</v>
      </c>
      <c r="E687" s="14">
        <f t="shared" si="10"/>
        <v>800.00852272727298</v>
      </c>
    </row>
    <row r="688" spans="1:5" x14ac:dyDescent="0.3">
      <c r="A688" s="7">
        <v>1001452</v>
      </c>
      <c r="B688" s="7" t="s">
        <v>689</v>
      </c>
      <c r="C688" s="14">
        <v>1883.84</v>
      </c>
      <c r="D688" s="14">
        <v>0</v>
      </c>
      <c r="E688" s="14">
        <f t="shared" si="10"/>
        <v>1883.84</v>
      </c>
    </row>
    <row r="689" spans="1:5" x14ac:dyDescent="0.3">
      <c r="A689" s="7">
        <v>1001454</v>
      </c>
      <c r="B689" s="7" t="s">
        <v>690</v>
      </c>
      <c r="C689" s="14">
        <v>363.38</v>
      </c>
      <c r="D689" s="14">
        <v>0</v>
      </c>
      <c r="E689" s="14">
        <f t="shared" si="10"/>
        <v>363.38</v>
      </c>
    </row>
    <row r="690" spans="1:5" x14ac:dyDescent="0.3">
      <c r="A690" s="7">
        <v>1001457</v>
      </c>
      <c r="B690" s="7" t="s">
        <v>691</v>
      </c>
      <c r="C690" s="14">
        <v>14117.25</v>
      </c>
      <c r="D690" s="14">
        <v>0</v>
      </c>
      <c r="E690" s="14">
        <f t="shared" si="10"/>
        <v>14117.25</v>
      </c>
    </row>
    <row r="691" spans="1:5" x14ac:dyDescent="0.3">
      <c r="A691" s="7">
        <v>1001458</v>
      </c>
      <c r="B691" s="7" t="s">
        <v>692</v>
      </c>
      <c r="C691" s="14">
        <v>213.44</v>
      </c>
      <c r="D691" s="14">
        <v>213.44</v>
      </c>
      <c r="E691" s="14">
        <f t="shared" si="10"/>
        <v>213.44</v>
      </c>
    </row>
    <row r="692" spans="1:5" x14ac:dyDescent="0.3">
      <c r="A692" s="7">
        <v>1001459</v>
      </c>
      <c r="B692" s="7" t="s">
        <v>693</v>
      </c>
      <c r="C692" s="14">
        <v>300.68161363636352</v>
      </c>
      <c r="D692" s="14">
        <v>0</v>
      </c>
      <c r="E692" s="14">
        <f t="shared" si="10"/>
        <v>300.68161363636352</v>
      </c>
    </row>
    <row r="693" spans="1:5" x14ac:dyDescent="0.3">
      <c r="A693" s="7">
        <v>1001461</v>
      </c>
      <c r="B693" s="7" t="s">
        <v>694</v>
      </c>
      <c r="C693" s="14">
        <v>56028</v>
      </c>
      <c r="D693" s="14">
        <v>0</v>
      </c>
      <c r="E693" s="14">
        <f t="shared" si="10"/>
        <v>56028</v>
      </c>
    </row>
    <row r="694" spans="1:5" x14ac:dyDescent="0.3">
      <c r="A694" s="7">
        <v>1001462</v>
      </c>
      <c r="B694" s="7" t="s">
        <v>695</v>
      </c>
      <c r="C694" s="14">
        <v>0</v>
      </c>
      <c r="D694" s="14">
        <v>82836</v>
      </c>
      <c r="E694" s="14">
        <f t="shared" si="10"/>
        <v>82836</v>
      </c>
    </row>
    <row r="695" spans="1:5" x14ac:dyDescent="0.3">
      <c r="A695" s="7">
        <v>1001465</v>
      </c>
      <c r="B695" s="7" t="s">
        <v>696</v>
      </c>
      <c r="C695" s="14">
        <v>52.121667893566467</v>
      </c>
      <c r="D695" s="14">
        <v>64.176730769230772</v>
      </c>
      <c r="E695" s="14">
        <f t="shared" si="10"/>
        <v>64.176730769230772</v>
      </c>
    </row>
    <row r="696" spans="1:5" x14ac:dyDescent="0.3">
      <c r="A696" s="7">
        <v>1001480</v>
      </c>
      <c r="B696" s="7" t="s">
        <v>697</v>
      </c>
      <c r="C696" s="14">
        <v>139.24</v>
      </c>
      <c r="D696" s="14">
        <v>0</v>
      </c>
      <c r="E696" s="14">
        <f t="shared" si="10"/>
        <v>139.24</v>
      </c>
    </row>
    <row r="697" spans="1:5" x14ac:dyDescent="0.3">
      <c r="A697" s="7">
        <v>1001481</v>
      </c>
      <c r="B697" s="7" t="s">
        <v>698</v>
      </c>
      <c r="C697" s="14">
        <v>1844.4</v>
      </c>
      <c r="D697" s="14">
        <v>0</v>
      </c>
      <c r="E697" s="14">
        <f t="shared" si="10"/>
        <v>1844.4</v>
      </c>
    </row>
    <row r="698" spans="1:5" x14ac:dyDescent="0.3">
      <c r="A698" s="7">
        <v>1001482</v>
      </c>
      <c r="B698" s="7" t="s">
        <v>699</v>
      </c>
      <c r="C698" s="14">
        <v>232</v>
      </c>
      <c r="D698" s="14">
        <v>0</v>
      </c>
      <c r="E698" s="14">
        <f t="shared" si="10"/>
        <v>232</v>
      </c>
    </row>
    <row r="699" spans="1:5" x14ac:dyDescent="0.3">
      <c r="A699" s="7">
        <v>1001483</v>
      </c>
      <c r="B699" s="7" t="s">
        <v>700</v>
      </c>
      <c r="C699" s="14">
        <v>0</v>
      </c>
      <c r="D699" s="14">
        <v>0</v>
      </c>
      <c r="E699" s="14">
        <f t="shared" si="10"/>
        <v>0</v>
      </c>
    </row>
    <row r="700" spans="1:5" x14ac:dyDescent="0.3">
      <c r="A700" s="7">
        <v>1001484</v>
      </c>
      <c r="B700" s="7" t="s">
        <v>701</v>
      </c>
      <c r="C700" s="14">
        <v>1268.5</v>
      </c>
      <c r="D700" s="14">
        <v>0</v>
      </c>
      <c r="E700" s="14">
        <f t="shared" si="10"/>
        <v>1268.5</v>
      </c>
    </row>
    <row r="701" spans="1:5" x14ac:dyDescent="0.3">
      <c r="A701" s="7">
        <v>1001485</v>
      </c>
      <c r="B701" s="7" t="s">
        <v>702</v>
      </c>
      <c r="C701" s="14">
        <v>247.8</v>
      </c>
      <c r="D701" s="14">
        <v>0</v>
      </c>
      <c r="E701" s="14">
        <f t="shared" si="10"/>
        <v>247.8</v>
      </c>
    </row>
    <row r="702" spans="1:5" x14ac:dyDescent="0.3">
      <c r="A702" s="7">
        <v>1001486</v>
      </c>
      <c r="B702" s="7" t="s">
        <v>703</v>
      </c>
      <c r="C702" s="14">
        <v>19163.2</v>
      </c>
      <c r="D702" s="14">
        <v>0</v>
      </c>
      <c r="E702" s="14">
        <f t="shared" si="10"/>
        <v>19163.2</v>
      </c>
    </row>
    <row r="703" spans="1:5" x14ac:dyDescent="0.3">
      <c r="A703" s="7">
        <v>1001491</v>
      </c>
      <c r="B703" s="7" t="s">
        <v>704</v>
      </c>
      <c r="C703" s="14">
        <v>1183.2</v>
      </c>
      <c r="D703" s="14">
        <v>0</v>
      </c>
      <c r="E703" s="14">
        <f t="shared" si="10"/>
        <v>1183.2</v>
      </c>
    </row>
    <row r="704" spans="1:5" x14ac:dyDescent="0.3">
      <c r="A704" s="7">
        <v>1001499</v>
      </c>
      <c r="B704" s="7" t="s">
        <v>705</v>
      </c>
      <c r="C704" s="14">
        <v>145</v>
      </c>
      <c r="D704" s="14">
        <v>0</v>
      </c>
      <c r="E704" s="14">
        <f t="shared" si="10"/>
        <v>145</v>
      </c>
    </row>
    <row r="705" spans="1:5" x14ac:dyDescent="0.3">
      <c r="A705" s="7">
        <v>1001501</v>
      </c>
      <c r="B705" s="7" t="s">
        <v>706</v>
      </c>
      <c r="C705" s="14">
        <v>177</v>
      </c>
      <c r="D705" s="14">
        <v>0</v>
      </c>
      <c r="E705" s="14">
        <f t="shared" si="10"/>
        <v>177</v>
      </c>
    </row>
    <row r="706" spans="1:5" x14ac:dyDescent="0.3">
      <c r="A706" s="7">
        <v>1001503</v>
      </c>
      <c r="B706" s="7" t="s">
        <v>707</v>
      </c>
      <c r="C706" s="14">
        <v>213.84</v>
      </c>
      <c r="D706" s="14">
        <v>0</v>
      </c>
      <c r="E706" s="14">
        <f t="shared" si="10"/>
        <v>213.84</v>
      </c>
    </row>
    <row r="707" spans="1:5" x14ac:dyDescent="0.3">
      <c r="A707" s="7">
        <v>1001504</v>
      </c>
      <c r="B707" s="7" t="s">
        <v>708</v>
      </c>
      <c r="C707" s="14">
        <v>66.866666666666703</v>
      </c>
      <c r="D707" s="14">
        <v>0</v>
      </c>
      <c r="E707" s="14">
        <f t="shared" ref="E707:E770" si="11">+MAX(C707, D707)</f>
        <v>66.866666666666703</v>
      </c>
    </row>
    <row r="708" spans="1:5" x14ac:dyDescent="0.3">
      <c r="A708" s="7">
        <v>1001505</v>
      </c>
      <c r="B708" s="7" t="s">
        <v>709</v>
      </c>
      <c r="C708" s="14">
        <v>394.4</v>
      </c>
      <c r="D708" s="14">
        <v>0</v>
      </c>
      <c r="E708" s="14">
        <f t="shared" si="11"/>
        <v>394.4</v>
      </c>
    </row>
    <row r="709" spans="1:5" x14ac:dyDescent="0.3">
      <c r="A709" s="7">
        <v>1001506</v>
      </c>
      <c r="B709" s="7" t="s">
        <v>710</v>
      </c>
      <c r="C709" s="14">
        <v>3042.9205168887047</v>
      </c>
      <c r="D709" s="14">
        <v>4017.4279310344828</v>
      </c>
      <c r="E709" s="14">
        <f t="shared" si="11"/>
        <v>4017.4279310344828</v>
      </c>
    </row>
    <row r="710" spans="1:5" x14ac:dyDescent="0.3">
      <c r="A710" s="7">
        <v>1001507</v>
      </c>
      <c r="B710" s="7" t="s">
        <v>711</v>
      </c>
      <c r="C710" s="14">
        <v>616.69206896551702</v>
      </c>
      <c r="D710" s="14">
        <v>0</v>
      </c>
      <c r="E710" s="14">
        <f t="shared" si="11"/>
        <v>616.69206896551702</v>
      </c>
    </row>
    <row r="711" spans="1:5" x14ac:dyDescent="0.3">
      <c r="A711" s="7">
        <v>1001508</v>
      </c>
      <c r="B711" s="7" t="s">
        <v>712</v>
      </c>
      <c r="C711" s="14">
        <v>920.4</v>
      </c>
      <c r="D711" s="14">
        <v>0</v>
      </c>
      <c r="E711" s="14">
        <f t="shared" si="11"/>
        <v>920.4</v>
      </c>
    </row>
    <row r="712" spans="1:5" x14ac:dyDescent="0.3">
      <c r="A712" s="7">
        <v>1001509</v>
      </c>
      <c r="B712" s="7" t="s">
        <v>713</v>
      </c>
      <c r="C712" s="14">
        <v>0</v>
      </c>
      <c r="D712" s="14">
        <v>0</v>
      </c>
      <c r="E712" s="14">
        <f t="shared" si="11"/>
        <v>0</v>
      </c>
    </row>
    <row r="713" spans="1:5" x14ac:dyDescent="0.3">
      <c r="A713" s="7">
        <v>1001511</v>
      </c>
      <c r="B713" s="7" t="s">
        <v>714</v>
      </c>
      <c r="C713" s="14">
        <v>1809.4288095238101</v>
      </c>
      <c r="D713" s="14">
        <v>0</v>
      </c>
      <c r="E713" s="14">
        <f t="shared" si="11"/>
        <v>1809.4288095238101</v>
      </c>
    </row>
    <row r="714" spans="1:5" x14ac:dyDescent="0.3">
      <c r="A714" s="7">
        <v>1001512</v>
      </c>
      <c r="B714" s="7" t="s">
        <v>715</v>
      </c>
      <c r="C714" s="14">
        <v>2241.8815454545502</v>
      </c>
      <c r="D714" s="14">
        <v>0</v>
      </c>
      <c r="E714" s="14">
        <f t="shared" si="11"/>
        <v>2241.8815454545502</v>
      </c>
    </row>
    <row r="715" spans="1:5" x14ac:dyDescent="0.3">
      <c r="A715" s="7">
        <v>1001513</v>
      </c>
      <c r="B715" s="7" t="s">
        <v>716</v>
      </c>
      <c r="C715" s="14">
        <v>2432.3174957483002</v>
      </c>
      <c r="D715" s="14">
        <v>0</v>
      </c>
      <c r="E715" s="14">
        <f t="shared" si="11"/>
        <v>2432.3174957483002</v>
      </c>
    </row>
    <row r="716" spans="1:5" x14ac:dyDescent="0.3">
      <c r="A716" s="7">
        <v>1001514</v>
      </c>
      <c r="B716" s="7" t="s">
        <v>717</v>
      </c>
      <c r="C716" s="14">
        <v>800.4</v>
      </c>
      <c r="D716" s="14">
        <v>0</v>
      </c>
      <c r="E716" s="14">
        <f t="shared" si="11"/>
        <v>800.4</v>
      </c>
    </row>
    <row r="717" spans="1:5" x14ac:dyDescent="0.3">
      <c r="A717" s="7">
        <v>1001516</v>
      </c>
      <c r="B717" s="7" t="s">
        <v>718</v>
      </c>
      <c r="C717" s="14">
        <v>730.8</v>
      </c>
      <c r="D717" s="14">
        <v>0</v>
      </c>
      <c r="E717" s="14">
        <f t="shared" si="11"/>
        <v>730.8</v>
      </c>
    </row>
    <row r="718" spans="1:5" x14ac:dyDescent="0.3">
      <c r="A718" s="7">
        <v>1001517</v>
      </c>
      <c r="B718" s="7" t="s">
        <v>719</v>
      </c>
      <c r="C718" s="14">
        <v>881.6</v>
      </c>
      <c r="D718" s="14">
        <v>0</v>
      </c>
      <c r="E718" s="14">
        <f t="shared" si="11"/>
        <v>881.6</v>
      </c>
    </row>
    <row r="719" spans="1:5" x14ac:dyDescent="0.3">
      <c r="A719" s="7">
        <v>1001518</v>
      </c>
      <c r="B719" s="7" t="s">
        <v>720</v>
      </c>
      <c r="C719" s="14">
        <v>2145.9201373675801</v>
      </c>
      <c r="D719" s="14">
        <v>0</v>
      </c>
      <c r="E719" s="14">
        <f t="shared" si="11"/>
        <v>2145.9201373675801</v>
      </c>
    </row>
    <row r="720" spans="1:5" x14ac:dyDescent="0.3">
      <c r="A720" s="7">
        <v>1001523</v>
      </c>
      <c r="B720" s="7" t="s">
        <v>721</v>
      </c>
      <c r="C720" s="14">
        <v>6726</v>
      </c>
      <c r="D720" s="14">
        <v>6136</v>
      </c>
      <c r="E720" s="14">
        <f t="shared" si="11"/>
        <v>6726</v>
      </c>
    </row>
    <row r="721" spans="1:5" x14ac:dyDescent="0.3">
      <c r="A721" s="7">
        <v>1001524</v>
      </c>
      <c r="B721" s="7" t="s">
        <v>722</v>
      </c>
      <c r="C721" s="14">
        <v>3426.9751777777801</v>
      </c>
      <c r="D721" s="14">
        <v>0</v>
      </c>
      <c r="E721" s="14">
        <f t="shared" si="11"/>
        <v>3426.9751777777801</v>
      </c>
    </row>
    <row r="722" spans="1:5" x14ac:dyDescent="0.3">
      <c r="A722" s="7">
        <v>1001526</v>
      </c>
      <c r="B722" s="7" t="s">
        <v>723</v>
      </c>
      <c r="C722" s="14">
        <v>2342.9326666666698</v>
      </c>
      <c r="D722" s="14">
        <v>0</v>
      </c>
      <c r="E722" s="14">
        <f t="shared" si="11"/>
        <v>2342.9326666666698</v>
      </c>
    </row>
    <row r="723" spans="1:5" x14ac:dyDescent="0.3">
      <c r="A723" s="7">
        <v>1001527</v>
      </c>
      <c r="B723" s="7" t="s">
        <v>724</v>
      </c>
      <c r="C723" s="14">
        <v>1794.1386155555599</v>
      </c>
      <c r="D723" s="14">
        <v>0</v>
      </c>
      <c r="E723" s="14">
        <f t="shared" si="11"/>
        <v>1794.1386155555599</v>
      </c>
    </row>
    <row r="724" spans="1:5" x14ac:dyDescent="0.3">
      <c r="A724" s="7">
        <v>1001528</v>
      </c>
      <c r="B724" s="7" t="s">
        <v>725</v>
      </c>
      <c r="C724" s="14">
        <v>2342.9288571428601</v>
      </c>
      <c r="D724" s="14">
        <v>0</v>
      </c>
      <c r="E724" s="14">
        <f t="shared" si="11"/>
        <v>2342.9288571428601</v>
      </c>
    </row>
    <row r="725" spans="1:5" x14ac:dyDescent="0.3">
      <c r="A725" s="7">
        <v>1001529</v>
      </c>
      <c r="B725" s="7" t="s">
        <v>726</v>
      </c>
      <c r="C725" s="14">
        <v>2126.33559254183</v>
      </c>
      <c r="D725" s="14">
        <v>0</v>
      </c>
      <c r="E725" s="14">
        <f t="shared" si="11"/>
        <v>2126.33559254183</v>
      </c>
    </row>
    <row r="726" spans="1:5" x14ac:dyDescent="0.3">
      <c r="A726" s="7">
        <v>1001531</v>
      </c>
      <c r="B726" s="7" t="s">
        <v>727</v>
      </c>
      <c r="C726" s="14">
        <v>282.06</v>
      </c>
      <c r="D726" s="14">
        <v>282.06</v>
      </c>
      <c r="E726" s="14">
        <f t="shared" si="11"/>
        <v>282.06</v>
      </c>
    </row>
    <row r="727" spans="1:5" x14ac:dyDescent="0.3">
      <c r="A727" s="7">
        <v>1001536</v>
      </c>
      <c r="B727" s="7" t="s">
        <v>728</v>
      </c>
      <c r="C727" s="14">
        <v>846.8</v>
      </c>
      <c r="D727" s="14">
        <v>0</v>
      </c>
      <c r="E727" s="14">
        <f t="shared" si="11"/>
        <v>846.8</v>
      </c>
    </row>
    <row r="728" spans="1:5" x14ac:dyDescent="0.3">
      <c r="A728" s="7">
        <v>1001537</v>
      </c>
      <c r="B728" s="7" t="s">
        <v>729</v>
      </c>
      <c r="C728" s="14">
        <v>173.34</v>
      </c>
      <c r="D728" s="14">
        <v>173.34</v>
      </c>
      <c r="E728" s="14">
        <f t="shared" si="11"/>
        <v>173.34</v>
      </c>
    </row>
    <row r="729" spans="1:5" x14ac:dyDescent="0.3">
      <c r="A729" s="7">
        <v>1001543</v>
      </c>
      <c r="B729" s="7" t="s">
        <v>730</v>
      </c>
      <c r="C729" s="14">
        <v>126.9</v>
      </c>
      <c r="D729" s="14">
        <v>0</v>
      </c>
      <c r="E729" s="14">
        <f t="shared" si="11"/>
        <v>126.9</v>
      </c>
    </row>
    <row r="730" spans="1:5" x14ac:dyDescent="0.3">
      <c r="A730" s="7">
        <v>1001544</v>
      </c>
      <c r="B730" s="7" t="s">
        <v>731</v>
      </c>
      <c r="C730" s="14">
        <v>256.08951807972392</v>
      </c>
      <c r="D730" s="14">
        <v>365.8</v>
      </c>
      <c r="E730" s="14">
        <f t="shared" si="11"/>
        <v>365.8</v>
      </c>
    </row>
    <row r="731" spans="1:5" x14ac:dyDescent="0.3">
      <c r="A731" s="7">
        <v>1001546</v>
      </c>
      <c r="B731" s="7" t="s">
        <v>732</v>
      </c>
      <c r="C731" s="14">
        <v>18073.761553362572</v>
      </c>
      <c r="D731" s="14">
        <v>18073.761578947368</v>
      </c>
      <c r="E731" s="14">
        <f t="shared" si="11"/>
        <v>18073.761578947368</v>
      </c>
    </row>
    <row r="732" spans="1:5" x14ac:dyDescent="0.3">
      <c r="A732" s="7">
        <v>1001552</v>
      </c>
      <c r="B732" s="7" t="s">
        <v>733</v>
      </c>
      <c r="C732" s="14">
        <v>7177.5</v>
      </c>
      <c r="D732" s="14">
        <v>0</v>
      </c>
      <c r="E732" s="14">
        <f t="shared" si="11"/>
        <v>7177.5</v>
      </c>
    </row>
    <row r="733" spans="1:5" x14ac:dyDescent="0.3">
      <c r="A733" s="7">
        <v>1001554</v>
      </c>
      <c r="B733" s="7" t="s">
        <v>734</v>
      </c>
      <c r="C733" s="14">
        <v>3986.7469206349201</v>
      </c>
      <c r="D733" s="14">
        <v>0</v>
      </c>
      <c r="E733" s="14">
        <f t="shared" si="11"/>
        <v>3986.7469206349201</v>
      </c>
    </row>
    <row r="734" spans="1:5" x14ac:dyDescent="0.3">
      <c r="A734" s="7">
        <v>1001556</v>
      </c>
      <c r="B734" s="7" t="s">
        <v>735</v>
      </c>
      <c r="C734" s="14">
        <v>268.998260869565</v>
      </c>
      <c r="D734" s="14">
        <v>0</v>
      </c>
      <c r="E734" s="14">
        <f t="shared" si="11"/>
        <v>268.998260869565</v>
      </c>
    </row>
    <row r="735" spans="1:5" x14ac:dyDescent="0.3">
      <c r="A735" s="7">
        <v>1001558</v>
      </c>
      <c r="B735" s="7" t="s">
        <v>736</v>
      </c>
      <c r="C735" s="14">
        <v>145</v>
      </c>
      <c r="D735" s="14">
        <v>0</v>
      </c>
      <c r="E735" s="14">
        <f t="shared" si="11"/>
        <v>145</v>
      </c>
    </row>
    <row r="736" spans="1:5" x14ac:dyDescent="0.3">
      <c r="A736" s="7">
        <v>1001562</v>
      </c>
      <c r="B736" s="7" t="s">
        <v>737</v>
      </c>
      <c r="C736" s="14">
        <v>0</v>
      </c>
      <c r="D736" s="14">
        <v>0</v>
      </c>
      <c r="E736" s="14">
        <f t="shared" si="11"/>
        <v>0</v>
      </c>
    </row>
    <row r="737" spans="1:5" x14ac:dyDescent="0.3">
      <c r="A737" s="7">
        <v>1001563</v>
      </c>
      <c r="B737" s="7" t="s">
        <v>738</v>
      </c>
      <c r="C737" s="14">
        <v>4003.2206352182552</v>
      </c>
      <c r="D737" s="14">
        <v>4367.1500000000005</v>
      </c>
      <c r="E737" s="14">
        <f t="shared" si="11"/>
        <v>4367.1500000000005</v>
      </c>
    </row>
    <row r="738" spans="1:5" x14ac:dyDescent="0.3">
      <c r="A738" s="7">
        <v>1001566</v>
      </c>
      <c r="B738" s="7" t="s">
        <v>739</v>
      </c>
      <c r="C738" s="14">
        <v>494.1</v>
      </c>
      <c r="D738" s="14">
        <v>0</v>
      </c>
      <c r="E738" s="14">
        <f t="shared" si="11"/>
        <v>494.1</v>
      </c>
    </row>
    <row r="739" spans="1:5" x14ac:dyDescent="0.3">
      <c r="A739" s="7">
        <v>1001567</v>
      </c>
      <c r="B739" s="7" t="s">
        <v>740</v>
      </c>
      <c r="C739" s="14">
        <v>628.85454545454502</v>
      </c>
      <c r="D739" s="14">
        <v>0</v>
      </c>
      <c r="E739" s="14">
        <f t="shared" si="11"/>
        <v>628.85454545454502</v>
      </c>
    </row>
    <row r="740" spans="1:5" x14ac:dyDescent="0.3">
      <c r="A740" s="7">
        <v>1001570</v>
      </c>
      <c r="B740" s="7" t="s">
        <v>741</v>
      </c>
      <c r="C740" s="14">
        <v>121.8</v>
      </c>
      <c r="D740" s="14">
        <v>0</v>
      </c>
      <c r="E740" s="14">
        <f t="shared" si="11"/>
        <v>121.8</v>
      </c>
    </row>
    <row r="741" spans="1:5" x14ac:dyDescent="0.3">
      <c r="A741" s="7">
        <v>1001571</v>
      </c>
      <c r="B741" s="7" t="s">
        <v>742</v>
      </c>
      <c r="C741" s="14">
        <v>205.50611702127651</v>
      </c>
      <c r="D741" s="14">
        <v>209.97</v>
      </c>
      <c r="E741" s="14">
        <f t="shared" si="11"/>
        <v>209.97</v>
      </c>
    </row>
    <row r="742" spans="1:5" x14ac:dyDescent="0.3">
      <c r="A742" s="7">
        <v>1001572</v>
      </c>
      <c r="B742" s="7" t="s">
        <v>743</v>
      </c>
      <c r="C742" s="14">
        <v>266.8</v>
      </c>
      <c r="D742" s="14">
        <v>0</v>
      </c>
      <c r="E742" s="14">
        <f t="shared" si="11"/>
        <v>266.8</v>
      </c>
    </row>
    <row r="743" spans="1:5" x14ac:dyDescent="0.3">
      <c r="A743" s="7">
        <v>1001573</v>
      </c>
      <c r="B743" s="7" t="s">
        <v>744</v>
      </c>
      <c r="C743" s="14">
        <v>221.91304347826099</v>
      </c>
      <c r="D743" s="14">
        <v>0</v>
      </c>
      <c r="E743" s="14">
        <f t="shared" si="11"/>
        <v>221.91304347826099</v>
      </c>
    </row>
    <row r="744" spans="1:5" x14ac:dyDescent="0.3">
      <c r="A744" s="7">
        <v>1001574</v>
      </c>
      <c r="B744" s="7" t="s">
        <v>745</v>
      </c>
      <c r="C744" s="14">
        <v>3000</v>
      </c>
      <c r="D744" s="14">
        <v>0</v>
      </c>
      <c r="E744" s="14">
        <f t="shared" si="11"/>
        <v>3000</v>
      </c>
    </row>
    <row r="745" spans="1:5" x14ac:dyDescent="0.3">
      <c r="A745" s="7">
        <v>1001575</v>
      </c>
      <c r="B745" s="7" t="s">
        <v>746</v>
      </c>
      <c r="C745" s="14">
        <v>122.96</v>
      </c>
      <c r="D745" s="14">
        <v>0</v>
      </c>
      <c r="E745" s="14">
        <f t="shared" si="11"/>
        <v>122.96</v>
      </c>
    </row>
    <row r="746" spans="1:5" x14ac:dyDescent="0.3">
      <c r="A746" s="7">
        <v>1001576</v>
      </c>
      <c r="B746" s="7" t="s">
        <v>747</v>
      </c>
      <c r="C746" s="14">
        <v>0</v>
      </c>
      <c r="D746" s="14">
        <v>0</v>
      </c>
      <c r="E746" s="14">
        <f t="shared" si="11"/>
        <v>0</v>
      </c>
    </row>
    <row r="747" spans="1:5" x14ac:dyDescent="0.3">
      <c r="A747" s="7">
        <v>1001585</v>
      </c>
      <c r="B747" s="7" t="s">
        <v>748</v>
      </c>
      <c r="C747" s="14">
        <v>398.79030092592598</v>
      </c>
      <c r="D747" s="14">
        <v>0</v>
      </c>
      <c r="E747" s="14">
        <f t="shared" si="11"/>
        <v>398.79030092592598</v>
      </c>
    </row>
    <row r="748" spans="1:5" x14ac:dyDescent="0.3">
      <c r="A748" s="7">
        <v>1001586</v>
      </c>
      <c r="B748" s="7" t="s">
        <v>749</v>
      </c>
      <c r="C748" s="14">
        <v>309.31</v>
      </c>
      <c r="D748" s="14">
        <v>0</v>
      </c>
      <c r="E748" s="14">
        <f t="shared" si="11"/>
        <v>309.31</v>
      </c>
    </row>
    <row r="749" spans="1:5" x14ac:dyDescent="0.3">
      <c r="A749" s="7">
        <v>1001587</v>
      </c>
      <c r="B749" s="7" t="s">
        <v>750</v>
      </c>
      <c r="C749" s="14">
        <v>320.81333333333299</v>
      </c>
      <c r="D749" s="14">
        <v>0</v>
      </c>
      <c r="E749" s="14">
        <f t="shared" si="11"/>
        <v>320.81333333333299</v>
      </c>
    </row>
    <row r="750" spans="1:5" x14ac:dyDescent="0.3">
      <c r="A750" s="7">
        <v>1001588</v>
      </c>
      <c r="B750" s="7" t="s">
        <v>751</v>
      </c>
      <c r="C750" s="14">
        <v>2076.4</v>
      </c>
      <c r="D750" s="14">
        <v>0</v>
      </c>
      <c r="E750" s="14">
        <f t="shared" si="11"/>
        <v>2076.4</v>
      </c>
    </row>
    <row r="751" spans="1:5" x14ac:dyDescent="0.3">
      <c r="A751" s="7">
        <v>1001589</v>
      </c>
      <c r="B751" s="7" t="s">
        <v>752</v>
      </c>
      <c r="C751" s="14">
        <v>1003</v>
      </c>
      <c r="D751" s="14">
        <v>0</v>
      </c>
      <c r="E751" s="14">
        <f t="shared" si="11"/>
        <v>1003</v>
      </c>
    </row>
    <row r="752" spans="1:5" x14ac:dyDescent="0.3">
      <c r="A752" s="7">
        <v>1001590</v>
      </c>
      <c r="B752" s="7" t="s">
        <v>753</v>
      </c>
      <c r="C752" s="14">
        <v>423.32499999999999</v>
      </c>
      <c r="D752" s="14">
        <v>0</v>
      </c>
      <c r="E752" s="14">
        <f t="shared" si="11"/>
        <v>423.32499999999999</v>
      </c>
    </row>
    <row r="753" spans="1:5" x14ac:dyDescent="0.3">
      <c r="A753" s="7">
        <v>1001592</v>
      </c>
      <c r="B753" s="7" t="s">
        <v>754</v>
      </c>
      <c r="C753" s="14">
        <v>888.83999999999992</v>
      </c>
      <c r="D753" s="14">
        <v>888.83999999999992</v>
      </c>
      <c r="E753" s="14">
        <f t="shared" si="11"/>
        <v>888.83999999999992</v>
      </c>
    </row>
    <row r="754" spans="1:5" x14ac:dyDescent="0.3">
      <c r="A754" s="7">
        <v>1001593</v>
      </c>
      <c r="B754" s="7" t="s">
        <v>755</v>
      </c>
      <c r="C754" s="14">
        <v>136.88</v>
      </c>
      <c r="D754" s="14">
        <v>0</v>
      </c>
      <c r="E754" s="14">
        <f t="shared" si="11"/>
        <v>136.88</v>
      </c>
    </row>
    <row r="755" spans="1:5" x14ac:dyDescent="0.3">
      <c r="A755" s="7">
        <v>1001594</v>
      </c>
      <c r="B755" s="7" t="s">
        <v>756</v>
      </c>
      <c r="C755" s="14">
        <v>1125.2</v>
      </c>
      <c r="D755" s="14">
        <v>0</v>
      </c>
      <c r="E755" s="14">
        <f t="shared" si="11"/>
        <v>1125.2</v>
      </c>
    </row>
    <row r="756" spans="1:5" x14ac:dyDescent="0.3">
      <c r="A756" s="7">
        <v>1001598</v>
      </c>
      <c r="B756" s="7" t="s">
        <v>757</v>
      </c>
      <c r="C756" s="14">
        <v>10646.129000000001</v>
      </c>
      <c r="D756" s="14">
        <v>11449.657999999999</v>
      </c>
      <c r="E756" s="14">
        <f t="shared" si="11"/>
        <v>11449.657999999999</v>
      </c>
    </row>
    <row r="757" spans="1:5" x14ac:dyDescent="0.3">
      <c r="A757" s="7">
        <v>1001599</v>
      </c>
      <c r="B757" s="7" t="s">
        <v>758</v>
      </c>
      <c r="C757" s="14">
        <v>16152.559642857143</v>
      </c>
      <c r="D757" s="14">
        <v>16152.559583333334</v>
      </c>
      <c r="E757" s="14">
        <f t="shared" si="11"/>
        <v>16152.559642857143</v>
      </c>
    </row>
    <row r="758" spans="1:5" x14ac:dyDescent="0.3">
      <c r="A758" s="7">
        <v>1001600</v>
      </c>
      <c r="B758" s="7" t="s">
        <v>759</v>
      </c>
      <c r="C758" s="14">
        <v>15819</v>
      </c>
      <c r="D758" s="14">
        <v>18762</v>
      </c>
      <c r="E758" s="14">
        <f t="shared" si="11"/>
        <v>18762</v>
      </c>
    </row>
    <row r="759" spans="1:5" x14ac:dyDescent="0.3">
      <c r="A759" s="7">
        <v>1001601</v>
      </c>
      <c r="B759" s="7" t="s">
        <v>760</v>
      </c>
      <c r="C759" s="14">
        <v>89.433333333333294</v>
      </c>
      <c r="D759" s="14">
        <v>0</v>
      </c>
      <c r="E759" s="14">
        <f t="shared" si="11"/>
        <v>89.433333333333294</v>
      </c>
    </row>
    <row r="760" spans="1:5" x14ac:dyDescent="0.3">
      <c r="A760" s="7">
        <v>1001606</v>
      </c>
      <c r="B760" s="7" t="s">
        <v>761</v>
      </c>
      <c r="C760" s="14">
        <v>2536.8490000000002</v>
      </c>
      <c r="D760" s="14">
        <v>0</v>
      </c>
      <c r="E760" s="14">
        <f t="shared" si="11"/>
        <v>2536.8490000000002</v>
      </c>
    </row>
    <row r="761" spans="1:5" x14ac:dyDescent="0.3">
      <c r="A761" s="7">
        <v>1001607</v>
      </c>
      <c r="B761" s="7" t="s">
        <v>762</v>
      </c>
      <c r="C761" s="14">
        <v>2939.386</v>
      </c>
      <c r="D761" s="14">
        <v>0</v>
      </c>
      <c r="E761" s="14">
        <f t="shared" si="11"/>
        <v>2939.386</v>
      </c>
    </row>
    <row r="762" spans="1:5" x14ac:dyDescent="0.3">
      <c r="A762" s="7">
        <v>1001609</v>
      </c>
      <c r="B762" s="7" t="s">
        <v>763</v>
      </c>
      <c r="C762" s="14">
        <v>350</v>
      </c>
      <c r="D762" s="14">
        <v>0</v>
      </c>
      <c r="E762" s="14">
        <f t="shared" si="11"/>
        <v>350</v>
      </c>
    </row>
    <row r="763" spans="1:5" x14ac:dyDescent="0.3">
      <c r="A763" s="7">
        <v>1001612</v>
      </c>
      <c r="B763" s="7" t="s">
        <v>764</v>
      </c>
      <c r="C763" s="14">
        <v>141.6</v>
      </c>
      <c r="D763" s="14">
        <v>0</v>
      </c>
      <c r="E763" s="14">
        <f t="shared" si="11"/>
        <v>141.6</v>
      </c>
    </row>
    <row r="764" spans="1:5" x14ac:dyDescent="0.3">
      <c r="A764" s="7">
        <v>1001620</v>
      </c>
      <c r="B764" s="7" t="s">
        <v>765</v>
      </c>
      <c r="C764" s="14">
        <v>767</v>
      </c>
      <c r="D764" s="14">
        <v>0</v>
      </c>
      <c r="E764" s="14">
        <f t="shared" si="11"/>
        <v>767</v>
      </c>
    </row>
    <row r="765" spans="1:5" x14ac:dyDescent="0.3">
      <c r="A765" s="7">
        <v>1001634</v>
      </c>
      <c r="B765" s="7" t="s">
        <v>766</v>
      </c>
      <c r="C765" s="14">
        <v>35662.699258370551</v>
      </c>
      <c r="D765" s="14">
        <v>59970.503823529405</v>
      </c>
      <c r="E765" s="14">
        <f t="shared" si="11"/>
        <v>59970.503823529405</v>
      </c>
    </row>
    <row r="766" spans="1:5" x14ac:dyDescent="0.3">
      <c r="A766" s="7">
        <v>1001637</v>
      </c>
      <c r="B766" s="7" t="s">
        <v>767</v>
      </c>
      <c r="C766" s="14">
        <v>8700</v>
      </c>
      <c r="D766" s="14">
        <v>0</v>
      </c>
      <c r="E766" s="14">
        <f t="shared" si="11"/>
        <v>8700</v>
      </c>
    </row>
    <row r="767" spans="1:5" x14ac:dyDescent="0.3">
      <c r="A767" s="7">
        <v>1001639</v>
      </c>
      <c r="B767" s="7" t="s">
        <v>768</v>
      </c>
      <c r="C767" s="14">
        <v>22626.7862916667</v>
      </c>
      <c r="D767" s="14">
        <v>0</v>
      </c>
      <c r="E767" s="14">
        <f t="shared" si="11"/>
        <v>22626.7862916667</v>
      </c>
    </row>
    <row r="768" spans="1:5" x14ac:dyDescent="0.3">
      <c r="A768" s="7">
        <v>1001651</v>
      </c>
      <c r="B768" s="7" t="s">
        <v>769</v>
      </c>
      <c r="C768" s="14">
        <v>24794.643553418799</v>
      </c>
      <c r="D768" s="14">
        <v>27027.11</v>
      </c>
      <c r="E768" s="14">
        <f t="shared" si="11"/>
        <v>27027.11</v>
      </c>
    </row>
    <row r="769" spans="1:5" x14ac:dyDescent="0.3">
      <c r="A769" s="7">
        <v>1001652</v>
      </c>
      <c r="B769" s="7" t="s">
        <v>770</v>
      </c>
      <c r="C769" s="14">
        <v>25871.6333752137</v>
      </c>
      <c r="D769" s="14">
        <v>0</v>
      </c>
      <c r="E769" s="14">
        <f t="shared" si="11"/>
        <v>25871.6333752137</v>
      </c>
    </row>
    <row r="770" spans="1:5" x14ac:dyDescent="0.3">
      <c r="A770" s="7">
        <v>1001653</v>
      </c>
      <c r="B770" s="7" t="s">
        <v>771</v>
      </c>
      <c r="C770" s="14">
        <v>24972.934493011893</v>
      </c>
      <c r="D770" s="14">
        <v>28328.744285714285</v>
      </c>
      <c r="E770" s="14">
        <f t="shared" si="11"/>
        <v>28328.744285714285</v>
      </c>
    </row>
    <row r="771" spans="1:5" x14ac:dyDescent="0.3">
      <c r="A771" s="7">
        <v>1001654</v>
      </c>
      <c r="B771" s="7" t="s">
        <v>772</v>
      </c>
      <c r="C771" s="14">
        <v>11594.567926015483</v>
      </c>
      <c r="D771" s="14">
        <v>10229.62619047619</v>
      </c>
      <c r="E771" s="14">
        <f t="shared" ref="E771:E834" si="12">+MAX(C771, D771)</f>
        <v>11594.567926015483</v>
      </c>
    </row>
    <row r="772" spans="1:5" x14ac:dyDescent="0.3">
      <c r="A772" s="7">
        <v>1001664</v>
      </c>
      <c r="B772" s="7" t="s">
        <v>773</v>
      </c>
      <c r="C772" s="14">
        <v>77676.497142857144</v>
      </c>
      <c r="D772" s="14">
        <v>90622.58</v>
      </c>
      <c r="E772" s="14">
        <f t="shared" si="12"/>
        <v>90622.58</v>
      </c>
    </row>
    <row r="773" spans="1:5" x14ac:dyDescent="0.3">
      <c r="A773" s="7">
        <v>1001670</v>
      </c>
      <c r="B773" s="7" t="s">
        <v>774</v>
      </c>
      <c r="C773" s="14">
        <v>1</v>
      </c>
      <c r="D773" s="14">
        <v>0</v>
      </c>
      <c r="E773" s="14">
        <f t="shared" si="12"/>
        <v>1</v>
      </c>
    </row>
    <row r="774" spans="1:5" x14ac:dyDescent="0.3">
      <c r="A774" s="7">
        <v>1001681</v>
      </c>
      <c r="B774" s="7" t="s">
        <v>775</v>
      </c>
      <c r="C774" s="14">
        <v>18953.118637556548</v>
      </c>
      <c r="D774" s="14">
        <v>0</v>
      </c>
      <c r="E774" s="14">
        <f t="shared" si="12"/>
        <v>18953.118637556548</v>
      </c>
    </row>
    <row r="775" spans="1:5" x14ac:dyDescent="0.3">
      <c r="A775" s="7">
        <v>1001682</v>
      </c>
      <c r="B775" s="7" t="s">
        <v>776</v>
      </c>
      <c r="C775" s="14">
        <v>4458.74053292181</v>
      </c>
      <c r="D775" s="14">
        <v>4714.0999999999995</v>
      </c>
      <c r="E775" s="14">
        <f t="shared" si="12"/>
        <v>4714.0999999999995</v>
      </c>
    </row>
    <row r="776" spans="1:5" x14ac:dyDescent="0.3">
      <c r="A776" s="7">
        <v>1001684</v>
      </c>
      <c r="B776" s="7" t="s">
        <v>777</v>
      </c>
      <c r="C776" s="14">
        <v>3196.7280000000001</v>
      </c>
      <c r="D776" s="14">
        <v>0</v>
      </c>
      <c r="E776" s="14">
        <f t="shared" si="12"/>
        <v>3196.7280000000001</v>
      </c>
    </row>
    <row r="777" spans="1:5" x14ac:dyDescent="0.3">
      <c r="A777" s="7">
        <v>1001687</v>
      </c>
      <c r="B777" s="7" t="s">
        <v>778</v>
      </c>
      <c r="C777" s="14">
        <v>590</v>
      </c>
      <c r="D777" s="14">
        <v>0</v>
      </c>
      <c r="E777" s="14">
        <f t="shared" si="12"/>
        <v>590</v>
      </c>
    </row>
    <row r="778" spans="1:5" x14ac:dyDescent="0.3">
      <c r="A778" s="7">
        <v>1001697</v>
      </c>
      <c r="B778" s="7" t="s">
        <v>779</v>
      </c>
      <c r="C778" s="14">
        <v>245067.25907894701</v>
      </c>
      <c r="D778" s="14">
        <v>0</v>
      </c>
      <c r="E778" s="14">
        <f t="shared" si="12"/>
        <v>245067.25907894701</v>
      </c>
    </row>
    <row r="779" spans="1:5" x14ac:dyDescent="0.3">
      <c r="A779" s="7">
        <v>1001702</v>
      </c>
      <c r="B779" s="7" t="s">
        <v>780</v>
      </c>
      <c r="C779" s="14">
        <v>12552.708124999999</v>
      </c>
      <c r="D779" s="14">
        <v>0</v>
      </c>
      <c r="E779" s="14">
        <f t="shared" si="12"/>
        <v>12552.708124999999</v>
      </c>
    </row>
    <row r="780" spans="1:5" x14ac:dyDescent="0.3">
      <c r="A780" s="7">
        <v>1001703</v>
      </c>
      <c r="B780" s="7" t="s">
        <v>781</v>
      </c>
      <c r="C780" s="14">
        <v>6558</v>
      </c>
      <c r="D780" s="14">
        <v>6558</v>
      </c>
      <c r="E780" s="14">
        <f t="shared" si="12"/>
        <v>6558</v>
      </c>
    </row>
    <row r="781" spans="1:5" x14ac:dyDescent="0.3">
      <c r="A781" s="7">
        <v>1001707</v>
      </c>
      <c r="B781" s="7" t="s">
        <v>782</v>
      </c>
      <c r="C781" s="14">
        <v>661.19999999999993</v>
      </c>
      <c r="D781" s="14">
        <v>661.19999999999993</v>
      </c>
      <c r="E781" s="14">
        <f t="shared" si="12"/>
        <v>661.19999999999993</v>
      </c>
    </row>
    <row r="782" spans="1:5" x14ac:dyDescent="0.3">
      <c r="A782" s="7">
        <v>1001708</v>
      </c>
      <c r="B782" s="7" t="s">
        <v>783</v>
      </c>
      <c r="C782" s="14">
        <v>672.76324312575002</v>
      </c>
      <c r="D782" s="14">
        <v>0</v>
      </c>
      <c r="E782" s="14">
        <f t="shared" si="12"/>
        <v>672.76324312575002</v>
      </c>
    </row>
    <row r="783" spans="1:5" x14ac:dyDescent="0.3">
      <c r="A783" s="7">
        <v>1001710</v>
      </c>
      <c r="B783" s="7" t="s">
        <v>784</v>
      </c>
      <c r="C783" s="14">
        <v>2.4312499999999999</v>
      </c>
      <c r="D783" s="14">
        <v>0</v>
      </c>
      <c r="E783" s="14">
        <f t="shared" si="12"/>
        <v>2.4312499999999999</v>
      </c>
    </row>
    <row r="784" spans="1:5" x14ac:dyDescent="0.3">
      <c r="A784" s="7">
        <v>1001711</v>
      </c>
      <c r="B784" s="7" t="s">
        <v>785</v>
      </c>
      <c r="C784" s="14">
        <v>63.026489316848142</v>
      </c>
      <c r="D784" s="14">
        <v>53.740017126953539</v>
      </c>
      <c r="E784" s="14">
        <f t="shared" si="12"/>
        <v>63.026489316848142</v>
      </c>
    </row>
    <row r="785" spans="1:5" x14ac:dyDescent="0.3">
      <c r="A785" s="7">
        <v>1001712</v>
      </c>
      <c r="B785" s="7" t="s">
        <v>786</v>
      </c>
      <c r="C785" s="14">
        <v>24.65</v>
      </c>
      <c r="D785" s="14">
        <v>0</v>
      </c>
      <c r="E785" s="14">
        <f t="shared" si="12"/>
        <v>24.65</v>
      </c>
    </row>
    <row r="786" spans="1:5" x14ac:dyDescent="0.3">
      <c r="A786" s="7">
        <v>1001713</v>
      </c>
      <c r="B786" s="7" t="s">
        <v>787</v>
      </c>
      <c r="C786" s="14">
        <v>345.49</v>
      </c>
      <c r="D786" s="14">
        <v>0</v>
      </c>
      <c r="E786" s="14">
        <f t="shared" si="12"/>
        <v>345.49</v>
      </c>
    </row>
    <row r="787" spans="1:5" x14ac:dyDescent="0.3">
      <c r="A787" s="7">
        <v>1001715</v>
      </c>
      <c r="B787" s="7" t="s">
        <v>788</v>
      </c>
      <c r="C787" s="14">
        <v>2073.4066666666699</v>
      </c>
      <c r="D787" s="14">
        <v>0</v>
      </c>
      <c r="E787" s="14">
        <f t="shared" si="12"/>
        <v>2073.4066666666699</v>
      </c>
    </row>
    <row r="788" spans="1:5" x14ac:dyDescent="0.3">
      <c r="A788" s="7">
        <v>1001717</v>
      </c>
      <c r="B788" s="7" t="s">
        <v>789</v>
      </c>
      <c r="C788" s="14">
        <v>384.75085454545456</v>
      </c>
      <c r="D788" s="14">
        <v>0</v>
      </c>
      <c r="E788" s="14">
        <f t="shared" si="12"/>
        <v>384.75085454545456</v>
      </c>
    </row>
    <row r="789" spans="1:5" x14ac:dyDescent="0.3">
      <c r="A789" s="7">
        <v>1001718</v>
      </c>
      <c r="B789" s="7" t="s">
        <v>790</v>
      </c>
      <c r="C789" s="14">
        <v>2027.4567460317501</v>
      </c>
      <c r="D789" s="14">
        <v>0</v>
      </c>
      <c r="E789" s="14">
        <f t="shared" si="12"/>
        <v>2027.4567460317501</v>
      </c>
    </row>
    <row r="790" spans="1:5" x14ac:dyDescent="0.3">
      <c r="A790" s="7">
        <v>1001719</v>
      </c>
      <c r="B790" s="7" t="s">
        <v>791</v>
      </c>
      <c r="C790" s="14">
        <v>1180.92857142857</v>
      </c>
      <c r="D790" s="14">
        <v>0</v>
      </c>
      <c r="E790" s="14">
        <f t="shared" si="12"/>
        <v>1180.92857142857</v>
      </c>
    </row>
    <row r="791" spans="1:5" x14ac:dyDescent="0.3">
      <c r="A791" s="7">
        <v>1001720</v>
      </c>
      <c r="B791" s="7" t="s">
        <v>792</v>
      </c>
      <c r="C791" s="14">
        <v>1110.9114736363399</v>
      </c>
      <c r="D791" s="14">
        <v>0</v>
      </c>
      <c r="E791" s="14">
        <f t="shared" si="12"/>
        <v>1110.9114736363399</v>
      </c>
    </row>
    <row r="792" spans="1:5" x14ac:dyDescent="0.3">
      <c r="A792" s="7">
        <v>1001722</v>
      </c>
      <c r="B792" s="7" t="s">
        <v>793</v>
      </c>
      <c r="C792" s="14">
        <v>1274.9721450685652</v>
      </c>
      <c r="D792" s="14">
        <v>0</v>
      </c>
      <c r="E792" s="14">
        <f t="shared" si="12"/>
        <v>1274.9721450685652</v>
      </c>
    </row>
    <row r="793" spans="1:5" x14ac:dyDescent="0.3">
      <c r="A793" s="7">
        <v>1001726</v>
      </c>
      <c r="B793" s="7" t="s">
        <v>794</v>
      </c>
      <c r="C793" s="14">
        <v>37.799999999999997</v>
      </c>
      <c r="D793" s="14">
        <v>0</v>
      </c>
      <c r="E793" s="14">
        <f t="shared" si="12"/>
        <v>37.799999999999997</v>
      </c>
    </row>
    <row r="794" spans="1:5" x14ac:dyDescent="0.3">
      <c r="A794" s="7">
        <v>1001727</v>
      </c>
      <c r="B794" s="7" t="s">
        <v>795</v>
      </c>
      <c r="C794" s="14">
        <v>350</v>
      </c>
      <c r="D794" s="14">
        <v>0</v>
      </c>
      <c r="E794" s="14">
        <f t="shared" si="12"/>
        <v>350</v>
      </c>
    </row>
    <row r="795" spans="1:5" x14ac:dyDescent="0.3">
      <c r="A795" s="7">
        <v>1001730</v>
      </c>
      <c r="B795" s="7" t="s">
        <v>796</v>
      </c>
      <c r="C795" s="14">
        <v>61.280116223692445</v>
      </c>
      <c r="D795" s="14">
        <v>61.280116256908713</v>
      </c>
      <c r="E795" s="14">
        <f t="shared" si="12"/>
        <v>61.280116256908713</v>
      </c>
    </row>
    <row r="796" spans="1:5" x14ac:dyDescent="0.3">
      <c r="A796" s="7">
        <v>1001731</v>
      </c>
      <c r="B796" s="7" t="s">
        <v>797</v>
      </c>
      <c r="C796" s="14">
        <v>50.931856244444489</v>
      </c>
      <c r="D796" s="14">
        <v>50.931856578001437</v>
      </c>
      <c r="E796" s="14">
        <f t="shared" si="12"/>
        <v>50.931856578001437</v>
      </c>
    </row>
    <row r="797" spans="1:5" x14ac:dyDescent="0.3">
      <c r="A797" s="7">
        <v>1001732</v>
      </c>
      <c r="B797" s="7" t="s">
        <v>798</v>
      </c>
      <c r="C797" s="14">
        <v>58.184102838778792</v>
      </c>
      <c r="D797" s="14">
        <v>58.184102838778792</v>
      </c>
      <c r="E797" s="14">
        <f t="shared" si="12"/>
        <v>58.184102838778792</v>
      </c>
    </row>
    <row r="798" spans="1:5" x14ac:dyDescent="0.3">
      <c r="A798" s="7">
        <v>1001733</v>
      </c>
      <c r="B798" s="7" t="s">
        <v>799</v>
      </c>
      <c r="C798" s="14">
        <v>3712.9701886792454</v>
      </c>
      <c r="D798" s="14">
        <v>3562.9512121212119</v>
      </c>
      <c r="E798" s="14">
        <f t="shared" si="12"/>
        <v>3712.9701886792454</v>
      </c>
    </row>
    <row r="799" spans="1:5" x14ac:dyDescent="0.3">
      <c r="A799" s="7">
        <v>1001734</v>
      </c>
      <c r="B799" s="7" t="s">
        <v>800</v>
      </c>
      <c r="C799" s="14">
        <v>96.08</v>
      </c>
      <c r="D799" s="14">
        <v>0</v>
      </c>
      <c r="E799" s="14">
        <f t="shared" si="12"/>
        <v>96.08</v>
      </c>
    </row>
    <row r="800" spans="1:5" x14ac:dyDescent="0.3">
      <c r="A800" s="7">
        <v>1001738</v>
      </c>
      <c r="B800" s="7" t="s">
        <v>801</v>
      </c>
      <c r="C800" s="14">
        <v>2766.6</v>
      </c>
      <c r="D800" s="14">
        <v>0</v>
      </c>
      <c r="E800" s="14">
        <f t="shared" si="12"/>
        <v>2766.6</v>
      </c>
    </row>
    <row r="801" spans="1:5" x14ac:dyDescent="0.3">
      <c r="A801" s="7">
        <v>1001739</v>
      </c>
      <c r="B801" s="7" t="s">
        <v>802</v>
      </c>
      <c r="C801" s="14">
        <v>40.050584098951298</v>
      </c>
      <c r="D801" s="14">
        <v>0</v>
      </c>
      <c r="E801" s="14">
        <f t="shared" si="12"/>
        <v>40.050584098951298</v>
      </c>
    </row>
    <row r="802" spans="1:5" x14ac:dyDescent="0.3">
      <c r="A802" s="7">
        <v>1001740</v>
      </c>
      <c r="B802" s="7" t="s">
        <v>803</v>
      </c>
      <c r="C802" s="14">
        <v>34.745706901622299</v>
      </c>
      <c r="D802" s="14">
        <v>0</v>
      </c>
      <c r="E802" s="14">
        <f t="shared" si="12"/>
        <v>34.745706901622299</v>
      </c>
    </row>
    <row r="803" spans="1:5" x14ac:dyDescent="0.3">
      <c r="A803" s="7">
        <v>1001741</v>
      </c>
      <c r="B803" s="7" t="s">
        <v>804</v>
      </c>
      <c r="C803" s="14">
        <v>22.1428571428571</v>
      </c>
      <c r="D803" s="14">
        <v>0</v>
      </c>
      <c r="E803" s="14">
        <f t="shared" si="12"/>
        <v>22.1428571428571</v>
      </c>
    </row>
    <row r="804" spans="1:5" x14ac:dyDescent="0.3">
      <c r="A804" s="7">
        <v>1001743</v>
      </c>
      <c r="B804" s="7" t="s">
        <v>805</v>
      </c>
      <c r="C804" s="14">
        <v>8.625</v>
      </c>
      <c r="D804" s="14">
        <v>0</v>
      </c>
      <c r="E804" s="14">
        <f t="shared" si="12"/>
        <v>8.625</v>
      </c>
    </row>
    <row r="805" spans="1:5" x14ac:dyDescent="0.3">
      <c r="A805" s="7">
        <v>1001744</v>
      </c>
      <c r="B805" s="7" t="s">
        <v>806</v>
      </c>
      <c r="C805" s="14">
        <v>11.266677217501318</v>
      </c>
      <c r="D805" s="14">
        <v>11.266676972909305</v>
      </c>
      <c r="E805" s="14">
        <f t="shared" si="12"/>
        <v>11.266677217501318</v>
      </c>
    </row>
    <row r="806" spans="1:5" x14ac:dyDescent="0.3">
      <c r="A806" s="7">
        <v>1001745</v>
      </c>
      <c r="B806" s="7" t="s">
        <v>807</v>
      </c>
      <c r="C806" s="14">
        <v>21.84</v>
      </c>
      <c r="D806" s="14">
        <v>0</v>
      </c>
      <c r="E806" s="14">
        <f t="shared" si="12"/>
        <v>21.84</v>
      </c>
    </row>
    <row r="807" spans="1:5" x14ac:dyDescent="0.3">
      <c r="A807" s="7">
        <v>1001746</v>
      </c>
      <c r="B807" s="7" t="s">
        <v>808</v>
      </c>
      <c r="C807" s="14">
        <v>35.96</v>
      </c>
      <c r="D807" s="14">
        <v>35.96</v>
      </c>
      <c r="E807" s="14">
        <f t="shared" si="12"/>
        <v>35.96</v>
      </c>
    </row>
    <row r="808" spans="1:5" x14ac:dyDescent="0.3">
      <c r="A808" s="7">
        <v>1001747</v>
      </c>
      <c r="B808" s="7" t="s">
        <v>809</v>
      </c>
      <c r="C808" s="14">
        <v>45.280642935935703</v>
      </c>
      <c r="D808" s="14">
        <v>0</v>
      </c>
      <c r="E808" s="14">
        <f t="shared" si="12"/>
        <v>45.280642935935703</v>
      </c>
    </row>
    <row r="809" spans="1:5" x14ac:dyDescent="0.3">
      <c r="A809" s="7">
        <v>1001748</v>
      </c>
      <c r="B809" s="7" t="s">
        <v>810</v>
      </c>
      <c r="C809" s="14">
        <v>8.92</v>
      </c>
      <c r="D809" s="14">
        <v>8.92</v>
      </c>
      <c r="E809" s="14">
        <f t="shared" si="12"/>
        <v>8.92</v>
      </c>
    </row>
    <row r="810" spans="1:5" x14ac:dyDescent="0.3">
      <c r="A810" s="7">
        <v>1001749</v>
      </c>
      <c r="B810" s="7" t="s">
        <v>811</v>
      </c>
      <c r="C810" s="14">
        <v>20.254999999999999</v>
      </c>
      <c r="D810" s="14">
        <v>0</v>
      </c>
      <c r="E810" s="14">
        <f t="shared" si="12"/>
        <v>20.254999999999999</v>
      </c>
    </row>
    <row r="811" spans="1:5" x14ac:dyDescent="0.3">
      <c r="A811" s="7">
        <v>1001750</v>
      </c>
      <c r="B811" s="7" t="s">
        <v>812</v>
      </c>
      <c r="C811" s="14">
        <v>4.9874866045831103</v>
      </c>
      <c r="D811" s="14">
        <v>0</v>
      </c>
      <c r="E811" s="14">
        <f t="shared" si="12"/>
        <v>4.9874866045831103</v>
      </c>
    </row>
    <row r="812" spans="1:5" x14ac:dyDescent="0.3">
      <c r="A812" s="7">
        <v>1001753</v>
      </c>
      <c r="B812" s="7" t="s">
        <v>813</v>
      </c>
      <c r="C812" s="14">
        <v>65.586641569861428</v>
      </c>
      <c r="D812" s="14">
        <v>62.792570866415936</v>
      </c>
      <c r="E812" s="14">
        <f t="shared" si="12"/>
        <v>65.586641569861428</v>
      </c>
    </row>
    <row r="813" spans="1:5" x14ac:dyDescent="0.3">
      <c r="A813" s="7">
        <v>1001754</v>
      </c>
      <c r="B813" s="7" t="s">
        <v>814</v>
      </c>
      <c r="C813" s="14">
        <v>74.113275125313521</v>
      </c>
      <c r="D813" s="14">
        <v>27.759872633098414</v>
      </c>
      <c r="E813" s="14">
        <f t="shared" si="12"/>
        <v>74.113275125313521</v>
      </c>
    </row>
    <row r="814" spans="1:5" x14ac:dyDescent="0.3">
      <c r="A814" s="7">
        <v>1001755</v>
      </c>
      <c r="B814" s="7" t="s">
        <v>815</v>
      </c>
      <c r="C814" s="14">
        <v>215.42381835032438</v>
      </c>
      <c r="D814" s="14">
        <v>240.40381980290942</v>
      </c>
      <c r="E814" s="14">
        <f t="shared" si="12"/>
        <v>240.40381980290942</v>
      </c>
    </row>
    <row r="815" spans="1:5" x14ac:dyDescent="0.3">
      <c r="A815" s="7">
        <v>1001756</v>
      </c>
      <c r="B815" s="7" t="s">
        <v>816</v>
      </c>
      <c r="C815" s="14">
        <v>793.50650930308473</v>
      </c>
      <c r="D815" s="14">
        <v>765.27051703162999</v>
      </c>
      <c r="E815" s="14">
        <f t="shared" si="12"/>
        <v>793.50650930308473</v>
      </c>
    </row>
    <row r="816" spans="1:5" x14ac:dyDescent="0.3">
      <c r="A816" s="7">
        <v>1001757</v>
      </c>
      <c r="B816" s="7" t="s">
        <v>817</v>
      </c>
      <c r="C816" s="14">
        <v>44.25</v>
      </c>
      <c r="D816" s="14">
        <v>168</v>
      </c>
      <c r="E816" s="14">
        <f t="shared" si="12"/>
        <v>168</v>
      </c>
    </row>
    <row r="817" spans="1:5" x14ac:dyDescent="0.3">
      <c r="A817" s="7">
        <v>1001758</v>
      </c>
      <c r="B817" s="7" t="s">
        <v>818</v>
      </c>
      <c r="C817" s="14">
        <v>98.955961538461537</v>
      </c>
      <c r="D817" s="14">
        <v>0</v>
      </c>
      <c r="E817" s="14">
        <f t="shared" si="12"/>
        <v>98.955961538461537</v>
      </c>
    </row>
    <row r="818" spans="1:5" x14ac:dyDescent="0.3">
      <c r="A818" s="7">
        <v>1001759</v>
      </c>
      <c r="B818" s="7" t="s">
        <v>819</v>
      </c>
      <c r="C818" s="14">
        <v>40.021973478939159</v>
      </c>
      <c r="D818" s="14">
        <v>0</v>
      </c>
      <c r="E818" s="14">
        <f t="shared" si="12"/>
        <v>40.021973478939159</v>
      </c>
    </row>
    <row r="819" spans="1:5" x14ac:dyDescent="0.3">
      <c r="A819" s="7">
        <v>1001760</v>
      </c>
      <c r="B819" s="7" t="s">
        <v>820</v>
      </c>
      <c r="C819" s="14">
        <v>212.4</v>
      </c>
      <c r="D819" s="14">
        <v>413.17555555555555</v>
      </c>
      <c r="E819" s="14">
        <f t="shared" si="12"/>
        <v>413.17555555555555</v>
      </c>
    </row>
    <row r="820" spans="1:5" x14ac:dyDescent="0.3">
      <c r="A820" s="7">
        <v>1001761</v>
      </c>
      <c r="B820" s="7" t="s">
        <v>821</v>
      </c>
      <c r="C820" s="14">
        <v>0</v>
      </c>
      <c r="D820" s="14">
        <v>0</v>
      </c>
      <c r="E820" s="14">
        <f t="shared" si="12"/>
        <v>0</v>
      </c>
    </row>
    <row r="821" spans="1:5" x14ac:dyDescent="0.3">
      <c r="A821" s="7">
        <v>1001762</v>
      </c>
      <c r="B821" s="7" t="s">
        <v>822</v>
      </c>
      <c r="C821" s="14">
        <v>750</v>
      </c>
      <c r="D821" s="14">
        <v>0</v>
      </c>
      <c r="E821" s="14">
        <f t="shared" si="12"/>
        <v>750</v>
      </c>
    </row>
    <row r="822" spans="1:5" x14ac:dyDescent="0.3">
      <c r="A822" s="7">
        <v>1001763</v>
      </c>
      <c r="B822" s="7" t="s">
        <v>823</v>
      </c>
      <c r="C822" s="14">
        <v>622.01773303521099</v>
      </c>
      <c r="D822" s="14">
        <v>621.92142857142858</v>
      </c>
      <c r="E822" s="14">
        <f t="shared" si="12"/>
        <v>622.01773303521099</v>
      </c>
    </row>
    <row r="823" spans="1:5" x14ac:dyDescent="0.3">
      <c r="A823" s="7">
        <v>1001764</v>
      </c>
      <c r="B823" s="7" t="s">
        <v>824</v>
      </c>
      <c r="C823" s="14">
        <v>550</v>
      </c>
      <c r="D823" s="14">
        <v>0</v>
      </c>
      <c r="E823" s="14">
        <f t="shared" si="12"/>
        <v>550</v>
      </c>
    </row>
    <row r="824" spans="1:5" x14ac:dyDescent="0.3">
      <c r="A824" s="7">
        <v>1001765</v>
      </c>
      <c r="B824" s="7" t="s">
        <v>825</v>
      </c>
      <c r="C824" s="14">
        <v>1.6815510610201221</v>
      </c>
      <c r="D824" s="14">
        <v>1.6687357988880833</v>
      </c>
      <c r="E824" s="14">
        <f t="shared" si="12"/>
        <v>1.6815510610201221</v>
      </c>
    </row>
    <row r="825" spans="1:5" x14ac:dyDescent="0.3">
      <c r="A825" s="7">
        <v>1001766</v>
      </c>
      <c r="B825" s="7" t="s">
        <v>826</v>
      </c>
      <c r="C825" s="14">
        <v>0</v>
      </c>
      <c r="D825" s="14">
        <v>0</v>
      </c>
      <c r="E825" s="14">
        <f t="shared" si="12"/>
        <v>0</v>
      </c>
    </row>
    <row r="826" spans="1:5" x14ac:dyDescent="0.3">
      <c r="A826" s="7">
        <v>1001767</v>
      </c>
      <c r="B826" s="7" t="s">
        <v>827</v>
      </c>
      <c r="C826" s="14">
        <v>0</v>
      </c>
      <c r="D826" s="14">
        <v>67.342600034819952</v>
      </c>
      <c r="E826" s="14">
        <f t="shared" si="12"/>
        <v>67.342600034819952</v>
      </c>
    </row>
    <row r="827" spans="1:5" x14ac:dyDescent="0.3">
      <c r="A827" s="7">
        <v>1001768</v>
      </c>
      <c r="B827" s="7" t="s">
        <v>828</v>
      </c>
      <c r="C827" s="14">
        <v>250</v>
      </c>
      <c r="D827" s="14">
        <v>203.91317725657831</v>
      </c>
      <c r="E827" s="14">
        <f t="shared" si="12"/>
        <v>250</v>
      </c>
    </row>
    <row r="828" spans="1:5" x14ac:dyDescent="0.3">
      <c r="A828" s="7">
        <v>1001769</v>
      </c>
      <c r="B828" s="7" t="s">
        <v>829</v>
      </c>
      <c r="C828" s="14">
        <v>1698.1261999999999</v>
      </c>
      <c r="D828" s="14">
        <v>1698.1261933369744</v>
      </c>
      <c r="E828" s="14">
        <f t="shared" si="12"/>
        <v>1698.1261999999999</v>
      </c>
    </row>
    <row r="829" spans="1:5" x14ac:dyDescent="0.3">
      <c r="A829" s="7">
        <v>1001771</v>
      </c>
      <c r="B829" s="7" t="s">
        <v>830</v>
      </c>
      <c r="C829" s="14">
        <v>333.74383937733796</v>
      </c>
      <c r="D829" s="14">
        <v>333.74384016393441</v>
      </c>
      <c r="E829" s="14">
        <f t="shared" si="12"/>
        <v>333.74384016393441</v>
      </c>
    </row>
    <row r="830" spans="1:5" x14ac:dyDescent="0.3">
      <c r="A830" s="7">
        <v>1001772</v>
      </c>
      <c r="B830" s="7" t="s">
        <v>831</v>
      </c>
      <c r="C830" s="14">
        <v>670.27581205866375</v>
      </c>
      <c r="D830" s="14">
        <v>670.27581275129228</v>
      </c>
      <c r="E830" s="14">
        <f t="shared" si="12"/>
        <v>670.27581275129228</v>
      </c>
    </row>
    <row r="831" spans="1:5" x14ac:dyDescent="0.3">
      <c r="A831" s="7">
        <v>1001777</v>
      </c>
      <c r="B831" s="7" t="s">
        <v>832</v>
      </c>
      <c r="C831" s="14">
        <v>0</v>
      </c>
      <c r="D831" s="14">
        <v>0</v>
      </c>
      <c r="E831" s="14">
        <f t="shared" si="12"/>
        <v>0</v>
      </c>
    </row>
    <row r="832" spans="1:5" x14ac:dyDescent="0.3">
      <c r="A832" s="7">
        <v>1001778</v>
      </c>
      <c r="B832" s="7" t="s">
        <v>833</v>
      </c>
      <c r="C832" s="14">
        <v>201.10813559322034</v>
      </c>
      <c r="D832" s="14">
        <v>0</v>
      </c>
      <c r="E832" s="14">
        <f t="shared" si="12"/>
        <v>201.10813559322034</v>
      </c>
    </row>
    <row r="833" spans="1:5" x14ac:dyDescent="0.3">
      <c r="A833" s="7">
        <v>1001780</v>
      </c>
      <c r="B833" s="7" t="s">
        <v>834</v>
      </c>
      <c r="C833" s="14">
        <v>139.66867924528302</v>
      </c>
      <c r="D833" s="14">
        <v>78.657576543850539</v>
      </c>
      <c r="E833" s="14">
        <f t="shared" si="12"/>
        <v>139.66867924528302</v>
      </c>
    </row>
    <row r="834" spans="1:5" x14ac:dyDescent="0.3">
      <c r="A834" s="7">
        <v>1001781</v>
      </c>
      <c r="B834" s="7" t="s">
        <v>835</v>
      </c>
      <c r="C834" s="14">
        <v>94.690768706242778</v>
      </c>
      <c r="D834" s="14">
        <v>124.8235185185185</v>
      </c>
      <c r="E834" s="14">
        <f t="shared" si="12"/>
        <v>124.8235185185185</v>
      </c>
    </row>
    <row r="835" spans="1:5" x14ac:dyDescent="0.3">
      <c r="A835" s="7">
        <v>1001786</v>
      </c>
      <c r="B835" s="7" t="s">
        <v>836</v>
      </c>
      <c r="C835" s="14">
        <v>0</v>
      </c>
      <c r="D835" s="14">
        <v>0</v>
      </c>
      <c r="E835" s="14">
        <f t="shared" ref="E835:E898" si="13">+MAX(C835, D835)</f>
        <v>0</v>
      </c>
    </row>
    <row r="836" spans="1:5" x14ac:dyDescent="0.3">
      <c r="A836" s="7">
        <v>1001787</v>
      </c>
      <c r="B836" s="7" t="s">
        <v>837</v>
      </c>
      <c r="C836" s="14">
        <v>37.154472738527296</v>
      </c>
      <c r="D836" s="14">
        <v>19.607742271725535</v>
      </c>
      <c r="E836" s="14">
        <f t="shared" si="13"/>
        <v>37.154472738527296</v>
      </c>
    </row>
    <row r="837" spans="1:5" x14ac:dyDescent="0.3">
      <c r="A837" s="7">
        <v>1001789</v>
      </c>
      <c r="B837" s="7" t="s">
        <v>838</v>
      </c>
      <c r="C837" s="14">
        <v>144.64500000000001</v>
      </c>
      <c r="D837" s="14">
        <v>85.758155063572502</v>
      </c>
      <c r="E837" s="14">
        <f t="shared" si="13"/>
        <v>144.64500000000001</v>
      </c>
    </row>
    <row r="838" spans="1:5" x14ac:dyDescent="0.3">
      <c r="A838" s="7">
        <v>1001791</v>
      </c>
      <c r="B838" s="7" t="s">
        <v>839</v>
      </c>
      <c r="C838" s="14">
        <v>65.490000000000009</v>
      </c>
      <c r="D838" s="14">
        <v>66.194941695590771</v>
      </c>
      <c r="E838" s="14">
        <f t="shared" si="13"/>
        <v>66.194941695590771</v>
      </c>
    </row>
    <row r="839" spans="1:5" x14ac:dyDescent="0.3">
      <c r="A839" s="7">
        <v>1001793</v>
      </c>
      <c r="B839" s="7" t="s">
        <v>840</v>
      </c>
      <c r="C839" s="14">
        <v>300</v>
      </c>
      <c r="D839" s="14">
        <v>0</v>
      </c>
      <c r="E839" s="14">
        <f t="shared" si="13"/>
        <v>300</v>
      </c>
    </row>
    <row r="840" spans="1:5" x14ac:dyDescent="0.3">
      <c r="A840" s="7">
        <v>1001794</v>
      </c>
      <c r="B840" s="7" t="s">
        <v>841</v>
      </c>
      <c r="C840" s="14">
        <v>0</v>
      </c>
      <c r="D840" s="14">
        <v>3525.84</v>
      </c>
      <c r="E840" s="14">
        <f t="shared" si="13"/>
        <v>3525.84</v>
      </c>
    </row>
    <row r="841" spans="1:5" x14ac:dyDescent="0.3">
      <c r="A841" s="7">
        <v>1001795</v>
      </c>
      <c r="B841" s="7" t="s">
        <v>842</v>
      </c>
      <c r="C841" s="14">
        <v>849.06310526315781</v>
      </c>
      <c r="D841" s="14">
        <v>0</v>
      </c>
      <c r="E841" s="14">
        <f t="shared" si="13"/>
        <v>849.06310526315781</v>
      </c>
    </row>
    <row r="842" spans="1:5" x14ac:dyDescent="0.3">
      <c r="A842" s="7">
        <v>1001800</v>
      </c>
      <c r="B842" s="7" t="s">
        <v>843</v>
      </c>
      <c r="C842" s="14">
        <v>0</v>
      </c>
      <c r="D842" s="14">
        <v>0</v>
      </c>
      <c r="E842" s="14">
        <f t="shared" si="13"/>
        <v>0</v>
      </c>
    </row>
    <row r="843" spans="1:5" x14ac:dyDescent="0.3">
      <c r="A843" s="7">
        <v>1001804</v>
      </c>
      <c r="B843" s="7" t="s">
        <v>844</v>
      </c>
      <c r="C843" s="14">
        <v>0</v>
      </c>
      <c r="D843" s="14">
        <v>0</v>
      </c>
      <c r="E843" s="14">
        <f t="shared" si="13"/>
        <v>0</v>
      </c>
    </row>
    <row r="844" spans="1:5" x14ac:dyDescent="0.3">
      <c r="A844" s="7">
        <v>1001806</v>
      </c>
      <c r="B844" s="7" t="s">
        <v>845</v>
      </c>
      <c r="C844" s="14">
        <v>6.46</v>
      </c>
      <c r="D844" s="14">
        <v>6.46</v>
      </c>
      <c r="E844" s="14">
        <f t="shared" si="13"/>
        <v>6.46</v>
      </c>
    </row>
    <row r="845" spans="1:5" x14ac:dyDescent="0.3">
      <c r="A845" s="7">
        <v>1001807</v>
      </c>
      <c r="B845" s="7" t="s">
        <v>846</v>
      </c>
      <c r="C845" s="14">
        <v>0</v>
      </c>
      <c r="D845" s="14">
        <v>0</v>
      </c>
      <c r="E845" s="14">
        <f t="shared" si="13"/>
        <v>0</v>
      </c>
    </row>
    <row r="846" spans="1:5" x14ac:dyDescent="0.3">
      <c r="A846" s="7">
        <v>1001817</v>
      </c>
      <c r="B846" s="7" t="s">
        <v>847</v>
      </c>
      <c r="C846" s="14">
        <v>70.220678358247241</v>
      </c>
      <c r="D846" s="14">
        <v>70.220677671589925</v>
      </c>
      <c r="E846" s="14">
        <f t="shared" si="13"/>
        <v>70.220678358247241</v>
      </c>
    </row>
    <row r="847" spans="1:5" x14ac:dyDescent="0.3">
      <c r="A847" s="7">
        <v>1001818</v>
      </c>
      <c r="B847" s="7" t="s">
        <v>848</v>
      </c>
      <c r="C847" s="14">
        <v>149.1777423150661</v>
      </c>
      <c r="D847" s="14">
        <v>114.29811731843576</v>
      </c>
      <c r="E847" s="14">
        <f t="shared" si="13"/>
        <v>149.1777423150661</v>
      </c>
    </row>
    <row r="848" spans="1:5" x14ac:dyDescent="0.3">
      <c r="A848" s="7">
        <v>1001821</v>
      </c>
      <c r="B848" s="7" t="s">
        <v>849</v>
      </c>
      <c r="C848" s="14">
        <v>0</v>
      </c>
      <c r="D848" s="14">
        <v>0</v>
      </c>
      <c r="E848" s="14">
        <f t="shared" si="13"/>
        <v>0</v>
      </c>
    </row>
    <row r="849" spans="1:5" x14ac:dyDescent="0.3">
      <c r="A849" s="7">
        <v>1001831</v>
      </c>
      <c r="B849" s="7" t="s">
        <v>850</v>
      </c>
      <c r="C849" s="14">
        <v>64.960000000000008</v>
      </c>
      <c r="D849" s="14">
        <v>64.959999999999994</v>
      </c>
      <c r="E849" s="14">
        <f t="shared" si="13"/>
        <v>64.960000000000008</v>
      </c>
    </row>
    <row r="850" spans="1:5" x14ac:dyDescent="0.3">
      <c r="A850" s="7">
        <v>1001832</v>
      </c>
      <c r="B850" s="7" t="s">
        <v>851</v>
      </c>
      <c r="C850" s="14">
        <v>87</v>
      </c>
      <c r="D850" s="14">
        <v>87</v>
      </c>
      <c r="E850" s="14">
        <f t="shared" si="13"/>
        <v>87</v>
      </c>
    </row>
    <row r="851" spans="1:5" x14ac:dyDescent="0.3">
      <c r="A851" s="7">
        <v>1001834</v>
      </c>
      <c r="B851" s="7" t="s">
        <v>852</v>
      </c>
      <c r="C851" s="14">
        <v>1</v>
      </c>
      <c r="D851" s="14">
        <v>1</v>
      </c>
      <c r="E851" s="14">
        <f t="shared" si="13"/>
        <v>1</v>
      </c>
    </row>
    <row r="852" spans="1:5" x14ac:dyDescent="0.3">
      <c r="A852" s="7">
        <v>1001835</v>
      </c>
      <c r="B852" s="7" t="s">
        <v>853</v>
      </c>
      <c r="C852" s="14">
        <v>0</v>
      </c>
      <c r="D852" s="14">
        <v>0</v>
      </c>
      <c r="E852" s="14">
        <f t="shared" si="13"/>
        <v>0</v>
      </c>
    </row>
    <row r="853" spans="1:5" x14ac:dyDescent="0.3">
      <c r="A853" s="7">
        <v>1001836</v>
      </c>
      <c r="B853" s="7" t="s">
        <v>854</v>
      </c>
      <c r="C853" s="14">
        <v>0</v>
      </c>
      <c r="D853" s="14">
        <v>0</v>
      </c>
      <c r="E853" s="14">
        <f t="shared" si="13"/>
        <v>0</v>
      </c>
    </row>
    <row r="854" spans="1:5" x14ac:dyDescent="0.3">
      <c r="A854" s="7">
        <v>1001837</v>
      </c>
      <c r="B854" s="7" t="s">
        <v>855</v>
      </c>
      <c r="C854" s="14">
        <v>0</v>
      </c>
      <c r="D854" s="14">
        <v>0</v>
      </c>
      <c r="E854" s="14">
        <f t="shared" si="13"/>
        <v>0</v>
      </c>
    </row>
    <row r="855" spans="1:5" x14ac:dyDescent="0.3">
      <c r="A855" s="7">
        <v>1001840</v>
      </c>
      <c r="B855" s="7" t="s">
        <v>856</v>
      </c>
      <c r="C855" s="14">
        <v>158.4563548746292</v>
      </c>
      <c r="D855" s="14">
        <v>158.45635400907716</v>
      </c>
      <c r="E855" s="14">
        <f t="shared" si="13"/>
        <v>158.4563548746292</v>
      </c>
    </row>
    <row r="856" spans="1:5" x14ac:dyDescent="0.3">
      <c r="A856" s="7">
        <v>1001845</v>
      </c>
      <c r="B856" s="7" t="s">
        <v>857</v>
      </c>
      <c r="C856" s="14">
        <v>0</v>
      </c>
      <c r="D856" s="14">
        <v>0</v>
      </c>
      <c r="E856" s="14">
        <f t="shared" si="13"/>
        <v>0</v>
      </c>
    </row>
    <row r="857" spans="1:5" x14ac:dyDescent="0.3">
      <c r="A857" s="7">
        <v>1001847</v>
      </c>
      <c r="B857" s="7" t="s">
        <v>858</v>
      </c>
      <c r="C857" s="14">
        <v>153.736885901292</v>
      </c>
      <c r="D857" s="14">
        <v>153.73688634569851</v>
      </c>
      <c r="E857" s="14">
        <f t="shared" si="13"/>
        <v>153.73688634569851</v>
      </c>
    </row>
    <row r="858" spans="1:5" x14ac:dyDescent="0.3">
      <c r="A858" s="7">
        <v>1001848</v>
      </c>
      <c r="B858" s="7" t="s">
        <v>859</v>
      </c>
      <c r="C858" s="14">
        <v>0</v>
      </c>
      <c r="D858" s="14">
        <v>0</v>
      </c>
      <c r="E858" s="14">
        <f t="shared" si="13"/>
        <v>0</v>
      </c>
    </row>
    <row r="859" spans="1:5" x14ac:dyDescent="0.3">
      <c r="A859" s="7">
        <v>1001849</v>
      </c>
      <c r="B859" s="7" t="s">
        <v>860</v>
      </c>
      <c r="C859" s="14">
        <v>0</v>
      </c>
      <c r="D859" s="14">
        <v>0</v>
      </c>
      <c r="E859" s="14">
        <f t="shared" si="13"/>
        <v>0</v>
      </c>
    </row>
    <row r="860" spans="1:5" x14ac:dyDescent="0.3">
      <c r="A860" s="7">
        <v>1001850</v>
      </c>
      <c r="B860" s="7" t="s">
        <v>861</v>
      </c>
      <c r="C860" s="14">
        <v>1</v>
      </c>
      <c r="D860" s="14">
        <v>1</v>
      </c>
      <c r="E860" s="14">
        <f t="shared" si="13"/>
        <v>1</v>
      </c>
    </row>
    <row r="861" spans="1:5" x14ac:dyDescent="0.3">
      <c r="A861" s="7">
        <v>1001851</v>
      </c>
      <c r="B861" s="7" t="s">
        <v>862</v>
      </c>
      <c r="C861" s="14">
        <v>1038.2</v>
      </c>
      <c r="D861" s="14">
        <v>1038.2</v>
      </c>
      <c r="E861" s="14">
        <f t="shared" si="13"/>
        <v>1038.2</v>
      </c>
    </row>
    <row r="862" spans="1:5" x14ac:dyDescent="0.3">
      <c r="A862" s="7">
        <v>1001854</v>
      </c>
      <c r="B862" s="7" t="s">
        <v>863</v>
      </c>
      <c r="C862" s="14">
        <v>0</v>
      </c>
      <c r="D862" s="14">
        <v>0</v>
      </c>
      <c r="E862" s="14">
        <f t="shared" si="13"/>
        <v>0</v>
      </c>
    </row>
    <row r="863" spans="1:5" x14ac:dyDescent="0.3">
      <c r="A863" s="7">
        <v>1001856</v>
      </c>
      <c r="B863" s="7" t="s">
        <v>864</v>
      </c>
      <c r="C863" s="14">
        <v>0</v>
      </c>
      <c r="D863" s="14">
        <v>0</v>
      </c>
      <c r="E863" s="14">
        <f t="shared" si="13"/>
        <v>0</v>
      </c>
    </row>
    <row r="864" spans="1:5" x14ac:dyDescent="0.3">
      <c r="A864" s="7">
        <v>1001865</v>
      </c>
      <c r="B864" s="7" t="s">
        <v>865</v>
      </c>
      <c r="C864" s="14">
        <v>0</v>
      </c>
      <c r="D864" s="14">
        <v>0</v>
      </c>
      <c r="E864" s="14">
        <f t="shared" si="13"/>
        <v>0</v>
      </c>
    </row>
    <row r="865" spans="1:5" x14ac:dyDescent="0.3">
      <c r="A865" s="7">
        <v>1001867</v>
      </c>
      <c r="B865" s="7" t="s">
        <v>866</v>
      </c>
      <c r="C865" s="14">
        <v>0</v>
      </c>
      <c r="D865" s="14">
        <v>0</v>
      </c>
      <c r="E865" s="14">
        <f t="shared" si="13"/>
        <v>0</v>
      </c>
    </row>
    <row r="866" spans="1:5" x14ac:dyDescent="0.3">
      <c r="A866" s="7">
        <v>1001871</v>
      </c>
      <c r="B866" s="7" t="s">
        <v>867</v>
      </c>
      <c r="C866" s="14">
        <v>0</v>
      </c>
      <c r="D866" s="14">
        <v>0</v>
      </c>
      <c r="E866" s="14">
        <f t="shared" si="13"/>
        <v>0</v>
      </c>
    </row>
    <row r="867" spans="1:5" x14ac:dyDescent="0.3">
      <c r="A867" s="7">
        <v>1001873</v>
      </c>
      <c r="B867" s="7" t="s">
        <v>868</v>
      </c>
      <c r="C867" s="14">
        <v>0</v>
      </c>
      <c r="D867" s="14">
        <v>0</v>
      </c>
      <c r="E867" s="14">
        <f t="shared" si="13"/>
        <v>0</v>
      </c>
    </row>
    <row r="868" spans="1:5" x14ac:dyDescent="0.3">
      <c r="A868" s="7">
        <v>1001875</v>
      </c>
      <c r="B868" s="7" t="s">
        <v>869</v>
      </c>
      <c r="C868" s="14">
        <v>0</v>
      </c>
      <c r="D868" s="14">
        <v>0</v>
      </c>
      <c r="E868" s="14">
        <f t="shared" si="13"/>
        <v>0</v>
      </c>
    </row>
    <row r="869" spans="1:5" x14ac:dyDescent="0.3">
      <c r="A869" s="7">
        <v>1001883</v>
      </c>
      <c r="B869" s="7" t="s">
        <v>870</v>
      </c>
      <c r="C869" s="14">
        <v>0</v>
      </c>
      <c r="D869" s="14">
        <v>0</v>
      </c>
      <c r="E869" s="14">
        <f t="shared" si="13"/>
        <v>0</v>
      </c>
    </row>
    <row r="870" spans="1:5" x14ac:dyDescent="0.3">
      <c r="A870" s="7">
        <v>1001884</v>
      </c>
      <c r="B870" s="7" t="s">
        <v>871</v>
      </c>
      <c r="C870" s="14">
        <v>15.430357829535456</v>
      </c>
      <c r="D870" s="14">
        <v>15.430357850552525</v>
      </c>
      <c r="E870" s="14">
        <f t="shared" si="13"/>
        <v>15.430357850552525</v>
      </c>
    </row>
    <row r="871" spans="1:5" x14ac:dyDescent="0.3">
      <c r="A871" s="7">
        <v>1001889</v>
      </c>
      <c r="B871" s="7" t="s">
        <v>872</v>
      </c>
      <c r="C871" s="14">
        <v>0</v>
      </c>
      <c r="D871" s="14">
        <v>0</v>
      </c>
      <c r="E871" s="14">
        <f t="shared" si="13"/>
        <v>0</v>
      </c>
    </row>
    <row r="872" spans="1:5" x14ac:dyDescent="0.3">
      <c r="A872" s="7">
        <v>1001891</v>
      </c>
      <c r="B872" s="7" t="s">
        <v>873</v>
      </c>
      <c r="C872" s="14">
        <v>184.3965002349741</v>
      </c>
      <c r="D872" s="14">
        <v>184.39650023331779</v>
      </c>
      <c r="E872" s="14">
        <f t="shared" si="13"/>
        <v>184.3965002349741</v>
      </c>
    </row>
    <row r="873" spans="1:5" x14ac:dyDescent="0.3">
      <c r="A873" s="7">
        <v>1001892</v>
      </c>
      <c r="B873" s="7" t="s">
        <v>874</v>
      </c>
      <c r="C873" s="14">
        <v>279.63047128826003</v>
      </c>
      <c r="D873" s="14">
        <v>273.54792312276521</v>
      </c>
      <c r="E873" s="14">
        <f t="shared" si="13"/>
        <v>279.63047128826003</v>
      </c>
    </row>
    <row r="874" spans="1:5" x14ac:dyDescent="0.3">
      <c r="A874" s="7">
        <v>1001894</v>
      </c>
      <c r="B874" s="7" t="s">
        <v>875</v>
      </c>
      <c r="C874" s="14">
        <v>7.2182320309993688</v>
      </c>
      <c r="D874" s="14">
        <v>7.1867021708867904</v>
      </c>
      <c r="E874" s="14">
        <f t="shared" si="13"/>
        <v>7.2182320309993688</v>
      </c>
    </row>
    <row r="875" spans="1:5" x14ac:dyDescent="0.3">
      <c r="A875" s="7">
        <v>1001899</v>
      </c>
      <c r="B875" s="7" t="s">
        <v>876</v>
      </c>
      <c r="C875" s="14">
        <v>0</v>
      </c>
      <c r="D875" s="14">
        <v>0</v>
      </c>
      <c r="E875" s="14">
        <f t="shared" si="13"/>
        <v>0</v>
      </c>
    </row>
    <row r="876" spans="1:5" x14ac:dyDescent="0.3">
      <c r="A876" s="7">
        <v>1001901</v>
      </c>
      <c r="B876" s="7" t="s">
        <v>877</v>
      </c>
      <c r="C876" s="14">
        <v>0</v>
      </c>
      <c r="D876" s="14">
        <v>0</v>
      </c>
      <c r="E876" s="14">
        <f t="shared" si="13"/>
        <v>0</v>
      </c>
    </row>
    <row r="877" spans="1:5" x14ac:dyDescent="0.3">
      <c r="A877" s="7">
        <v>1001902</v>
      </c>
      <c r="B877" s="7" t="s">
        <v>878</v>
      </c>
      <c r="C877" s="14">
        <v>0</v>
      </c>
      <c r="D877" s="14">
        <v>0</v>
      </c>
      <c r="E877" s="14">
        <f t="shared" si="13"/>
        <v>0</v>
      </c>
    </row>
    <row r="878" spans="1:5" x14ac:dyDescent="0.3">
      <c r="A878" s="7">
        <v>1001903</v>
      </c>
      <c r="B878" s="7" t="s">
        <v>879</v>
      </c>
      <c r="C878" s="14">
        <v>2805.6116344428142</v>
      </c>
      <c r="D878" s="14">
        <v>2805.6116373728032</v>
      </c>
      <c r="E878" s="14">
        <f t="shared" si="13"/>
        <v>2805.6116373728032</v>
      </c>
    </row>
    <row r="879" spans="1:5" x14ac:dyDescent="0.3">
      <c r="A879" s="7">
        <v>1001904</v>
      </c>
      <c r="B879" s="7" t="s">
        <v>880</v>
      </c>
      <c r="C879" s="14">
        <v>1086.761281550524</v>
      </c>
      <c r="D879" s="14">
        <v>1102.7493634782609</v>
      </c>
      <c r="E879" s="14">
        <f t="shared" si="13"/>
        <v>1102.7493634782609</v>
      </c>
    </row>
    <row r="880" spans="1:5" x14ac:dyDescent="0.3">
      <c r="A880" s="7">
        <v>1001906</v>
      </c>
      <c r="B880" s="7" t="s">
        <v>881</v>
      </c>
      <c r="C880" s="14">
        <v>1</v>
      </c>
      <c r="D880" s="14">
        <v>1</v>
      </c>
      <c r="E880" s="14">
        <f t="shared" si="13"/>
        <v>1</v>
      </c>
    </row>
    <row r="881" spans="1:5" x14ac:dyDescent="0.3">
      <c r="A881" s="7">
        <v>1001907</v>
      </c>
      <c r="B881" s="7" t="s">
        <v>882</v>
      </c>
      <c r="C881" s="14">
        <v>1953.6133135400951</v>
      </c>
      <c r="D881" s="14">
        <v>1953.6133145672063</v>
      </c>
      <c r="E881" s="14">
        <f t="shared" si="13"/>
        <v>1953.6133145672063</v>
      </c>
    </row>
    <row r="882" spans="1:5" x14ac:dyDescent="0.3">
      <c r="A882" s="7">
        <v>1001908</v>
      </c>
      <c r="B882" s="7" t="s">
        <v>883</v>
      </c>
      <c r="C882" s="14">
        <v>1990.482304179086</v>
      </c>
      <c r="D882" s="14">
        <v>0</v>
      </c>
      <c r="E882" s="14">
        <f t="shared" si="13"/>
        <v>1990.482304179086</v>
      </c>
    </row>
    <row r="883" spans="1:5" x14ac:dyDescent="0.3">
      <c r="A883" s="7">
        <v>1001909</v>
      </c>
      <c r="B883" s="7" t="s">
        <v>884</v>
      </c>
      <c r="C883" s="14">
        <v>0</v>
      </c>
      <c r="D883" s="14">
        <v>0</v>
      </c>
      <c r="E883" s="14">
        <f t="shared" si="13"/>
        <v>0</v>
      </c>
    </row>
    <row r="884" spans="1:5" x14ac:dyDescent="0.3">
      <c r="A884" s="7">
        <v>1001910</v>
      </c>
      <c r="B884" s="7" t="s">
        <v>885</v>
      </c>
      <c r="C884" s="14">
        <v>65.88</v>
      </c>
      <c r="D884" s="14">
        <v>65.88</v>
      </c>
      <c r="E884" s="14">
        <f t="shared" si="13"/>
        <v>65.88</v>
      </c>
    </row>
    <row r="885" spans="1:5" x14ac:dyDescent="0.3">
      <c r="A885" s="7">
        <v>1001911</v>
      </c>
      <c r="B885" s="7" t="s">
        <v>886</v>
      </c>
      <c r="C885" s="14">
        <v>87.47999999999999</v>
      </c>
      <c r="D885" s="14">
        <v>87.48</v>
      </c>
      <c r="E885" s="14">
        <f t="shared" si="13"/>
        <v>87.48</v>
      </c>
    </row>
    <row r="886" spans="1:5" x14ac:dyDescent="0.3">
      <c r="A886" s="7">
        <v>1001912</v>
      </c>
      <c r="B886" s="7" t="s">
        <v>887</v>
      </c>
      <c r="C886" s="14">
        <v>64.599999999999994</v>
      </c>
      <c r="D886" s="14">
        <v>0</v>
      </c>
      <c r="E886" s="14">
        <f t="shared" si="13"/>
        <v>64.599999999999994</v>
      </c>
    </row>
    <row r="887" spans="1:5" x14ac:dyDescent="0.3">
      <c r="A887" s="7">
        <v>1001913</v>
      </c>
      <c r="B887" s="7" t="s">
        <v>888</v>
      </c>
      <c r="C887" s="14">
        <v>299.05454545454501</v>
      </c>
      <c r="D887" s="14">
        <v>0</v>
      </c>
      <c r="E887" s="14">
        <f t="shared" si="13"/>
        <v>299.05454545454501</v>
      </c>
    </row>
    <row r="888" spans="1:5" x14ac:dyDescent="0.3">
      <c r="A888" s="7">
        <v>1001914</v>
      </c>
      <c r="B888" s="7" t="s">
        <v>889</v>
      </c>
      <c r="C888" s="14">
        <v>45.4</v>
      </c>
      <c r="D888" s="14">
        <v>45.4</v>
      </c>
      <c r="E888" s="14">
        <f t="shared" si="13"/>
        <v>45.4</v>
      </c>
    </row>
    <row r="889" spans="1:5" x14ac:dyDescent="0.3">
      <c r="A889" s="7">
        <v>1001915</v>
      </c>
      <c r="B889" s="7" t="s">
        <v>890</v>
      </c>
      <c r="C889" s="14">
        <v>45.4</v>
      </c>
      <c r="D889" s="14">
        <v>0</v>
      </c>
      <c r="E889" s="14">
        <f t="shared" si="13"/>
        <v>45.4</v>
      </c>
    </row>
    <row r="890" spans="1:5" x14ac:dyDescent="0.3">
      <c r="A890" s="7">
        <v>1001916</v>
      </c>
      <c r="B890" s="7" t="s">
        <v>891</v>
      </c>
      <c r="C890" s="14">
        <v>1</v>
      </c>
      <c r="D890" s="14">
        <v>0</v>
      </c>
      <c r="E890" s="14">
        <f t="shared" si="13"/>
        <v>1</v>
      </c>
    </row>
    <row r="891" spans="1:5" x14ac:dyDescent="0.3">
      <c r="A891" s="7">
        <v>1001917</v>
      </c>
      <c r="B891" s="7" t="s">
        <v>892</v>
      </c>
      <c r="C891" s="14">
        <v>898</v>
      </c>
      <c r="D891" s="14">
        <v>0</v>
      </c>
      <c r="E891" s="14">
        <f t="shared" si="13"/>
        <v>898</v>
      </c>
    </row>
    <row r="892" spans="1:5" x14ac:dyDescent="0.3">
      <c r="A892" s="7">
        <v>1001919</v>
      </c>
      <c r="B892" s="7" t="s">
        <v>893</v>
      </c>
      <c r="C892" s="14">
        <v>0</v>
      </c>
      <c r="D892" s="14">
        <v>0</v>
      </c>
      <c r="E892" s="14">
        <f t="shared" si="13"/>
        <v>0</v>
      </c>
    </row>
    <row r="893" spans="1:5" x14ac:dyDescent="0.3">
      <c r="A893" s="7">
        <v>1001921</v>
      </c>
      <c r="B893" s="7" t="s">
        <v>894</v>
      </c>
      <c r="C893" s="14">
        <v>124.33999999999999</v>
      </c>
      <c r="D893" s="14">
        <v>124.33999999999999</v>
      </c>
      <c r="E893" s="14">
        <f t="shared" si="13"/>
        <v>124.33999999999999</v>
      </c>
    </row>
    <row r="894" spans="1:5" x14ac:dyDescent="0.3">
      <c r="A894" s="7">
        <v>1001922</v>
      </c>
      <c r="B894" s="7" t="s">
        <v>895</v>
      </c>
      <c r="C894" s="14">
        <v>212.28000000000003</v>
      </c>
      <c r="D894" s="14">
        <v>212.28000000000003</v>
      </c>
      <c r="E894" s="14">
        <f t="shared" si="13"/>
        <v>212.28000000000003</v>
      </c>
    </row>
    <row r="895" spans="1:5" x14ac:dyDescent="0.3">
      <c r="A895" s="7">
        <v>1001925</v>
      </c>
      <c r="B895" s="7" t="s">
        <v>896</v>
      </c>
      <c r="C895" s="14">
        <v>23.3333333333333</v>
      </c>
      <c r="D895" s="14">
        <v>0</v>
      </c>
      <c r="E895" s="14">
        <f t="shared" si="13"/>
        <v>23.3333333333333</v>
      </c>
    </row>
    <row r="896" spans="1:5" x14ac:dyDescent="0.3">
      <c r="A896" s="7">
        <v>1001926</v>
      </c>
      <c r="B896" s="7" t="s">
        <v>897</v>
      </c>
      <c r="C896" s="14">
        <v>30</v>
      </c>
      <c r="D896" s="14">
        <v>0</v>
      </c>
      <c r="E896" s="14">
        <f t="shared" si="13"/>
        <v>30</v>
      </c>
    </row>
    <row r="897" spans="1:5" x14ac:dyDescent="0.3">
      <c r="A897" s="7">
        <v>1001927</v>
      </c>
      <c r="B897" s="7" t="s">
        <v>898</v>
      </c>
      <c r="C897" s="14">
        <v>26</v>
      </c>
      <c r="D897" s="14">
        <v>0</v>
      </c>
      <c r="E897" s="14">
        <f t="shared" si="13"/>
        <v>26</v>
      </c>
    </row>
    <row r="898" spans="1:5" x14ac:dyDescent="0.3">
      <c r="A898" s="7">
        <v>1001928</v>
      </c>
      <c r="B898" s="7" t="s">
        <v>899</v>
      </c>
      <c r="C898" s="14">
        <v>260.98265362318801</v>
      </c>
      <c r="D898" s="14">
        <v>0</v>
      </c>
      <c r="E898" s="14">
        <f t="shared" si="13"/>
        <v>260.98265362318801</v>
      </c>
    </row>
    <row r="899" spans="1:5" x14ac:dyDescent="0.3">
      <c r="A899" s="7">
        <v>1001930</v>
      </c>
      <c r="B899" s="7" t="s">
        <v>900</v>
      </c>
      <c r="C899" s="14">
        <v>1267.4970385397867</v>
      </c>
      <c r="D899" s="14">
        <v>1267.4970062111802</v>
      </c>
      <c r="E899" s="14">
        <f t="shared" ref="E899:E962" si="14">+MAX(C899, D899)</f>
        <v>1267.4970385397867</v>
      </c>
    </row>
    <row r="900" spans="1:5" x14ac:dyDescent="0.3">
      <c r="A900" s="7">
        <v>1001933</v>
      </c>
      <c r="B900" s="7" t="s">
        <v>901</v>
      </c>
      <c r="C900" s="14">
        <v>378.10743735599078</v>
      </c>
      <c r="D900" s="14">
        <v>0</v>
      </c>
      <c r="E900" s="14">
        <f t="shared" si="14"/>
        <v>378.10743735599078</v>
      </c>
    </row>
    <row r="901" spans="1:5" x14ac:dyDescent="0.3">
      <c r="A901" s="7">
        <v>1001934</v>
      </c>
      <c r="B901" s="7" t="s">
        <v>902</v>
      </c>
      <c r="C901" s="14">
        <v>22.1428571428571</v>
      </c>
      <c r="D901" s="14">
        <v>0</v>
      </c>
      <c r="E901" s="14">
        <f t="shared" si="14"/>
        <v>22.1428571428571</v>
      </c>
    </row>
    <row r="902" spans="1:5" x14ac:dyDescent="0.3">
      <c r="A902" s="7">
        <v>1001936</v>
      </c>
      <c r="B902" s="7" t="s">
        <v>903</v>
      </c>
      <c r="C902" s="14">
        <v>580.35975384615404</v>
      </c>
      <c r="D902" s="14">
        <v>580.36</v>
      </c>
      <c r="E902" s="14">
        <f t="shared" si="14"/>
        <v>580.36</v>
      </c>
    </row>
    <row r="903" spans="1:5" x14ac:dyDescent="0.3">
      <c r="A903" s="7">
        <v>1001937</v>
      </c>
      <c r="B903" s="7" t="s">
        <v>904</v>
      </c>
      <c r="C903" s="14">
        <v>51.300981818181803</v>
      </c>
      <c r="D903" s="14">
        <v>0</v>
      </c>
      <c r="E903" s="14">
        <f t="shared" si="14"/>
        <v>51.300981818181803</v>
      </c>
    </row>
    <row r="904" spans="1:5" x14ac:dyDescent="0.3">
      <c r="A904" s="7">
        <v>1001938</v>
      </c>
      <c r="B904" s="7" t="s">
        <v>905</v>
      </c>
      <c r="C904" s="14">
        <v>301.608</v>
      </c>
      <c r="D904" s="14">
        <v>0</v>
      </c>
      <c r="E904" s="14">
        <f t="shared" si="14"/>
        <v>301.608</v>
      </c>
    </row>
    <row r="905" spans="1:5" x14ac:dyDescent="0.3">
      <c r="A905" s="7">
        <v>1001939</v>
      </c>
      <c r="B905" s="7" t="s">
        <v>906</v>
      </c>
      <c r="C905" s="14">
        <v>1091.5487796735899</v>
      </c>
      <c r="D905" s="14">
        <v>0</v>
      </c>
      <c r="E905" s="14">
        <f t="shared" si="14"/>
        <v>1091.5487796735899</v>
      </c>
    </row>
    <row r="906" spans="1:5" x14ac:dyDescent="0.3">
      <c r="A906" s="7">
        <v>1001940</v>
      </c>
      <c r="B906" s="7" t="s">
        <v>907</v>
      </c>
      <c r="C906" s="14">
        <v>410.32309999999995</v>
      </c>
      <c r="D906" s="14">
        <v>0</v>
      </c>
      <c r="E906" s="14">
        <f t="shared" si="14"/>
        <v>410.32309999999995</v>
      </c>
    </row>
    <row r="907" spans="1:5" x14ac:dyDescent="0.3">
      <c r="A907" s="7">
        <v>1001941</v>
      </c>
      <c r="B907" s="7" t="s">
        <v>908</v>
      </c>
      <c r="C907" s="14">
        <v>50</v>
      </c>
      <c r="D907" s="14">
        <v>0</v>
      </c>
      <c r="E907" s="14">
        <f t="shared" si="14"/>
        <v>50</v>
      </c>
    </row>
    <row r="908" spans="1:5" x14ac:dyDescent="0.3">
      <c r="A908" s="7">
        <v>1001942</v>
      </c>
      <c r="B908" s="7" t="s">
        <v>909</v>
      </c>
      <c r="C908" s="14">
        <v>4.96428571428571</v>
      </c>
      <c r="D908" s="14">
        <v>0</v>
      </c>
      <c r="E908" s="14">
        <f t="shared" si="14"/>
        <v>4.96428571428571</v>
      </c>
    </row>
    <row r="909" spans="1:5" x14ac:dyDescent="0.3">
      <c r="A909" s="7">
        <v>1001943</v>
      </c>
      <c r="B909" s="7" t="s">
        <v>910</v>
      </c>
      <c r="C909" s="14">
        <v>25.066398466439789</v>
      </c>
      <c r="D909" s="14">
        <v>25.066398467432951</v>
      </c>
      <c r="E909" s="14">
        <f t="shared" si="14"/>
        <v>25.066398467432951</v>
      </c>
    </row>
    <row r="910" spans="1:5" x14ac:dyDescent="0.3">
      <c r="A910" s="7">
        <v>1001945</v>
      </c>
      <c r="B910" s="7" t="s">
        <v>911</v>
      </c>
      <c r="C910" s="14">
        <v>12.6421129069151</v>
      </c>
      <c r="D910" s="14">
        <v>0</v>
      </c>
      <c r="E910" s="14">
        <f t="shared" si="14"/>
        <v>12.6421129069151</v>
      </c>
    </row>
    <row r="911" spans="1:5" x14ac:dyDescent="0.3">
      <c r="A911" s="7">
        <v>1001948</v>
      </c>
      <c r="B911" s="7" t="s">
        <v>912</v>
      </c>
      <c r="C911" s="14">
        <v>2.259245068823613</v>
      </c>
      <c r="D911" s="14">
        <v>2.2592459070613526</v>
      </c>
      <c r="E911" s="14">
        <f t="shared" si="14"/>
        <v>2.2592459070613526</v>
      </c>
    </row>
    <row r="912" spans="1:5" x14ac:dyDescent="0.3">
      <c r="A912" s="7">
        <v>1001949</v>
      </c>
      <c r="B912" s="7" t="s">
        <v>913</v>
      </c>
      <c r="C912" s="14">
        <v>234.76</v>
      </c>
      <c r="D912" s="14">
        <v>0</v>
      </c>
      <c r="E912" s="14">
        <f t="shared" si="14"/>
        <v>234.76</v>
      </c>
    </row>
    <row r="913" spans="1:5" x14ac:dyDescent="0.3">
      <c r="A913" s="7">
        <v>1001950</v>
      </c>
      <c r="B913" s="7" t="s">
        <v>914</v>
      </c>
      <c r="C913" s="14">
        <v>3588.5833333333298</v>
      </c>
      <c r="D913" s="14">
        <v>0</v>
      </c>
      <c r="E913" s="14">
        <f t="shared" si="14"/>
        <v>3588.5833333333298</v>
      </c>
    </row>
    <row r="914" spans="1:5" x14ac:dyDescent="0.3">
      <c r="A914" s="7">
        <v>1001952</v>
      </c>
      <c r="B914" s="7" t="s">
        <v>915</v>
      </c>
      <c r="C914" s="14">
        <v>2600.3254987212276</v>
      </c>
      <c r="D914" s="14">
        <v>2600.3254901960786</v>
      </c>
      <c r="E914" s="14">
        <f t="shared" si="14"/>
        <v>2600.3254987212276</v>
      </c>
    </row>
    <row r="915" spans="1:5" x14ac:dyDescent="0.3">
      <c r="A915" s="7">
        <v>1001953</v>
      </c>
      <c r="B915" s="7" t="s">
        <v>916</v>
      </c>
      <c r="C915" s="14">
        <v>105.02</v>
      </c>
      <c r="D915" s="14">
        <v>0</v>
      </c>
      <c r="E915" s="14">
        <f t="shared" si="14"/>
        <v>105.02</v>
      </c>
    </row>
    <row r="916" spans="1:5" x14ac:dyDescent="0.3">
      <c r="A916" s="7">
        <v>1001955</v>
      </c>
      <c r="B916" s="7" t="s">
        <v>917</v>
      </c>
      <c r="C916" s="14">
        <v>1365.9771369980499</v>
      </c>
      <c r="D916" s="14">
        <v>220.70213706293706</v>
      </c>
      <c r="E916" s="14">
        <f t="shared" si="14"/>
        <v>1365.9771369980499</v>
      </c>
    </row>
    <row r="917" spans="1:5" x14ac:dyDescent="0.3">
      <c r="A917" s="28">
        <v>1001956</v>
      </c>
      <c r="B917" s="28" t="s">
        <v>918</v>
      </c>
      <c r="C917" s="14">
        <v>990.10408263894169</v>
      </c>
      <c r="D917" s="14">
        <v>245.66685796269726</v>
      </c>
      <c r="E917" s="14">
        <f t="shared" si="14"/>
        <v>990.10408263894169</v>
      </c>
    </row>
    <row r="918" spans="1:5" x14ac:dyDescent="0.3">
      <c r="A918" s="7">
        <v>1001959</v>
      </c>
      <c r="B918" s="7" t="s">
        <v>919</v>
      </c>
      <c r="C918" s="14">
        <v>119.48</v>
      </c>
      <c r="D918" s="14">
        <v>58.357999999999997</v>
      </c>
      <c r="E918" s="14">
        <f t="shared" si="14"/>
        <v>119.48</v>
      </c>
    </row>
    <row r="919" spans="1:5" x14ac:dyDescent="0.3">
      <c r="A919" s="7">
        <v>1001960</v>
      </c>
      <c r="B919" s="7" t="s">
        <v>920</v>
      </c>
      <c r="C919" s="14">
        <v>1342.00545454545</v>
      </c>
      <c r="D919" s="14">
        <v>0</v>
      </c>
      <c r="E919" s="14">
        <f t="shared" si="14"/>
        <v>1342.00545454545</v>
      </c>
    </row>
    <row r="920" spans="1:5" x14ac:dyDescent="0.3">
      <c r="A920" s="7">
        <v>1001964</v>
      </c>
      <c r="B920" s="7" t="s">
        <v>921</v>
      </c>
      <c r="C920" s="14">
        <v>0</v>
      </c>
      <c r="D920" s="14">
        <v>0</v>
      </c>
      <c r="E920" s="14">
        <f t="shared" si="14"/>
        <v>0</v>
      </c>
    </row>
    <row r="921" spans="1:5" x14ac:dyDescent="0.3">
      <c r="A921" s="7">
        <v>1001966</v>
      </c>
      <c r="B921" s="7" t="s">
        <v>922</v>
      </c>
      <c r="C921" s="14">
        <v>4248</v>
      </c>
      <c r="D921" s="14">
        <v>0</v>
      </c>
      <c r="E921" s="14">
        <f t="shared" si="14"/>
        <v>4248</v>
      </c>
    </row>
    <row r="922" spans="1:5" x14ac:dyDescent="0.3">
      <c r="A922" s="7">
        <v>1001967</v>
      </c>
      <c r="B922" s="7" t="s">
        <v>923</v>
      </c>
      <c r="C922" s="14">
        <v>1152.1924071856299</v>
      </c>
      <c r="D922" s="14">
        <v>0</v>
      </c>
      <c r="E922" s="14">
        <f t="shared" si="14"/>
        <v>1152.1924071856299</v>
      </c>
    </row>
    <row r="923" spans="1:5" x14ac:dyDescent="0.3">
      <c r="A923" s="7">
        <v>1001968</v>
      </c>
      <c r="B923" s="7" t="s">
        <v>924</v>
      </c>
      <c r="C923" s="14">
        <v>72.697176683809005</v>
      </c>
      <c r="D923" s="14">
        <v>44.84</v>
      </c>
      <c r="E923" s="14">
        <f t="shared" si="14"/>
        <v>72.697176683809005</v>
      </c>
    </row>
    <row r="924" spans="1:5" x14ac:dyDescent="0.3">
      <c r="A924" s="7">
        <v>1001970</v>
      </c>
      <c r="B924" s="7" t="s">
        <v>925</v>
      </c>
      <c r="C924" s="14">
        <v>269.23472409909925</v>
      </c>
      <c r="D924" s="14">
        <v>96.122857142857143</v>
      </c>
      <c r="E924" s="14">
        <f t="shared" si="14"/>
        <v>269.23472409909925</v>
      </c>
    </row>
    <row r="925" spans="1:5" x14ac:dyDescent="0.3">
      <c r="A925" s="7">
        <v>1001971</v>
      </c>
      <c r="B925" s="7" t="s">
        <v>926</v>
      </c>
      <c r="C925" s="14">
        <v>1572.36</v>
      </c>
      <c r="D925" s="14">
        <v>0</v>
      </c>
      <c r="E925" s="14">
        <f t="shared" si="14"/>
        <v>1572.36</v>
      </c>
    </row>
    <row r="926" spans="1:5" x14ac:dyDescent="0.3">
      <c r="A926" s="7">
        <v>1001972</v>
      </c>
      <c r="B926" s="7" t="s">
        <v>927</v>
      </c>
      <c r="C926" s="14">
        <v>812.86916264687704</v>
      </c>
      <c r="D926" s="14">
        <v>0</v>
      </c>
      <c r="E926" s="14">
        <f t="shared" si="14"/>
        <v>812.86916264687704</v>
      </c>
    </row>
    <row r="927" spans="1:5" x14ac:dyDescent="0.3">
      <c r="A927" s="7">
        <v>1001973</v>
      </c>
      <c r="B927" s="7" t="s">
        <v>928</v>
      </c>
      <c r="C927" s="14">
        <v>106.2</v>
      </c>
      <c r="D927" s="14">
        <v>109.87508196721311</v>
      </c>
      <c r="E927" s="14">
        <f t="shared" si="14"/>
        <v>109.87508196721311</v>
      </c>
    </row>
    <row r="928" spans="1:5" x14ac:dyDescent="0.3">
      <c r="A928" s="7">
        <v>1001975</v>
      </c>
      <c r="B928" s="7" t="s">
        <v>929</v>
      </c>
      <c r="C928" s="14">
        <v>40.80274457801341</v>
      </c>
      <c r="D928" s="14">
        <v>40.832119963369962</v>
      </c>
      <c r="E928" s="14">
        <f t="shared" si="14"/>
        <v>40.832119963369962</v>
      </c>
    </row>
    <row r="929" spans="1:5" x14ac:dyDescent="0.3">
      <c r="A929" s="7">
        <v>1001976</v>
      </c>
      <c r="B929" s="7" t="s">
        <v>930</v>
      </c>
      <c r="C929" s="14">
        <v>765.30738773686005</v>
      </c>
      <c r="D929" s="14">
        <v>0</v>
      </c>
      <c r="E929" s="14">
        <f t="shared" si="14"/>
        <v>765.30738773686005</v>
      </c>
    </row>
    <row r="930" spans="1:5" x14ac:dyDescent="0.3">
      <c r="A930" s="7">
        <v>1001977</v>
      </c>
      <c r="B930" s="7" t="s">
        <v>931</v>
      </c>
      <c r="C930" s="14">
        <v>1358.9214285714299</v>
      </c>
      <c r="D930" s="14">
        <v>0</v>
      </c>
      <c r="E930" s="14">
        <f t="shared" si="14"/>
        <v>1358.9214285714299</v>
      </c>
    </row>
    <row r="931" spans="1:5" x14ac:dyDescent="0.3">
      <c r="A931" s="7">
        <v>1001978</v>
      </c>
      <c r="B931" s="7" t="s">
        <v>932</v>
      </c>
      <c r="C931" s="14">
        <v>1591.4178947368421</v>
      </c>
      <c r="D931" s="14">
        <v>1591.4175</v>
      </c>
      <c r="E931" s="14">
        <f t="shared" si="14"/>
        <v>1591.4178947368421</v>
      </c>
    </row>
    <row r="932" spans="1:5" x14ac:dyDescent="0.3">
      <c r="A932" s="7">
        <v>1001980</v>
      </c>
      <c r="B932" s="7" t="s">
        <v>933</v>
      </c>
      <c r="C932" s="14">
        <v>0</v>
      </c>
      <c r="D932" s="14">
        <v>0</v>
      </c>
      <c r="E932" s="14">
        <f t="shared" si="14"/>
        <v>0</v>
      </c>
    </row>
    <row r="933" spans="1:5" x14ac:dyDescent="0.3">
      <c r="A933" s="7">
        <v>1001982</v>
      </c>
      <c r="B933" s="7" t="s">
        <v>934</v>
      </c>
      <c r="C933" s="14">
        <v>335.97623327044101</v>
      </c>
      <c r="D933" s="14">
        <v>0</v>
      </c>
      <c r="E933" s="14">
        <f t="shared" si="14"/>
        <v>335.97623327044101</v>
      </c>
    </row>
    <row r="934" spans="1:5" x14ac:dyDescent="0.3">
      <c r="A934" s="7">
        <v>1001985</v>
      </c>
      <c r="B934" s="7" t="s">
        <v>935</v>
      </c>
      <c r="C934" s="14">
        <v>0</v>
      </c>
      <c r="D934" s="14">
        <v>0</v>
      </c>
      <c r="E934" s="14">
        <f t="shared" si="14"/>
        <v>0</v>
      </c>
    </row>
    <row r="935" spans="1:5" x14ac:dyDescent="0.3">
      <c r="A935" s="7">
        <v>1001986</v>
      </c>
      <c r="B935" s="7" t="s">
        <v>936</v>
      </c>
      <c r="C935" s="14">
        <v>1.46</v>
      </c>
      <c r="D935" s="14">
        <v>0</v>
      </c>
      <c r="E935" s="14">
        <f t="shared" si="14"/>
        <v>1.46</v>
      </c>
    </row>
    <row r="936" spans="1:5" x14ac:dyDescent="0.3">
      <c r="A936" s="7">
        <v>1001987</v>
      </c>
      <c r="B936" s="7" t="s">
        <v>937</v>
      </c>
      <c r="C936" s="14">
        <v>4.5193998796320178</v>
      </c>
      <c r="D936" s="14">
        <v>4.5193998683096606</v>
      </c>
      <c r="E936" s="14">
        <f t="shared" si="14"/>
        <v>4.5193998796320178</v>
      </c>
    </row>
    <row r="937" spans="1:5" x14ac:dyDescent="0.3">
      <c r="A937" s="7">
        <v>1001989</v>
      </c>
      <c r="B937" s="7" t="s">
        <v>938</v>
      </c>
      <c r="C937" s="14">
        <v>4.5725950978025596</v>
      </c>
      <c r="D937" s="14">
        <v>0</v>
      </c>
      <c r="E937" s="14">
        <f t="shared" si="14"/>
        <v>4.5725950978025596</v>
      </c>
    </row>
    <row r="938" spans="1:5" x14ac:dyDescent="0.3">
      <c r="A938" s="7">
        <v>1001990</v>
      </c>
      <c r="B938" s="7" t="s">
        <v>939</v>
      </c>
      <c r="C938" s="14">
        <v>3.1152000000000002</v>
      </c>
      <c r="D938" s="14">
        <v>3.1151986970684038</v>
      </c>
      <c r="E938" s="14">
        <f t="shared" si="14"/>
        <v>3.1152000000000002</v>
      </c>
    </row>
    <row r="939" spans="1:5" x14ac:dyDescent="0.3">
      <c r="A939" s="7">
        <v>1001994</v>
      </c>
      <c r="B939" s="7" t="s">
        <v>940</v>
      </c>
      <c r="C939" s="14">
        <v>5083.77264731589</v>
      </c>
      <c r="D939" s="14">
        <v>0</v>
      </c>
      <c r="E939" s="14">
        <f t="shared" si="14"/>
        <v>5083.77264731589</v>
      </c>
    </row>
    <row r="940" spans="1:5" x14ac:dyDescent="0.3">
      <c r="A940" s="7">
        <v>1001998</v>
      </c>
      <c r="B940" s="7" t="s">
        <v>941</v>
      </c>
      <c r="C940" s="14">
        <v>1493.6977856547392</v>
      </c>
      <c r="D940" s="14">
        <v>1297.5834863523573</v>
      </c>
      <c r="E940" s="14">
        <f t="shared" si="14"/>
        <v>1493.6977856547392</v>
      </c>
    </row>
    <row r="941" spans="1:5" x14ac:dyDescent="0.3">
      <c r="A941" s="7">
        <v>1001999</v>
      </c>
      <c r="B941" s="7" t="s">
        <v>942</v>
      </c>
      <c r="C941" s="14">
        <v>1371.3</v>
      </c>
      <c r="D941" s="14">
        <v>1652</v>
      </c>
      <c r="E941" s="14">
        <f t="shared" si="14"/>
        <v>1652</v>
      </c>
    </row>
    <row r="942" spans="1:5" x14ac:dyDescent="0.3">
      <c r="A942" s="7">
        <v>1002003</v>
      </c>
      <c r="B942" s="7" t="s">
        <v>943</v>
      </c>
      <c r="C942" s="14">
        <v>764.73849391124884</v>
      </c>
      <c r="D942" s="14">
        <v>0</v>
      </c>
      <c r="E942" s="14">
        <f t="shared" si="14"/>
        <v>764.73849391124884</v>
      </c>
    </row>
    <row r="943" spans="1:5" x14ac:dyDescent="0.3">
      <c r="A943" s="7">
        <v>1002008</v>
      </c>
      <c r="B943" s="7" t="s">
        <v>944</v>
      </c>
      <c r="C943" s="14">
        <v>2.9780848060530514</v>
      </c>
      <c r="D943" s="14">
        <v>4.4250017699115043</v>
      </c>
      <c r="E943" s="14">
        <f t="shared" si="14"/>
        <v>4.4250017699115043</v>
      </c>
    </row>
    <row r="944" spans="1:5" x14ac:dyDescent="0.3">
      <c r="A944" s="7">
        <v>1002010</v>
      </c>
      <c r="B944" s="7" t="s">
        <v>945</v>
      </c>
      <c r="C944" s="14">
        <v>966.25592326869969</v>
      </c>
      <c r="D944" s="14">
        <v>0</v>
      </c>
      <c r="E944" s="14">
        <f t="shared" si="14"/>
        <v>966.25592326869969</v>
      </c>
    </row>
    <row r="945" spans="1:5" x14ac:dyDescent="0.3">
      <c r="A945" s="7">
        <v>1002012</v>
      </c>
      <c r="B945" s="7" t="s">
        <v>946</v>
      </c>
      <c r="C945" s="14">
        <v>1</v>
      </c>
      <c r="D945" s="14">
        <v>0</v>
      </c>
      <c r="E945" s="14">
        <f t="shared" si="14"/>
        <v>1</v>
      </c>
    </row>
    <row r="946" spans="1:5" x14ac:dyDescent="0.3">
      <c r="A946" s="7">
        <v>1002013</v>
      </c>
      <c r="B946" s="7" t="s">
        <v>947</v>
      </c>
      <c r="C946" s="14">
        <v>0.77777777777777801</v>
      </c>
      <c r="D946" s="14">
        <v>0</v>
      </c>
      <c r="E946" s="14">
        <f t="shared" si="14"/>
        <v>0.77777777777777801</v>
      </c>
    </row>
    <row r="947" spans="1:5" x14ac:dyDescent="0.3">
      <c r="A947" s="7">
        <v>1002015</v>
      </c>
      <c r="B947" s="7" t="s">
        <v>948</v>
      </c>
      <c r="C947" s="14">
        <v>94.05</v>
      </c>
      <c r="D947" s="14">
        <v>0</v>
      </c>
      <c r="E947" s="14">
        <f t="shared" si="14"/>
        <v>94.05</v>
      </c>
    </row>
    <row r="948" spans="1:5" x14ac:dyDescent="0.3">
      <c r="A948" s="7">
        <v>1002016</v>
      </c>
      <c r="B948" s="7" t="s">
        <v>949</v>
      </c>
      <c r="C948" s="14">
        <v>434.37178569134699</v>
      </c>
      <c r="D948" s="14">
        <v>0</v>
      </c>
      <c r="E948" s="14">
        <f t="shared" si="14"/>
        <v>434.37178569134699</v>
      </c>
    </row>
    <row r="949" spans="1:5" x14ac:dyDescent="0.3">
      <c r="A949" s="7">
        <v>1002019</v>
      </c>
      <c r="B949" s="7" t="s">
        <v>950</v>
      </c>
      <c r="C949" s="14">
        <v>146.75674854625188</v>
      </c>
      <c r="D949" s="14">
        <v>179.61606</v>
      </c>
      <c r="E949" s="14">
        <f t="shared" si="14"/>
        <v>179.61606</v>
      </c>
    </row>
    <row r="950" spans="1:5" x14ac:dyDescent="0.3">
      <c r="A950" s="7">
        <v>1002020</v>
      </c>
      <c r="B950" s="7" t="s">
        <v>951</v>
      </c>
      <c r="C950" s="14">
        <v>296.64500653708023</v>
      </c>
      <c r="D950" s="14">
        <v>215.59818896822932</v>
      </c>
      <c r="E950" s="14">
        <f t="shared" si="14"/>
        <v>296.64500653708023</v>
      </c>
    </row>
    <row r="951" spans="1:5" x14ac:dyDescent="0.3">
      <c r="A951" s="7">
        <v>1002021</v>
      </c>
      <c r="B951" s="7" t="s">
        <v>952</v>
      </c>
      <c r="C951" s="14">
        <v>1562.7605997855001</v>
      </c>
      <c r="D951" s="14">
        <v>0</v>
      </c>
      <c r="E951" s="14">
        <f t="shared" si="14"/>
        <v>1562.7605997855001</v>
      </c>
    </row>
    <row r="952" spans="1:5" x14ac:dyDescent="0.3">
      <c r="A952" s="7">
        <v>1002022</v>
      </c>
      <c r="B952" s="7" t="s">
        <v>953</v>
      </c>
      <c r="C952" s="14">
        <v>2205.30125</v>
      </c>
      <c r="D952" s="14">
        <v>0</v>
      </c>
      <c r="E952" s="14">
        <f t="shared" si="14"/>
        <v>2205.30125</v>
      </c>
    </row>
    <row r="953" spans="1:5" x14ac:dyDescent="0.3">
      <c r="A953" s="7">
        <v>1002023</v>
      </c>
      <c r="B953" s="7" t="s">
        <v>954</v>
      </c>
      <c r="C953" s="14">
        <v>478.72</v>
      </c>
      <c r="D953" s="14">
        <v>0</v>
      </c>
      <c r="E953" s="14">
        <f t="shared" si="14"/>
        <v>478.72</v>
      </c>
    </row>
    <row r="954" spans="1:5" x14ac:dyDescent="0.3">
      <c r="A954" s="7">
        <v>1002024</v>
      </c>
      <c r="B954" s="7" t="s">
        <v>955</v>
      </c>
      <c r="C954" s="14">
        <v>1599.358135927743</v>
      </c>
      <c r="D954" s="14">
        <v>582.87107601184607</v>
      </c>
      <c r="E954" s="14">
        <f t="shared" si="14"/>
        <v>1599.358135927743</v>
      </c>
    </row>
    <row r="955" spans="1:5" x14ac:dyDescent="0.3">
      <c r="A955" s="7">
        <v>1002028</v>
      </c>
      <c r="B955" s="7" t="s">
        <v>956</v>
      </c>
      <c r="C955" s="14">
        <v>1146.9314179273699</v>
      </c>
      <c r="D955" s="14">
        <v>309.21899869960987</v>
      </c>
      <c r="E955" s="14">
        <f t="shared" si="14"/>
        <v>1146.9314179273699</v>
      </c>
    </row>
    <row r="956" spans="1:5" x14ac:dyDescent="0.3">
      <c r="A956" s="7">
        <v>1002029</v>
      </c>
      <c r="B956" s="7" t="s">
        <v>957</v>
      </c>
      <c r="C956" s="14">
        <v>0.77777777777777801</v>
      </c>
      <c r="D956" s="14">
        <v>0</v>
      </c>
      <c r="E956" s="14">
        <f t="shared" si="14"/>
        <v>0.77777777777777801</v>
      </c>
    </row>
    <row r="957" spans="1:5" x14ac:dyDescent="0.3">
      <c r="A957" s="7">
        <v>1002031</v>
      </c>
      <c r="B957" s="7" t="s">
        <v>958</v>
      </c>
      <c r="C957" s="14">
        <v>0</v>
      </c>
      <c r="D957" s="14">
        <v>0</v>
      </c>
      <c r="E957" s="14">
        <f t="shared" si="14"/>
        <v>0</v>
      </c>
    </row>
    <row r="958" spans="1:5" x14ac:dyDescent="0.3">
      <c r="A958" s="7">
        <v>1002038</v>
      </c>
      <c r="B958" s="7" t="s">
        <v>959</v>
      </c>
      <c r="C958" s="14">
        <v>1482.29</v>
      </c>
      <c r="D958" s="14">
        <v>0</v>
      </c>
      <c r="E958" s="14">
        <f t="shared" si="14"/>
        <v>1482.29</v>
      </c>
    </row>
    <row r="959" spans="1:5" x14ac:dyDescent="0.3">
      <c r="A959" s="7">
        <v>1002039</v>
      </c>
      <c r="B959" s="7" t="s">
        <v>960</v>
      </c>
      <c r="C959" s="14">
        <v>1169.0261540959</v>
      </c>
      <c r="D959" s="14">
        <v>0</v>
      </c>
      <c r="E959" s="14">
        <f t="shared" si="14"/>
        <v>1169.0261540959</v>
      </c>
    </row>
    <row r="960" spans="1:5" x14ac:dyDescent="0.3">
      <c r="A960" s="7">
        <v>1002040</v>
      </c>
      <c r="B960" s="7" t="s">
        <v>961</v>
      </c>
      <c r="C960" s="14">
        <v>47.524499999999996</v>
      </c>
      <c r="D960" s="14">
        <v>68.61699999999999</v>
      </c>
      <c r="E960" s="14">
        <f t="shared" si="14"/>
        <v>68.61699999999999</v>
      </c>
    </row>
    <row r="961" spans="1:5" x14ac:dyDescent="0.3">
      <c r="A961" s="7">
        <v>1002048</v>
      </c>
      <c r="B961" s="7" t="s">
        <v>962</v>
      </c>
      <c r="C961" s="14">
        <v>0</v>
      </c>
      <c r="D961" s="14">
        <v>0</v>
      </c>
      <c r="E961" s="14">
        <f t="shared" si="14"/>
        <v>0</v>
      </c>
    </row>
    <row r="962" spans="1:5" x14ac:dyDescent="0.3">
      <c r="A962" s="7">
        <v>1002049</v>
      </c>
      <c r="B962" s="7" t="s">
        <v>963</v>
      </c>
      <c r="C962" s="14">
        <v>991.69999999999993</v>
      </c>
      <c r="D962" s="14">
        <v>991.69999999999993</v>
      </c>
      <c r="E962" s="14">
        <f t="shared" si="14"/>
        <v>991.69999999999993</v>
      </c>
    </row>
    <row r="963" spans="1:5" x14ac:dyDescent="0.3">
      <c r="A963" s="7">
        <v>1002050</v>
      </c>
      <c r="B963" s="7" t="s">
        <v>964</v>
      </c>
      <c r="C963" s="14">
        <v>81.154171929824543</v>
      </c>
      <c r="D963" s="14">
        <v>117.77021052631579</v>
      </c>
      <c r="E963" s="14">
        <f t="shared" ref="E963:E991" si="15">+MAX(C963, D963)</f>
        <v>117.77021052631579</v>
      </c>
    </row>
    <row r="964" spans="1:5" x14ac:dyDescent="0.3">
      <c r="A964" s="7">
        <v>1002051</v>
      </c>
      <c r="B964" s="7" t="s">
        <v>965</v>
      </c>
      <c r="C964" s="14">
        <v>135.24</v>
      </c>
      <c r="D964" s="14">
        <v>135.24</v>
      </c>
      <c r="E964" s="14">
        <f t="shared" si="15"/>
        <v>135.24</v>
      </c>
    </row>
    <row r="965" spans="1:5" x14ac:dyDescent="0.3">
      <c r="A965" s="7">
        <v>1002052</v>
      </c>
      <c r="B965" s="7" t="s">
        <v>966</v>
      </c>
      <c r="C965" s="14">
        <v>963.58465517241382</v>
      </c>
      <c r="D965" s="14">
        <v>963.58465517241382</v>
      </c>
      <c r="E965" s="14">
        <f t="shared" si="15"/>
        <v>963.58465517241382</v>
      </c>
    </row>
    <row r="966" spans="1:5" x14ac:dyDescent="0.3">
      <c r="A966" s="7">
        <v>1002053</v>
      </c>
      <c r="B966" s="7" t="s">
        <v>967</v>
      </c>
      <c r="C966" s="14">
        <v>30452.81</v>
      </c>
      <c r="D966" s="14">
        <v>0</v>
      </c>
      <c r="E966" s="14">
        <f t="shared" si="15"/>
        <v>30452.81</v>
      </c>
    </row>
    <row r="967" spans="1:5" x14ac:dyDescent="0.3">
      <c r="A967" s="7">
        <v>1002068</v>
      </c>
      <c r="B967" s="7" t="s">
        <v>968</v>
      </c>
      <c r="C967" s="14">
        <v>5758.73</v>
      </c>
      <c r="D967" s="14">
        <v>0</v>
      </c>
      <c r="E967" s="14">
        <f t="shared" si="15"/>
        <v>5758.73</v>
      </c>
    </row>
    <row r="968" spans="1:5" x14ac:dyDescent="0.3">
      <c r="A968" s="7">
        <v>1002069</v>
      </c>
      <c r="B968" s="7" t="s">
        <v>969</v>
      </c>
      <c r="C968" s="14">
        <v>5313.2940812013303</v>
      </c>
      <c r="D968" s="14">
        <v>0</v>
      </c>
      <c r="E968" s="14">
        <f t="shared" si="15"/>
        <v>5313.2940812013303</v>
      </c>
    </row>
    <row r="969" spans="1:5" x14ac:dyDescent="0.3">
      <c r="A969" s="7">
        <v>1002073</v>
      </c>
      <c r="B969" s="7" t="s">
        <v>970</v>
      </c>
      <c r="C969" s="14">
        <v>5583.89</v>
      </c>
      <c r="D969" s="14">
        <v>0</v>
      </c>
      <c r="E969" s="14">
        <f t="shared" si="15"/>
        <v>5583.89</v>
      </c>
    </row>
    <row r="970" spans="1:5" x14ac:dyDescent="0.3">
      <c r="A970" s="7">
        <v>1002074</v>
      </c>
      <c r="B970" s="7" t="s">
        <v>971</v>
      </c>
      <c r="C970" s="14">
        <v>10996.97</v>
      </c>
      <c r="D970" s="14">
        <v>0</v>
      </c>
      <c r="E970" s="14">
        <f t="shared" si="15"/>
        <v>10996.97</v>
      </c>
    </row>
    <row r="971" spans="1:5" x14ac:dyDescent="0.3">
      <c r="A971" s="7">
        <v>1002075</v>
      </c>
      <c r="B971" s="7" t="s">
        <v>972</v>
      </c>
      <c r="C971" s="14">
        <v>10996.97</v>
      </c>
      <c r="D971" s="14">
        <v>0</v>
      </c>
      <c r="E971" s="14">
        <f t="shared" si="15"/>
        <v>10996.97</v>
      </c>
    </row>
    <row r="972" spans="1:5" x14ac:dyDescent="0.3">
      <c r="A972" s="7">
        <v>1002076</v>
      </c>
      <c r="B972" s="7" t="s">
        <v>973</v>
      </c>
      <c r="C972" s="14">
        <v>147.918662222222</v>
      </c>
      <c r="D972" s="14">
        <v>0</v>
      </c>
      <c r="E972" s="14">
        <f t="shared" si="15"/>
        <v>147.918662222222</v>
      </c>
    </row>
    <row r="973" spans="1:5" x14ac:dyDescent="0.3">
      <c r="A973" s="7">
        <v>1002077</v>
      </c>
      <c r="B973" s="7" t="s">
        <v>974</v>
      </c>
      <c r="C973" s="14">
        <v>480.63308463315195</v>
      </c>
      <c r="D973" s="14">
        <v>310.40558536585365</v>
      </c>
      <c r="E973" s="14">
        <f t="shared" si="15"/>
        <v>480.63308463315195</v>
      </c>
    </row>
    <row r="974" spans="1:5" x14ac:dyDescent="0.3">
      <c r="A974" s="7">
        <v>1002079</v>
      </c>
      <c r="B974" s="7" t="s">
        <v>975</v>
      </c>
      <c r="C974" s="14">
        <v>0</v>
      </c>
      <c r="D974" s="14">
        <v>0</v>
      </c>
      <c r="E974" s="14">
        <f t="shared" si="15"/>
        <v>0</v>
      </c>
    </row>
    <row r="975" spans="1:5" x14ac:dyDescent="0.3">
      <c r="A975" s="7">
        <v>1002080</v>
      </c>
      <c r="B975" s="7" t="s">
        <v>976</v>
      </c>
      <c r="C975" s="14">
        <v>1909.42035087719</v>
      </c>
      <c r="D975" s="14">
        <v>0</v>
      </c>
      <c r="E975" s="14">
        <f t="shared" si="15"/>
        <v>1909.42035087719</v>
      </c>
    </row>
    <row r="976" spans="1:5" x14ac:dyDescent="0.3">
      <c r="A976" s="7">
        <v>1002082</v>
      </c>
      <c r="B976" s="7" t="s">
        <v>977</v>
      </c>
      <c r="C976" s="14">
        <v>1659.91264428107</v>
      </c>
      <c r="D976" s="14">
        <v>0</v>
      </c>
      <c r="E976" s="14">
        <f t="shared" si="15"/>
        <v>1659.91264428107</v>
      </c>
    </row>
    <row r="977" spans="1:27" x14ac:dyDescent="0.3">
      <c r="A977" s="7">
        <v>1002083</v>
      </c>
      <c r="B977" s="7" t="s">
        <v>978</v>
      </c>
      <c r="C977" s="14">
        <v>3100</v>
      </c>
      <c r="D977" s="14">
        <v>2056.6236709316995</v>
      </c>
      <c r="E977" s="14">
        <f t="shared" si="15"/>
        <v>3100</v>
      </c>
    </row>
    <row r="978" spans="1:27" x14ac:dyDescent="0.3">
      <c r="A978" s="7">
        <v>1002084</v>
      </c>
      <c r="B978" s="7" t="s">
        <v>979</v>
      </c>
      <c r="C978" s="14">
        <v>18565.106135416667</v>
      </c>
      <c r="D978" s="14">
        <v>0</v>
      </c>
      <c r="E978" s="14">
        <f t="shared" si="15"/>
        <v>18565.106135416667</v>
      </c>
    </row>
    <row r="979" spans="1:27" x14ac:dyDescent="0.3">
      <c r="A979" s="7">
        <v>1002085</v>
      </c>
      <c r="B979" s="7" t="s">
        <v>980</v>
      </c>
      <c r="C979" s="14">
        <v>2265.50073385013</v>
      </c>
      <c r="D979" s="14">
        <v>0</v>
      </c>
      <c r="E979" s="14">
        <f t="shared" si="15"/>
        <v>2265.50073385013</v>
      </c>
    </row>
    <row r="980" spans="1:27" x14ac:dyDescent="0.3">
      <c r="A980" s="7">
        <v>1002087</v>
      </c>
      <c r="B980" s="7" t="s">
        <v>981</v>
      </c>
      <c r="C980" s="14">
        <v>1272.5381463378701</v>
      </c>
      <c r="D980" s="14">
        <v>5767.356207792207</v>
      </c>
      <c r="E980" s="14">
        <f t="shared" si="15"/>
        <v>5767.356207792207</v>
      </c>
      <c r="F980" t="s">
        <v>3639</v>
      </c>
    </row>
    <row r="981" spans="1:27" x14ac:dyDescent="0.3">
      <c r="A981" s="7">
        <v>1002088</v>
      </c>
      <c r="B981" s="7" t="s">
        <v>982</v>
      </c>
      <c r="C981" s="14">
        <v>4833.6803710061513</v>
      </c>
      <c r="D981" s="14">
        <v>0</v>
      </c>
      <c r="E981" s="14">
        <f t="shared" si="15"/>
        <v>4833.6803710061513</v>
      </c>
    </row>
    <row r="982" spans="1:27" x14ac:dyDescent="0.3">
      <c r="A982" s="7">
        <v>1002089</v>
      </c>
      <c r="B982" s="7" t="s">
        <v>983</v>
      </c>
      <c r="C982" s="14">
        <v>1937.9574207297001</v>
      </c>
      <c r="D982" s="14">
        <v>0</v>
      </c>
      <c r="E982" s="14">
        <f t="shared" si="15"/>
        <v>1937.9574207297001</v>
      </c>
    </row>
    <row r="983" spans="1:27" x14ac:dyDescent="0.3">
      <c r="A983" s="7">
        <v>1002095</v>
      </c>
      <c r="B983" s="7" t="s">
        <v>984</v>
      </c>
      <c r="C983" s="14">
        <v>10281.369999999999</v>
      </c>
      <c r="D983" s="14">
        <v>0</v>
      </c>
      <c r="E983" s="14">
        <f t="shared" si="15"/>
        <v>10281.369999999999</v>
      </c>
    </row>
    <row r="984" spans="1:27" x14ac:dyDescent="0.3">
      <c r="A984" s="7">
        <v>1002097</v>
      </c>
      <c r="B984" s="7" t="s">
        <v>985</v>
      </c>
      <c r="C984" s="14">
        <v>15254.4743041208</v>
      </c>
      <c r="D984" s="14">
        <v>19092.293714285715</v>
      </c>
      <c r="E984" s="14">
        <f t="shared" si="15"/>
        <v>19092.293714285715</v>
      </c>
      <c r="G984">
        <v>1004813</v>
      </c>
      <c r="H984" t="s">
        <v>1453</v>
      </c>
      <c r="I984">
        <v>281</v>
      </c>
      <c r="J984">
        <v>1000</v>
      </c>
      <c r="K984">
        <v>2001</v>
      </c>
      <c r="L984">
        <v>10</v>
      </c>
      <c r="N984" s="10">
        <v>36461.65</v>
      </c>
      <c r="O984">
        <v>402820</v>
      </c>
      <c r="P984" t="s">
        <v>3650</v>
      </c>
      <c r="Q984">
        <v>4900670623</v>
      </c>
      <c r="R984" t="s">
        <v>3651</v>
      </c>
      <c r="T984" t="s">
        <v>3652</v>
      </c>
      <c r="W984" t="s">
        <v>3643</v>
      </c>
      <c r="X984" t="s">
        <v>3650</v>
      </c>
      <c r="Y984" t="s">
        <v>3650</v>
      </c>
      <c r="Z984" s="52">
        <v>0.47115740740740741</v>
      </c>
      <c r="AA984" t="s">
        <v>3644</v>
      </c>
    </row>
    <row r="985" spans="1:27" x14ac:dyDescent="0.3">
      <c r="A985" s="7">
        <v>1002098</v>
      </c>
      <c r="B985" s="7" t="s">
        <v>986</v>
      </c>
      <c r="C985" s="14">
        <v>21266.626139494801</v>
      </c>
      <c r="D985" s="14">
        <v>0</v>
      </c>
      <c r="E985" s="14">
        <f t="shared" si="15"/>
        <v>21266.626139494801</v>
      </c>
      <c r="L985">
        <f>+N984/L984</f>
        <v>3646.165</v>
      </c>
    </row>
    <row r="986" spans="1:27" x14ac:dyDescent="0.3">
      <c r="A986" s="7">
        <v>1002099</v>
      </c>
      <c r="B986" s="7" t="s">
        <v>987</v>
      </c>
      <c r="C986" s="14">
        <v>28000</v>
      </c>
      <c r="D986" s="14">
        <v>0</v>
      </c>
      <c r="E986" s="14">
        <f t="shared" si="15"/>
        <v>28000</v>
      </c>
    </row>
    <row r="987" spans="1:27" x14ac:dyDescent="0.3">
      <c r="A987" s="7">
        <v>1002100</v>
      </c>
      <c r="B987" s="7" t="s">
        <v>988</v>
      </c>
      <c r="C987" s="14">
        <v>28500</v>
      </c>
      <c r="D987" s="14">
        <v>27593.415000000001</v>
      </c>
      <c r="E987" s="14">
        <f t="shared" si="15"/>
        <v>28500</v>
      </c>
    </row>
    <row r="988" spans="1:27" x14ac:dyDescent="0.3">
      <c r="A988" s="7">
        <v>1002101</v>
      </c>
      <c r="B988" s="7" t="s">
        <v>989</v>
      </c>
      <c r="C988" s="14">
        <v>35203.22</v>
      </c>
      <c r="D988" s="14">
        <v>39646.106804979252</v>
      </c>
      <c r="E988" s="14">
        <f t="shared" si="15"/>
        <v>39646.106804979252</v>
      </c>
    </row>
    <row r="989" spans="1:27" x14ac:dyDescent="0.3">
      <c r="A989" s="7">
        <v>1002102</v>
      </c>
      <c r="B989" s="7" t="s">
        <v>990</v>
      </c>
      <c r="C989" s="14">
        <v>35203.22</v>
      </c>
      <c r="D989" s="14">
        <v>0</v>
      </c>
      <c r="E989" s="14">
        <f t="shared" si="15"/>
        <v>35203.22</v>
      </c>
    </row>
    <row r="990" spans="1:27" x14ac:dyDescent="0.3">
      <c r="A990" s="7">
        <v>1002103</v>
      </c>
      <c r="B990" s="7" t="s">
        <v>991</v>
      </c>
      <c r="C990" s="14">
        <v>37886.506886415402</v>
      </c>
      <c r="D990" s="14">
        <v>0</v>
      </c>
      <c r="E990" s="14">
        <f t="shared" si="15"/>
        <v>37886.506886415402</v>
      </c>
    </row>
    <row r="991" spans="1:27" x14ac:dyDescent="0.3">
      <c r="A991" s="7">
        <v>1002104</v>
      </c>
      <c r="B991" s="7" t="s">
        <v>992</v>
      </c>
      <c r="C991" s="14">
        <v>40997.8014422263</v>
      </c>
      <c r="D991" s="14">
        <v>0</v>
      </c>
      <c r="E991" s="14">
        <f t="shared" si="15"/>
        <v>40997.8014422263</v>
      </c>
    </row>
    <row r="992" spans="1:27" x14ac:dyDescent="0.3">
      <c r="A992" s="7">
        <v>1009796</v>
      </c>
      <c r="B992" s="7" t="s">
        <v>2010</v>
      </c>
      <c r="C992" s="14">
        <v>49135.943536585364</v>
      </c>
      <c r="D992" s="14">
        <v>0</v>
      </c>
      <c r="E992" s="14">
        <f>+MAX(C992, D992)</f>
        <v>49135.943536585364</v>
      </c>
    </row>
    <row r="993" spans="1:5" x14ac:dyDescent="0.3">
      <c r="A993" s="7">
        <v>1002105</v>
      </c>
      <c r="B993" s="7" t="s">
        <v>993</v>
      </c>
      <c r="C993" s="14">
        <v>15304.02</v>
      </c>
      <c r="D993" s="14">
        <v>0</v>
      </c>
      <c r="E993" s="14">
        <f t="shared" ref="E993:E1056" si="16">+MAX(C993, D993)</f>
        <v>15304.02</v>
      </c>
    </row>
    <row r="994" spans="1:5" x14ac:dyDescent="0.3">
      <c r="A994" s="7">
        <v>1002106</v>
      </c>
      <c r="B994" s="7" t="s">
        <v>994</v>
      </c>
      <c r="C994" s="14">
        <f>+C993-500</f>
        <v>14804.02</v>
      </c>
      <c r="D994" s="14">
        <v>0</v>
      </c>
      <c r="E994" s="14">
        <f t="shared" si="16"/>
        <v>14804.02</v>
      </c>
    </row>
    <row r="995" spans="1:5" x14ac:dyDescent="0.3">
      <c r="A995" s="7">
        <v>1002107</v>
      </c>
      <c r="B995" s="7" t="s">
        <v>995</v>
      </c>
      <c r="C995" s="14">
        <v>15304.02</v>
      </c>
      <c r="D995" s="14">
        <v>16520</v>
      </c>
      <c r="E995" s="14">
        <f t="shared" si="16"/>
        <v>16520</v>
      </c>
    </row>
    <row r="996" spans="1:5" x14ac:dyDescent="0.3">
      <c r="A996" s="7">
        <v>1002108</v>
      </c>
      <c r="B996" s="7" t="s">
        <v>996</v>
      </c>
      <c r="C996" s="14">
        <v>18500.519710775101</v>
      </c>
      <c r="D996" s="14">
        <v>0</v>
      </c>
      <c r="E996" s="14">
        <f t="shared" si="16"/>
        <v>18500.519710775101</v>
      </c>
    </row>
    <row r="997" spans="1:5" x14ac:dyDescent="0.3">
      <c r="A997" s="7">
        <v>1002109</v>
      </c>
      <c r="B997" s="7" t="s">
        <v>997</v>
      </c>
      <c r="C997" s="14">
        <v>24155.19</v>
      </c>
      <c r="D997" s="14">
        <v>28237.075714285711</v>
      </c>
      <c r="E997" s="14">
        <f t="shared" si="16"/>
        <v>28237.075714285711</v>
      </c>
    </row>
    <row r="998" spans="1:5" x14ac:dyDescent="0.3">
      <c r="A998" s="7">
        <v>1002110</v>
      </c>
      <c r="B998" s="7" t="s">
        <v>998</v>
      </c>
      <c r="C998" s="14">
        <v>29189.285381929101</v>
      </c>
      <c r="D998" s="14">
        <v>26768.686410714286</v>
      </c>
      <c r="E998" s="14">
        <f t="shared" si="16"/>
        <v>29189.285381929101</v>
      </c>
    </row>
    <row r="999" spans="1:5" x14ac:dyDescent="0.3">
      <c r="A999" s="7">
        <v>1002111</v>
      </c>
      <c r="B999" s="7" t="s">
        <v>999</v>
      </c>
      <c r="C999" s="14">
        <v>31000</v>
      </c>
      <c r="D999" s="14">
        <v>0</v>
      </c>
      <c r="E999" s="14">
        <f t="shared" si="16"/>
        <v>31000</v>
      </c>
    </row>
    <row r="1000" spans="1:5" x14ac:dyDescent="0.3">
      <c r="A1000" s="7">
        <v>1002112</v>
      </c>
      <c r="B1000" s="7" t="s">
        <v>1000</v>
      </c>
      <c r="C1000" s="14">
        <v>34608.574000000001</v>
      </c>
      <c r="D1000" s="14">
        <v>43070</v>
      </c>
      <c r="E1000" s="14">
        <f t="shared" si="16"/>
        <v>43070</v>
      </c>
    </row>
    <row r="1001" spans="1:5" x14ac:dyDescent="0.3">
      <c r="A1001" s="7">
        <v>1002113</v>
      </c>
      <c r="B1001" s="7" t="s">
        <v>1001</v>
      </c>
      <c r="C1001" s="14">
        <v>0</v>
      </c>
      <c r="D1001" s="14">
        <v>0</v>
      </c>
      <c r="E1001" s="14">
        <f t="shared" si="16"/>
        <v>0</v>
      </c>
    </row>
    <row r="1002" spans="1:5" x14ac:dyDescent="0.3">
      <c r="A1002" s="7">
        <v>1002116</v>
      </c>
      <c r="B1002" s="7" t="s">
        <v>1002</v>
      </c>
      <c r="C1002" s="14">
        <v>0</v>
      </c>
      <c r="D1002" s="14">
        <v>0</v>
      </c>
      <c r="E1002" s="14">
        <f t="shared" si="16"/>
        <v>0</v>
      </c>
    </row>
    <row r="1003" spans="1:5" x14ac:dyDescent="0.3">
      <c r="A1003" s="7">
        <v>1002117</v>
      </c>
      <c r="B1003" s="7" t="s">
        <v>1003</v>
      </c>
      <c r="C1003" s="14">
        <v>0</v>
      </c>
      <c r="D1003" s="14">
        <v>0</v>
      </c>
      <c r="E1003" s="14">
        <f t="shared" si="16"/>
        <v>0</v>
      </c>
    </row>
    <row r="1004" spans="1:5" x14ac:dyDescent="0.3">
      <c r="A1004" s="7">
        <v>1002118</v>
      </c>
      <c r="B1004" s="7" t="s">
        <v>1004</v>
      </c>
      <c r="C1004" s="14">
        <v>0</v>
      </c>
      <c r="D1004" s="14">
        <v>0</v>
      </c>
      <c r="E1004" s="14">
        <f t="shared" si="16"/>
        <v>0</v>
      </c>
    </row>
    <row r="1005" spans="1:5" x14ac:dyDescent="0.3">
      <c r="A1005" s="7">
        <v>1002119</v>
      </c>
      <c r="B1005" s="7" t="s">
        <v>1005</v>
      </c>
      <c r="C1005" s="14">
        <v>8000</v>
      </c>
      <c r="D1005" s="14">
        <v>0</v>
      </c>
      <c r="E1005" s="14">
        <f t="shared" si="16"/>
        <v>8000</v>
      </c>
    </row>
    <row r="1006" spans="1:5" x14ac:dyDescent="0.3">
      <c r="A1006" s="7">
        <v>1002120</v>
      </c>
      <c r="B1006" s="7" t="s">
        <v>1006</v>
      </c>
      <c r="C1006" s="14">
        <v>0</v>
      </c>
      <c r="D1006" s="14">
        <v>0</v>
      </c>
      <c r="E1006" s="14">
        <f t="shared" si="16"/>
        <v>0</v>
      </c>
    </row>
    <row r="1007" spans="1:5" x14ac:dyDescent="0.3">
      <c r="A1007" s="7">
        <v>1002121</v>
      </c>
      <c r="B1007" s="7" t="s">
        <v>1007</v>
      </c>
      <c r="C1007" s="14">
        <v>0</v>
      </c>
      <c r="D1007" s="14">
        <v>0</v>
      </c>
      <c r="E1007" s="14">
        <f t="shared" si="16"/>
        <v>0</v>
      </c>
    </row>
    <row r="1008" spans="1:5" x14ac:dyDescent="0.3">
      <c r="A1008" s="7">
        <v>1002122</v>
      </c>
      <c r="B1008" s="7" t="s">
        <v>1008</v>
      </c>
      <c r="C1008" s="14">
        <v>0</v>
      </c>
      <c r="D1008" s="14">
        <v>0</v>
      </c>
      <c r="E1008" s="14">
        <f t="shared" si="16"/>
        <v>0</v>
      </c>
    </row>
    <row r="1009" spans="1:5" x14ac:dyDescent="0.3">
      <c r="A1009" s="7">
        <v>1002124</v>
      </c>
      <c r="B1009" s="7" t="s">
        <v>1009</v>
      </c>
      <c r="C1009" s="14">
        <v>0</v>
      </c>
      <c r="D1009" s="14">
        <v>0</v>
      </c>
      <c r="E1009" s="14">
        <f t="shared" si="16"/>
        <v>0</v>
      </c>
    </row>
    <row r="1010" spans="1:5" x14ac:dyDescent="0.3">
      <c r="A1010" s="7">
        <v>1002125</v>
      </c>
      <c r="B1010" s="7" t="s">
        <v>1010</v>
      </c>
      <c r="C1010" s="14">
        <v>55000</v>
      </c>
      <c r="D1010" s="14">
        <v>0</v>
      </c>
      <c r="E1010" s="14">
        <f t="shared" si="16"/>
        <v>55000</v>
      </c>
    </row>
    <row r="1011" spans="1:5" x14ac:dyDescent="0.3">
      <c r="A1011" s="7">
        <v>1002127</v>
      </c>
      <c r="B1011" s="7" t="s">
        <v>1011</v>
      </c>
      <c r="C1011" s="14">
        <v>34810</v>
      </c>
      <c r="D1011" s="14">
        <v>34810</v>
      </c>
      <c r="E1011" s="14">
        <f t="shared" si="16"/>
        <v>34810</v>
      </c>
    </row>
    <row r="1012" spans="1:5" x14ac:dyDescent="0.3">
      <c r="A1012" s="7">
        <v>1002129</v>
      </c>
      <c r="B1012" s="7" t="s">
        <v>1012</v>
      </c>
      <c r="C1012" s="14">
        <v>60921.05</v>
      </c>
      <c r="D1012" s="14">
        <v>0</v>
      </c>
      <c r="E1012" s="14">
        <f t="shared" si="16"/>
        <v>60921.05</v>
      </c>
    </row>
    <row r="1013" spans="1:5" x14ac:dyDescent="0.3">
      <c r="A1013" s="7">
        <v>1002130</v>
      </c>
      <c r="B1013" s="7" t="s">
        <v>1013</v>
      </c>
      <c r="C1013" s="14">
        <v>5129.8222222222203</v>
      </c>
      <c r="D1013" s="14">
        <v>0</v>
      </c>
      <c r="E1013" s="14">
        <f t="shared" si="16"/>
        <v>5129.8222222222203</v>
      </c>
    </row>
    <row r="1014" spans="1:5" x14ac:dyDescent="0.3">
      <c r="A1014" s="7">
        <v>1002131</v>
      </c>
      <c r="B1014" s="7" t="s">
        <v>1014</v>
      </c>
      <c r="C1014" s="14">
        <v>585.00753841991354</v>
      </c>
      <c r="D1014" s="14">
        <v>629.54</v>
      </c>
      <c r="E1014" s="14">
        <f t="shared" si="16"/>
        <v>629.54</v>
      </c>
    </row>
    <row r="1015" spans="1:5" x14ac:dyDescent="0.3">
      <c r="A1015" s="7">
        <v>1002132</v>
      </c>
      <c r="B1015" s="7" t="s">
        <v>1015</v>
      </c>
      <c r="C1015" s="14">
        <v>69.143193717277484</v>
      </c>
      <c r="D1015" s="14">
        <v>69.143210526315784</v>
      </c>
      <c r="E1015" s="14">
        <f t="shared" si="16"/>
        <v>69.143210526315784</v>
      </c>
    </row>
    <row r="1016" spans="1:5" x14ac:dyDescent="0.3">
      <c r="A1016" s="7">
        <v>1002137</v>
      </c>
      <c r="B1016" s="7" t="s">
        <v>1016</v>
      </c>
      <c r="C1016" s="14">
        <v>158099.85775</v>
      </c>
      <c r="D1016" s="14">
        <v>172539.80624999999</v>
      </c>
      <c r="E1016" s="14">
        <f t="shared" si="16"/>
        <v>172539.80624999999</v>
      </c>
    </row>
    <row r="1017" spans="1:5" x14ac:dyDescent="0.3">
      <c r="A1017" s="7">
        <v>1002140</v>
      </c>
      <c r="B1017" s="7" t="s">
        <v>1017</v>
      </c>
      <c r="C1017" s="14">
        <v>63.839999999999996</v>
      </c>
      <c r="D1017" s="14">
        <v>486.5138297872341</v>
      </c>
      <c r="E1017" s="14">
        <f t="shared" si="16"/>
        <v>486.5138297872341</v>
      </c>
    </row>
    <row r="1018" spans="1:5" x14ac:dyDescent="0.3">
      <c r="A1018" s="7">
        <v>1002147</v>
      </c>
      <c r="B1018" s="7" t="s">
        <v>1018</v>
      </c>
      <c r="C1018" s="14">
        <v>28436.18</v>
      </c>
      <c r="D1018" s="14">
        <v>0</v>
      </c>
      <c r="E1018" s="14">
        <f t="shared" si="16"/>
        <v>28436.18</v>
      </c>
    </row>
    <row r="1019" spans="1:5" x14ac:dyDescent="0.3">
      <c r="A1019" s="7">
        <v>1002148</v>
      </c>
      <c r="B1019" s="7" t="s">
        <v>1019</v>
      </c>
      <c r="C1019" s="14">
        <v>7931.8999415296103</v>
      </c>
      <c r="D1019" s="14">
        <v>0</v>
      </c>
      <c r="E1019" s="14">
        <f t="shared" si="16"/>
        <v>7931.8999415296103</v>
      </c>
    </row>
    <row r="1020" spans="1:5" x14ac:dyDescent="0.3">
      <c r="A1020" s="7">
        <v>1002149</v>
      </c>
      <c r="B1020" s="7" t="s">
        <v>1020</v>
      </c>
      <c r="C1020" s="14">
        <v>9049.2672278684095</v>
      </c>
      <c r="D1020" s="14">
        <v>0</v>
      </c>
      <c r="E1020" s="14">
        <f t="shared" si="16"/>
        <v>9049.2672278684095</v>
      </c>
    </row>
    <row r="1021" spans="1:5" x14ac:dyDescent="0.3">
      <c r="A1021" s="7">
        <v>1002150</v>
      </c>
      <c r="B1021" s="7" t="s">
        <v>1021</v>
      </c>
      <c r="C1021" s="14">
        <v>10944.501474315115</v>
      </c>
      <c r="D1021" s="14">
        <v>12873.518965517243</v>
      </c>
      <c r="E1021" s="14">
        <f t="shared" si="16"/>
        <v>12873.518965517243</v>
      </c>
    </row>
    <row r="1022" spans="1:5" x14ac:dyDescent="0.3">
      <c r="A1022" s="7">
        <v>1002155</v>
      </c>
      <c r="B1022" s="7" t="s">
        <v>1022</v>
      </c>
      <c r="C1022" s="14">
        <v>18063.578644296591</v>
      </c>
      <c r="D1022" s="14">
        <v>0</v>
      </c>
      <c r="E1022" s="14">
        <f t="shared" si="16"/>
        <v>18063.578644296591</v>
      </c>
    </row>
    <row r="1023" spans="1:5" x14ac:dyDescent="0.3">
      <c r="A1023" s="7">
        <v>1002156</v>
      </c>
      <c r="B1023" s="7" t="s">
        <v>1023</v>
      </c>
      <c r="C1023" s="14">
        <v>13518.28</v>
      </c>
      <c r="D1023" s="14">
        <v>15281.944</v>
      </c>
      <c r="E1023" s="14">
        <f t="shared" si="16"/>
        <v>15281.944</v>
      </c>
    </row>
    <row r="1024" spans="1:5" x14ac:dyDescent="0.3">
      <c r="A1024" s="7">
        <v>1002158</v>
      </c>
      <c r="B1024" s="7" t="s">
        <v>1024</v>
      </c>
      <c r="C1024" s="14">
        <v>537202.07999999996</v>
      </c>
      <c r="D1024" s="14">
        <v>0</v>
      </c>
      <c r="E1024" s="14">
        <f t="shared" si="16"/>
        <v>537202.07999999996</v>
      </c>
    </row>
    <row r="1025" spans="1:5" x14ac:dyDescent="0.3">
      <c r="A1025" s="7">
        <v>1002159</v>
      </c>
      <c r="B1025" s="7" t="s">
        <v>1025</v>
      </c>
      <c r="C1025" s="14">
        <v>112949.79</v>
      </c>
      <c r="D1025" s="14">
        <v>0</v>
      </c>
      <c r="E1025" s="14">
        <f t="shared" si="16"/>
        <v>112949.79</v>
      </c>
    </row>
    <row r="1026" spans="1:5" x14ac:dyDescent="0.3">
      <c r="A1026" s="7">
        <v>1002171</v>
      </c>
      <c r="B1026" s="7" t="s">
        <v>1026</v>
      </c>
      <c r="C1026" s="14">
        <v>15114.5053691021</v>
      </c>
      <c r="D1026" s="14">
        <v>0</v>
      </c>
      <c r="E1026" s="14">
        <f t="shared" si="16"/>
        <v>15114.5053691021</v>
      </c>
    </row>
    <row r="1027" spans="1:5" x14ac:dyDescent="0.3">
      <c r="A1027" s="7">
        <v>1002172</v>
      </c>
      <c r="B1027" s="7" t="s">
        <v>1027</v>
      </c>
      <c r="C1027" s="14">
        <v>884.98517500000003</v>
      </c>
      <c r="D1027" s="14">
        <v>0</v>
      </c>
      <c r="E1027" s="14">
        <f t="shared" si="16"/>
        <v>884.98517500000003</v>
      </c>
    </row>
    <row r="1028" spans="1:5" x14ac:dyDescent="0.3">
      <c r="A1028" s="7">
        <v>1002174</v>
      </c>
      <c r="B1028" s="7" t="s">
        <v>1028</v>
      </c>
      <c r="C1028" s="14">
        <v>15156.2755</v>
      </c>
      <c r="D1028" s="14">
        <v>0</v>
      </c>
      <c r="E1028" s="14">
        <f t="shared" si="16"/>
        <v>15156.2755</v>
      </c>
    </row>
    <row r="1029" spans="1:5" x14ac:dyDescent="0.3">
      <c r="A1029" s="7">
        <v>1002182</v>
      </c>
      <c r="B1029" s="7" t="s">
        <v>1029</v>
      </c>
      <c r="C1029" s="14">
        <v>0</v>
      </c>
      <c r="D1029" s="14">
        <v>0</v>
      </c>
      <c r="E1029" s="14">
        <f t="shared" si="16"/>
        <v>0</v>
      </c>
    </row>
    <row r="1030" spans="1:5" x14ac:dyDescent="0.3">
      <c r="A1030" s="7">
        <v>1002183</v>
      </c>
      <c r="B1030" s="7" t="s">
        <v>1030</v>
      </c>
      <c r="C1030" s="14">
        <v>9.8498447872984212</v>
      </c>
      <c r="D1030" s="14">
        <v>11.66464267866067</v>
      </c>
      <c r="E1030" s="14">
        <f t="shared" si="16"/>
        <v>11.66464267866067</v>
      </c>
    </row>
    <row r="1031" spans="1:5" x14ac:dyDescent="0.3">
      <c r="A1031" s="7">
        <v>1002184</v>
      </c>
      <c r="B1031" s="7" t="s">
        <v>1031</v>
      </c>
      <c r="C1031" s="14">
        <v>13.335510407537233</v>
      </c>
      <c r="D1031" s="14">
        <v>12.32283422459893</v>
      </c>
      <c r="E1031" s="14">
        <f t="shared" si="16"/>
        <v>13.335510407537233</v>
      </c>
    </row>
    <row r="1032" spans="1:5" x14ac:dyDescent="0.3">
      <c r="A1032" s="7">
        <v>1002185</v>
      </c>
      <c r="B1032" s="7" t="s">
        <v>1032</v>
      </c>
      <c r="C1032" s="14">
        <v>65.885893830685063</v>
      </c>
      <c r="D1032" s="14">
        <v>22.327562435853579</v>
      </c>
      <c r="E1032" s="14">
        <f t="shared" si="16"/>
        <v>65.885893830685063</v>
      </c>
    </row>
    <row r="1033" spans="1:5" x14ac:dyDescent="0.3">
      <c r="A1033" s="7">
        <v>1002186</v>
      </c>
      <c r="B1033" s="7" t="s">
        <v>1033</v>
      </c>
      <c r="C1033" s="14">
        <v>325.80137483476199</v>
      </c>
      <c r="D1033" s="14">
        <v>0</v>
      </c>
      <c r="E1033" s="14">
        <f t="shared" si="16"/>
        <v>325.80137483476199</v>
      </c>
    </row>
    <row r="1034" spans="1:5" x14ac:dyDescent="0.3">
      <c r="A1034" s="7">
        <v>1002187</v>
      </c>
      <c r="B1034" s="7" t="s">
        <v>1034</v>
      </c>
      <c r="C1034" s="14">
        <v>33.002000820344549</v>
      </c>
      <c r="D1034" s="14">
        <v>33.002001657687529</v>
      </c>
      <c r="E1034" s="14">
        <f t="shared" si="16"/>
        <v>33.002001657687529</v>
      </c>
    </row>
    <row r="1035" spans="1:5" x14ac:dyDescent="0.3">
      <c r="A1035" s="7">
        <v>1002190</v>
      </c>
      <c r="B1035" s="7" t="s">
        <v>1035</v>
      </c>
      <c r="C1035" s="14">
        <v>22.05305405999318</v>
      </c>
      <c r="D1035" s="14">
        <v>21.954476614699335</v>
      </c>
      <c r="E1035" s="14">
        <f t="shared" si="16"/>
        <v>22.05305405999318</v>
      </c>
    </row>
    <row r="1036" spans="1:5" x14ac:dyDescent="0.3">
      <c r="A1036" s="7">
        <v>1002191</v>
      </c>
      <c r="B1036" s="7" t="s">
        <v>1036</v>
      </c>
      <c r="C1036" s="14">
        <v>15.0759493794506</v>
      </c>
      <c r="D1036" s="14">
        <v>24.874399999999998</v>
      </c>
      <c r="E1036" s="14">
        <f t="shared" si="16"/>
        <v>24.874399999999998</v>
      </c>
    </row>
    <row r="1037" spans="1:5" x14ac:dyDescent="0.3">
      <c r="A1037" s="7">
        <v>1002192</v>
      </c>
      <c r="B1037" s="7" t="s">
        <v>1037</v>
      </c>
      <c r="C1037" s="14">
        <v>247.8</v>
      </c>
      <c r="D1037" s="14">
        <v>0</v>
      </c>
      <c r="E1037" s="14">
        <f t="shared" si="16"/>
        <v>247.8</v>
      </c>
    </row>
    <row r="1038" spans="1:5" x14ac:dyDescent="0.3">
      <c r="A1038" s="7">
        <v>1002194</v>
      </c>
      <c r="B1038" s="7" t="s">
        <v>1038</v>
      </c>
      <c r="C1038" s="14">
        <v>13.077598752598799</v>
      </c>
      <c r="D1038" s="14">
        <v>0</v>
      </c>
      <c r="E1038" s="14">
        <f t="shared" si="16"/>
        <v>13.077598752598799</v>
      </c>
    </row>
    <row r="1039" spans="1:5" x14ac:dyDescent="0.3">
      <c r="A1039" s="7">
        <v>1002195</v>
      </c>
      <c r="B1039" s="7" t="s">
        <v>1039</v>
      </c>
      <c r="C1039" s="14">
        <v>0</v>
      </c>
      <c r="D1039" s="14">
        <v>0.18342230695900857</v>
      </c>
      <c r="E1039" s="14">
        <f t="shared" si="16"/>
        <v>0.18342230695900857</v>
      </c>
    </row>
    <row r="1040" spans="1:5" x14ac:dyDescent="0.3">
      <c r="A1040" s="7">
        <v>1002196</v>
      </c>
      <c r="B1040" s="7" t="s">
        <v>1040</v>
      </c>
      <c r="C1040" s="14">
        <v>3.6830460304110302</v>
      </c>
      <c r="D1040" s="14">
        <v>0</v>
      </c>
      <c r="E1040" s="14">
        <f t="shared" si="16"/>
        <v>3.6830460304110302</v>
      </c>
    </row>
    <row r="1041" spans="1:5" x14ac:dyDescent="0.3">
      <c r="A1041" s="7">
        <v>1002197</v>
      </c>
      <c r="B1041" s="7" t="s">
        <v>1041</v>
      </c>
      <c r="C1041" s="14">
        <v>0.55000000000000004</v>
      </c>
      <c r="D1041" s="14">
        <v>0</v>
      </c>
      <c r="E1041" s="14">
        <f t="shared" si="16"/>
        <v>0.55000000000000004</v>
      </c>
    </row>
    <row r="1042" spans="1:5" x14ac:dyDescent="0.3">
      <c r="A1042" s="7">
        <v>1002198</v>
      </c>
      <c r="B1042" s="7" t="s">
        <v>1042</v>
      </c>
      <c r="C1042" s="14">
        <v>16.492778432861371</v>
      </c>
      <c r="D1042" s="14">
        <v>15.883817208941055</v>
      </c>
      <c r="E1042" s="14">
        <f t="shared" si="16"/>
        <v>16.492778432861371</v>
      </c>
    </row>
    <row r="1043" spans="1:5" x14ac:dyDescent="0.3">
      <c r="A1043" s="7">
        <v>1002199</v>
      </c>
      <c r="B1043" s="7" t="s">
        <v>1043</v>
      </c>
      <c r="C1043" s="14">
        <v>5.5385433481107942</v>
      </c>
      <c r="D1043" s="14">
        <v>4.6944058744993322</v>
      </c>
      <c r="E1043" s="14">
        <f t="shared" si="16"/>
        <v>5.5385433481107942</v>
      </c>
    </row>
    <row r="1044" spans="1:5" x14ac:dyDescent="0.3">
      <c r="A1044" s="7">
        <v>1002200</v>
      </c>
      <c r="B1044" s="7" t="s">
        <v>1044</v>
      </c>
      <c r="C1044" s="14">
        <v>4.8070500000000003</v>
      </c>
      <c r="D1044" s="14">
        <v>0</v>
      </c>
      <c r="E1044" s="14">
        <f t="shared" si="16"/>
        <v>4.8070500000000003</v>
      </c>
    </row>
    <row r="1045" spans="1:5" x14ac:dyDescent="0.3">
      <c r="A1045" s="7">
        <v>1002201</v>
      </c>
      <c r="B1045" s="7" t="s">
        <v>1045</v>
      </c>
      <c r="C1045" s="14">
        <v>19.622483056605287</v>
      </c>
      <c r="D1045" s="14">
        <v>17.121950857755539</v>
      </c>
      <c r="E1045" s="14">
        <f t="shared" si="16"/>
        <v>19.622483056605287</v>
      </c>
    </row>
    <row r="1046" spans="1:5" x14ac:dyDescent="0.3">
      <c r="A1046" s="7">
        <v>1002203</v>
      </c>
      <c r="B1046" s="7" t="s">
        <v>1046</v>
      </c>
      <c r="C1046" s="14">
        <v>4.5860896060164089</v>
      </c>
      <c r="D1046" s="14">
        <v>4.5756882716049381</v>
      </c>
      <c r="E1046" s="14">
        <f t="shared" si="16"/>
        <v>4.5860896060164089</v>
      </c>
    </row>
    <row r="1047" spans="1:5" x14ac:dyDescent="0.3">
      <c r="A1047" s="7">
        <v>1002204</v>
      </c>
      <c r="B1047" s="7" t="s">
        <v>1047</v>
      </c>
      <c r="C1047" s="14">
        <v>2.2256906750383276</v>
      </c>
      <c r="D1047" s="14">
        <v>2.1143113372820554</v>
      </c>
      <c r="E1047" s="14">
        <f t="shared" si="16"/>
        <v>2.2256906750383276</v>
      </c>
    </row>
    <row r="1048" spans="1:5" x14ac:dyDescent="0.3">
      <c r="A1048" s="7">
        <v>1002205</v>
      </c>
      <c r="B1048" s="7" t="s">
        <v>1048</v>
      </c>
      <c r="C1048" s="14">
        <v>6.2422736260008325</v>
      </c>
      <c r="D1048" s="14">
        <v>5.3468475799740673</v>
      </c>
      <c r="E1048" s="14">
        <f t="shared" si="16"/>
        <v>6.2422736260008325</v>
      </c>
    </row>
    <row r="1049" spans="1:5" x14ac:dyDescent="0.3">
      <c r="A1049" s="7">
        <v>1002207</v>
      </c>
      <c r="B1049" s="7" t="s">
        <v>1049</v>
      </c>
      <c r="C1049" s="14">
        <v>1</v>
      </c>
      <c r="D1049" s="14">
        <v>0</v>
      </c>
      <c r="E1049" s="14">
        <f t="shared" si="16"/>
        <v>1</v>
      </c>
    </row>
    <row r="1050" spans="1:5" x14ac:dyDescent="0.3">
      <c r="A1050" s="7">
        <v>1002209</v>
      </c>
      <c r="B1050" s="7" t="s">
        <v>1050</v>
      </c>
      <c r="C1050" s="14">
        <v>29.21795956693272</v>
      </c>
      <c r="D1050" s="14">
        <v>29.217959431501303</v>
      </c>
      <c r="E1050" s="14">
        <f t="shared" si="16"/>
        <v>29.21795956693272</v>
      </c>
    </row>
    <row r="1051" spans="1:5" x14ac:dyDescent="0.3">
      <c r="A1051" s="7">
        <v>1002216</v>
      </c>
      <c r="B1051" s="7" t="s">
        <v>1051</v>
      </c>
      <c r="C1051" s="14">
        <v>0.1</v>
      </c>
      <c r="D1051" s="14">
        <v>0</v>
      </c>
      <c r="E1051" s="14">
        <f t="shared" si="16"/>
        <v>0.1</v>
      </c>
    </row>
    <row r="1052" spans="1:5" x14ac:dyDescent="0.3">
      <c r="A1052" s="7">
        <v>1002217</v>
      </c>
      <c r="B1052" s="7" t="s">
        <v>1052</v>
      </c>
      <c r="C1052" s="14">
        <v>97.077894976040156</v>
      </c>
      <c r="D1052" s="14">
        <v>23.017186379928315</v>
      </c>
      <c r="E1052" s="14">
        <f t="shared" si="16"/>
        <v>97.077894976040156</v>
      </c>
    </row>
    <row r="1053" spans="1:5" x14ac:dyDescent="0.3">
      <c r="A1053" s="7">
        <v>1002218</v>
      </c>
      <c r="B1053" s="7" t="s">
        <v>1053</v>
      </c>
      <c r="C1053" s="14">
        <v>34.62985805367299</v>
      </c>
      <c r="D1053" s="14">
        <v>1.0179824561403508</v>
      </c>
      <c r="E1053" s="14">
        <f t="shared" si="16"/>
        <v>34.62985805367299</v>
      </c>
    </row>
    <row r="1054" spans="1:5" x14ac:dyDescent="0.3">
      <c r="A1054" s="7">
        <v>1002222</v>
      </c>
      <c r="B1054" s="7" t="s">
        <v>1054</v>
      </c>
      <c r="C1054" s="14">
        <v>387.89331232492998</v>
      </c>
      <c r="D1054" s="14">
        <v>590</v>
      </c>
      <c r="E1054" s="14">
        <f t="shared" si="16"/>
        <v>590</v>
      </c>
    </row>
    <row r="1055" spans="1:5" x14ac:dyDescent="0.3">
      <c r="A1055" s="7">
        <v>1002223</v>
      </c>
      <c r="B1055" s="7" t="s">
        <v>1055</v>
      </c>
      <c r="C1055" s="14">
        <v>400.44727616762037</v>
      </c>
      <c r="D1055" s="14">
        <v>830.58517788820961</v>
      </c>
      <c r="E1055" s="14">
        <f t="shared" si="16"/>
        <v>830.58517788820961</v>
      </c>
    </row>
    <row r="1056" spans="1:5" x14ac:dyDescent="0.3">
      <c r="A1056" s="7">
        <v>1002224</v>
      </c>
      <c r="B1056" s="7" t="s">
        <v>1056</v>
      </c>
      <c r="C1056" s="14">
        <v>278.68349960775276</v>
      </c>
      <c r="D1056" s="14">
        <v>278.68350000000004</v>
      </c>
      <c r="E1056" s="14">
        <f t="shared" si="16"/>
        <v>278.68350000000004</v>
      </c>
    </row>
    <row r="1057" spans="1:5" x14ac:dyDescent="0.3">
      <c r="A1057" s="7">
        <v>1002225</v>
      </c>
      <c r="B1057" s="7" t="s">
        <v>1057</v>
      </c>
      <c r="C1057" s="14">
        <v>425.18964394279311</v>
      </c>
      <c r="D1057" s="14">
        <v>0</v>
      </c>
      <c r="E1057" s="14">
        <f t="shared" ref="E1057:E1120" si="17">+MAX(C1057, D1057)</f>
        <v>425.18964394279311</v>
      </c>
    </row>
    <row r="1058" spans="1:5" x14ac:dyDescent="0.3">
      <c r="A1058" s="7">
        <v>1002228</v>
      </c>
      <c r="B1058" s="7" t="s">
        <v>1058</v>
      </c>
      <c r="C1058" s="14">
        <v>11.386105965096274</v>
      </c>
      <c r="D1058" s="14">
        <v>11.386105958505423</v>
      </c>
      <c r="E1058" s="14">
        <f t="shared" si="17"/>
        <v>11.386105965096274</v>
      </c>
    </row>
    <row r="1059" spans="1:5" x14ac:dyDescent="0.3">
      <c r="A1059" s="7">
        <v>1002229</v>
      </c>
      <c r="B1059" s="7" t="s">
        <v>1059</v>
      </c>
      <c r="C1059" s="14">
        <v>0.8</v>
      </c>
      <c r="D1059" s="14">
        <v>0.8</v>
      </c>
      <c r="E1059" s="14">
        <f t="shared" si="17"/>
        <v>0.8</v>
      </c>
    </row>
    <row r="1060" spans="1:5" x14ac:dyDescent="0.3">
      <c r="A1060" s="7">
        <v>1002230</v>
      </c>
      <c r="B1060" s="7" t="s">
        <v>1060</v>
      </c>
      <c r="C1060" s="14">
        <v>1.427799043062201</v>
      </c>
      <c r="D1060" s="14">
        <v>1.4277970511708586</v>
      </c>
      <c r="E1060" s="14">
        <f t="shared" si="17"/>
        <v>1.427799043062201</v>
      </c>
    </row>
    <row r="1061" spans="1:5" x14ac:dyDescent="0.3">
      <c r="A1061" s="7">
        <v>1002231</v>
      </c>
      <c r="B1061" s="7" t="s">
        <v>1061</v>
      </c>
      <c r="C1061" s="14">
        <v>41.956106924390269</v>
      </c>
      <c r="D1061" s="14">
        <v>27.800223429596517</v>
      </c>
      <c r="E1061" s="14">
        <f t="shared" si="17"/>
        <v>41.956106924390269</v>
      </c>
    </row>
    <row r="1062" spans="1:5" x14ac:dyDescent="0.3">
      <c r="A1062" s="7">
        <v>1002232</v>
      </c>
      <c r="B1062" s="7" t="s">
        <v>1062</v>
      </c>
      <c r="C1062" s="14">
        <v>17.585358503122698</v>
      </c>
      <c r="D1062" s="14">
        <v>0</v>
      </c>
      <c r="E1062" s="14">
        <f t="shared" si="17"/>
        <v>17.585358503122698</v>
      </c>
    </row>
    <row r="1063" spans="1:5" x14ac:dyDescent="0.3">
      <c r="A1063" s="7">
        <v>1002233</v>
      </c>
      <c r="B1063" s="7" t="s">
        <v>1063</v>
      </c>
      <c r="C1063" s="14">
        <v>162.8805339985218</v>
      </c>
      <c r="D1063" s="14">
        <v>46.130378012369377</v>
      </c>
      <c r="E1063" s="14">
        <f t="shared" si="17"/>
        <v>162.8805339985218</v>
      </c>
    </row>
    <row r="1064" spans="1:5" x14ac:dyDescent="0.3">
      <c r="A1064" s="7">
        <v>1002235</v>
      </c>
      <c r="B1064" s="7" t="s">
        <v>1065</v>
      </c>
      <c r="C1064" s="14">
        <v>0</v>
      </c>
      <c r="D1064" s="14">
        <v>0.33330934150076569</v>
      </c>
      <c r="E1064" s="14">
        <f t="shared" si="17"/>
        <v>0.33330934150076569</v>
      </c>
    </row>
    <row r="1065" spans="1:5" x14ac:dyDescent="0.3">
      <c r="A1065" s="7">
        <v>1002236</v>
      </c>
      <c r="B1065" s="7" t="s">
        <v>1066</v>
      </c>
      <c r="C1065" s="14">
        <v>10</v>
      </c>
      <c r="D1065" s="14">
        <v>0</v>
      </c>
      <c r="E1065" s="14">
        <f t="shared" si="17"/>
        <v>10</v>
      </c>
    </row>
    <row r="1066" spans="1:5" x14ac:dyDescent="0.3">
      <c r="A1066" s="7">
        <v>1002237</v>
      </c>
      <c r="B1066" s="7" t="s">
        <v>1067</v>
      </c>
      <c r="C1066" s="14">
        <v>1.0029999999999999</v>
      </c>
      <c r="D1066" s="14">
        <v>0</v>
      </c>
      <c r="E1066" s="14">
        <f t="shared" si="17"/>
        <v>1.0029999999999999</v>
      </c>
    </row>
    <row r="1067" spans="1:5" x14ac:dyDescent="0.3">
      <c r="A1067" s="7">
        <v>1002238</v>
      </c>
      <c r="B1067" s="7" t="s">
        <v>1068</v>
      </c>
      <c r="C1067" s="14">
        <v>2.3812063546127451</v>
      </c>
      <c r="D1067" s="14">
        <v>0.57552399646677788</v>
      </c>
      <c r="E1067" s="14">
        <f t="shared" si="17"/>
        <v>2.3812063546127451</v>
      </c>
    </row>
    <row r="1068" spans="1:5" x14ac:dyDescent="0.3">
      <c r="A1068" s="7">
        <v>1002239</v>
      </c>
      <c r="B1068" s="7" t="s">
        <v>1069</v>
      </c>
      <c r="C1068" s="14">
        <v>1.181587274731982</v>
      </c>
      <c r="D1068" s="14">
        <v>0.11850559905578906</v>
      </c>
      <c r="E1068" s="14">
        <f t="shared" si="17"/>
        <v>1.181587274731982</v>
      </c>
    </row>
    <row r="1069" spans="1:5" x14ac:dyDescent="0.3">
      <c r="A1069" s="7">
        <v>1002241</v>
      </c>
      <c r="B1069" s="7" t="s">
        <v>1070</v>
      </c>
      <c r="C1069" s="14">
        <v>1.78474028442475</v>
      </c>
      <c r="D1069" s="14">
        <v>0</v>
      </c>
      <c r="E1069" s="14">
        <f t="shared" si="17"/>
        <v>1.78474028442475</v>
      </c>
    </row>
    <row r="1070" spans="1:5" x14ac:dyDescent="0.3">
      <c r="A1070" s="7">
        <v>1002243</v>
      </c>
      <c r="B1070" s="7" t="s">
        <v>1071</v>
      </c>
      <c r="C1070" s="14">
        <v>8.3521282535074981</v>
      </c>
      <c r="D1070" s="14">
        <v>8.3521287878787867</v>
      </c>
      <c r="E1070" s="14">
        <f t="shared" si="17"/>
        <v>8.3521287878787867</v>
      </c>
    </row>
    <row r="1071" spans="1:5" x14ac:dyDescent="0.3">
      <c r="A1071" s="7">
        <v>1002247</v>
      </c>
      <c r="B1071" s="7" t="s">
        <v>1072</v>
      </c>
      <c r="C1071" s="14">
        <v>58</v>
      </c>
      <c r="D1071" s="14">
        <v>0</v>
      </c>
      <c r="E1071" s="14">
        <f t="shared" si="17"/>
        <v>58</v>
      </c>
    </row>
    <row r="1072" spans="1:5" x14ac:dyDescent="0.3">
      <c r="A1072" s="7">
        <v>1002250</v>
      </c>
      <c r="B1072" s="7" t="s">
        <v>1073</v>
      </c>
      <c r="C1072" s="14">
        <v>40.002000000000002</v>
      </c>
      <c r="D1072" s="14">
        <v>0</v>
      </c>
      <c r="E1072" s="14">
        <f t="shared" si="17"/>
        <v>40.002000000000002</v>
      </c>
    </row>
    <row r="1073" spans="1:5" x14ac:dyDescent="0.3">
      <c r="A1073" s="7">
        <v>1002251</v>
      </c>
      <c r="B1073" s="7" t="s">
        <v>1074</v>
      </c>
      <c r="C1073" s="14">
        <v>8.9828571428571404</v>
      </c>
      <c r="D1073" s="14">
        <v>10.48</v>
      </c>
      <c r="E1073" s="14">
        <f t="shared" si="17"/>
        <v>10.48</v>
      </c>
    </row>
    <row r="1074" spans="1:5" x14ac:dyDescent="0.3">
      <c r="A1074" s="7">
        <v>1002257</v>
      </c>
      <c r="B1074" s="7" t="s">
        <v>1075</v>
      </c>
      <c r="C1074" s="14">
        <v>1.74</v>
      </c>
      <c r="D1074" s="14">
        <v>0</v>
      </c>
      <c r="E1074" s="14">
        <f t="shared" si="17"/>
        <v>1.74</v>
      </c>
    </row>
    <row r="1075" spans="1:5" x14ac:dyDescent="0.3">
      <c r="A1075" s="7">
        <v>1002258</v>
      </c>
      <c r="B1075" s="7" t="s">
        <v>1076</v>
      </c>
      <c r="C1075" s="14">
        <v>0.24</v>
      </c>
      <c r="D1075" s="14">
        <v>0</v>
      </c>
      <c r="E1075" s="14">
        <f t="shared" si="17"/>
        <v>0.24</v>
      </c>
    </row>
    <row r="1076" spans="1:5" x14ac:dyDescent="0.3">
      <c r="A1076" s="7">
        <v>1002262</v>
      </c>
      <c r="B1076" s="7" t="s">
        <v>1077</v>
      </c>
      <c r="C1076" s="14">
        <v>0</v>
      </c>
      <c r="D1076" s="14">
        <v>0</v>
      </c>
      <c r="E1076" s="14">
        <f t="shared" si="17"/>
        <v>0</v>
      </c>
    </row>
    <row r="1077" spans="1:5" x14ac:dyDescent="0.3">
      <c r="A1077" s="7">
        <v>1002265</v>
      </c>
      <c r="B1077" s="7" t="s">
        <v>1078</v>
      </c>
      <c r="C1077" s="14">
        <v>0</v>
      </c>
      <c r="D1077" s="14">
        <v>0</v>
      </c>
      <c r="E1077" s="14">
        <f t="shared" si="17"/>
        <v>0</v>
      </c>
    </row>
    <row r="1078" spans="1:5" x14ac:dyDescent="0.3">
      <c r="A1078" s="7">
        <v>1002267</v>
      </c>
      <c r="B1078" s="7" t="s">
        <v>1079</v>
      </c>
      <c r="C1078" s="14">
        <v>35.315406026027802</v>
      </c>
      <c r="D1078" s="14">
        <v>24.955125563425625</v>
      </c>
      <c r="E1078" s="14">
        <f t="shared" si="17"/>
        <v>35.315406026027802</v>
      </c>
    </row>
    <row r="1079" spans="1:5" x14ac:dyDescent="0.3">
      <c r="A1079" s="7">
        <v>1002269</v>
      </c>
      <c r="B1079" s="7" t="s">
        <v>1080</v>
      </c>
      <c r="C1079" s="14">
        <v>3.343333333333335</v>
      </c>
      <c r="D1079" s="14">
        <v>0</v>
      </c>
      <c r="E1079" s="14">
        <f t="shared" si="17"/>
        <v>3.343333333333335</v>
      </c>
    </row>
    <row r="1080" spans="1:5" x14ac:dyDescent="0.3">
      <c r="A1080" s="7">
        <v>1002270</v>
      </c>
      <c r="B1080" s="7" t="s">
        <v>1081</v>
      </c>
      <c r="C1080" s="14">
        <v>6.5900000000000007</v>
      </c>
      <c r="D1080" s="14">
        <v>6.59</v>
      </c>
      <c r="E1080" s="14">
        <f t="shared" si="17"/>
        <v>6.5900000000000007</v>
      </c>
    </row>
    <row r="1081" spans="1:5" x14ac:dyDescent="0.3">
      <c r="A1081" s="7">
        <v>1002271</v>
      </c>
      <c r="B1081" s="7" t="s">
        <v>1082</v>
      </c>
      <c r="C1081" s="14">
        <v>4.5</v>
      </c>
      <c r="D1081" s="14">
        <v>4.5</v>
      </c>
      <c r="E1081" s="14">
        <f t="shared" si="17"/>
        <v>4.5</v>
      </c>
    </row>
    <row r="1082" spans="1:5" x14ac:dyDescent="0.3">
      <c r="A1082" s="7">
        <v>1002272</v>
      </c>
      <c r="B1082" s="7" t="s">
        <v>1083</v>
      </c>
      <c r="C1082" s="14">
        <v>19.45</v>
      </c>
      <c r="D1082" s="14">
        <v>19.45</v>
      </c>
      <c r="E1082" s="14">
        <f t="shared" si="17"/>
        <v>19.45</v>
      </c>
    </row>
    <row r="1083" spans="1:5" x14ac:dyDescent="0.3">
      <c r="A1083" s="7">
        <v>1002274</v>
      </c>
      <c r="B1083" s="7" t="s">
        <v>1084</v>
      </c>
      <c r="C1083" s="14">
        <v>1.25</v>
      </c>
      <c r="D1083" s="14">
        <v>0</v>
      </c>
      <c r="E1083" s="14">
        <f t="shared" si="17"/>
        <v>1.25</v>
      </c>
    </row>
    <row r="1084" spans="1:5" x14ac:dyDescent="0.3">
      <c r="A1084" s="7">
        <v>1002275</v>
      </c>
      <c r="B1084" s="7" t="s">
        <v>1085</v>
      </c>
      <c r="C1084" s="14">
        <v>0</v>
      </c>
      <c r="D1084" s="14">
        <v>0</v>
      </c>
      <c r="E1084" s="14">
        <f t="shared" si="17"/>
        <v>0</v>
      </c>
    </row>
    <row r="1085" spans="1:5" x14ac:dyDescent="0.3">
      <c r="A1085" s="7">
        <v>1002276</v>
      </c>
      <c r="B1085" s="7" t="s">
        <v>1086</v>
      </c>
      <c r="C1085" s="14">
        <v>0</v>
      </c>
      <c r="D1085" s="14">
        <v>0</v>
      </c>
      <c r="E1085" s="14">
        <f t="shared" si="17"/>
        <v>0</v>
      </c>
    </row>
    <row r="1086" spans="1:5" x14ac:dyDescent="0.3">
      <c r="A1086" s="7">
        <v>1002282</v>
      </c>
      <c r="B1086" s="7" t="s">
        <v>1087</v>
      </c>
      <c r="C1086" s="14">
        <v>31.037259717647807</v>
      </c>
      <c r="D1086" s="14">
        <v>0</v>
      </c>
      <c r="E1086" s="14">
        <f t="shared" si="17"/>
        <v>31.037259717647807</v>
      </c>
    </row>
    <row r="1087" spans="1:5" x14ac:dyDescent="0.3">
      <c r="A1087" s="7">
        <v>1002283</v>
      </c>
      <c r="B1087" s="7" t="s">
        <v>1088</v>
      </c>
      <c r="C1087" s="14">
        <v>63.170966037037445</v>
      </c>
      <c r="D1087" s="14">
        <v>0</v>
      </c>
      <c r="E1087" s="14">
        <f t="shared" si="17"/>
        <v>63.170966037037445</v>
      </c>
    </row>
    <row r="1088" spans="1:5" x14ac:dyDescent="0.3">
      <c r="A1088" s="7">
        <v>1002284</v>
      </c>
      <c r="B1088" s="7" t="s">
        <v>1089</v>
      </c>
      <c r="C1088" s="14">
        <v>121.70190476190477</v>
      </c>
      <c r="D1088" s="14">
        <v>0</v>
      </c>
      <c r="E1088" s="14">
        <f t="shared" si="17"/>
        <v>121.70190476190477</v>
      </c>
    </row>
    <row r="1089" spans="1:5" x14ac:dyDescent="0.3">
      <c r="A1089" s="7">
        <v>1002285</v>
      </c>
      <c r="B1089" s="7" t="s">
        <v>1090</v>
      </c>
      <c r="C1089" s="14">
        <v>20.968434949376082</v>
      </c>
      <c r="D1089" s="14">
        <v>0</v>
      </c>
      <c r="E1089" s="14">
        <f t="shared" si="17"/>
        <v>20.968434949376082</v>
      </c>
    </row>
    <row r="1090" spans="1:5" x14ac:dyDescent="0.3">
      <c r="A1090" s="7">
        <v>1002286</v>
      </c>
      <c r="B1090" s="7" t="s">
        <v>1091</v>
      </c>
      <c r="C1090" s="14">
        <v>187.97400000000002</v>
      </c>
      <c r="D1090" s="14">
        <v>0</v>
      </c>
      <c r="E1090" s="14">
        <f t="shared" si="17"/>
        <v>187.97400000000002</v>
      </c>
    </row>
    <row r="1091" spans="1:5" x14ac:dyDescent="0.3">
      <c r="A1091" s="7">
        <v>1002287</v>
      </c>
      <c r="B1091" s="7" t="s">
        <v>1092</v>
      </c>
      <c r="C1091" s="14">
        <v>187.32498507462688</v>
      </c>
      <c r="D1091" s="14">
        <v>0</v>
      </c>
      <c r="E1091" s="14">
        <f t="shared" si="17"/>
        <v>187.32498507462688</v>
      </c>
    </row>
    <row r="1092" spans="1:5" x14ac:dyDescent="0.3">
      <c r="A1092" s="7">
        <v>1002288</v>
      </c>
      <c r="B1092" s="7" t="s">
        <v>1093</v>
      </c>
      <c r="C1092" s="14">
        <v>120.994973430043</v>
      </c>
      <c r="D1092" s="14">
        <v>0</v>
      </c>
      <c r="E1092" s="14">
        <f t="shared" si="17"/>
        <v>120.994973430043</v>
      </c>
    </row>
    <row r="1093" spans="1:5" x14ac:dyDescent="0.3">
      <c r="A1093" s="7">
        <v>1002290</v>
      </c>
      <c r="B1093" s="7" t="s">
        <v>1094</v>
      </c>
      <c r="C1093" s="14">
        <v>159.18199515132139</v>
      </c>
      <c r="D1093" s="14">
        <v>159.18199335548172</v>
      </c>
      <c r="E1093" s="14">
        <f t="shared" si="17"/>
        <v>159.18199515132139</v>
      </c>
    </row>
    <row r="1094" spans="1:5" x14ac:dyDescent="0.3">
      <c r="A1094" s="7">
        <v>1002291</v>
      </c>
      <c r="B1094" s="7" t="s">
        <v>1095</v>
      </c>
      <c r="C1094" s="14">
        <v>83.16</v>
      </c>
      <c r="D1094" s="14">
        <v>0</v>
      </c>
      <c r="E1094" s="14">
        <f t="shared" si="17"/>
        <v>83.16</v>
      </c>
    </row>
    <row r="1095" spans="1:5" x14ac:dyDescent="0.3">
      <c r="A1095" s="7">
        <v>1002294</v>
      </c>
      <c r="B1095" s="7" t="s">
        <v>1096</v>
      </c>
      <c r="C1095" s="14">
        <v>140.22284073523349</v>
      </c>
      <c r="D1095" s="14">
        <v>195.72100840336134</v>
      </c>
      <c r="E1095" s="14">
        <f t="shared" si="17"/>
        <v>195.72100840336134</v>
      </c>
    </row>
    <row r="1096" spans="1:5" x14ac:dyDescent="0.3">
      <c r="A1096" s="7">
        <v>1002295</v>
      </c>
      <c r="B1096" s="7" t="s">
        <v>1097</v>
      </c>
      <c r="C1096" s="14">
        <v>344.65436070776457</v>
      </c>
      <c r="D1096" s="14">
        <v>0</v>
      </c>
      <c r="E1096" s="14">
        <f t="shared" si="17"/>
        <v>344.65436070776457</v>
      </c>
    </row>
    <row r="1097" spans="1:5" x14ac:dyDescent="0.3">
      <c r="A1097" s="7">
        <v>1002298</v>
      </c>
      <c r="B1097" s="7" t="s">
        <v>1098</v>
      </c>
      <c r="C1097" s="14">
        <v>143.08677370096933</v>
      </c>
      <c r="D1097" s="14">
        <v>143.08677359654536</v>
      </c>
      <c r="E1097" s="14">
        <f t="shared" si="17"/>
        <v>143.08677370096933</v>
      </c>
    </row>
    <row r="1098" spans="1:5" x14ac:dyDescent="0.3">
      <c r="A1098" s="7">
        <v>1002299</v>
      </c>
      <c r="B1098" s="7" t="s">
        <v>1099</v>
      </c>
      <c r="C1098" s="14">
        <v>281.62</v>
      </c>
      <c r="D1098" s="14">
        <v>0</v>
      </c>
      <c r="E1098" s="14">
        <f t="shared" si="17"/>
        <v>281.62</v>
      </c>
    </row>
    <row r="1099" spans="1:5" x14ac:dyDescent="0.3">
      <c r="A1099" s="7">
        <v>1002300</v>
      </c>
      <c r="B1099" s="7" t="s">
        <v>1100</v>
      </c>
      <c r="C1099" s="14">
        <v>1</v>
      </c>
      <c r="D1099" s="14">
        <v>0</v>
      </c>
      <c r="E1099" s="14">
        <f t="shared" si="17"/>
        <v>1</v>
      </c>
    </row>
    <row r="1100" spans="1:5" x14ac:dyDescent="0.3">
      <c r="A1100" s="7">
        <v>1002301</v>
      </c>
      <c r="B1100" s="7" t="s">
        <v>1101</v>
      </c>
      <c r="C1100" s="14">
        <v>147.5</v>
      </c>
      <c r="D1100" s="14">
        <v>164.28780874156644</v>
      </c>
      <c r="E1100" s="14">
        <f t="shared" si="17"/>
        <v>164.28780874156644</v>
      </c>
    </row>
    <row r="1101" spans="1:5" x14ac:dyDescent="0.3">
      <c r="A1101" s="7">
        <v>1002303</v>
      </c>
      <c r="B1101" s="7" t="s">
        <v>1102</v>
      </c>
      <c r="C1101" s="14">
        <v>37.661608304243984</v>
      </c>
      <c r="D1101" s="14">
        <v>25.493086696562035</v>
      </c>
      <c r="E1101" s="14">
        <f t="shared" si="17"/>
        <v>37.661608304243984</v>
      </c>
    </row>
    <row r="1102" spans="1:5" x14ac:dyDescent="0.3">
      <c r="A1102" s="7">
        <v>1002305</v>
      </c>
      <c r="B1102" s="7" t="s">
        <v>1103</v>
      </c>
      <c r="C1102" s="14">
        <v>24.62</v>
      </c>
      <c r="D1102" s="14">
        <v>24.62</v>
      </c>
      <c r="E1102" s="14">
        <f t="shared" si="17"/>
        <v>24.62</v>
      </c>
    </row>
    <row r="1103" spans="1:5" x14ac:dyDescent="0.3">
      <c r="A1103" s="7">
        <v>1002306</v>
      </c>
      <c r="B1103" s="7" t="s">
        <v>1104</v>
      </c>
      <c r="C1103" s="14">
        <v>170.56226637031418</v>
      </c>
      <c r="D1103" s="14">
        <v>161.92536439105749</v>
      </c>
      <c r="E1103" s="14">
        <f t="shared" si="17"/>
        <v>170.56226637031418</v>
      </c>
    </row>
    <row r="1104" spans="1:5" x14ac:dyDescent="0.3">
      <c r="A1104" s="7">
        <v>1002307</v>
      </c>
      <c r="B1104" s="7" t="s">
        <v>1105</v>
      </c>
      <c r="C1104" s="14">
        <v>35.81884260592669</v>
      </c>
      <c r="D1104" s="14">
        <v>38.772065260644652</v>
      </c>
      <c r="E1104" s="14">
        <f t="shared" si="17"/>
        <v>38.772065260644652</v>
      </c>
    </row>
    <row r="1105" spans="1:5" x14ac:dyDescent="0.3">
      <c r="A1105" s="7">
        <v>1002308</v>
      </c>
      <c r="B1105" s="7" t="s">
        <v>1106</v>
      </c>
      <c r="C1105" s="14">
        <v>70.544645854070779</v>
      </c>
      <c r="D1105" s="14">
        <v>67.791619513209909</v>
      </c>
      <c r="E1105" s="14">
        <f t="shared" si="17"/>
        <v>70.544645854070779</v>
      </c>
    </row>
    <row r="1106" spans="1:5" x14ac:dyDescent="0.3">
      <c r="A1106" s="7">
        <v>1002310</v>
      </c>
      <c r="B1106" s="7" t="s">
        <v>1107</v>
      </c>
      <c r="C1106" s="14">
        <v>43.680016577161282</v>
      </c>
      <c r="D1106" s="14">
        <v>23.578740588637913</v>
      </c>
      <c r="E1106" s="14">
        <f t="shared" si="17"/>
        <v>43.680016577161282</v>
      </c>
    </row>
    <row r="1107" spans="1:5" x14ac:dyDescent="0.3">
      <c r="A1107" s="7">
        <v>1002311</v>
      </c>
      <c r="B1107" s="7" t="s">
        <v>1108</v>
      </c>
      <c r="C1107" s="14">
        <v>26.73541755442135</v>
      </c>
      <c r="D1107" s="14">
        <v>17.571329787234042</v>
      </c>
      <c r="E1107" s="14">
        <f t="shared" si="17"/>
        <v>26.73541755442135</v>
      </c>
    </row>
    <row r="1108" spans="1:5" x14ac:dyDescent="0.3">
      <c r="A1108" s="7">
        <v>1002313</v>
      </c>
      <c r="B1108" s="7" t="s">
        <v>1109</v>
      </c>
      <c r="C1108" s="14">
        <v>67.189807576416058</v>
      </c>
      <c r="D1108" s="14">
        <v>45.026226923076926</v>
      </c>
      <c r="E1108" s="14">
        <f t="shared" si="17"/>
        <v>67.189807576416058</v>
      </c>
    </row>
    <row r="1109" spans="1:5" x14ac:dyDescent="0.3">
      <c r="A1109" s="7">
        <v>1002314</v>
      </c>
      <c r="B1109" s="7" t="s">
        <v>1110</v>
      </c>
      <c r="C1109" s="14">
        <v>19.0154866666667</v>
      </c>
      <c r="D1109" s="14">
        <v>69.325000000000003</v>
      </c>
      <c r="E1109" s="14">
        <f t="shared" si="17"/>
        <v>69.325000000000003</v>
      </c>
    </row>
    <row r="1110" spans="1:5" x14ac:dyDescent="0.3">
      <c r="A1110" s="7">
        <v>1002317</v>
      </c>
      <c r="B1110" s="7" t="s">
        <v>1111</v>
      </c>
      <c r="C1110" s="14">
        <v>70.297085916222812</v>
      </c>
      <c r="D1110" s="14">
        <v>65.156541424009021</v>
      </c>
      <c r="E1110" s="14">
        <f t="shared" si="17"/>
        <v>70.297085916222812</v>
      </c>
    </row>
    <row r="1111" spans="1:5" x14ac:dyDescent="0.3">
      <c r="A1111" s="7">
        <v>1002318</v>
      </c>
      <c r="B1111" s="7" t="s">
        <v>1112</v>
      </c>
      <c r="C1111" s="14">
        <v>471.37457095564872</v>
      </c>
      <c r="D1111" s="14">
        <v>102.26666666666668</v>
      </c>
      <c r="E1111" s="14">
        <f t="shared" si="17"/>
        <v>471.37457095564872</v>
      </c>
    </row>
    <row r="1112" spans="1:5" x14ac:dyDescent="0.3">
      <c r="A1112" s="7">
        <v>1002319</v>
      </c>
      <c r="B1112" s="7" t="s">
        <v>1113</v>
      </c>
      <c r="C1112" s="14">
        <v>309.76179196148848</v>
      </c>
      <c r="D1112" s="14">
        <v>119.71280172413793</v>
      </c>
      <c r="E1112" s="14">
        <f t="shared" si="17"/>
        <v>309.76179196148848</v>
      </c>
    </row>
    <row r="1113" spans="1:5" x14ac:dyDescent="0.3">
      <c r="A1113" s="7">
        <v>1002321</v>
      </c>
      <c r="B1113" s="7" t="s">
        <v>1114</v>
      </c>
      <c r="C1113" s="14">
        <v>29</v>
      </c>
      <c r="D1113" s="14">
        <v>0</v>
      </c>
      <c r="E1113" s="14">
        <f t="shared" si="17"/>
        <v>29</v>
      </c>
    </row>
    <row r="1114" spans="1:5" x14ac:dyDescent="0.3">
      <c r="A1114" s="7">
        <v>1002322</v>
      </c>
      <c r="B1114" s="7" t="s">
        <v>1115</v>
      </c>
      <c r="C1114" s="14">
        <v>81</v>
      </c>
      <c r="D1114" s="14">
        <v>0</v>
      </c>
      <c r="E1114" s="14">
        <f t="shared" si="17"/>
        <v>81</v>
      </c>
    </row>
    <row r="1115" spans="1:5" x14ac:dyDescent="0.3">
      <c r="A1115" s="7">
        <v>1002324</v>
      </c>
      <c r="B1115" s="7" t="s">
        <v>1116</v>
      </c>
      <c r="C1115" s="14">
        <v>45</v>
      </c>
      <c r="D1115" s="14">
        <v>0</v>
      </c>
      <c r="E1115" s="14">
        <f t="shared" si="17"/>
        <v>45</v>
      </c>
    </row>
    <row r="1116" spans="1:5" x14ac:dyDescent="0.3">
      <c r="A1116" s="7">
        <v>1002325</v>
      </c>
      <c r="B1116" s="7" t="s">
        <v>1117</v>
      </c>
      <c r="C1116" s="14">
        <v>22</v>
      </c>
      <c r="D1116" s="14">
        <v>8.9256198347107443</v>
      </c>
      <c r="E1116" s="14">
        <f t="shared" si="17"/>
        <v>22</v>
      </c>
    </row>
    <row r="1117" spans="1:5" x14ac:dyDescent="0.3">
      <c r="A1117" s="7">
        <v>1002327</v>
      </c>
      <c r="B1117" s="7" t="s">
        <v>1118</v>
      </c>
      <c r="C1117" s="14">
        <v>3.6</v>
      </c>
      <c r="D1117" s="14">
        <v>0</v>
      </c>
      <c r="E1117" s="14">
        <f t="shared" si="17"/>
        <v>3.6</v>
      </c>
    </row>
    <row r="1118" spans="1:5" x14ac:dyDescent="0.3">
      <c r="A1118" s="7">
        <v>1002328</v>
      </c>
      <c r="B1118" s="7" t="s">
        <v>1119</v>
      </c>
      <c r="C1118" s="14">
        <v>18.985784826392418</v>
      </c>
      <c r="D1118" s="14">
        <v>26.423033149171271</v>
      </c>
      <c r="E1118" s="14">
        <f t="shared" si="17"/>
        <v>26.423033149171271</v>
      </c>
    </row>
    <row r="1119" spans="1:5" x14ac:dyDescent="0.3">
      <c r="A1119" s="7">
        <v>1002329</v>
      </c>
      <c r="B1119" s="7" t="s">
        <v>1120</v>
      </c>
      <c r="C1119" s="14">
        <v>96.158397735165408</v>
      </c>
      <c r="D1119" s="14">
        <v>76.916705790297343</v>
      </c>
      <c r="E1119" s="14">
        <f t="shared" si="17"/>
        <v>96.158397735165408</v>
      </c>
    </row>
    <row r="1120" spans="1:5" x14ac:dyDescent="0.3">
      <c r="A1120" s="7">
        <v>1002330</v>
      </c>
      <c r="B1120" s="7" t="s">
        <v>1121</v>
      </c>
      <c r="C1120" s="14">
        <v>79.060408718561888</v>
      </c>
      <c r="D1120" s="14">
        <v>74.125</v>
      </c>
      <c r="E1120" s="14">
        <f t="shared" si="17"/>
        <v>79.060408718561888</v>
      </c>
    </row>
    <row r="1121" spans="1:5" x14ac:dyDescent="0.3">
      <c r="A1121" s="7">
        <v>1002331</v>
      </c>
      <c r="B1121" s="7" t="s">
        <v>1122</v>
      </c>
      <c r="C1121" s="14">
        <v>89.785843916641539</v>
      </c>
      <c r="D1121" s="14">
        <v>40.433013856812927</v>
      </c>
      <c r="E1121" s="14">
        <f t="shared" ref="E1121:E1184" si="18">+MAX(C1121, D1121)</f>
        <v>89.785843916641539</v>
      </c>
    </row>
    <row r="1122" spans="1:5" x14ac:dyDescent="0.3">
      <c r="A1122" s="7">
        <v>1002332</v>
      </c>
      <c r="B1122" s="7" t="s">
        <v>1123</v>
      </c>
      <c r="C1122" s="14">
        <v>69.153846153846203</v>
      </c>
      <c r="D1122" s="14">
        <v>0</v>
      </c>
      <c r="E1122" s="14">
        <f t="shared" si="18"/>
        <v>69.153846153846203</v>
      </c>
    </row>
    <row r="1123" spans="1:5" x14ac:dyDescent="0.3">
      <c r="A1123" s="7">
        <v>1002333</v>
      </c>
      <c r="B1123" s="7" t="s">
        <v>1124</v>
      </c>
      <c r="C1123" s="14">
        <v>31.5578001125726</v>
      </c>
      <c r="D1123" s="14">
        <v>0</v>
      </c>
      <c r="E1123" s="14">
        <f t="shared" si="18"/>
        <v>31.5578001125726</v>
      </c>
    </row>
    <row r="1124" spans="1:5" x14ac:dyDescent="0.3">
      <c r="A1124" s="7">
        <v>1002334</v>
      </c>
      <c r="B1124" s="7" t="s">
        <v>1125</v>
      </c>
      <c r="C1124" s="14">
        <v>101.21000000000001</v>
      </c>
      <c r="D1124" s="14">
        <v>101.21000000000001</v>
      </c>
      <c r="E1124" s="14">
        <f t="shared" si="18"/>
        <v>101.21000000000001</v>
      </c>
    </row>
    <row r="1125" spans="1:5" x14ac:dyDescent="0.3">
      <c r="A1125" s="7">
        <v>1002336</v>
      </c>
      <c r="B1125" s="7" t="s">
        <v>1126</v>
      </c>
      <c r="C1125" s="14">
        <v>31.467757136663316</v>
      </c>
      <c r="D1125" s="14">
        <v>30.540708598726116</v>
      </c>
      <c r="E1125" s="14">
        <f t="shared" si="18"/>
        <v>31.467757136663316</v>
      </c>
    </row>
    <row r="1126" spans="1:5" x14ac:dyDescent="0.3">
      <c r="A1126" s="7">
        <v>1002338</v>
      </c>
      <c r="B1126" s="7" t="s">
        <v>1127</v>
      </c>
      <c r="C1126" s="14">
        <v>50.858000626762774</v>
      </c>
      <c r="D1126" s="14">
        <v>50.858000000000004</v>
      </c>
      <c r="E1126" s="14">
        <f t="shared" si="18"/>
        <v>50.858000626762774</v>
      </c>
    </row>
    <row r="1127" spans="1:5" x14ac:dyDescent="0.3">
      <c r="A1127" s="7">
        <v>1002339</v>
      </c>
      <c r="B1127" s="7" t="s">
        <v>1128</v>
      </c>
      <c r="C1127" s="14">
        <v>11.75</v>
      </c>
      <c r="D1127" s="14">
        <v>7.062008276533593</v>
      </c>
      <c r="E1127" s="14">
        <f t="shared" si="18"/>
        <v>11.75</v>
      </c>
    </row>
    <row r="1128" spans="1:5" x14ac:dyDescent="0.3">
      <c r="A1128" s="7">
        <v>1002341</v>
      </c>
      <c r="B1128" s="7" t="s">
        <v>1129</v>
      </c>
      <c r="C1128" s="14">
        <v>0</v>
      </c>
      <c r="D1128" s="14">
        <v>0</v>
      </c>
      <c r="E1128" s="14">
        <f t="shared" si="18"/>
        <v>0</v>
      </c>
    </row>
    <row r="1129" spans="1:5" x14ac:dyDescent="0.3">
      <c r="A1129" s="7">
        <v>1002343</v>
      </c>
      <c r="B1129" s="7" t="s">
        <v>1130</v>
      </c>
      <c r="C1129" s="14">
        <v>0</v>
      </c>
      <c r="D1129" s="14">
        <v>0</v>
      </c>
      <c r="E1129" s="14">
        <f t="shared" si="18"/>
        <v>0</v>
      </c>
    </row>
    <row r="1130" spans="1:5" x14ac:dyDescent="0.3">
      <c r="A1130" s="7">
        <v>1002344</v>
      </c>
      <c r="B1130" s="7" t="s">
        <v>1131</v>
      </c>
      <c r="C1130" s="14">
        <v>49.88</v>
      </c>
      <c r="D1130" s="14">
        <v>0</v>
      </c>
      <c r="E1130" s="14">
        <f t="shared" si="18"/>
        <v>49.88</v>
      </c>
    </row>
    <row r="1131" spans="1:5" x14ac:dyDescent="0.3">
      <c r="A1131" s="7">
        <v>1002346</v>
      </c>
      <c r="B1131" s="7" t="s">
        <v>1132</v>
      </c>
      <c r="C1131" s="14">
        <v>0</v>
      </c>
      <c r="D1131" s="14">
        <v>0</v>
      </c>
      <c r="E1131" s="14">
        <f t="shared" si="18"/>
        <v>0</v>
      </c>
    </row>
    <row r="1132" spans="1:5" x14ac:dyDescent="0.3">
      <c r="A1132" s="7">
        <v>1002347</v>
      </c>
      <c r="B1132" s="7" t="s">
        <v>1133</v>
      </c>
      <c r="C1132" s="14">
        <v>181.94876262981774</v>
      </c>
      <c r="D1132" s="14">
        <v>112.2919</v>
      </c>
      <c r="E1132" s="14">
        <f t="shared" si="18"/>
        <v>181.94876262981774</v>
      </c>
    </row>
    <row r="1133" spans="1:5" x14ac:dyDescent="0.3">
      <c r="A1133" s="7">
        <v>1002348</v>
      </c>
      <c r="B1133" s="7" t="s">
        <v>1134</v>
      </c>
      <c r="C1133" s="14">
        <v>326.13067320495662</v>
      </c>
      <c r="D1133" s="14">
        <v>234.70564668769717</v>
      </c>
      <c r="E1133" s="14">
        <f t="shared" si="18"/>
        <v>326.13067320495662</v>
      </c>
    </row>
    <row r="1134" spans="1:5" x14ac:dyDescent="0.3">
      <c r="A1134" s="7">
        <v>1002349</v>
      </c>
      <c r="B1134" s="7" t="s">
        <v>1135</v>
      </c>
      <c r="C1134" s="14">
        <v>186.26256175562202</v>
      </c>
      <c r="D1134" s="14">
        <v>245.31477469276282</v>
      </c>
      <c r="E1134" s="14">
        <f t="shared" si="18"/>
        <v>245.31477469276282</v>
      </c>
    </row>
    <row r="1135" spans="1:5" x14ac:dyDescent="0.3">
      <c r="A1135" s="7">
        <v>1002350</v>
      </c>
      <c r="B1135" s="7" t="s">
        <v>1136</v>
      </c>
      <c r="C1135" s="14">
        <v>146.014187139917</v>
      </c>
      <c r="D1135" s="14">
        <v>0</v>
      </c>
      <c r="E1135" s="14">
        <f t="shared" si="18"/>
        <v>146.014187139917</v>
      </c>
    </row>
    <row r="1136" spans="1:5" x14ac:dyDescent="0.3">
      <c r="A1136" s="7">
        <v>1002355</v>
      </c>
      <c r="B1136" s="7" t="s">
        <v>1137</v>
      </c>
      <c r="C1136" s="14">
        <v>171.84452537474726</v>
      </c>
      <c r="D1136" s="14">
        <v>0</v>
      </c>
      <c r="E1136" s="14">
        <f t="shared" si="18"/>
        <v>171.84452537474726</v>
      </c>
    </row>
    <row r="1137" spans="1:5" x14ac:dyDescent="0.3">
      <c r="A1137" s="7">
        <v>1002372</v>
      </c>
      <c r="B1137" s="7" t="s">
        <v>1138</v>
      </c>
      <c r="C1137" s="14">
        <v>8.1976535896854426</v>
      </c>
      <c r="D1137" s="14">
        <v>5.1808845572307112</v>
      </c>
      <c r="E1137" s="14">
        <f t="shared" si="18"/>
        <v>8.1976535896854426</v>
      </c>
    </row>
    <row r="1138" spans="1:5" x14ac:dyDescent="0.3">
      <c r="A1138" s="7">
        <v>1002373</v>
      </c>
      <c r="B1138" s="7" t="s">
        <v>1139</v>
      </c>
      <c r="C1138" s="14">
        <v>10.119999999999999</v>
      </c>
      <c r="D1138" s="14">
        <v>0</v>
      </c>
      <c r="E1138" s="14">
        <f t="shared" si="18"/>
        <v>10.119999999999999</v>
      </c>
    </row>
    <row r="1139" spans="1:5" x14ac:dyDescent="0.3">
      <c r="A1139" s="7">
        <v>1002375</v>
      </c>
      <c r="B1139" s="7" t="s">
        <v>1140</v>
      </c>
      <c r="C1139" s="14">
        <v>7.9135674844638473</v>
      </c>
      <c r="D1139" s="14">
        <v>7.9135647279549728</v>
      </c>
      <c r="E1139" s="14">
        <f t="shared" si="18"/>
        <v>7.9135674844638473</v>
      </c>
    </row>
    <row r="1140" spans="1:5" x14ac:dyDescent="0.3">
      <c r="A1140" s="7">
        <v>1002377</v>
      </c>
      <c r="B1140" s="7" t="s">
        <v>1141</v>
      </c>
      <c r="C1140" s="14">
        <v>9.2799999999999994</v>
      </c>
      <c r="D1140" s="14">
        <v>0</v>
      </c>
      <c r="E1140" s="14">
        <f t="shared" si="18"/>
        <v>9.2799999999999994</v>
      </c>
    </row>
    <row r="1141" spans="1:5" x14ac:dyDescent="0.3">
      <c r="A1141" s="7">
        <v>1002383</v>
      </c>
      <c r="B1141" s="7" t="s">
        <v>1142</v>
      </c>
      <c r="C1141" s="14">
        <v>1.25</v>
      </c>
      <c r="D1141" s="14">
        <v>1.25</v>
      </c>
      <c r="E1141" s="14">
        <f t="shared" si="18"/>
        <v>1.25</v>
      </c>
    </row>
    <row r="1142" spans="1:5" x14ac:dyDescent="0.3">
      <c r="A1142" s="7">
        <v>1002387</v>
      </c>
      <c r="B1142" s="7" t="s">
        <v>1143</v>
      </c>
      <c r="C1142" s="14">
        <v>2.95</v>
      </c>
      <c r="D1142" s="14">
        <v>0</v>
      </c>
      <c r="E1142" s="14">
        <f t="shared" si="18"/>
        <v>2.95</v>
      </c>
    </row>
    <row r="1143" spans="1:5" x14ac:dyDescent="0.3">
      <c r="A1143" s="7">
        <v>1002388</v>
      </c>
      <c r="B1143" s="7" t="s">
        <v>1144</v>
      </c>
      <c r="C1143" s="14">
        <v>42.730208870167878</v>
      </c>
      <c r="D1143" s="14">
        <v>34.548445863984973</v>
      </c>
      <c r="E1143" s="14">
        <f t="shared" si="18"/>
        <v>42.730208870167878</v>
      </c>
    </row>
    <row r="1144" spans="1:5" x14ac:dyDescent="0.3">
      <c r="A1144" s="7">
        <v>1002390</v>
      </c>
      <c r="B1144" s="7" t="s">
        <v>1145</v>
      </c>
      <c r="C1144" s="14">
        <v>413.5320691993951</v>
      </c>
      <c r="D1144" s="14">
        <v>117.33811420701345</v>
      </c>
      <c r="E1144" s="14">
        <f t="shared" si="18"/>
        <v>413.5320691993951</v>
      </c>
    </row>
    <row r="1145" spans="1:5" x14ac:dyDescent="0.3">
      <c r="A1145" s="7">
        <v>1002391</v>
      </c>
      <c r="B1145" s="7" t="s">
        <v>1146</v>
      </c>
      <c r="C1145" s="14">
        <v>172.71659624413101</v>
      </c>
      <c r="D1145" s="14">
        <v>0</v>
      </c>
      <c r="E1145" s="14">
        <f t="shared" si="18"/>
        <v>172.71659624413101</v>
      </c>
    </row>
    <row r="1146" spans="1:5" x14ac:dyDescent="0.3">
      <c r="A1146" s="7">
        <v>1002392</v>
      </c>
      <c r="B1146" s="7" t="s">
        <v>1147</v>
      </c>
      <c r="C1146" s="14">
        <v>70.8</v>
      </c>
      <c r="D1146" s="14">
        <v>0</v>
      </c>
      <c r="E1146" s="14">
        <f t="shared" si="18"/>
        <v>70.8</v>
      </c>
    </row>
    <row r="1147" spans="1:5" x14ac:dyDescent="0.3">
      <c r="A1147" s="7">
        <v>1002393</v>
      </c>
      <c r="B1147" s="7" t="s">
        <v>1148</v>
      </c>
      <c r="C1147" s="14">
        <v>29.240400000000001</v>
      </c>
      <c r="D1147" s="14">
        <v>29.240400000000001</v>
      </c>
      <c r="E1147" s="14">
        <f t="shared" si="18"/>
        <v>29.240400000000001</v>
      </c>
    </row>
    <row r="1148" spans="1:5" x14ac:dyDescent="0.3">
      <c r="A1148" s="7">
        <v>1002394</v>
      </c>
      <c r="B1148" s="7" t="s">
        <v>1149</v>
      </c>
      <c r="C1148" s="14">
        <v>157.13233129917012</v>
      </c>
      <c r="D1148" s="14">
        <v>162.8038393367639</v>
      </c>
      <c r="E1148" s="14">
        <f t="shared" si="18"/>
        <v>162.8038393367639</v>
      </c>
    </row>
    <row r="1149" spans="1:5" x14ac:dyDescent="0.3">
      <c r="A1149" s="7">
        <v>1002395</v>
      </c>
      <c r="B1149" s="7" t="s">
        <v>1150</v>
      </c>
      <c r="C1149" s="14">
        <v>116.0174974693534</v>
      </c>
      <c r="D1149" s="14">
        <v>78.099077376083756</v>
      </c>
      <c r="E1149" s="14">
        <f t="shared" si="18"/>
        <v>116.0174974693534</v>
      </c>
    </row>
    <row r="1150" spans="1:5" x14ac:dyDescent="0.3">
      <c r="A1150" s="7">
        <v>1002396</v>
      </c>
      <c r="B1150" s="7" t="s">
        <v>1151</v>
      </c>
      <c r="C1150" s="14">
        <v>94.200991388827546</v>
      </c>
      <c r="D1150" s="14">
        <v>87.570095337146824</v>
      </c>
      <c r="E1150" s="14">
        <f t="shared" si="18"/>
        <v>94.200991388827546</v>
      </c>
    </row>
    <row r="1151" spans="1:5" x14ac:dyDescent="0.3">
      <c r="A1151" s="7">
        <v>1002397</v>
      </c>
      <c r="B1151" s="7" t="s">
        <v>1152</v>
      </c>
      <c r="C1151" s="14">
        <v>122.07000000000001</v>
      </c>
      <c r="D1151" s="14">
        <v>122.07</v>
      </c>
      <c r="E1151" s="14">
        <f t="shared" si="18"/>
        <v>122.07000000000001</v>
      </c>
    </row>
    <row r="1152" spans="1:5" x14ac:dyDescent="0.3">
      <c r="A1152" s="7">
        <v>1002398</v>
      </c>
      <c r="B1152" s="7">
        <v>2</v>
      </c>
      <c r="C1152" s="14">
        <v>116.06803020980598</v>
      </c>
      <c r="D1152" s="14">
        <v>84.955004887585531</v>
      </c>
      <c r="E1152" s="14">
        <f t="shared" si="18"/>
        <v>116.06803020980598</v>
      </c>
    </row>
    <row r="1153" spans="1:5" x14ac:dyDescent="0.3">
      <c r="A1153" s="7">
        <v>1002399</v>
      </c>
      <c r="B1153" s="7" t="s">
        <v>1154</v>
      </c>
      <c r="C1153" s="14">
        <v>1374.281329625172</v>
      </c>
      <c r="D1153" s="14">
        <v>0</v>
      </c>
      <c r="E1153" s="14">
        <f t="shared" si="18"/>
        <v>1374.281329625172</v>
      </c>
    </row>
    <row r="1154" spans="1:5" x14ac:dyDescent="0.3">
      <c r="A1154" s="7">
        <v>1002400</v>
      </c>
      <c r="B1154" s="7" t="s">
        <v>1155</v>
      </c>
      <c r="C1154" s="14">
        <v>1374.281329625172</v>
      </c>
      <c r="D1154" s="14">
        <v>0</v>
      </c>
      <c r="E1154" s="14">
        <f t="shared" si="18"/>
        <v>1374.281329625172</v>
      </c>
    </row>
    <row r="1155" spans="1:5" x14ac:dyDescent="0.3">
      <c r="A1155" s="7">
        <v>1002401</v>
      </c>
      <c r="B1155" s="7" t="s">
        <v>1156</v>
      </c>
      <c r="C1155" s="14">
        <v>967.4165629496232</v>
      </c>
      <c r="D1155" s="14">
        <v>0</v>
      </c>
      <c r="E1155" s="14">
        <f t="shared" si="18"/>
        <v>967.4165629496232</v>
      </c>
    </row>
    <row r="1156" spans="1:5" x14ac:dyDescent="0.3">
      <c r="A1156" s="7">
        <v>1002402</v>
      </c>
      <c r="B1156" s="7" t="s">
        <v>1157</v>
      </c>
      <c r="C1156" s="14">
        <v>1765.5708434019591</v>
      </c>
      <c r="D1156" s="14">
        <v>0</v>
      </c>
      <c r="E1156" s="14">
        <f t="shared" si="18"/>
        <v>1765.5708434019591</v>
      </c>
    </row>
    <row r="1157" spans="1:5" x14ac:dyDescent="0.3">
      <c r="A1157" s="7">
        <v>1002404</v>
      </c>
      <c r="B1157" s="7" t="s">
        <v>1158</v>
      </c>
      <c r="C1157" s="14">
        <v>3822.6866103299208</v>
      </c>
      <c r="D1157" s="14">
        <v>3822.6866142684403</v>
      </c>
      <c r="E1157" s="14">
        <f t="shared" si="18"/>
        <v>3822.6866142684403</v>
      </c>
    </row>
    <row r="1158" spans="1:5" x14ac:dyDescent="0.3">
      <c r="A1158" s="7">
        <v>1002405</v>
      </c>
      <c r="B1158" s="7" t="s">
        <v>1159</v>
      </c>
      <c r="C1158" s="14">
        <v>23392.31</v>
      </c>
      <c r="D1158" s="14">
        <v>23392.31</v>
      </c>
      <c r="E1158" s="14">
        <f t="shared" si="18"/>
        <v>23392.31</v>
      </c>
    </row>
    <row r="1159" spans="1:5" x14ac:dyDescent="0.3">
      <c r="A1159" s="7">
        <v>1002413</v>
      </c>
      <c r="B1159" s="7" t="s">
        <v>1160</v>
      </c>
      <c r="C1159" s="14">
        <v>1011.85</v>
      </c>
      <c r="D1159" s="14">
        <v>0</v>
      </c>
      <c r="E1159" s="14">
        <f t="shared" si="18"/>
        <v>1011.85</v>
      </c>
    </row>
    <row r="1160" spans="1:5" x14ac:dyDescent="0.3">
      <c r="A1160" s="7">
        <v>1002419</v>
      </c>
      <c r="B1160" s="7" t="s">
        <v>1161</v>
      </c>
      <c r="C1160" s="14">
        <v>1766.48</v>
      </c>
      <c r="D1160" s="14">
        <v>0</v>
      </c>
      <c r="E1160" s="14">
        <f t="shared" si="18"/>
        <v>1766.48</v>
      </c>
    </row>
    <row r="1161" spans="1:5" x14ac:dyDescent="0.3">
      <c r="A1161" s="7">
        <v>1002421</v>
      </c>
      <c r="B1161" s="7" t="s">
        <v>1162</v>
      </c>
      <c r="C1161" s="14">
        <v>931.64553124999998</v>
      </c>
      <c r="D1161" s="14">
        <v>0</v>
      </c>
      <c r="E1161" s="14">
        <f t="shared" si="18"/>
        <v>931.64553124999998</v>
      </c>
    </row>
    <row r="1162" spans="1:5" x14ac:dyDescent="0.3">
      <c r="A1162" s="7">
        <v>1002422</v>
      </c>
      <c r="B1162" s="7" t="s">
        <v>1163</v>
      </c>
      <c r="C1162" s="14">
        <v>28592.830671624972</v>
      </c>
      <c r="D1162" s="14">
        <v>28592.83083333333</v>
      </c>
      <c r="E1162" s="14">
        <f t="shared" si="18"/>
        <v>28592.83083333333</v>
      </c>
    </row>
    <row r="1163" spans="1:5" x14ac:dyDescent="0.3">
      <c r="A1163" s="7">
        <v>1002423</v>
      </c>
      <c r="B1163" s="7" t="s">
        <v>1164</v>
      </c>
      <c r="C1163" s="14">
        <v>37815.297595533499</v>
      </c>
      <c r="D1163" s="14">
        <v>0</v>
      </c>
      <c r="E1163" s="14">
        <f t="shared" si="18"/>
        <v>37815.297595533499</v>
      </c>
    </row>
    <row r="1164" spans="1:5" x14ac:dyDescent="0.3">
      <c r="A1164" s="7">
        <v>1002424</v>
      </c>
      <c r="B1164" s="7" t="s">
        <v>1165</v>
      </c>
      <c r="C1164" s="14">
        <v>63544.9656963097</v>
      </c>
      <c r="D1164" s="14">
        <v>0</v>
      </c>
      <c r="E1164" s="14">
        <f t="shared" si="18"/>
        <v>63544.9656963097</v>
      </c>
    </row>
    <row r="1165" spans="1:5" x14ac:dyDescent="0.3">
      <c r="A1165" s="7">
        <v>1002426</v>
      </c>
      <c r="B1165" s="7" t="s">
        <v>1166</v>
      </c>
      <c r="C1165" s="14">
        <v>66862.606666666703</v>
      </c>
      <c r="D1165" s="14">
        <v>0</v>
      </c>
      <c r="E1165" s="14">
        <f t="shared" si="18"/>
        <v>66862.606666666703</v>
      </c>
    </row>
    <row r="1166" spans="1:5" x14ac:dyDescent="0.3">
      <c r="A1166" s="7">
        <v>1002427</v>
      </c>
      <c r="B1166" s="7" t="s">
        <v>1167</v>
      </c>
      <c r="C1166" s="14">
        <v>67825.146041666696</v>
      </c>
      <c r="D1166" s="14">
        <v>0</v>
      </c>
      <c r="E1166" s="14">
        <f t="shared" si="18"/>
        <v>67825.146041666696</v>
      </c>
    </row>
    <row r="1167" spans="1:5" x14ac:dyDescent="0.3">
      <c r="A1167" s="7">
        <v>1002428</v>
      </c>
      <c r="B1167" s="7" t="s">
        <v>1168</v>
      </c>
      <c r="C1167" s="14">
        <v>68844.179999999993</v>
      </c>
      <c r="D1167" s="14">
        <v>0</v>
      </c>
      <c r="E1167" s="14">
        <f t="shared" si="18"/>
        <v>68844.179999999993</v>
      </c>
    </row>
    <row r="1168" spans="1:5" x14ac:dyDescent="0.3">
      <c r="A1168" s="7">
        <v>1002431</v>
      </c>
      <c r="B1168" s="7" t="s">
        <v>1169</v>
      </c>
      <c r="C1168" s="14">
        <v>22912.49</v>
      </c>
      <c r="D1168" s="14">
        <v>0</v>
      </c>
      <c r="E1168" s="14">
        <f t="shared" si="18"/>
        <v>22912.49</v>
      </c>
    </row>
    <row r="1169" spans="1:5" x14ac:dyDescent="0.3">
      <c r="A1169" s="7">
        <v>1002432</v>
      </c>
      <c r="B1169" s="7" t="s">
        <v>1170</v>
      </c>
      <c r="C1169" s="14">
        <v>2787.4753385924623</v>
      </c>
      <c r="D1169" s="14">
        <v>2787.4752173913043</v>
      </c>
      <c r="E1169" s="14">
        <f t="shared" si="18"/>
        <v>2787.4753385924623</v>
      </c>
    </row>
    <row r="1170" spans="1:5" x14ac:dyDescent="0.3">
      <c r="A1170" s="7">
        <v>1002433</v>
      </c>
      <c r="B1170" s="7" t="s">
        <v>1171</v>
      </c>
      <c r="C1170" s="14">
        <v>22607.968287037002</v>
      </c>
      <c r="D1170" s="14">
        <v>0</v>
      </c>
      <c r="E1170" s="14">
        <f t="shared" si="18"/>
        <v>22607.968287037002</v>
      </c>
    </row>
    <row r="1171" spans="1:5" x14ac:dyDescent="0.3">
      <c r="A1171" s="7">
        <v>1002434</v>
      </c>
      <c r="B1171" s="7" t="s">
        <v>1172</v>
      </c>
      <c r="C1171" s="14">
        <v>17737.378990643301</v>
      </c>
      <c r="D1171" s="14">
        <v>0</v>
      </c>
      <c r="E1171" s="14">
        <f t="shared" si="18"/>
        <v>17737.378990643301</v>
      </c>
    </row>
    <row r="1172" spans="1:5" x14ac:dyDescent="0.3">
      <c r="A1172" s="7">
        <v>1002435</v>
      </c>
      <c r="B1172" s="7" t="s">
        <v>1173</v>
      </c>
      <c r="C1172" s="14">
        <v>958</v>
      </c>
      <c r="D1172" s="14">
        <v>958</v>
      </c>
      <c r="E1172" s="14">
        <f t="shared" si="18"/>
        <v>958</v>
      </c>
    </row>
    <row r="1173" spans="1:5" x14ac:dyDescent="0.3">
      <c r="A1173" s="7">
        <v>1002436</v>
      </c>
      <c r="B1173" s="7" t="s">
        <v>1174</v>
      </c>
      <c r="C1173" s="14">
        <v>22068.393760804862</v>
      </c>
      <c r="D1173" s="14">
        <v>14494.156363636364</v>
      </c>
      <c r="E1173" s="14">
        <f t="shared" si="18"/>
        <v>22068.393760804862</v>
      </c>
    </row>
    <row r="1174" spans="1:5" x14ac:dyDescent="0.3">
      <c r="A1174" s="7">
        <v>1002437</v>
      </c>
      <c r="B1174" s="7" t="s">
        <v>1175</v>
      </c>
      <c r="C1174" s="14">
        <v>37787.451888888885</v>
      </c>
      <c r="D1174" s="14">
        <v>20094.113777777777</v>
      </c>
      <c r="E1174" s="14">
        <f t="shared" si="18"/>
        <v>37787.451888888885</v>
      </c>
    </row>
    <row r="1175" spans="1:5" x14ac:dyDescent="0.3">
      <c r="A1175" s="7">
        <v>1002438</v>
      </c>
      <c r="B1175" s="7" t="s">
        <v>1176</v>
      </c>
      <c r="C1175" s="14">
        <v>65392.79</v>
      </c>
      <c r="D1175" s="14">
        <v>65392.79</v>
      </c>
      <c r="E1175" s="14">
        <f t="shared" si="18"/>
        <v>65392.79</v>
      </c>
    </row>
    <row r="1176" spans="1:5" x14ac:dyDescent="0.3">
      <c r="A1176" s="7">
        <v>1002439</v>
      </c>
      <c r="B1176" s="7" t="s">
        <v>1177</v>
      </c>
      <c r="C1176" s="14">
        <v>2869.914536842105</v>
      </c>
      <c r="D1176" s="14">
        <v>2869.9146153846154</v>
      </c>
      <c r="E1176" s="14">
        <f t="shared" si="18"/>
        <v>2869.9146153846154</v>
      </c>
    </row>
    <row r="1177" spans="1:5" x14ac:dyDescent="0.3">
      <c r="A1177" s="7">
        <v>1002440</v>
      </c>
      <c r="B1177" s="7" t="s">
        <v>1178</v>
      </c>
      <c r="C1177" s="14">
        <v>25380.735095238098</v>
      </c>
      <c r="D1177" s="14">
        <v>0</v>
      </c>
      <c r="E1177" s="14">
        <f t="shared" si="18"/>
        <v>25380.735095238098</v>
      </c>
    </row>
    <row r="1178" spans="1:5" x14ac:dyDescent="0.3">
      <c r="A1178" s="7">
        <v>1002442</v>
      </c>
      <c r="B1178" s="7" t="s">
        <v>1179</v>
      </c>
      <c r="C1178" s="14">
        <v>2647.3425000000002</v>
      </c>
      <c r="D1178" s="14">
        <v>0</v>
      </c>
      <c r="E1178" s="14">
        <f t="shared" si="18"/>
        <v>2647.3425000000002</v>
      </c>
    </row>
    <row r="1179" spans="1:5" x14ac:dyDescent="0.3">
      <c r="A1179" s="7">
        <v>1002443</v>
      </c>
      <c r="B1179" s="7" t="s">
        <v>1180</v>
      </c>
      <c r="C1179" s="14">
        <v>23239.812114361001</v>
      </c>
      <c r="D1179" s="14">
        <v>0</v>
      </c>
      <c r="E1179" s="14">
        <f t="shared" si="18"/>
        <v>23239.812114361001</v>
      </c>
    </row>
    <row r="1180" spans="1:5" x14ac:dyDescent="0.3">
      <c r="A1180" s="7">
        <v>1002444</v>
      </c>
      <c r="B1180" s="7" t="s">
        <v>1181</v>
      </c>
      <c r="C1180" s="14">
        <v>22826.0978215584</v>
      </c>
      <c r="D1180" s="14">
        <v>0</v>
      </c>
      <c r="E1180" s="14">
        <f t="shared" si="18"/>
        <v>22826.0978215584</v>
      </c>
    </row>
    <row r="1181" spans="1:5" x14ac:dyDescent="0.3">
      <c r="A1181" s="7">
        <v>1002445</v>
      </c>
      <c r="B1181" s="7" t="s">
        <v>1182</v>
      </c>
      <c r="C1181" s="14">
        <v>36458.342657307927</v>
      </c>
      <c r="D1181" s="14">
        <v>36458.342352941174</v>
      </c>
      <c r="E1181" s="14">
        <f t="shared" si="18"/>
        <v>36458.342657307927</v>
      </c>
    </row>
    <row r="1182" spans="1:5" x14ac:dyDescent="0.3">
      <c r="A1182" s="7">
        <v>1002447</v>
      </c>
      <c r="B1182" s="7" t="s">
        <v>1183</v>
      </c>
      <c r="C1182" s="14">
        <v>1453.0799100302152</v>
      </c>
      <c r="D1182" s="14">
        <v>0</v>
      </c>
      <c r="E1182" s="14">
        <f t="shared" si="18"/>
        <v>1453.0799100302152</v>
      </c>
    </row>
    <row r="1183" spans="1:5" x14ac:dyDescent="0.3">
      <c r="A1183" s="7">
        <v>1002448</v>
      </c>
      <c r="B1183" s="7" t="s">
        <v>1184</v>
      </c>
      <c r="C1183" s="14">
        <v>161481.24</v>
      </c>
      <c r="D1183" s="14">
        <v>161481.24</v>
      </c>
      <c r="E1183" s="14">
        <f t="shared" si="18"/>
        <v>161481.24</v>
      </c>
    </row>
    <row r="1184" spans="1:5" x14ac:dyDescent="0.3">
      <c r="A1184" s="7">
        <v>1002449</v>
      </c>
      <c r="B1184" s="7" t="s">
        <v>1185</v>
      </c>
      <c r="C1184" s="14">
        <v>17042.189999999999</v>
      </c>
      <c r="D1184" s="14">
        <v>17042.189999999999</v>
      </c>
      <c r="E1184" s="14">
        <f t="shared" si="18"/>
        <v>17042.189999999999</v>
      </c>
    </row>
    <row r="1185" spans="1:5" x14ac:dyDescent="0.3">
      <c r="A1185" s="7">
        <v>1002450</v>
      </c>
      <c r="B1185" s="7" t="s">
        <v>1186</v>
      </c>
      <c r="C1185" s="14">
        <v>1657.3714993900276</v>
      </c>
      <c r="D1185" s="14">
        <v>1657.3715083798882</v>
      </c>
      <c r="E1185" s="14">
        <f t="shared" ref="E1185:E1248" si="19">+MAX(C1185, D1185)</f>
        <v>1657.3715083798882</v>
      </c>
    </row>
    <row r="1186" spans="1:5" x14ac:dyDescent="0.3">
      <c r="A1186" s="7">
        <v>1002451</v>
      </c>
      <c r="B1186" s="7" t="s">
        <v>1187</v>
      </c>
      <c r="C1186" s="14">
        <v>182789.92857142858</v>
      </c>
      <c r="D1186" s="14">
        <v>0</v>
      </c>
      <c r="E1186" s="14">
        <f t="shared" si="19"/>
        <v>182789.92857142858</v>
      </c>
    </row>
    <row r="1187" spans="1:5" x14ac:dyDescent="0.3">
      <c r="A1187" s="7">
        <v>1002452</v>
      </c>
      <c r="B1187" s="7" t="s">
        <v>1188</v>
      </c>
      <c r="C1187" s="14">
        <v>18531.4411111111</v>
      </c>
      <c r="D1187" s="14">
        <v>0</v>
      </c>
      <c r="E1187" s="14">
        <f t="shared" si="19"/>
        <v>18531.4411111111</v>
      </c>
    </row>
    <row r="1188" spans="1:5" x14ac:dyDescent="0.3">
      <c r="A1188" s="7">
        <v>1002453</v>
      </c>
      <c r="B1188" s="7" t="s">
        <v>1189</v>
      </c>
      <c r="C1188" s="14">
        <v>14380.784</v>
      </c>
      <c r="D1188" s="14">
        <v>0</v>
      </c>
      <c r="E1188" s="14">
        <f t="shared" si="19"/>
        <v>14380.784</v>
      </c>
    </row>
    <row r="1189" spans="1:5" x14ac:dyDescent="0.3">
      <c r="A1189" s="7">
        <v>1002454</v>
      </c>
      <c r="B1189" s="7" t="s">
        <v>1190</v>
      </c>
      <c r="C1189" s="14">
        <v>19311.689047618998</v>
      </c>
      <c r="D1189" s="14">
        <v>0</v>
      </c>
      <c r="E1189" s="14">
        <f t="shared" si="19"/>
        <v>19311.689047618998</v>
      </c>
    </row>
    <row r="1190" spans="1:5" x14ac:dyDescent="0.3">
      <c r="A1190" s="7">
        <v>1002455</v>
      </c>
      <c r="B1190" s="7" t="s">
        <v>1191</v>
      </c>
      <c r="C1190" s="14">
        <v>2326.2647685185202</v>
      </c>
      <c r="D1190" s="14">
        <v>0</v>
      </c>
      <c r="E1190" s="14">
        <f t="shared" si="19"/>
        <v>2326.2647685185202</v>
      </c>
    </row>
    <row r="1191" spans="1:5" x14ac:dyDescent="0.3">
      <c r="A1191" s="7">
        <v>1002456</v>
      </c>
      <c r="B1191" s="7" t="s">
        <v>1192</v>
      </c>
      <c r="C1191" s="14">
        <v>16138.17661971831</v>
      </c>
      <c r="D1191" s="14">
        <v>0</v>
      </c>
      <c r="E1191" s="14">
        <f t="shared" si="19"/>
        <v>16138.17661971831</v>
      </c>
    </row>
    <row r="1192" spans="1:5" x14ac:dyDescent="0.3">
      <c r="A1192" s="7">
        <v>1002457</v>
      </c>
      <c r="B1192" s="7" t="s">
        <v>1193</v>
      </c>
      <c r="C1192" s="14">
        <v>48148.343333333331</v>
      </c>
      <c r="D1192" s="14">
        <v>48148.343333333331</v>
      </c>
      <c r="E1192" s="14">
        <f t="shared" si="19"/>
        <v>48148.343333333331</v>
      </c>
    </row>
    <row r="1193" spans="1:5" x14ac:dyDescent="0.3">
      <c r="A1193" s="7">
        <v>1002459</v>
      </c>
      <c r="B1193" s="7" t="s">
        <v>1194</v>
      </c>
      <c r="C1193" s="14">
        <v>1718.5815430460229</v>
      </c>
      <c r="D1193" s="14">
        <v>1718.5815370255132</v>
      </c>
      <c r="E1193" s="14">
        <f t="shared" si="19"/>
        <v>1718.5815430460229</v>
      </c>
    </row>
    <row r="1194" spans="1:5" x14ac:dyDescent="0.3">
      <c r="A1194" s="7">
        <v>1002461</v>
      </c>
      <c r="B1194" s="7" t="s">
        <v>1195</v>
      </c>
      <c r="C1194" s="14">
        <v>19106.404833333334</v>
      </c>
      <c r="D1194" s="14">
        <v>19106.404666666665</v>
      </c>
      <c r="E1194" s="14">
        <f t="shared" si="19"/>
        <v>19106.404833333334</v>
      </c>
    </row>
    <row r="1195" spans="1:5" x14ac:dyDescent="0.3">
      <c r="A1195" s="7">
        <v>1002463</v>
      </c>
      <c r="B1195" s="7" t="s">
        <v>1196</v>
      </c>
      <c r="C1195" s="14">
        <v>2678.9694594594594</v>
      </c>
      <c r="D1195" s="14">
        <v>2678.9694736842107</v>
      </c>
      <c r="E1195" s="14">
        <f t="shared" si="19"/>
        <v>2678.9694736842107</v>
      </c>
    </row>
    <row r="1196" spans="1:5" x14ac:dyDescent="0.3">
      <c r="A1196" s="7">
        <v>1002466</v>
      </c>
      <c r="B1196" s="7" t="s">
        <v>1197</v>
      </c>
      <c r="C1196" s="14">
        <v>2405.1619230769229</v>
      </c>
      <c r="D1196" s="14">
        <v>2405.16</v>
      </c>
      <c r="E1196" s="14">
        <f t="shared" si="19"/>
        <v>2405.1619230769229</v>
      </c>
    </row>
    <row r="1197" spans="1:5" x14ac:dyDescent="0.3">
      <c r="A1197" s="7">
        <v>1002467</v>
      </c>
      <c r="B1197" s="7" t="s">
        <v>1198</v>
      </c>
      <c r="C1197" s="14">
        <v>2647.3425000000002</v>
      </c>
      <c r="D1197" s="14">
        <v>0</v>
      </c>
      <c r="E1197" s="14">
        <f t="shared" si="19"/>
        <v>2647.3425000000002</v>
      </c>
    </row>
    <row r="1198" spans="1:5" x14ac:dyDescent="0.3">
      <c r="A1198" s="7">
        <v>1002472</v>
      </c>
      <c r="B1198" s="7" t="s">
        <v>1199</v>
      </c>
      <c r="C1198" s="14">
        <v>605</v>
      </c>
      <c r="D1198" s="14">
        <v>605</v>
      </c>
      <c r="E1198" s="14">
        <f t="shared" si="19"/>
        <v>605</v>
      </c>
    </row>
    <row r="1199" spans="1:5" x14ac:dyDescent="0.3">
      <c r="A1199" s="7">
        <v>1002473</v>
      </c>
      <c r="B1199" s="7" t="s">
        <v>1200</v>
      </c>
      <c r="C1199" s="14">
        <v>678.08</v>
      </c>
      <c r="D1199" s="14">
        <v>678.08</v>
      </c>
      <c r="E1199" s="14">
        <f t="shared" si="19"/>
        <v>678.08</v>
      </c>
    </row>
    <row r="1200" spans="1:5" x14ac:dyDescent="0.3">
      <c r="A1200" s="7">
        <v>1002475</v>
      </c>
      <c r="B1200" s="7" t="s">
        <v>1201</v>
      </c>
      <c r="C1200" s="14">
        <v>38521.215177738923</v>
      </c>
      <c r="D1200" s="14">
        <v>38521.215151515156</v>
      </c>
      <c r="E1200" s="14">
        <f t="shared" si="19"/>
        <v>38521.215177738923</v>
      </c>
    </row>
    <row r="1201" spans="1:5" x14ac:dyDescent="0.3">
      <c r="A1201" s="7">
        <v>1002477</v>
      </c>
      <c r="B1201" s="7" t="s">
        <v>1202</v>
      </c>
      <c r="C1201" s="14">
        <v>35055.181818181816</v>
      </c>
      <c r="D1201" s="14">
        <v>35055.181818181816</v>
      </c>
      <c r="E1201" s="14">
        <f t="shared" si="19"/>
        <v>35055.181818181816</v>
      </c>
    </row>
    <row r="1202" spans="1:5" x14ac:dyDescent="0.3">
      <c r="A1202" s="7">
        <v>1002479</v>
      </c>
      <c r="B1202" s="7" t="s">
        <v>1203</v>
      </c>
      <c r="C1202" s="14">
        <v>37375.785571428598</v>
      </c>
      <c r="D1202" s="14">
        <v>110014.639</v>
      </c>
      <c r="E1202" s="14">
        <f t="shared" si="19"/>
        <v>110014.639</v>
      </c>
    </row>
    <row r="1203" spans="1:5" x14ac:dyDescent="0.3">
      <c r="A1203" s="7">
        <v>1002480</v>
      </c>
      <c r="B1203" s="7" t="s">
        <v>1204</v>
      </c>
      <c r="C1203" s="14">
        <v>37375.785120759057</v>
      </c>
      <c r="D1203" s="14">
        <v>0</v>
      </c>
      <c r="E1203" s="14">
        <f t="shared" si="19"/>
        <v>37375.785120759057</v>
      </c>
    </row>
    <row r="1204" spans="1:5" x14ac:dyDescent="0.3">
      <c r="A1204" s="7">
        <v>1002483</v>
      </c>
      <c r="B1204" s="7" t="s">
        <v>1205</v>
      </c>
      <c r="C1204" s="14">
        <v>11.849044748321958</v>
      </c>
      <c r="D1204" s="14">
        <v>11.849044827586207</v>
      </c>
      <c r="E1204" s="14">
        <f t="shared" si="19"/>
        <v>11.849044827586207</v>
      </c>
    </row>
    <row r="1205" spans="1:5" x14ac:dyDescent="0.3">
      <c r="A1205" s="7">
        <v>1002484</v>
      </c>
      <c r="B1205" s="7" t="s">
        <v>1206</v>
      </c>
      <c r="C1205" s="14">
        <v>7.9343871376056896</v>
      </c>
      <c r="D1205" s="14">
        <v>7.9191431316042262</v>
      </c>
      <c r="E1205" s="14">
        <f t="shared" si="19"/>
        <v>7.9343871376056896</v>
      </c>
    </row>
    <row r="1206" spans="1:5" x14ac:dyDescent="0.3">
      <c r="A1206" s="7">
        <v>1002485</v>
      </c>
      <c r="B1206" s="7" t="s">
        <v>1207</v>
      </c>
      <c r="C1206" s="14">
        <v>2.73</v>
      </c>
      <c r="D1206" s="14">
        <v>0</v>
      </c>
      <c r="E1206" s="14">
        <f t="shared" si="19"/>
        <v>2.73</v>
      </c>
    </row>
    <row r="1207" spans="1:5" x14ac:dyDescent="0.3">
      <c r="A1207" s="7">
        <v>1002486</v>
      </c>
      <c r="B1207" s="7" t="s">
        <v>1208</v>
      </c>
      <c r="C1207" s="14">
        <v>20.594124999999998</v>
      </c>
      <c r="D1207" s="14">
        <v>20.594124999999998</v>
      </c>
      <c r="E1207" s="14">
        <f t="shared" si="19"/>
        <v>20.594124999999998</v>
      </c>
    </row>
    <row r="1208" spans="1:5" x14ac:dyDescent="0.3">
      <c r="A1208" s="7">
        <v>1002487</v>
      </c>
      <c r="B1208" s="7" t="s">
        <v>1209</v>
      </c>
      <c r="C1208" s="14">
        <v>6.6032709775696974</v>
      </c>
      <c r="D1208" s="14">
        <v>6.6032707153885735</v>
      </c>
      <c r="E1208" s="14">
        <f t="shared" si="19"/>
        <v>6.6032709775696974</v>
      </c>
    </row>
    <row r="1209" spans="1:5" x14ac:dyDescent="0.3">
      <c r="A1209" s="7">
        <v>1002488</v>
      </c>
      <c r="B1209" s="7" t="s">
        <v>1210</v>
      </c>
      <c r="C1209" s="14">
        <v>2.4010144311290236</v>
      </c>
      <c r="D1209" s="14">
        <v>2.4010150044130625</v>
      </c>
      <c r="E1209" s="14">
        <f t="shared" si="19"/>
        <v>2.4010150044130625</v>
      </c>
    </row>
    <row r="1210" spans="1:5" x14ac:dyDescent="0.3">
      <c r="A1210" s="7">
        <v>1002489</v>
      </c>
      <c r="B1210" s="7" t="s">
        <v>1211</v>
      </c>
      <c r="C1210" s="14">
        <v>19.66</v>
      </c>
      <c r="D1210" s="14">
        <v>19.66</v>
      </c>
      <c r="E1210" s="14">
        <f t="shared" si="19"/>
        <v>19.66</v>
      </c>
    </row>
    <row r="1211" spans="1:5" x14ac:dyDescent="0.3">
      <c r="A1211" s="7">
        <v>1002490</v>
      </c>
      <c r="B1211" s="7" t="s">
        <v>1212</v>
      </c>
      <c r="C1211" s="14">
        <v>375.92609446774799</v>
      </c>
      <c r="D1211" s="14">
        <v>0</v>
      </c>
      <c r="E1211" s="14">
        <f t="shared" si="19"/>
        <v>375.92609446774799</v>
      </c>
    </row>
    <row r="1212" spans="1:5" x14ac:dyDescent="0.3">
      <c r="A1212" s="7">
        <v>1002491</v>
      </c>
      <c r="B1212" s="7" t="s">
        <v>1213</v>
      </c>
      <c r="C1212" s="14">
        <v>546.60359626864295</v>
      </c>
      <c r="D1212" s="14">
        <v>0</v>
      </c>
      <c r="E1212" s="14">
        <f t="shared" si="19"/>
        <v>546.60359626864295</v>
      </c>
    </row>
    <row r="1213" spans="1:5" x14ac:dyDescent="0.3">
      <c r="A1213" s="7">
        <v>1002492</v>
      </c>
      <c r="B1213" s="7" t="s">
        <v>1214</v>
      </c>
      <c r="C1213" s="14">
        <v>0</v>
      </c>
      <c r="D1213" s="14">
        <v>0</v>
      </c>
      <c r="E1213" s="14">
        <f t="shared" si="19"/>
        <v>0</v>
      </c>
    </row>
    <row r="1214" spans="1:5" x14ac:dyDescent="0.3">
      <c r="A1214" s="7">
        <v>1002494</v>
      </c>
      <c r="B1214" s="7" t="s">
        <v>1215</v>
      </c>
      <c r="C1214" s="14">
        <v>1175.95681766394</v>
      </c>
      <c r="D1214" s="14">
        <v>0</v>
      </c>
      <c r="E1214" s="14">
        <f t="shared" si="19"/>
        <v>1175.95681766394</v>
      </c>
    </row>
    <row r="1215" spans="1:5" x14ac:dyDescent="0.3">
      <c r="A1215" s="7">
        <v>1002498</v>
      </c>
      <c r="B1215" s="7" t="s">
        <v>1216</v>
      </c>
      <c r="C1215" s="14">
        <v>605.24400000000003</v>
      </c>
      <c r="D1215" s="14">
        <v>0</v>
      </c>
      <c r="E1215" s="14">
        <f t="shared" si="19"/>
        <v>605.24400000000003</v>
      </c>
    </row>
    <row r="1216" spans="1:5" x14ac:dyDescent="0.3">
      <c r="A1216" s="7">
        <v>1002502</v>
      </c>
      <c r="B1216" s="7" t="s">
        <v>1217</v>
      </c>
      <c r="C1216" s="14">
        <v>20.013068545930356</v>
      </c>
      <c r="D1216" s="14">
        <v>17.896347031963472</v>
      </c>
      <c r="E1216" s="14">
        <f t="shared" si="19"/>
        <v>20.013068545930356</v>
      </c>
    </row>
    <row r="1217" spans="1:5" x14ac:dyDescent="0.3">
      <c r="A1217" s="7">
        <v>1002503</v>
      </c>
      <c r="B1217" s="7" t="s">
        <v>1218</v>
      </c>
      <c r="C1217" s="14">
        <v>116.13538407625457</v>
      </c>
      <c r="D1217" s="14">
        <v>116.13546666666666</v>
      </c>
      <c r="E1217" s="14">
        <f t="shared" si="19"/>
        <v>116.13546666666666</v>
      </c>
    </row>
    <row r="1218" spans="1:5" x14ac:dyDescent="0.3">
      <c r="A1218" s="7">
        <v>1002505</v>
      </c>
      <c r="B1218" s="7" t="s">
        <v>1219</v>
      </c>
      <c r="C1218" s="14">
        <v>50.691730613566456</v>
      </c>
      <c r="D1218" s="14">
        <v>50.691717791411044</v>
      </c>
      <c r="E1218" s="14">
        <f t="shared" si="19"/>
        <v>50.691730613566456</v>
      </c>
    </row>
    <row r="1219" spans="1:5" x14ac:dyDescent="0.3">
      <c r="A1219" s="7">
        <v>1002506</v>
      </c>
      <c r="B1219" s="7" t="s">
        <v>1220</v>
      </c>
      <c r="C1219" s="14">
        <v>126.51249677596982</v>
      </c>
      <c r="D1219" s="14">
        <v>106.50234567901235</v>
      </c>
      <c r="E1219" s="14">
        <f t="shared" si="19"/>
        <v>126.51249677596982</v>
      </c>
    </row>
    <row r="1220" spans="1:5" x14ac:dyDescent="0.3">
      <c r="A1220" s="7">
        <v>1002507</v>
      </c>
      <c r="B1220" s="7" t="s">
        <v>1221</v>
      </c>
      <c r="C1220" s="14">
        <v>255.34421534391512</v>
      </c>
      <c r="D1220" s="14">
        <v>205.87925925925924</v>
      </c>
      <c r="E1220" s="14">
        <f t="shared" si="19"/>
        <v>255.34421534391512</v>
      </c>
    </row>
    <row r="1221" spans="1:5" x14ac:dyDescent="0.3">
      <c r="A1221" s="7">
        <v>1002510</v>
      </c>
      <c r="B1221" s="7" t="s">
        <v>1222</v>
      </c>
      <c r="C1221" s="14">
        <v>188.85231875100072</v>
      </c>
      <c r="D1221" s="14">
        <v>185.06985693848355</v>
      </c>
      <c r="E1221" s="14">
        <f t="shared" si="19"/>
        <v>188.85231875100072</v>
      </c>
    </row>
    <row r="1222" spans="1:5" x14ac:dyDescent="0.3">
      <c r="A1222" s="7">
        <v>1002511</v>
      </c>
      <c r="B1222" s="7" t="s">
        <v>1223</v>
      </c>
      <c r="C1222" s="14">
        <v>77.890998002744396</v>
      </c>
      <c r="D1222" s="14">
        <v>65.64795377036755</v>
      </c>
      <c r="E1222" s="14">
        <f t="shared" si="19"/>
        <v>77.890998002744396</v>
      </c>
    </row>
    <row r="1223" spans="1:5" x14ac:dyDescent="0.3">
      <c r="A1223" s="7">
        <v>1002512</v>
      </c>
      <c r="B1223" s="7" t="s">
        <v>1224</v>
      </c>
      <c r="C1223" s="14">
        <v>276.86506296918799</v>
      </c>
      <c r="D1223" s="14">
        <v>864.69295188556566</v>
      </c>
      <c r="E1223" s="14">
        <f t="shared" si="19"/>
        <v>864.69295188556566</v>
      </c>
    </row>
    <row r="1224" spans="1:5" x14ac:dyDescent="0.3">
      <c r="A1224" s="7">
        <v>1002513</v>
      </c>
      <c r="B1224" s="7" t="s">
        <v>1225</v>
      </c>
      <c r="C1224" s="14">
        <v>1250.7884688457316</v>
      </c>
      <c r="D1224" s="14">
        <v>1654.779861609431</v>
      </c>
      <c r="E1224" s="14">
        <f t="shared" si="19"/>
        <v>1654.779861609431</v>
      </c>
    </row>
    <row r="1225" spans="1:5" x14ac:dyDescent="0.3">
      <c r="A1225" s="7">
        <v>1002514</v>
      </c>
      <c r="B1225" s="7" t="s">
        <v>1226</v>
      </c>
      <c r="C1225" s="14">
        <v>1016.16</v>
      </c>
      <c r="D1225" s="14">
        <v>0</v>
      </c>
      <c r="E1225" s="14">
        <f t="shared" si="19"/>
        <v>1016.16</v>
      </c>
    </row>
    <row r="1226" spans="1:5" x14ac:dyDescent="0.3">
      <c r="A1226" s="7">
        <v>1002516</v>
      </c>
      <c r="B1226" s="7" t="s">
        <v>1227</v>
      </c>
      <c r="C1226" s="14">
        <v>1805.8543245798301</v>
      </c>
      <c r="D1226" s="14">
        <v>1927.5983333333334</v>
      </c>
      <c r="E1226" s="14">
        <f t="shared" si="19"/>
        <v>1927.5983333333334</v>
      </c>
    </row>
    <row r="1227" spans="1:5" x14ac:dyDescent="0.3">
      <c r="A1227" s="7">
        <v>1002522</v>
      </c>
      <c r="B1227" s="7" t="s">
        <v>1228</v>
      </c>
      <c r="C1227" s="14">
        <v>680.21118116129503</v>
      </c>
      <c r="D1227" s="14">
        <v>0</v>
      </c>
      <c r="E1227" s="14">
        <f t="shared" si="19"/>
        <v>680.21118116129503</v>
      </c>
    </row>
    <row r="1228" spans="1:5" x14ac:dyDescent="0.3">
      <c r="A1228" s="7">
        <v>1002523</v>
      </c>
      <c r="B1228" s="7" t="s">
        <v>1229</v>
      </c>
      <c r="C1228" s="14">
        <v>5422.1472058823529</v>
      </c>
      <c r="D1228" s="14">
        <v>5422.1472068965513</v>
      </c>
      <c r="E1228" s="14">
        <f t="shared" si="19"/>
        <v>5422.1472068965513</v>
      </c>
    </row>
    <row r="1229" spans="1:5" x14ac:dyDescent="0.3">
      <c r="A1229" s="7">
        <v>1002524</v>
      </c>
      <c r="B1229" s="7" t="s">
        <v>1230</v>
      </c>
      <c r="C1229" s="14">
        <v>2090.6353949866898</v>
      </c>
      <c r="D1229" s="14">
        <v>0</v>
      </c>
      <c r="E1229" s="14">
        <f t="shared" si="19"/>
        <v>2090.6353949866898</v>
      </c>
    </row>
    <row r="1230" spans="1:5" x14ac:dyDescent="0.3">
      <c r="A1230" s="7">
        <v>1002525</v>
      </c>
      <c r="B1230" s="7" t="s">
        <v>1231</v>
      </c>
      <c r="C1230" s="14">
        <v>556.12703889980901</v>
      </c>
      <c r="D1230" s="14">
        <v>0</v>
      </c>
      <c r="E1230" s="14">
        <f t="shared" si="19"/>
        <v>556.12703889980901</v>
      </c>
    </row>
    <row r="1231" spans="1:5" x14ac:dyDescent="0.3">
      <c r="A1231" s="7">
        <v>1002532</v>
      </c>
      <c r="B1231" s="7" t="s">
        <v>1232</v>
      </c>
      <c r="C1231" s="14">
        <v>52481.658496983502</v>
      </c>
      <c r="D1231" s="14">
        <v>0</v>
      </c>
      <c r="E1231" s="14">
        <f t="shared" si="19"/>
        <v>52481.658496983502</v>
      </c>
    </row>
    <row r="1232" spans="1:5" x14ac:dyDescent="0.3">
      <c r="A1232" s="7">
        <v>1002533</v>
      </c>
      <c r="B1232" s="7" t="s">
        <v>1233</v>
      </c>
      <c r="C1232" s="14">
        <v>23560.690246692298</v>
      </c>
      <c r="D1232" s="14">
        <v>0</v>
      </c>
      <c r="E1232" s="14">
        <f t="shared" si="19"/>
        <v>23560.690246692298</v>
      </c>
    </row>
    <row r="1233" spans="1:5" x14ac:dyDescent="0.3">
      <c r="A1233" s="7">
        <v>1002534</v>
      </c>
      <c r="B1233" s="7" t="s">
        <v>1234</v>
      </c>
      <c r="C1233" s="14">
        <v>15515.0602475498</v>
      </c>
      <c r="D1233" s="14">
        <v>0</v>
      </c>
      <c r="E1233" s="14">
        <f t="shared" si="19"/>
        <v>15515.0602475498</v>
      </c>
    </row>
    <row r="1234" spans="1:5" x14ac:dyDescent="0.3">
      <c r="A1234" s="7">
        <v>1002542</v>
      </c>
      <c r="B1234" s="7" t="s">
        <v>1235</v>
      </c>
      <c r="C1234" s="14">
        <v>17337.320588235292</v>
      </c>
      <c r="D1234" s="14">
        <v>0</v>
      </c>
      <c r="E1234" s="14">
        <f t="shared" si="19"/>
        <v>17337.320588235292</v>
      </c>
    </row>
    <row r="1235" spans="1:5" x14ac:dyDescent="0.3">
      <c r="A1235" s="7">
        <v>1002545</v>
      </c>
      <c r="B1235" s="7" t="s">
        <v>1236</v>
      </c>
      <c r="C1235" s="14">
        <v>19615.978099743701</v>
      </c>
      <c r="D1235" s="14">
        <v>0</v>
      </c>
      <c r="E1235" s="14">
        <f t="shared" si="19"/>
        <v>19615.978099743701</v>
      </c>
    </row>
    <row r="1236" spans="1:5" x14ac:dyDescent="0.3">
      <c r="A1236" s="7">
        <v>1002561</v>
      </c>
      <c r="B1236" s="7" t="s">
        <v>1237</v>
      </c>
      <c r="C1236" s="14">
        <v>1074.0375419176601</v>
      </c>
      <c r="D1236" s="14">
        <v>0</v>
      </c>
      <c r="E1236" s="14">
        <f t="shared" si="19"/>
        <v>1074.0375419176601</v>
      </c>
    </row>
    <row r="1237" spans="1:5" x14ac:dyDescent="0.3">
      <c r="A1237" s="7">
        <v>1002562</v>
      </c>
      <c r="B1237" s="7" t="s">
        <v>1238</v>
      </c>
      <c r="C1237" s="14">
        <v>12264.873355699099</v>
      </c>
      <c r="D1237" s="14">
        <v>0</v>
      </c>
      <c r="E1237" s="14">
        <f t="shared" si="19"/>
        <v>12264.873355699099</v>
      </c>
    </row>
    <row r="1238" spans="1:5" x14ac:dyDescent="0.3">
      <c r="A1238" s="7">
        <v>1002563</v>
      </c>
      <c r="B1238" s="7" t="s">
        <v>1239</v>
      </c>
      <c r="C1238" s="14">
        <v>95406.009227272705</v>
      </c>
      <c r="D1238" s="14">
        <v>0</v>
      </c>
      <c r="E1238" s="14">
        <f t="shared" si="19"/>
        <v>95406.009227272705</v>
      </c>
    </row>
    <row r="1239" spans="1:5" x14ac:dyDescent="0.3">
      <c r="A1239" s="7">
        <v>1002564</v>
      </c>
      <c r="B1239" s="7" t="s">
        <v>1240</v>
      </c>
      <c r="C1239" s="14"/>
      <c r="D1239" s="14">
        <v>0</v>
      </c>
      <c r="E1239" s="14">
        <f t="shared" si="19"/>
        <v>0</v>
      </c>
    </row>
    <row r="1240" spans="1:5" x14ac:dyDescent="0.3">
      <c r="A1240" s="7">
        <v>1002565</v>
      </c>
      <c r="B1240" s="7" t="s">
        <v>1241</v>
      </c>
      <c r="C1240" s="14">
        <v>24986.991424848002</v>
      </c>
      <c r="D1240" s="14">
        <v>0</v>
      </c>
      <c r="E1240" s="14">
        <f t="shared" si="19"/>
        <v>24986.991424848002</v>
      </c>
    </row>
    <row r="1241" spans="1:5" x14ac:dyDescent="0.3">
      <c r="A1241" s="7">
        <v>1002568</v>
      </c>
      <c r="B1241" s="7" t="s">
        <v>1242</v>
      </c>
      <c r="C1241" s="14">
        <v>10470.982222222199</v>
      </c>
      <c r="D1241" s="14">
        <v>0</v>
      </c>
      <c r="E1241" s="14">
        <f t="shared" si="19"/>
        <v>10470.982222222199</v>
      </c>
    </row>
    <row r="1242" spans="1:5" x14ac:dyDescent="0.3">
      <c r="A1242" s="7">
        <v>1002569</v>
      </c>
      <c r="B1242" s="7" t="s">
        <v>1243</v>
      </c>
      <c r="C1242" s="14">
        <v>42557.430368000001</v>
      </c>
      <c r="D1242" s="14">
        <v>0</v>
      </c>
      <c r="E1242" s="14">
        <f t="shared" si="19"/>
        <v>42557.430368000001</v>
      </c>
    </row>
    <row r="1243" spans="1:5" x14ac:dyDescent="0.3">
      <c r="A1243" s="7">
        <v>1002571</v>
      </c>
      <c r="B1243" s="7" t="s">
        <v>1244</v>
      </c>
      <c r="C1243" s="14">
        <v>10143.9457185142</v>
      </c>
      <c r="D1243" s="14">
        <v>0</v>
      </c>
      <c r="E1243" s="14">
        <f t="shared" si="19"/>
        <v>10143.9457185142</v>
      </c>
    </row>
    <row r="1244" spans="1:5" x14ac:dyDescent="0.3">
      <c r="A1244" s="7">
        <v>1002572</v>
      </c>
      <c r="B1244" s="7" t="s">
        <v>1245</v>
      </c>
      <c r="C1244" s="14">
        <v>13088.893738914099</v>
      </c>
      <c r="D1244" s="14">
        <v>0</v>
      </c>
      <c r="E1244" s="14">
        <f t="shared" si="19"/>
        <v>13088.893738914099</v>
      </c>
    </row>
    <row r="1245" spans="1:5" x14ac:dyDescent="0.3">
      <c r="A1245" s="7">
        <v>1002576</v>
      </c>
      <c r="B1245" s="7" t="s">
        <v>1246</v>
      </c>
      <c r="C1245" s="14">
        <v>30053.8076766667</v>
      </c>
      <c r="D1245" s="14">
        <v>0</v>
      </c>
      <c r="E1245" s="14">
        <f t="shared" si="19"/>
        <v>30053.8076766667</v>
      </c>
    </row>
    <row r="1246" spans="1:5" x14ac:dyDescent="0.3">
      <c r="A1246" s="7">
        <v>1002577</v>
      </c>
      <c r="B1246" s="7" t="s">
        <v>1247</v>
      </c>
      <c r="C1246" s="14">
        <v>30647.365021757101</v>
      </c>
      <c r="D1246" s="14">
        <v>0</v>
      </c>
      <c r="E1246" s="14">
        <f t="shared" si="19"/>
        <v>30647.365021757101</v>
      </c>
    </row>
    <row r="1247" spans="1:5" x14ac:dyDescent="0.3">
      <c r="A1247" s="7">
        <v>1002585</v>
      </c>
      <c r="B1247" s="7" t="s">
        <v>1248</v>
      </c>
      <c r="C1247" s="14">
        <v>3604.5462090730298</v>
      </c>
      <c r="D1247" s="14">
        <v>0</v>
      </c>
      <c r="E1247" s="14">
        <f t="shared" si="19"/>
        <v>3604.5462090730298</v>
      </c>
    </row>
    <row r="1248" spans="1:5" x14ac:dyDescent="0.3">
      <c r="A1248" s="7">
        <v>1002586</v>
      </c>
      <c r="B1248" s="7" t="s">
        <v>1249</v>
      </c>
      <c r="C1248" s="14">
        <v>3806.3442571428573</v>
      </c>
      <c r="D1248" s="14">
        <v>3806.3442571428573</v>
      </c>
      <c r="E1248" s="14">
        <f t="shared" si="19"/>
        <v>3806.3442571428573</v>
      </c>
    </row>
    <row r="1249" spans="1:5" x14ac:dyDescent="0.3">
      <c r="A1249" s="7">
        <v>1002589</v>
      </c>
      <c r="B1249" s="7" t="s">
        <v>1250</v>
      </c>
      <c r="C1249" s="14">
        <v>85365.11</v>
      </c>
      <c r="D1249" s="14">
        <v>0</v>
      </c>
      <c r="E1249" s="14">
        <f t="shared" ref="E1249:E1312" si="20">+MAX(C1249, D1249)</f>
        <v>85365.11</v>
      </c>
    </row>
    <row r="1250" spans="1:5" x14ac:dyDescent="0.3">
      <c r="A1250" s="7">
        <v>1002591</v>
      </c>
      <c r="B1250" s="7" t="s">
        <v>1251</v>
      </c>
      <c r="C1250" s="14">
        <v>77604.649999999994</v>
      </c>
      <c r="D1250" s="14">
        <v>0</v>
      </c>
      <c r="E1250" s="14">
        <f t="shared" si="20"/>
        <v>77604.649999999994</v>
      </c>
    </row>
    <row r="1251" spans="1:5" x14ac:dyDescent="0.3">
      <c r="A1251" s="7">
        <v>1002592</v>
      </c>
      <c r="B1251" s="7" t="s">
        <v>1252</v>
      </c>
      <c r="C1251" s="14">
        <v>77171.66</v>
      </c>
      <c r="D1251" s="14">
        <v>0</v>
      </c>
      <c r="E1251" s="14">
        <f t="shared" si="20"/>
        <v>77171.66</v>
      </c>
    </row>
    <row r="1252" spans="1:5" x14ac:dyDescent="0.3">
      <c r="A1252" s="7">
        <v>1002594</v>
      </c>
      <c r="B1252" s="7" t="s">
        <v>1253</v>
      </c>
      <c r="C1252" s="14">
        <v>558.80301976523413</v>
      </c>
      <c r="D1252" s="14">
        <v>546.69999999999993</v>
      </c>
      <c r="E1252" s="14">
        <f t="shared" si="20"/>
        <v>558.80301976523413</v>
      </c>
    </row>
    <row r="1253" spans="1:5" x14ac:dyDescent="0.3">
      <c r="A1253" s="7">
        <v>1002595</v>
      </c>
      <c r="B1253" s="7" t="s">
        <v>1254</v>
      </c>
      <c r="C1253" s="14">
        <v>1154.6109548618797</v>
      </c>
      <c r="D1253" s="14">
        <v>4.5262126245847183</v>
      </c>
      <c r="E1253" s="14">
        <f t="shared" si="20"/>
        <v>1154.6109548618797</v>
      </c>
    </row>
    <row r="1254" spans="1:5" x14ac:dyDescent="0.3">
      <c r="A1254" s="7">
        <v>1002596</v>
      </c>
      <c r="B1254" s="7" t="s">
        <v>1255</v>
      </c>
      <c r="C1254" s="14">
        <v>1067.45</v>
      </c>
      <c r="D1254" s="14">
        <v>0.16634720274271467</v>
      </c>
      <c r="E1254" s="14">
        <f t="shared" si="20"/>
        <v>1067.45</v>
      </c>
    </row>
    <row r="1255" spans="1:5" x14ac:dyDescent="0.3">
      <c r="A1255" s="7">
        <v>1002597</v>
      </c>
      <c r="B1255" s="7" t="s">
        <v>1256</v>
      </c>
      <c r="C1255" s="14">
        <v>662.35542345030353</v>
      </c>
      <c r="D1255" s="14">
        <v>646.64</v>
      </c>
      <c r="E1255" s="14">
        <f t="shared" si="20"/>
        <v>662.35542345030353</v>
      </c>
    </row>
    <row r="1256" spans="1:5" x14ac:dyDescent="0.3">
      <c r="A1256" s="7">
        <v>1002598</v>
      </c>
      <c r="B1256" s="7" t="s">
        <v>1257</v>
      </c>
      <c r="C1256" s="14">
        <v>807.05063013698623</v>
      </c>
      <c r="D1256" s="14">
        <v>807.05063013698623</v>
      </c>
      <c r="E1256" s="14">
        <f t="shared" si="20"/>
        <v>807.05063013698623</v>
      </c>
    </row>
    <row r="1257" spans="1:5" x14ac:dyDescent="0.3">
      <c r="A1257" s="7">
        <v>1002602</v>
      </c>
      <c r="B1257" s="7" t="s">
        <v>1258</v>
      </c>
      <c r="C1257" s="14">
        <v>3246036.9850000003</v>
      </c>
      <c r="D1257" s="14">
        <v>3399540.59</v>
      </c>
      <c r="E1257" s="14">
        <f t="shared" si="20"/>
        <v>3399540.59</v>
      </c>
    </row>
    <row r="1258" spans="1:5" x14ac:dyDescent="0.3">
      <c r="A1258" s="7">
        <v>1002604</v>
      </c>
      <c r="B1258" s="7" t="s">
        <v>1259</v>
      </c>
      <c r="C1258" s="14">
        <v>2406128.56</v>
      </c>
      <c r="D1258" s="14">
        <v>0</v>
      </c>
      <c r="E1258" s="14">
        <f t="shared" si="20"/>
        <v>2406128.56</v>
      </c>
    </row>
    <row r="1259" spans="1:5" x14ac:dyDescent="0.3">
      <c r="A1259" s="7">
        <v>1002605</v>
      </c>
      <c r="B1259" s="7" t="s">
        <v>1260</v>
      </c>
      <c r="C1259" s="14">
        <v>1223935.3627083334</v>
      </c>
      <c r="D1259" s="14">
        <v>1089219.7075</v>
      </c>
      <c r="E1259" s="14">
        <f t="shared" si="20"/>
        <v>1223935.3627083334</v>
      </c>
    </row>
    <row r="1260" spans="1:5" x14ac:dyDescent="0.3">
      <c r="A1260" s="7">
        <v>1002606</v>
      </c>
      <c r="B1260" s="7" t="s">
        <v>1261</v>
      </c>
      <c r="C1260" s="14">
        <v>179161.7</v>
      </c>
      <c r="D1260" s="14">
        <v>179161.7</v>
      </c>
      <c r="E1260" s="14">
        <f t="shared" si="20"/>
        <v>179161.7</v>
      </c>
    </row>
    <row r="1261" spans="1:5" x14ac:dyDescent="0.3">
      <c r="A1261" s="7">
        <v>1002609</v>
      </c>
      <c r="B1261" s="7" t="s">
        <v>1262</v>
      </c>
      <c r="C1261" s="14">
        <v>40088.879999999997</v>
      </c>
      <c r="D1261" s="14">
        <v>40088.879999999997</v>
      </c>
      <c r="E1261" s="14">
        <f t="shared" si="20"/>
        <v>40088.879999999997</v>
      </c>
    </row>
    <row r="1262" spans="1:5" x14ac:dyDescent="0.3">
      <c r="A1262" s="7">
        <v>1002610</v>
      </c>
      <c r="B1262" s="7" t="s">
        <v>1263</v>
      </c>
      <c r="C1262" s="14">
        <v>50424.428</v>
      </c>
      <c r="D1262" s="14">
        <v>50424.43</v>
      </c>
      <c r="E1262" s="14">
        <f t="shared" si="20"/>
        <v>50424.43</v>
      </c>
    </row>
    <row r="1263" spans="1:5" x14ac:dyDescent="0.3">
      <c r="A1263" s="7">
        <v>1002611</v>
      </c>
      <c r="B1263" s="7" t="s">
        <v>1264</v>
      </c>
      <c r="C1263" s="14">
        <v>1224239.615</v>
      </c>
      <c r="D1263" s="14">
        <v>0</v>
      </c>
      <c r="E1263" s="14">
        <f t="shared" si="20"/>
        <v>1224239.615</v>
      </c>
    </row>
    <row r="1264" spans="1:5" x14ac:dyDescent="0.3">
      <c r="A1264" s="7">
        <v>1002612</v>
      </c>
      <c r="B1264" s="7" t="s">
        <v>1265</v>
      </c>
      <c r="C1264" s="14">
        <v>224159.04</v>
      </c>
      <c r="D1264" s="14">
        <v>0</v>
      </c>
      <c r="E1264" s="14">
        <f t="shared" si="20"/>
        <v>224159.04</v>
      </c>
    </row>
    <row r="1265" spans="1:5" x14ac:dyDescent="0.3">
      <c r="A1265" s="7">
        <v>1002616</v>
      </c>
      <c r="B1265" s="7" t="s">
        <v>1266</v>
      </c>
      <c r="C1265" s="14">
        <v>1606227.4047500002</v>
      </c>
      <c r="D1265" s="14">
        <v>1765620.29</v>
      </c>
      <c r="E1265" s="14">
        <f t="shared" si="20"/>
        <v>1765620.29</v>
      </c>
    </row>
    <row r="1266" spans="1:5" x14ac:dyDescent="0.3">
      <c r="A1266" s="7">
        <v>1002617</v>
      </c>
      <c r="B1266" s="7" t="s">
        <v>1267</v>
      </c>
      <c r="C1266" s="14">
        <v>1395437.3892857099</v>
      </c>
      <c r="D1266" s="14">
        <v>0</v>
      </c>
      <c r="E1266" s="14">
        <f t="shared" si="20"/>
        <v>1395437.3892857099</v>
      </c>
    </row>
    <row r="1267" spans="1:5" x14ac:dyDescent="0.3">
      <c r="A1267" s="7">
        <v>1002618</v>
      </c>
      <c r="B1267" s="7" t="s">
        <v>1268</v>
      </c>
      <c r="C1267" s="14">
        <v>4465918.1900000004</v>
      </c>
      <c r="D1267" s="14">
        <v>0</v>
      </c>
      <c r="E1267" s="14">
        <f t="shared" si="20"/>
        <v>4465918.1900000004</v>
      </c>
    </row>
    <row r="1268" spans="1:5" x14ac:dyDescent="0.3">
      <c r="A1268" s="7">
        <v>1002619</v>
      </c>
      <c r="B1268" s="7" t="s">
        <v>1269</v>
      </c>
      <c r="C1268" s="14">
        <v>201108.565</v>
      </c>
      <c r="D1268" s="14">
        <v>0</v>
      </c>
      <c r="E1268" s="14">
        <f t="shared" si="20"/>
        <v>201108.565</v>
      </c>
    </row>
    <row r="1269" spans="1:5" x14ac:dyDescent="0.3">
      <c r="A1269" s="7">
        <v>1002623</v>
      </c>
      <c r="B1269" s="7" t="s">
        <v>1270</v>
      </c>
      <c r="C1269" s="14">
        <v>523510.75783333299</v>
      </c>
      <c r="D1269" s="14">
        <v>0</v>
      </c>
      <c r="E1269" s="14">
        <f t="shared" si="20"/>
        <v>523510.75783333299</v>
      </c>
    </row>
    <row r="1270" spans="1:5" x14ac:dyDescent="0.3">
      <c r="A1270" s="7">
        <v>1002624</v>
      </c>
      <c r="B1270" s="7" t="s">
        <v>1271</v>
      </c>
      <c r="C1270" s="14">
        <v>14852.21</v>
      </c>
      <c r="D1270" s="14">
        <v>0</v>
      </c>
      <c r="E1270" s="14">
        <f t="shared" si="20"/>
        <v>14852.21</v>
      </c>
    </row>
    <row r="1271" spans="1:5" x14ac:dyDescent="0.3">
      <c r="A1271" s="7">
        <v>1002625</v>
      </c>
      <c r="B1271" s="7" t="s">
        <v>1272</v>
      </c>
      <c r="C1271" s="14">
        <v>40611.379999999997</v>
      </c>
      <c r="D1271" s="14">
        <v>0</v>
      </c>
      <c r="E1271" s="14">
        <f t="shared" si="20"/>
        <v>40611.379999999997</v>
      </c>
    </row>
    <row r="1272" spans="1:5" x14ac:dyDescent="0.3">
      <c r="A1272" s="7">
        <v>1002626</v>
      </c>
      <c r="B1272" s="7" t="s">
        <v>1273</v>
      </c>
      <c r="C1272" s="14">
        <v>542476.05294117646</v>
      </c>
      <c r="D1272" s="14">
        <v>542476.05285714287</v>
      </c>
      <c r="E1272" s="14">
        <f t="shared" si="20"/>
        <v>542476.05294117646</v>
      </c>
    </row>
    <row r="1273" spans="1:5" x14ac:dyDescent="0.3">
      <c r="A1273" s="7">
        <v>1002628</v>
      </c>
      <c r="B1273" s="7" t="s">
        <v>1274</v>
      </c>
      <c r="C1273" s="14">
        <v>370452.395571428</v>
      </c>
      <c r="D1273" s="14">
        <v>0</v>
      </c>
      <c r="E1273" s="14">
        <f t="shared" si="20"/>
        <v>370452.395571428</v>
      </c>
    </row>
    <row r="1274" spans="1:5" x14ac:dyDescent="0.3">
      <c r="A1274" s="7">
        <v>1002632</v>
      </c>
      <c r="B1274" s="7" t="s">
        <v>1275</v>
      </c>
      <c r="C1274" s="14">
        <v>627957.21795454551</v>
      </c>
      <c r="D1274" s="14">
        <v>0</v>
      </c>
      <c r="E1274" s="14">
        <f t="shared" si="20"/>
        <v>627957.21795454551</v>
      </c>
    </row>
    <row r="1275" spans="1:5" x14ac:dyDescent="0.3">
      <c r="A1275" s="7">
        <v>1002633</v>
      </c>
      <c r="B1275" s="7" t="s">
        <v>1276</v>
      </c>
      <c r="C1275" s="14">
        <v>1394162.348</v>
      </c>
      <c r="D1275" s="14">
        <v>0</v>
      </c>
      <c r="E1275" s="14">
        <f t="shared" si="20"/>
        <v>1394162.348</v>
      </c>
    </row>
    <row r="1276" spans="1:5" x14ac:dyDescent="0.3">
      <c r="A1276" s="7">
        <v>1002634</v>
      </c>
      <c r="B1276" s="7" t="s">
        <v>1277</v>
      </c>
      <c r="C1276" s="14">
        <v>633762.78249999997</v>
      </c>
      <c r="D1276" s="14">
        <v>0</v>
      </c>
      <c r="E1276" s="14">
        <f t="shared" si="20"/>
        <v>633762.78249999997</v>
      </c>
    </row>
    <row r="1277" spans="1:5" x14ac:dyDescent="0.3">
      <c r="A1277" s="7">
        <v>1002635</v>
      </c>
      <c r="B1277" s="7" t="s">
        <v>1278</v>
      </c>
      <c r="C1277" s="14">
        <v>572017.5625</v>
      </c>
      <c r="D1277" s="14">
        <v>0</v>
      </c>
      <c r="E1277" s="14">
        <f t="shared" si="20"/>
        <v>572017.5625</v>
      </c>
    </row>
    <row r="1278" spans="1:5" x14ac:dyDescent="0.3">
      <c r="A1278" s="7">
        <v>1002636</v>
      </c>
      <c r="B1278" s="7" t="s">
        <v>1279</v>
      </c>
      <c r="C1278" s="14">
        <v>238929.343333333</v>
      </c>
      <c r="D1278" s="14">
        <v>0</v>
      </c>
      <c r="E1278" s="14">
        <f t="shared" si="20"/>
        <v>238929.343333333</v>
      </c>
    </row>
    <row r="1279" spans="1:5" x14ac:dyDescent="0.3">
      <c r="A1279" s="7">
        <v>1002637</v>
      </c>
      <c r="B1279" s="7" t="s">
        <v>1280</v>
      </c>
      <c r="C1279" s="14">
        <v>244655.71</v>
      </c>
      <c r="D1279" s="14">
        <v>0</v>
      </c>
      <c r="E1279" s="14">
        <f t="shared" si="20"/>
        <v>244655.71</v>
      </c>
    </row>
    <row r="1280" spans="1:5" x14ac:dyDescent="0.3">
      <c r="A1280" s="7">
        <v>1002639</v>
      </c>
      <c r="B1280" s="7" t="s">
        <v>1281</v>
      </c>
      <c r="C1280" s="14">
        <v>357551.90125</v>
      </c>
      <c r="D1280" s="14">
        <v>357551.902</v>
      </c>
      <c r="E1280" s="14">
        <f t="shared" si="20"/>
        <v>357551.902</v>
      </c>
    </row>
    <row r="1281" spans="1:5" x14ac:dyDescent="0.3">
      <c r="A1281" s="7">
        <v>1002641</v>
      </c>
      <c r="B1281" s="7" t="s">
        <v>1282</v>
      </c>
      <c r="C1281" s="14">
        <v>180653.89333333334</v>
      </c>
      <c r="D1281" s="14">
        <v>0</v>
      </c>
      <c r="E1281" s="14">
        <f t="shared" si="20"/>
        <v>180653.89333333334</v>
      </c>
    </row>
    <row r="1282" spans="1:5" x14ac:dyDescent="0.3">
      <c r="A1282" s="7">
        <v>1002642</v>
      </c>
      <c r="B1282" s="7" t="s">
        <v>1283</v>
      </c>
      <c r="C1282" s="14">
        <v>184117.32</v>
      </c>
      <c r="D1282" s="14">
        <v>0</v>
      </c>
      <c r="E1282" s="14">
        <f t="shared" si="20"/>
        <v>184117.32</v>
      </c>
    </row>
    <row r="1283" spans="1:5" x14ac:dyDescent="0.3">
      <c r="A1283" s="7">
        <v>1002643</v>
      </c>
      <c r="B1283" s="7" t="s">
        <v>1284</v>
      </c>
      <c r="C1283" s="14">
        <v>167260.26999999999</v>
      </c>
      <c r="D1283" s="14">
        <v>167260.26999999999</v>
      </c>
      <c r="E1283" s="14">
        <f t="shared" si="20"/>
        <v>167260.26999999999</v>
      </c>
    </row>
    <row r="1284" spans="1:5" x14ac:dyDescent="0.3">
      <c r="A1284" s="7">
        <v>1002645</v>
      </c>
      <c r="B1284" s="7" t="s">
        <v>1285</v>
      </c>
      <c r="C1284" s="14">
        <v>421260.97</v>
      </c>
      <c r="D1284" s="14">
        <v>421260.97</v>
      </c>
      <c r="E1284" s="14">
        <f t="shared" si="20"/>
        <v>421260.97</v>
      </c>
    </row>
    <row r="1285" spans="1:5" x14ac:dyDescent="0.3">
      <c r="A1285" s="7">
        <v>1002649</v>
      </c>
      <c r="B1285" s="7" t="s">
        <v>1286</v>
      </c>
      <c r="C1285" s="14">
        <v>263366.91666666669</v>
      </c>
      <c r="D1285" s="14">
        <v>0</v>
      </c>
      <c r="E1285" s="14">
        <f t="shared" si="20"/>
        <v>263366.91666666669</v>
      </c>
    </row>
    <row r="1286" spans="1:5" x14ac:dyDescent="0.3">
      <c r="A1286" s="7">
        <v>1002650</v>
      </c>
      <c r="B1286" s="7" t="s">
        <v>1287</v>
      </c>
      <c r="C1286" s="14">
        <v>366563.09311111108</v>
      </c>
      <c r="D1286" s="14">
        <v>366563.09428571427</v>
      </c>
      <c r="E1286" s="14">
        <f t="shared" si="20"/>
        <v>366563.09428571427</v>
      </c>
    </row>
    <row r="1287" spans="1:5" x14ac:dyDescent="0.3">
      <c r="A1287" s="7">
        <v>1002652</v>
      </c>
      <c r="B1287" s="7" t="s">
        <v>1288</v>
      </c>
      <c r="C1287" s="14">
        <v>341821.330625</v>
      </c>
      <c r="D1287" s="14">
        <v>341821.33142857143</v>
      </c>
      <c r="E1287" s="14">
        <f t="shared" si="20"/>
        <v>341821.33142857143</v>
      </c>
    </row>
    <row r="1288" spans="1:5" x14ac:dyDescent="0.3">
      <c r="A1288" s="7">
        <v>1002653</v>
      </c>
      <c r="B1288" s="7" t="s">
        <v>1289</v>
      </c>
      <c r="C1288" s="14">
        <v>240673.32530555554</v>
      </c>
      <c r="D1288" s="14">
        <v>240673.32500000004</v>
      </c>
      <c r="E1288" s="14">
        <f t="shared" si="20"/>
        <v>240673.32530555554</v>
      </c>
    </row>
    <row r="1289" spans="1:5" x14ac:dyDescent="0.3">
      <c r="A1289" s="7">
        <v>1002654</v>
      </c>
      <c r="B1289" s="7" t="s">
        <v>1290</v>
      </c>
      <c r="C1289" s="14">
        <v>649930.65666666662</v>
      </c>
      <c r="D1289" s="14">
        <v>0</v>
      </c>
      <c r="E1289" s="14">
        <f t="shared" si="20"/>
        <v>649930.65666666662</v>
      </c>
    </row>
    <row r="1290" spans="1:5" x14ac:dyDescent="0.3">
      <c r="A1290" s="7">
        <v>1002655</v>
      </c>
      <c r="B1290" s="7" t="s">
        <v>1291</v>
      </c>
      <c r="C1290" s="14">
        <v>711327.07</v>
      </c>
      <c r="D1290" s="14">
        <v>0</v>
      </c>
      <c r="E1290" s="14">
        <f t="shared" si="20"/>
        <v>711327.07</v>
      </c>
    </row>
    <row r="1291" spans="1:5" x14ac:dyDescent="0.3">
      <c r="A1291" s="7">
        <v>1002656</v>
      </c>
      <c r="B1291" s="7" t="s">
        <v>1292</v>
      </c>
      <c r="C1291" s="14">
        <v>797803.11062499997</v>
      </c>
      <c r="D1291" s="14">
        <v>797803.11</v>
      </c>
      <c r="E1291" s="14">
        <f t="shared" si="20"/>
        <v>797803.11062499997</v>
      </c>
    </row>
    <row r="1292" spans="1:5" x14ac:dyDescent="0.3">
      <c r="A1292" s="7">
        <v>1002662</v>
      </c>
      <c r="B1292" s="7" t="s">
        <v>1293</v>
      </c>
      <c r="C1292" s="14">
        <v>3297347.926</v>
      </c>
      <c r="D1292" s="14">
        <v>0</v>
      </c>
      <c r="E1292" s="14">
        <f t="shared" si="20"/>
        <v>3297347.926</v>
      </c>
    </row>
    <row r="1293" spans="1:5" x14ac:dyDescent="0.3">
      <c r="A1293" s="7">
        <v>1002663</v>
      </c>
      <c r="B1293" s="7" t="s">
        <v>1294</v>
      </c>
      <c r="C1293" s="14">
        <v>369.6</v>
      </c>
      <c r="D1293" s="14">
        <v>0</v>
      </c>
      <c r="E1293" s="14">
        <f t="shared" si="20"/>
        <v>369.6</v>
      </c>
    </row>
    <row r="1294" spans="1:5" x14ac:dyDescent="0.3">
      <c r="A1294" s="7">
        <v>1002664</v>
      </c>
      <c r="B1294" s="7" t="s">
        <v>1295</v>
      </c>
      <c r="C1294" s="14">
        <v>62331.41333333333</v>
      </c>
      <c r="D1294" s="14">
        <v>62331.41333333333</v>
      </c>
      <c r="E1294" s="14">
        <f t="shared" si="20"/>
        <v>62331.41333333333</v>
      </c>
    </row>
    <row r="1295" spans="1:5" x14ac:dyDescent="0.3">
      <c r="A1295" s="7">
        <v>1002665</v>
      </c>
      <c r="B1295" s="7" t="s">
        <v>1296</v>
      </c>
      <c r="C1295" s="14">
        <v>0</v>
      </c>
      <c r="D1295" s="14">
        <v>0</v>
      </c>
      <c r="E1295" s="14">
        <f t="shared" si="20"/>
        <v>0</v>
      </c>
    </row>
    <row r="1296" spans="1:5" x14ac:dyDescent="0.3">
      <c r="A1296" s="7">
        <v>1002666</v>
      </c>
      <c r="B1296" s="7" t="s">
        <v>1297</v>
      </c>
      <c r="C1296" s="14">
        <v>59590.51</v>
      </c>
      <c r="D1296" s="14">
        <v>59590.51</v>
      </c>
      <c r="E1296" s="14">
        <f t="shared" si="20"/>
        <v>59590.51</v>
      </c>
    </row>
    <row r="1297" spans="1:5" x14ac:dyDescent="0.3">
      <c r="A1297" s="7">
        <v>1002671</v>
      </c>
      <c r="B1297" s="7" t="s">
        <v>1298</v>
      </c>
      <c r="C1297" s="14">
        <v>62750.5561904762</v>
      </c>
      <c r="D1297" s="14">
        <v>0</v>
      </c>
      <c r="E1297" s="14">
        <f t="shared" si="20"/>
        <v>62750.5561904762</v>
      </c>
    </row>
    <row r="1298" spans="1:5" x14ac:dyDescent="0.3">
      <c r="A1298" s="7">
        <v>1002672</v>
      </c>
      <c r="B1298" s="7" t="s">
        <v>1299</v>
      </c>
      <c r="C1298" s="14">
        <v>51798.586868686849</v>
      </c>
      <c r="D1298" s="14">
        <v>51331.409999999996</v>
      </c>
      <c r="E1298" s="14">
        <f t="shared" si="20"/>
        <v>51798.586868686849</v>
      </c>
    </row>
    <row r="1299" spans="1:5" x14ac:dyDescent="0.3">
      <c r="A1299" s="7">
        <v>1002677</v>
      </c>
      <c r="B1299" s="7" t="s">
        <v>1300</v>
      </c>
      <c r="C1299" s="14">
        <v>63550</v>
      </c>
      <c r="D1299" s="14">
        <v>63550</v>
      </c>
      <c r="E1299" s="14">
        <f t="shared" si="20"/>
        <v>63550</v>
      </c>
    </row>
    <row r="1300" spans="1:5" x14ac:dyDescent="0.3">
      <c r="A1300" s="7">
        <v>1002678</v>
      </c>
      <c r="B1300" s="7" t="s">
        <v>1301</v>
      </c>
      <c r="C1300" s="14">
        <v>0</v>
      </c>
      <c r="D1300" s="14">
        <v>0</v>
      </c>
      <c r="E1300" s="14">
        <f t="shared" si="20"/>
        <v>0</v>
      </c>
    </row>
    <row r="1301" spans="1:5" x14ac:dyDescent="0.3">
      <c r="A1301" s="7">
        <v>1002681</v>
      </c>
      <c r="B1301" s="7" t="s">
        <v>1302</v>
      </c>
      <c r="C1301" s="14">
        <v>65600</v>
      </c>
      <c r="D1301" s="14">
        <v>65600</v>
      </c>
      <c r="E1301" s="14">
        <f t="shared" si="20"/>
        <v>65600</v>
      </c>
    </row>
    <row r="1302" spans="1:5" x14ac:dyDescent="0.3">
      <c r="A1302" s="7">
        <v>1002683</v>
      </c>
      <c r="B1302" s="7" t="s">
        <v>1303</v>
      </c>
      <c r="C1302" s="14">
        <v>47068.542857142857</v>
      </c>
      <c r="D1302" s="14">
        <v>0</v>
      </c>
      <c r="E1302" s="14">
        <f t="shared" si="20"/>
        <v>47068.542857142857</v>
      </c>
    </row>
    <row r="1303" spans="1:5" x14ac:dyDescent="0.3">
      <c r="A1303" s="7">
        <v>1002684</v>
      </c>
      <c r="B1303" s="7" t="s">
        <v>1304</v>
      </c>
      <c r="C1303" s="14">
        <v>69849.646666666697</v>
      </c>
      <c r="D1303" s="14">
        <v>0</v>
      </c>
      <c r="E1303" s="14">
        <f t="shared" si="20"/>
        <v>69849.646666666697</v>
      </c>
    </row>
    <row r="1304" spans="1:5" x14ac:dyDescent="0.3">
      <c r="A1304" s="7">
        <v>1002685</v>
      </c>
      <c r="B1304" s="7" t="s">
        <v>1305</v>
      </c>
      <c r="C1304" s="14">
        <v>701392</v>
      </c>
      <c r="D1304" s="14">
        <v>701392</v>
      </c>
      <c r="E1304" s="14">
        <f t="shared" si="20"/>
        <v>701392</v>
      </c>
    </row>
    <row r="1305" spans="1:5" x14ac:dyDescent="0.3">
      <c r="A1305" s="7">
        <v>1002687</v>
      </c>
      <c r="B1305" s="7" t="s">
        <v>1306</v>
      </c>
      <c r="C1305" s="14">
        <v>148058.54656626499</v>
      </c>
      <c r="D1305" s="14">
        <v>0</v>
      </c>
      <c r="E1305" s="14">
        <f t="shared" si="20"/>
        <v>148058.54656626499</v>
      </c>
    </row>
    <row r="1306" spans="1:5" x14ac:dyDescent="0.3">
      <c r="A1306" s="7">
        <v>1002688</v>
      </c>
      <c r="B1306" s="7" t="s">
        <v>1307</v>
      </c>
      <c r="C1306" s="14">
        <v>256085.42499999999</v>
      </c>
      <c r="D1306" s="14">
        <v>256085.42499999999</v>
      </c>
      <c r="E1306" s="14">
        <f t="shared" si="20"/>
        <v>256085.42499999999</v>
      </c>
    </row>
    <row r="1307" spans="1:5" x14ac:dyDescent="0.3">
      <c r="A1307" s="7">
        <v>1002689</v>
      </c>
      <c r="B1307" s="7" t="s">
        <v>1308</v>
      </c>
      <c r="C1307" s="14">
        <v>43829.753196840749</v>
      </c>
      <c r="D1307" s="14">
        <v>189427.85420289854</v>
      </c>
      <c r="E1307" s="14">
        <f t="shared" si="20"/>
        <v>189427.85420289854</v>
      </c>
    </row>
    <row r="1308" spans="1:5" x14ac:dyDescent="0.3">
      <c r="A1308" s="7">
        <v>1002690</v>
      </c>
      <c r="B1308" s="7" t="s">
        <v>1309</v>
      </c>
      <c r="C1308" s="14">
        <v>0</v>
      </c>
      <c r="D1308" s="14">
        <v>0</v>
      </c>
      <c r="E1308" s="14">
        <f t="shared" si="20"/>
        <v>0</v>
      </c>
    </row>
    <row r="1309" spans="1:5" x14ac:dyDescent="0.3">
      <c r="A1309" s="7">
        <v>1002693</v>
      </c>
      <c r="B1309" s="7" t="s">
        <v>1310</v>
      </c>
      <c r="C1309" s="14">
        <v>15701.60775229355</v>
      </c>
      <c r="D1309" s="14">
        <v>73535.08666666667</v>
      </c>
      <c r="E1309" s="14">
        <f t="shared" si="20"/>
        <v>73535.08666666667</v>
      </c>
    </row>
    <row r="1310" spans="1:5" x14ac:dyDescent="0.3">
      <c r="A1310" s="7">
        <v>1002694</v>
      </c>
      <c r="B1310" s="7" t="s">
        <v>1311</v>
      </c>
      <c r="C1310" s="14">
        <v>0</v>
      </c>
      <c r="D1310" s="14">
        <v>0</v>
      </c>
      <c r="E1310" s="14">
        <f t="shared" si="20"/>
        <v>0</v>
      </c>
    </row>
    <row r="1311" spans="1:5" x14ac:dyDescent="0.3">
      <c r="A1311" s="7">
        <v>1002695</v>
      </c>
      <c r="B1311" s="7" t="s">
        <v>1312</v>
      </c>
      <c r="C1311" s="14">
        <v>0</v>
      </c>
      <c r="D1311" s="14">
        <v>0</v>
      </c>
      <c r="E1311" s="14">
        <f t="shared" si="20"/>
        <v>0</v>
      </c>
    </row>
    <row r="1312" spans="1:5" x14ac:dyDescent="0.3">
      <c r="A1312" s="7">
        <v>1002696</v>
      </c>
      <c r="B1312" s="7" t="s">
        <v>1313</v>
      </c>
      <c r="C1312" s="14">
        <v>22276.799999999999</v>
      </c>
      <c r="D1312" s="14">
        <v>0</v>
      </c>
      <c r="E1312" s="14">
        <f t="shared" si="20"/>
        <v>22276.799999999999</v>
      </c>
    </row>
    <row r="1313" spans="1:7" x14ac:dyDescent="0.3">
      <c r="A1313" s="7">
        <v>1002697</v>
      </c>
      <c r="B1313" s="7" t="s">
        <v>1314</v>
      </c>
      <c r="C1313" s="14">
        <v>227686.48833333299</v>
      </c>
      <c r="D1313" s="14">
        <v>599929.995</v>
      </c>
      <c r="E1313" s="14">
        <f t="shared" ref="E1313:E1376" si="21">+MAX(C1313, D1313)</f>
        <v>599929.995</v>
      </c>
    </row>
    <row r="1314" spans="1:7" x14ac:dyDescent="0.3">
      <c r="A1314" s="7">
        <v>1002698</v>
      </c>
      <c r="B1314" s="7" t="s">
        <v>1315</v>
      </c>
      <c r="C1314" s="14">
        <v>31320</v>
      </c>
      <c r="D1314" s="14">
        <v>0</v>
      </c>
      <c r="E1314" s="14">
        <f t="shared" si="21"/>
        <v>31320</v>
      </c>
    </row>
    <row r="1315" spans="1:7" x14ac:dyDescent="0.3">
      <c r="A1315" s="7">
        <v>1002700</v>
      </c>
      <c r="B1315" s="7" t="s">
        <v>1316</v>
      </c>
      <c r="C1315" s="14">
        <v>133968.4</v>
      </c>
      <c r="D1315" s="14">
        <v>133968.4</v>
      </c>
      <c r="E1315" s="14">
        <f t="shared" si="21"/>
        <v>133968.4</v>
      </c>
    </row>
    <row r="1316" spans="1:7" x14ac:dyDescent="0.3">
      <c r="A1316" s="7">
        <v>1002703</v>
      </c>
      <c r="B1316" s="7" t="s">
        <v>1317</v>
      </c>
      <c r="C1316" s="14">
        <v>0</v>
      </c>
      <c r="D1316" s="14">
        <v>0</v>
      </c>
      <c r="E1316" s="14">
        <f t="shared" si="21"/>
        <v>0</v>
      </c>
    </row>
    <row r="1317" spans="1:7" x14ac:dyDescent="0.3">
      <c r="A1317" s="7">
        <v>1002704</v>
      </c>
      <c r="B1317" s="7" t="s">
        <v>1318</v>
      </c>
      <c r="C1317" s="14">
        <v>324500</v>
      </c>
      <c r="D1317" s="14">
        <v>324500</v>
      </c>
      <c r="E1317" s="14">
        <f t="shared" si="21"/>
        <v>324500</v>
      </c>
    </row>
    <row r="1318" spans="1:7" x14ac:dyDescent="0.3">
      <c r="A1318" s="7">
        <v>1002706</v>
      </c>
      <c r="B1318" s="7" t="s">
        <v>1319</v>
      </c>
      <c r="C1318" s="14">
        <v>53430.178507442899</v>
      </c>
      <c r="D1318" s="14">
        <v>149107.454</v>
      </c>
      <c r="E1318" s="14">
        <f t="shared" si="21"/>
        <v>149107.454</v>
      </c>
      <c r="G1318">
        <f>608-441</f>
        <v>167</v>
      </c>
    </row>
    <row r="1319" spans="1:7" x14ac:dyDescent="0.3">
      <c r="A1319" s="7">
        <v>1002707</v>
      </c>
      <c r="B1319" s="7" t="s">
        <v>1320</v>
      </c>
      <c r="C1319" s="14">
        <v>48898.465374149702</v>
      </c>
      <c r="D1319" s="14">
        <v>0</v>
      </c>
      <c r="E1319" s="14">
        <f t="shared" si="21"/>
        <v>48898.465374149702</v>
      </c>
    </row>
    <row r="1320" spans="1:7" x14ac:dyDescent="0.3">
      <c r="A1320" s="7">
        <v>1002708</v>
      </c>
      <c r="B1320" s="7" t="s">
        <v>1321</v>
      </c>
      <c r="C1320" s="14">
        <v>10342.956521739099</v>
      </c>
      <c r="D1320" s="14">
        <v>0</v>
      </c>
      <c r="E1320" s="14">
        <f t="shared" si="21"/>
        <v>10342.956521739099</v>
      </c>
    </row>
    <row r="1321" spans="1:7" x14ac:dyDescent="0.3">
      <c r="A1321" s="7">
        <v>1002709</v>
      </c>
      <c r="B1321" s="7" t="s">
        <v>1322</v>
      </c>
      <c r="C1321" s="14">
        <v>28993.7429994378</v>
      </c>
      <c r="D1321" s="14">
        <v>0</v>
      </c>
      <c r="E1321" s="14">
        <f t="shared" si="21"/>
        <v>28993.7429994378</v>
      </c>
    </row>
    <row r="1322" spans="1:7" x14ac:dyDescent="0.3">
      <c r="A1322" s="7">
        <v>1002710</v>
      </c>
      <c r="B1322" s="7" t="s">
        <v>1323</v>
      </c>
      <c r="C1322" s="14">
        <v>53767.249149612602</v>
      </c>
      <c r="D1322" s="14">
        <v>0</v>
      </c>
      <c r="E1322" s="14">
        <f t="shared" si="21"/>
        <v>53767.249149612602</v>
      </c>
    </row>
    <row r="1323" spans="1:7" x14ac:dyDescent="0.3">
      <c r="A1323" s="7">
        <v>1002711</v>
      </c>
      <c r="B1323" s="7" t="s">
        <v>1324</v>
      </c>
      <c r="C1323" s="14">
        <v>0</v>
      </c>
      <c r="D1323" s="14">
        <v>0</v>
      </c>
      <c r="E1323" s="14">
        <f t="shared" si="21"/>
        <v>0</v>
      </c>
    </row>
    <row r="1324" spans="1:7" x14ac:dyDescent="0.3">
      <c r="A1324" s="7">
        <v>1002712</v>
      </c>
      <c r="B1324" s="7" t="s">
        <v>1325</v>
      </c>
      <c r="C1324" s="14">
        <v>50350.353037288398</v>
      </c>
      <c r="D1324" s="14">
        <v>0</v>
      </c>
      <c r="E1324" s="14">
        <f t="shared" si="21"/>
        <v>50350.353037288398</v>
      </c>
    </row>
    <row r="1325" spans="1:7" x14ac:dyDescent="0.3">
      <c r="A1325" s="7">
        <v>1002713</v>
      </c>
      <c r="B1325" s="7" t="s">
        <v>1326</v>
      </c>
      <c r="C1325" s="14">
        <v>41976.677954545499</v>
      </c>
      <c r="D1325" s="14">
        <v>0</v>
      </c>
      <c r="E1325" s="14">
        <f t="shared" si="21"/>
        <v>41976.677954545499</v>
      </c>
    </row>
    <row r="1326" spans="1:7" x14ac:dyDescent="0.3">
      <c r="A1326" s="7">
        <v>1002714</v>
      </c>
      <c r="B1326" s="7" t="s">
        <v>1327</v>
      </c>
      <c r="C1326" s="14">
        <v>9097.7800000000007</v>
      </c>
      <c r="D1326" s="14">
        <v>0</v>
      </c>
      <c r="E1326" s="14">
        <f t="shared" si="21"/>
        <v>9097.7800000000007</v>
      </c>
    </row>
    <row r="1327" spans="1:7" x14ac:dyDescent="0.3">
      <c r="A1327" s="7">
        <v>1002715</v>
      </c>
      <c r="B1327" s="7" t="s">
        <v>1328</v>
      </c>
      <c r="C1327" s="14">
        <v>49476.465820852201</v>
      </c>
      <c r="D1327" s="14">
        <v>0</v>
      </c>
      <c r="E1327" s="14">
        <f t="shared" si="21"/>
        <v>49476.465820852201</v>
      </c>
    </row>
    <row r="1328" spans="1:7" x14ac:dyDescent="0.3">
      <c r="A1328" s="7">
        <v>1002717</v>
      </c>
      <c r="B1328" s="7" t="s">
        <v>1329</v>
      </c>
      <c r="C1328" s="14">
        <v>22234.813666759201</v>
      </c>
      <c r="D1328" s="14">
        <v>0</v>
      </c>
      <c r="E1328" s="14">
        <f t="shared" si="21"/>
        <v>22234.813666759201</v>
      </c>
    </row>
    <row r="1329" spans="1:5" x14ac:dyDescent="0.3">
      <c r="A1329" s="7">
        <v>1002718</v>
      </c>
      <c r="B1329" s="7" t="s">
        <v>1330</v>
      </c>
      <c r="C1329" s="14">
        <v>42973.659693181799</v>
      </c>
      <c r="D1329" s="14">
        <v>0</v>
      </c>
      <c r="E1329" s="14">
        <f t="shared" si="21"/>
        <v>42973.659693181799</v>
      </c>
    </row>
    <row r="1330" spans="1:5" x14ac:dyDescent="0.3">
      <c r="A1330" s="7">
        <v>1002719</v>
      </c>
      <c r="B1330" s="7" t="s">
        <v>1331</v>
      </c>
      <c r="C1330" s="14">
        <v>0</v>
      </c>
      <c r="D1330" s="14">
        <v>0</v>
      </c>
      <c r="E1330" s="14">
        <f t="shared" si="21"/>
        <v>0</v>
      </c>
    </row>
    <row r="1331" spans="1:5" x14ac:dyDescent="0.3">
      <c r="A1331" s="7">
        <v>1002720</v>
      </c>
      <c r="B1331" s="7" t="s">
        <v>1332</v>
      </c>
      <c r="C1331" s="14">
        <v>102076.70666666667</v>
      </c>
      <c r="D1331" s="14">
        <v>102076.70666666667</v>
      </c>
      <c r="E1331" s="14">
        <f t="shared" si="21"/>
        <v>102076.70666666667</v>
      </c>
    </row>
    <row r="1332" spans="1:5" x14ac:dyDescent="0.3">
      <c r="A1332" s="7">
        <v>1002721</v>
      </c>
      <c r="B1332" s="7" t="s">
        <v>1333</v>
      </c>
      <c r="C1332" s="14">
        <v>57689.145728816962</v>
      </c>
      <c r="D1332" s="14">
        <v>0</v>
      </c>
      <c r="E1332" s="14">
        <f t="shared" si="21"/>
        <v>57689.145728816962</v>
      </c>
    </row>
    <row r="1333" spans="1:5" x14ac:dyDescent="0.3">
      <c r="A1333" s="7">
        <v>1002722</v>
      </c>
      <c r="B1333" s="7" t="s">
        <v>1334</v>
      </c>
      <c r="C1333" s="14">
        <v>77027.195000000007</v>
      </c>
      <c r="D1333" s="14">
        <v>77027.195000000007</v>
      </c>
      <c r="E1333" s="14">
        <f t="shared" si="21"/>
        <v>77027.195000000007</v>
      </c>
    </row>
    <row r="1334" spans="1:5" x14ac:dyDescent="0.3">
      <c r="A1334" s="7">
        <v>1002723</v>
      </c>
      <c r="B1334" s="7" t="s">
        <v>1335</v>
      </c>
      <c r="C1334" s="14">
        <v>0</v>
      </c>
      <c r="D1334" s="14">
        <v>0</v>
      </c>
      <c r="E1334" s="14">
        <f t="shared" si="21"/>
        <v>0</v>
      </c>
    </row>
    <row r="1335" spans="1:5" x14ac:dyDescent="0.3">
      <c r="A1335" s="7">
        <v>1002724</v>
      </c>
      <c r="B1335" s="7" t="s">
        <v>1336</v>
      </c>
      <c r="C1335" s="14">
        <v>31918.980554529699</v>
      </c>
      <c r="D1335" s="14">
        <v>97770.82</v>
      </c>
      <c r="E1335" s="14">
        <f t="shared" si="21"/>
        <v>97770.82</v>
      </c>
    </row>
    <row r="1336" spans="1:5" x14ac:dyDescent="0.3">
      <c r="A1336" s="7">
        <v>1002725</v>
      </c>
      <c r="B1336" s="7" t="s">
        <v>1337</v>
      </c>
      <c r="C1336" s="14">
        <v>52246.552276605013</v>
      </c>
      <c r="D1336" s="14">
        <v>0</v>
      </c>
      <c r="E1336" s="14">
        <f t="shared" si="21"/>
        <v>52246.552276605013</v>
      </c>
    </row>
    <row r="1337" spans="1:5" x14ac:dyDescent="0.3">
      <c r="A1337" s="7">
        <v>1002726</v>
      </c>
      <c r="B1337" s="7" t="s">
        <v>1338</v>
      </c>
      <c r="C1337" s="14">
        <v>0</v>
      </c>
      <c r="D1337" s="14">
        <v>0</v>
      </c>
      <c r="E1337" s="14">
        <f t="shared" si="21"/>
        <v>0</v>
      </c>
    </row>
    <row r="1338" spans="1:5" x14ac:dyDescent="0.3">
      <c r="A1338" s="7">
        <v>1002727</v>
      </c>
      <c r="B1338" s="7" t="s">
        <v>1339</v>
      </c>
      <c r="C1338" s="14">
        <v>0</v>
      </c>
      <c r="D1338" s="14">
        <v>0</v>
      </c>
      <c r="E1338" s="14">
        <f t="shared" si="21"/>
        <v>0</v>
      </c>
    </row>
    <row r="1339" spans="1:5" x14ac:dyDescent="0.3">
      <c r="A1339" s="7">
        <v>1002728</v>
      </c>
      <c r="B1339" s="7" t="s">
        <v>1340</v>
      </c>
      <c r="C1339" s="14">
        <v>0</v>
      </c>
      <c r="D1339" s="14">
        <v>0</v>
      </c>
      <c r="E1339" s="14">
        <f t="shared" si="21"/>
        <v>0</v>
      </c>
    </row>
    <row r="1340" spans="1:5" x14ac:dyDescent="0.3">
      <c r="A1340" s="7">
        <v>1002729</v>
      </c>
      <c r="B1340" s="7" t="s">
        <v>1341</v>
      </c>
      <c r="C1340" s="14">
        <v>0</v>
      </c>
      <c r="D1340" s="14">
        <v>0</v>
      </c>
      <c r="E1340" s="14">
        <f t="shared" si="21"/>
        <v>0</v>
      </c>
    </row>
    <row r="1341" spans="1:5" x14ac:dyDescent="0.3">
      <c r="A1341" s="7">
        <v>1002730</v>
      </c>
      <c r="B1341" s="7" t="s">
        <v>1342</v>
      </c>
      <c r="C1341" s="14">
        <v>97498.806881472497</v>
      </c>
      <c r="D1341" s="14">
        <v>0</v>
      </c>
      <c r="E1341" s="14">
        <f t="shared" si="21"/>
        <v>97498.806881472497</v>
      </c>
    </row>
    <row r="1342" spans="1:5" x14ac:dyDescent="0.3">
      <c r="A1342" s="7">
        <v>1002731</v>
      </c>
      <c r="B1342" s="7" t="s">
        <v>1343</v>
      </c>
      <c r="C1342" s="14">
        <v>199551.5525862069</v>
      </c>
      <c r="D1342" s="14">
        <v>246171.44481481481</v>
      </c>
      <c r="E1342" s="14">
        <f t="shared" si="21"/>
        <v>246171.44481481481</v>
      </c>
    </row>
    <row r="1343" spans="1:5" x14ac:dyDescent="0.3">
      <c r="A1343" s="7">
        <v>1002732</v>
      </c>
      <c r="B1343" s="7" t="s">
        <v>1344</v>
      </c>
      <c r="C1343" s="14">
        <v>0</v>
      </c>
      <c r="D1343" s="14">
        <v>0</v>
      </c>
      <c r="E1343" s="14">
        <f t="shared" si="21"/>
        <v>0</v>
      </c>
    </row>
    <row r="1344" spans="1:5" x14ac:dyDescent="0.3">
      <c r="A1344" s="7">
        <v>1002733</v>
      </c>
      <c r="B1344" s="7" t="s">
        <v>1345</v>
      </c>
      <c r="C1344" s="14">
        <v>41270.543254358352</v>
      </c>
      <c r="D1344" s="14">
        <v>0</v>
      </c>
      <c r="E1344" s="14">
        <f t="shared" si="21"/>
        <v>41270.543254358352</v>
      </c>
    </row>
    <row r="1345" spans="1:5" x14ac:dyDescent="0.3">
      <c r="A1345" s="7">
        <v>1002736</v>
      </c>
      <c r="B1345" s="7" t="s">
        <v>1346</v>
      </c>
      <c r="C1345" s="14">
        <v>361767.22808510601</v>
      </c>
      <c r="D1345" s="14">
        <v>0</v>
      </c>
      <c r="E1345" s="14">
        <f t="shared" si="21"/>
        <v>361767.22808510601</v>
      </c>
    </row>
    <row r="1346" spans="1:5" x14ac:dyDescent="0.3">
      <c r="A1346" s="7">
        <v>1002737</v>
      </c>
      <c r="B1346" s="7" t="s">
        <v>1347</v>
      </c>
      <c r="C1346" s="14">
        <v>233948.99</v>
      </c>
      <c r="D1346" s="14">
        <v>0</v>
      </c>
      <c r="E1346" s="14">
        <f t="shared" si="21"/>
        <v>233948.99</v>
      </c>
    </row>
    <row r="1347" spans="1:5" x14ac:dyDescent="0.3">
      <c r="A1347" s="7">
        <v>1002739</v>
      </c>
      <c r="B1347" s="7" t="s">
        <v>1348</v>
      </c>
      <c r="C1347" s="14">
        <v>451090.13457017503</v>
      </c>
      <c r="D1347" s="14">
        <v>0</v>
      </c>
      <c r="E1347" s="14">
        <f t="shared" si="21"/>
        <v>451090.13457017503</v>
      </c>
    </row>
    <row r="1348" spans="1:5" x14ac:dyDescent="0.3">
      <c r="A1348" s="7">
        <v>1002740</v>
      </c>
      <c r="B1348" s="7" t="s">
        <v>1349</v>
      </c>
      <c r="C1348" s="14">
        <v>0</v>
      </c>
      <c r="D1348" s="14">
        <v>0</v>
      </c>
      <c r="E1348" s="14">
        <f t="shared" si="21"/>
        <v>0</v>
      </c>
    </row>
    <row r="1349" spans="1:5" x14ac:dyDescent="0.3">
      <c r="A1349" s="7">
        <v>1002741</v>
      </c>
      <c r="B1349" s="7" t="s">
        <v>1350</v>
      </c>
      <c r="C1349" s="14">
        <v>380499.13</v>
      </c>
      <c r="D1349" s="14">
        <v>0</v>
      </c>
      <c r="E1349" s="14">
        <f t="shared" si="21"/>
        <v>380499.13</v>
      </c>
    </row>
    <row r="1350" spans="1:5" x14ac:dyDescent="0.3">
      <c r="A1350" s="7">
        <v>1002742</v>
      </c>
      <c r="B1350" s="7" t="s">
        <v>1351</v>
      </c>
      <c r="C1350" s="14">
        <v>459244.683163265</v>
      </c>
      <c r="D1350" s="14">
        <v>0</v>
      </c>
      <c r="E1350" s="14">
        <f t="shared" si="21"/>
        <v>459244.683163265</v>
      </c>
    </row>
    <row r="1351" spans="1:5" x14ac:dyDescent="0.3">
      <c r="A1351" s="7">
        <v>1002744</v>
      </c>
      <c r="B1351" s="7" t="s">
        <v>1352</v>
      </c>
      <c r="C1351" s="14">
        <v>320223.24</v>
      </c>
      <c r="D1351" s="14">
        <v>0</v>
      </c>
      <c r="E1351" s="14">
        <f t="shared" si="21"/>
        <v>320223.24</v>
      </c>
    </row>
    <row r="1352" spans="1:5" x14ac:dyDescent="0.3">
      <c r="A1352" s="7">
        <v>1002751</v>
      </c>
      <c r="B1352" s="7" t="s">
        <v>1353</v>
      </c>
      <c r="C1352" s="14">
        <v>636958.34499999997</v>
      </c>
      <c r="D1352" s="14">
        <v>0</v>
      </c>
      <c r="E1352" s="14">
        <f t="shared" si="21"/>
        <v>636958.34499999997</v>
      </c>
    </row>
    <row r="1353" spans="1:5" x14ac:dyDescent="0.3">
      <c r="A1353" s="7">
        <v>1002754</v>
      </c>
      <c r="B1353" s="7" t="s">
        <v>1354</v>
      </c>
      <c r="C1353" s="14">
        <v>116434.21</v>
      </c>
      <c r="D1353" s="14">
        <v>116434.21</v>
      </c>
      <c r="E1353" s="14">
        <f t="shared" si="21"/>
        <v>116434.21</v>
      </c>
    </row>
    <row r="1354" spans="1:5" x14ac:dyDescent="0.3">
      <c r="A1354" s="7">
        <v>1002755</v>
      </c>
      <c r="B1354" s="7" t="s">
        <v>1355</v>
      </c>
      <c r="C1354" s="14">
        <v>105848.28</v>
      </c>
      <c r="D1354" s="14">
        <v>0</v>
      </c>
      <c r="E1354" s="14">
        <f t="shared" si="21"/>
        <v>105848.28</v>
      </c>
    </row>
    <row r="1355" spans="1:5" x14ac:dyDescent="0.3">
      <c r="A1355" s="7">
        <v>1002756</v>
      </c>
      <c r="B1355" s="7" t="s">
        <v>1356</v>
      </c>
      <c r="C1355" s="14">
        <v>0</v>
      </c>
      <c r="D1355" s="14">
        <v>0</v>
      </c>
      <c r="E1355" s="14">
        <f t="shared" si="21"/>
        <v>0</v>
      </c>
    </row>
    <row r="1356" spans="1:5" x14ac:dyDescent="0.3">
      <c r="A1356" s="7">
        <v>1002758</v>
      </c>
      <c r="B1356" s="7" t="s">
        <v>1357</v>
      </c>
      <c r="C1356" s="14">
        <v>0</v>
      </c>
      <c r="D1356" s="14">
        <v>0</v>
      </c>
      <c r="E1356" s="14">
        <f t="shared" si="21"/>
        <v>0</v>
      </c>
    </row>
    <row r="1357" spans="1:5" x14ac:dyDescent="0.3">
      <c r="A1357" s="7">
        <v>1002760</v>
      </c>
      <c r="B1357" s="7" t="s">
        <v>1358</v>
      </c>
      <c r="C1357" s="14">
        <v>604553.80488095235</v>
      </c>
      <c r="D1357" s="14">
        <v>0</v>
      </c>
      <c r="E1357" s="14">
        <f t="shared" si="21"/>
        <v>604553.80488095235</v>
      </c>
    </row>
    <row r="1358" spans="1:5" x14ac:dyDescent="0.3">
      <c r="A1358" s="7">
        <v>1002763</v>
      </c>
      <c r="B1358" s="7" t="s">
        <v>1359</v>
      </c>
      <c r="C1358" s="14">
        <v>164848.240540984</v>
      </c>
      <c r="D1358" s="14">
        <v>0</v>
      </c>
      <c r="E1358" s="14">
        <f t="shared" si="21"/>
        <v>164848.240540984</v>
      </c>
    </row>
    <row r="1359" spans="1:5" x14ac:dyDescent="0.3">
      <c r="A1359" s="7">
        <v>1002770</v>
      </c>
      <c r="B1359" s="7" t="s">
        <v>1360</v>
      </c>
      <c r="C1359" s="14">
        <v>367856.23</v>
      </c>
      <c r="D1359" s="14">
        <v>0</v>
      </c>
      <c r="E1359" s="14">
        <f t="shared" si="21"/>
        <v>367856.23</v>
      </c>
    </row>
    <row r="1360" spans="1:5" x14ac:dyDescent="0.3">
      <c r="A1360" s="7">
        <v>1002773</v>
      </c>
      <c r="B1360" s="7" t="s">
        <v>1361</v>
      </c>
      <c r="C1360" s="14">
        <v>867251.51166666672</v>
      </c>
      <c r="D1360" s="14">
        <v>907538.31</v>
      </c>
      <c r="E1360" s="14">
        <f t="shared" si="21"/>
        <v>907538.31</v>
      </c>
    </row>
    <row r="1361" spans="1:5" x14ac:dyDescent="0.3">
      <c r="A1361" s="7">
        <v>1002774</v>
      </c>
      <c r="B1361" s="7" t="s">
        <v>1362</v>
      </c>
      <c r="C1361" s="14">
        <v>857351.25</v>
      </c>
      <c r="D1361" s="14">
        <v>857351.25</v>
      </c>
      <c r="E1361" s="14">
        <f t="shared" si="21"/>
        <v>857351.25</v>
      </c>
    </row>
    <row r="1362" spans="1:5" x14ac:dyDescent="0.3">
      <c r="A1362" s="7">
        <v>1002777</v>
      </c>
      <c r="B1362" s="7" t="s">
        <v>1363</v>
      </c>
      <c r="C1362" s="14">
        <v>138874.29236204701</v>
      </c>
      <c r="D1362" s="14">
        <v>0</v>
      </c>
      <c r="E1362" s="14">
        <f t="shared" si="21"/>
        <v>138874.29236204701</v>
      </c>
    </row>
    <row r="1363" spans="1:5" x14ac:dyDescent="0.3">
      <c r="A1363" s="7">
        <v>1002779</v>
      </c>
      <c r="B1363" s="7" t="s">
        <v>1364</v>
      </c>
      <c r="C1363" s="14">
        <v>93868.310218354498</v>
      </c>
      <c r="D1363" s="14">
        <v>0</v>
      </c>
      <c r="E1363" s="14">
        <f t="shared" si="21"/>
        <v>93868.310218354498</v>
      </c>
    </row>
    <row r="1364" spans="1:5" x14ac:dyDescent="0.3">
      <c r="A1364" s="7">
        <v>1002782</v>
      </c>
      <c r="B1364" s="7" t="s">
        <v>1365</v>
      </c>
      <c r="C1364" s="14">
        <v>14500</v>
      </c>
      <c r="D1364" s="14">
        <v>0</v>
      </c>
      <c r="E1364" s="14">
        <f t="shared" si="21"/>
        <v>14500</v>
      </c>
    </row>
    <row r="1365" spans="1:5" x14ac:dyDescent="0.3">
      <c r="A1365" s="7">
        <v>1002787</v>
      </c>
      <c r="B1365" s="7" t="s">
        <v>1366</v>
      </c>
      <c r="C1365" s="14">
        <v>11480</v>
      </c>
      <c r="D1365" s="14">
        <v>0</v>
      </c>
      <c r="E1365" s="14">
        <f t="shared" si="21"/>
        <v>11480</v>
      </c>
    </row>
    <row r="1366" spans="1:5" x14ac:dyDescent="0.3">
      <c r="A1366" s="7">
        <v>1002790</v>
      </c>
      <c r="B1366" s="7" t="s">
        <v>1367</v>
      </c>
      <c r="C1366" s="14">
        <v>35573.240226052498</v>
      </c>
      <c r="D1366" s="14">
        <v>0</v>
      </c>
      <c r="E1366" s="14">
        <f t="shared" si="21"/>
        <v>35573.240226052498</v>
      </c>
    </row>
    <row r="1367" spans="1:5" x14ac:dyDescent="0.3">
      <c r="A1367" s="7">
        <v>1002793</v>
      </c>
      <c r="B1367" s="7" t="s">
        <v>1368</v>
      </c>
      <c r="C1367" s="14">
        <v>0</v>
      </c>
      <c r="D1367" s="14">
        <v>0</v>
      </c>
      <c r="E1367" s="14">
        <f t="shared" si="21"/>
        <v>0</v>
      </c>
    </row>
    <row r="1368" spans="1:5" x14ac:dyDescent="0.3">
      <c r="A1368" s="7">
        <v>1002794</v>
      </c>
      <c r="B1368" s="7" t="s">
        <v>1369</v>
      </c>
      <c r="C1368" s="14">
        <v>30716.275000000001</v>
      </c>
      <c r="D1368" s="14">
        <v>36954.71</v>
      </c>
      <c r="E1368" s="14">
        <f t="shared" si="21"/>
        <v>36954.71</v>
      </c>
    </row>
    <row r="1369" spans="1:5" x14ac:dyDescent="0.3">
      <c r="A1369" s="7">
        <v>1002796</v>
      </c>
      <c r="B1369" s="7" t="s">
        <v>1370</v>
      </c>
      <c r="C1369" s="14">
        <v>23124.592105263157</v>
      </c>
      <c r="D1369" s="14">
        <v>0</v>
      </c>
      <c r="E1369" s="14">
        <f t="shared" si="21"/>
        <v>23124.592105263157</v>
      </c>
    </row>
    <row r="1370" spans="1:5" x14ac:dyDescent="0.3">
      <c r="A1370" s="7">
        <v>1002797</v>
      </c>
      <c r="B1370" s="7" t="s">
        <v>1371</v>
      </c>
      <c r="C1370" s="14">
        <v>30149.123673047699</v>
      </c>
      <c r="D1370" s="14">
        <v>0</v>
      </c>
      <c r="E1370" s="14">
        <f t="shared" si="21"/>
        <v>30149.123673047699</v>
      </c>
    </row>
    <row r="1371" spans="1:5" x14ac:dyDescent="0.3">
      <c r="A1371" s="7">
        <v>1002800</v>
      </c>
      <c r="B1371" s="7" t="s">
        <v>1372</v>
      </c>
      <c r="C1371" s="14">
        <v>336400</v>
      </c>
      <c r="D1371" s="14">
        <v>336400</v>
      </c>
      <c r="E1371" s="14">
        <f t="shared" si="21"/>
        <v>336400</v>
      </c>
    </row>
    <row r="1372" spans="1:5" x14ac:dyDescent="0.3">
      <c r="A1372" s="7">
        <v>1002801</v>
      </c>
      <c r="B1372" s="7" t="s">
        <v>1373</v>
      </c>
      <c r="C1372" s="14">
        <v>53621.075405388998</v>
      </c>
      <c r="D1372" s="14">
        <v>0</v>
      </c>
      <c r="E1372" s="14">
        <f t="shared" si="21"/>
        <v>53621.075405388998</v>
      </c>
    </row>
    <row r="1373" spans="1:5" x14ac:dyDescent="0.3">
      <c r="A1373" s="7">
        <v>1002802</v>
      </c>
      <c r="B1373" s="7" t="s">
        <v>1374</v>
      </c>
      <c r="C1373" s="14">
        <v>0</v>
      </c>
      <c r="D1373" s="14">
        <v>0</v>
      </c>
      <c r="E1373" s="14">
        <f t="shared" si="21"/>
        <v>0</v>
      </c>
    </row>
    <row r="1374" spans="1:5" x14ac:dyDescent="0.3">
      <c r="A1374" s="7">
        <v>1002803</v>
      </c>
      <c r="B1374" s="7" t="s">
        <v>1375</v>
      </c>
      <c r="C1374" s="14">
        <v>48768.459741603801</v>
      </c>
      <c r="D1374" s="14">
        <v>0</v>
      </c>
      <c r="E1374" s="14">
        <f t="shared" si="21"/>
        <v>48768.459741603801</v>
      </c>
    </row>
    <row r="1375" spans="1:5" x14ac:dyDescent="0.3">
      <c r="A1375" s="7">
        <v>1002804</v>
      </c>
      <c r="B1375" s="7" t="s">
        <v>1376</v>
      </c>
      <c r="C1375" s="14">
        <v>75762.87</v>
      </c>
      <c r="D1375" s="14">
        <v>75762.87</v>
      </c>
      <c r="E1375" s="14">
        <f t="shared" si="21"/>
        <v>75762.87</v>
      </c>
    </row>
    <row r="1376" spans="1:5" x14ac:dyDescent="0.3">
      <c r="A1376" s="7">
        <v>1002805</v>
      </c>
      <c r="B1376" s="7" t="s">
        <v>1377</v>
      </c>
      <c r="C1376" s="14">
        <v>0</v>
      </c>
      <c r="D1376" s="14">
        <v>0</v>
      </c>
      <c r="E1376" s="14">
        <f t="shared" si="21"/>
        <v>0</v>
      </c>
    </row>
    <row r="1377" spans="1:5" x14ac:dyDescent="0.3">
      <c r="A1377" s="7">
        <v>1002806</v>
      </c>
      <c r="B1377" s="7" t="s">
        <v>1378</v>
      </c>
      <c r="C1377" s="14">
        <v>0</v>
      </c>
      <c r="D1377" s="14">
        <v>0</v>
      </c>
      <c r="E1377" s="14">
        <f t="shared" ref="E1377:E1440" si="22">+MAX(C1377, D1377)</f>
        <v>0</v>
      </c>
    </row>
    <row r="1378" spans="1:5" x14ac:dyDescent="0.3">
      <c r="A1378" s="7">
        <v>1002807</v>
      </c>
      <c r="B1378" s="7" t="s">
        <v>1379</v>
      </c>
      <c r="C1378" s="14">
        <v>145814.80468517699</v>
      </c>
      <c r="D1378" s="14">
        <v>0</v>
      </c>
      <c r="E1378" s="14">
        <f t="shared" si="22"/>
        <v>145814.80468517699</v>
      </c>
    </row>
    <row r="1379" spans="1:5" x14ac:dyDescent="0.3">
      <c r="A1379" s="7">
        <v>1002809</v>
      </c>
      <c r="B1379" s="7" t="s">
        <v>1380</v>
      </c>
      <c r="C1379" s="14">
        <v>47450.406301406954</v>
      </c>
      <c r="D1379" s="14">
        <v>40969.599999999999</v>
      </c>
      <c r="E1379" s="14">
        <f t="shared" si="22"/>
        <v>47450.406301406954</v>
      </c>
    </row>
    <row r="1380" spans="1:5" x14ac:dyDescent="0.3">
      <c r="A1380" s="7">
        <v>1002810</v>
      </c>
      <c r="B1380" s="7" t="s">
        <v>1381</v>
      </c>
      <c r="C1380" s="14">
        <v>40091.488468640549</v>
      </c>
      <c r="D1380" s="14">
        <v>0</v>
      </c>
      <c r="E1380" s="14">
        <f t="shared" si="22"/>
        <v>40091.488468640549</v>
      </c>
    </row>
    <row r="1381" spans="1:5" x14ac:dyDescent="0.3">
      <c r="A1381" s="7">
        <v>1002812</v>
      </c>
      <c r="B1381" s="7" t="s">
        <v>1382</v>
      </c>
      <c r="C1381" s="14">
        <v>21049907.530000001</v>
      </c>
      <c r="D1381" s="14">
        <v>0</v>
      </c>
      <c r="E1381" s="14">
        <f t="shared" si="22"/>
        <v>21049907.530000001</v>
      </c>
    </row>
    <row r="1382" spans="1:5" x14ac:dyDescent="0.3">
      <c r="A1382" s="7">
        <v>1002814</v>
      </c>
      <c r="B1382" s="7" t="s">
        <v>1383</v>
      </c>
      <c r="C1382" s="14">
        <v>0</v>
      </c>
      <c r="D1382" s="14">
        <v>0</v>
      </c>
      <c r="E1382" s="14">
        <f t="shared" si="22"/>
        <v>0</v>
      </c>
    </row>
    <row r="1383" spans="1:5" x14ac:dyDescent="0.3">
      <c r="A1383" s="7">
        <v>1002817</v>
      </c>
      <c r="B1383" s="7" t="s">
        <v>1384</v>
      </c>
      <c r="C1383" s="14">
        <v>45284945.590000004</v>
      </c>
      <c r="D1383" s="14">
        <v>0</v>
      </c>
      <c r="E1383" s="14">
        <f t="shared" si="22"/>
        <v>45284945.590000004</v>
      </c>
    </row>
    <row r="1384" spans="1:5" x14ac:dyDescent="0.3">
      <c r="A1384" s="7">
        <v>1002818</v>
      </c>
      <c r="B1384" s="7" t="s">
        <v>1385</v>
      </c>
      <c r="C1384" s="14">
        <v>54804593.783</v>
      </c>
      <c r="D1384" s="14">
        <v>0</v>
      </c>
      <c r="E1384" s="14">
        <f t="shared" si="22"/>
        <v>54804593.783</v>
      </c>
    </row>
    <row r="1385" spans="1:5" x14ac:dyDescent="0.3">
      <c r="A1385" s="7">
        <v>1002839</v>
      </c>
      <c r="B1385" s="7" t="s">
        <v>1386</v>
      </c>
      <c r="C1385" s="14">
        <v>1746.2845314685401</v>
      </c>
      <c r="D1385" s="14">
        <v>2042.9047577899976</v>
      </c>
      <c r="E1385" s="14">
        <f t="shared" si="22"/>
        <v>2042.9047577899976</v>
      </c>
    </row>
    <row r="1386" spans="1:5" x14ac:dyDescent="0.3">
      <c r="A1386" s="7">
        <v>1002840</v>
      </c>
      <c r="B1386" s="7" t="s">
        <v>1387</v>
      </c>
      <c r="C1386" s="14">
        <v>2361.6746982230002</v>
      </c>
      <c r="D1386" s="14">
        <v>0</v>
      </c>
      <c r="E1386" s="14">
        <f t="shared" si="22"/>
        <v>2361.6746982230002</v>
      </c>
    </row>
    <row r="1387" spans="1:5" x14ac:dyDescent="0.3">
      <c r="A1387" s="7">
        <v>1002883</v>
      </c>
      <c r="B1387" s="7" t="s">
        <v>1388</v>
      </c>
      <c r="C1387" s="14">
        <v>13924</v>
      </c>
      <c r="D1387" s="14">
        <v>0</v>
      </c>
      <c r="E1387" s="14">
        <f t="shared" si="22"/>
        <v>13924</v>
      </c>
    </row>
    <row r="1388" spans="1:5" x14ac:dyDescent="0.3">
      <c r="A1388" s="7">
        <v>1002987</v>
      </c>
      <c r="B1388" s="7" t="s">
        <v>1389</v>
      </c>
      <c r="C1388" s="14">
        <v>1799.5</v>
      </c>
      <c r="D1388" s="14">
        <v>0</v>
      </c>
      <c r="E1388" s="14">
        <f t="shared" si="22"/>
        <v>1799.5</v>
      </c>
    </row>
    <row r="1389" spans="1:5" x14ac:dyDescent="0.3">
      <c r="A1389" s="7">
        <v>1002996</v>
      </c>
      <c r="B1389" s="7" t="s">
        <v>1390</v>
      </c>
      <c r="C1389" s="14">
        <v>849.6</v>
      </c>
      <c r="D1389" s="14">
        <v>0</v>
      </c>
      <c r="E1389" s="14">
        <f t="shared" si="22"/>
        <v>849.6</v>
      </c>
    </row>
    <row r="1390" spans="1:5" x14ac:dyDescent="0.3">
      <c r="A1390" s="7">
        <v>1003071</v>
      </c>
      <c r="B1390" s="7" t="s">
        <v>1391</v>
      </c>
      <c r="C1390" s="14">
        <v>31848.2</v>
      </c>
      <c r="D1390" s="14">
        <v>0</v>
      </c>
      <c r="E1390" s="14">
        <f t="shared" si="22"/>
        <v>31848.2</v>
      </c>
    </row>
    <row r="1391" spans="1:5" x14ac:dyDescent="0.3">
      <c r="A1391" s="7">
        <v>1003156</v>
      </c>
      <c r="B1391" s="7" t="s">
        <v>1392</v>
      </c>
      <c r="C1391" s="14">
        <v>86.848020782424641</v>
      </c>
      <c r="D1391" s="14">
        <v>34.077781456953645</v>
      </c>
      <c r="E1391" s="14">
        <f t="shared" si="22"/>
        <v>86.848020782424641</v>
      </c>
    </row>
    <row r="1392" spans="1:5" x14ac:dyDescent="0.3">
      <c r="A1392" s="7">
        <v>1003372</v>
      </c>
      <c r="B1392" s="7" t="s">
        <v>1393</v>
      </c>
      <c r="C1392" s="14">
        <v>1593</v>
      </c>
      <c r="D1392" s="14">
        <v>0</v>
      </c>
      <c r="E1392" s="14">
        <f t="shared" si="22"/>
        <v>1593</v>
      </c>
    </row>
    <row r="1393" spans="1:5" x14ac:dyDescent="0.3">
      <c r="A1393" s="7">
        <v>1003703</v>
      </c>
      <c r="B1393" s="7" t="s">
        <v>1394</v>
      </c>
      <c r="C1393" s="14">
        <v>16.685199999999998</v>
      </c>
      <c r="D1393" s="14">
        <v>0</v>
      </c>
      <c r="E1393" s="14">
        <f t="shared" si="22"/>
        <v>16.685199999999998</v>
      </c>
    </row>
    <row r="1394" spans="1:5" x14ac:dyDescent="0.3">
      <c r="A1394" s="7">
        <v>1003956</v>
      </c>
      <c r="B1394" s="7" t="s">
        <v>1395</v>
      </c>
      <c r="C1394" s="14">
        <v>2009.9134058479499</v>
      </c>
      <c r="D1394" s="14">
        <v>0</v>
      </c>
      <c r="E1394" s="14">
        <f t="shared" si="22"/>
        <v>2009.9134058479499</v>
      </c>
    </row>
    <row r="1395" spans="1:5" x14ac:dyDescent="0.3">
      <c r="A1395" s="7">
        <v>1003960</v>
      </c>
      <c r="B1395" s="7" t="s">
        <v>1396</v>
      </c>
      <c r="C1395" s="14">
        <v>3000</v>
      </c>
      <c r="D1395" s="14">
        <v>0</v>
      </c>
      <c r="E1395" s="14">
        <f t="shared" si="22"/>
        <v>3000</v>
      </c>
    </row>
    <row r="1396" spans="1:5" x14ac:dyDescent="0.3">
      <c r="A1396" s="7">
        <v>1003961</v>
      </c>
      <c r="B1396" s="7" t="s">
        <v>1397</v>
      </c>
      <c r="C1396" s="14">
        <v>3000</v>
      </c>
      <c r="D1396" s="14">
        <v>0</v>
      </c>
      <c r="E1396" s="14">
        <f t="shared" si="22"/>
        <v>3000</v>
      </c>
    </row>
    <row r="1397" spans="1:5" x14ac:dyDescent="0.3">
      <c r="A1397" s="7">
        <v>1004097</v>
      </c>
      <c r="B1397" s="7" t="s">
        <v>1398</v>
      </c>
      <c r="C1397" s="14">
        <v>10</v>
      </c>
      <c r="D1397" s="14">
        <v>10</v>
      </c>
      <c r="E1397" s="14">
        <f t="shared" si="22"/>
        <v>10</v>
      </c>
    </row>
    <row r="1398" spans="1:5" x14ac:dyDescent="0.3">
      <c r="A1398" s="7">
        <v>1004213</v>
      </c>
      <c r="B1398" s="7" t="s">
        <v>1400</v>
      </c>
      <c r="C1398" s="14">
        <v>0</v>
      </c>
      <c r="D1398" s="14">
        <v>28.026208026208025</v>
      </c>
      <c r="E1398" s="14">
        <f t="shared" si="22"/>
        <v>28.026208026208025</v>
      </c>
    </row>
    <row r="1399" spans="1:5" x14ac:dyDescent="0.3">
      <c r="A1399" s="7">
        <v>1004402</v>
      </c>
      <c r="B1399" s="7" t="s">
        <v>1401</v>
      </c>
      <c r="C1399" s="14">
        <v>12791.2</v>
      </c>
      <c r="D1399" s="14">
        <v>0</v>
      </c>
      <c r="E1399" s="14">
        <f t="shared" si="22"/>
        <v>12791.2</v>
      </c>
    </row>
    <row r="1400" spans="1:5" x14ac:dyDescent="0.3">
      <c r="A1400" s="7">
        <v>1004587</v>
      </c>
      <c r="B1400" s="7" t="s">
        <v>1402</v>
      </c>
      <c r="C1400" s="14">
        <v>283.2</v>
      </c>
      <c r="D1400" s="14">
        <v>0</v>
      </c>
      <c r="E1400" s="14">
        <f t="shared" si="22"/>
        <v>283.2</v>
      </c>
    </row>
    <row r="1401" spans="1:5" x14ac:dyDescent="0.3">
      <c r="A1401" s="7">
        <v>1004654</v>
      </c>
      <c r="B1401" s="7" t="s">
        <v>1403</v>
      </c>
      <c r="C1401" s="14">
        <v>3677.1700887468101</v>
      </c>
      <c r="D1401" s="14">
        <v>0</v>
      </c>
      <c r="E1401" s="14">
        <f t="shared" si="22"/>
        <v>3677.1700887468101</v>
      </c>
    </row>
    <row r="1402" spans="1:5" x14ac:dyDescent="0.3">
      <c r="A1402" s="7">
        <v>1004656</v>
      </c>
      <c r="B1402" s="7" t="s">
        <v>1404</v>
      </c>
      <c r="C1402" s="14">
        <v>4766.7547983348104</v>
      </c>
      <c r="D1402" s="14">
        <v>0</v>
      </c>
      <c r="E1402" s="14">
        <f t="shared" si="22"/>
        <v>4766.7547983348104</v>
      </c>
    </row>
    <row r="1403" spans="1:5" x14ac:dyDescent="0.3">
      <c r="A1403" s="7">
        <v>1004657</v>
      </c>
      <c r="B1403" s="7" t="s">
        <v>1405</v>
      </c>
      <c r="C1403" s="14">
        <v>5081.5976000000001</v>
      </c>
      <c r="D1403" s="14">
        <v>0</v>
      </c>
      <c r="E1403" s="14">
        <f t="shared" si="22"/>
        <v>5081.5976000000001</v>
      </c>
    </row>
    <row r="1404" spans="1:5" x14ac:dyDescent="0.3">
      <c r="A1404" s="7">
        <v>1004658</v>
      </c>
      <c r="B1404" s="7" t="s">
        <v>1406</v>
      </c>
      <c r="C1404" s="14">
        <v>38990.1176923077</v>
      </c>
      <c r="D1404" s="14">
        <v>0</v>
      </c>
      <c r="E1404" s="14">
        <f t="shared" si="22"/>
        <v>38990.1176923077</v>
      </c>
    </row>
    <row r="1405" spans="1:5" x14ac:dyDescent="0.3">
      <c r="A1405" s="7">
        <v>1004659</v>
      </c>
      <c r="B1405" s="7" t="s">
        <v>1407</v>
      </c>
      <c r="C1405" s="14">
        <v>25129.8728454497</v>
      </c>
      <c r="D1405" s="14">
        <v>0</v>
      </c>
      <c r="E1405" s="14">
        <f t="shared" si="22"/>
        <v>25129.8728454497</v>
      </c>
    </row>
    <row r="1406" spans="1:5" x14ac:dyDescent="0.3">
      <c r="A1406" s="7">
        <v>1004660</v>
      </c>
      <c r="B1406" s="7" t="s">
        <v>1408</v>
      </c>
      <c r="C1406" s="14">
        <v>21447.126702615798</v>
      </c>
      <c r="D1406" s="14">
        <v>0</v>
      </c>
      <c r="E1406" s="14">
        <f t="shared" si="22"/>
        <v>21447.126702615798</v>
      </c>
    </row>
    <row r="1407" spans="1:5" x14ac:dyDescent="0.3">
      <c r="A1407" s="7">
        <v>1004661</v>
      </c>
      <c r="B1407" s="7" t="s">
        <v>1409</v>
      </c>
      <c r="C1407" s="14">
        <v>5882.8377823691499</v>
      </c>
      <c r="D1407" s="14">
        <v>0</v>
      </c>
      <c r="E1407" s="14">
        <f t="shared" si="22"/>
        <v>5882.8377823691499</v>
      </c>
    </row>
    <row r="1408" spans="1:5" x14ac:dyDescent="0.3">
      <c r="A1408" s="7">
        <v>1004662</v>
      </c>
      <c r="B1408" s="7" t="s">
        <v>1410</v>
      </c>
      <c r="C1408" s="14">
        <v>2081.9807142857098</v>
      </c>
      <c r="D1408" s="14">
        <v>0</v>
      </c>
      <c r="E1408" s="14">
        <f t="shared" si="22"/>
        <v>2081.9807142857098</v>
      </c>
    </row>
    <row r="1409" spans="1:5" x14ac:dyDescent="0.3">
      <c r="A1409" s="7">
        <v>1004663</v>
      </c>
      <c r="B1409" s="7" t="s">
        <v>1411</v>
      </c>
      <c r="C1409" s="14">
        <v>4021.2918627450899</v>
      </c>
      <c r="D1409" s="14">
        <v>0</v>
      </c>
      <c r="E1409" s="14">
        <f t="shared" si="22"/>
        <v>4021.2918627450899</v>
      </c>
    </row>
    <row r="1410" spans="1:5" x14ac:dyDescent="0.3">
      <c r="A1410" s="7">
        <v>1004664</v>
      </c>
      <c r="B1410" s="7" t="s">
        <v>1412</v>
      </c>
      <c r="C1410" s="14">
        <v>4124.1524816849796</v>
      </c>
      <c r="D1410" s="14">
        <v>0</v>
      </c>
      <c r="E1410" s="14">
        <f t="shared" si="22"/>
        <v>4124.1524816849796</v>
      </c>
    </row>
    <row r="1411" spans="1:5" x14ac:dyDescent="0.3">
      <c r="A1411" s="7">
        <v>1004667</v>
      </c>
      <c r="B1411" s="7" t="s">
        <v>1413</v>
      </c>
      <c r="C1411" s="14">
        <v>2899.7241008440101</v>
      </c>
      <c r="D1411" s="14">
        <v>0</v>
      </c>
      <c r="E1411" s="14">
        <f t="shared" si="22"/>
        <v>2899.7241008440101</v>
      </c>
    </row>
    <row r="1412" spans="1:5" x14ac:dyDescent="0.3">
      <c r="A1412" s="7">
        <v>1004672</v>
      </c>
      <c r="B1412" s="7" t="s">
        <v>1414</v>
      </c>
      <c r="C1412" s="14">
        <v>5986.8184560439604</v>
      </c>
      <c r="D1412" s="14">
        <v>0</v>
      </c>
      <c r="E1412" s="14">
        <f t="shared" si="22"/>
        <v>5986.8184560439604</v>
      </c>
    </row>
    <row r="1413" spans="1:5" x14ac:dyDescent="0.3">
      <c r="A1413" s="7">
        <v>1004673</v>
      </c>
      <c r="B1413" s="7" t="s">
        <v>1415</v>
      </c>
      <c r="C1413" s="14">
        <v>49.321911111111099</v>
      </c>
      <c r="D1413" s="14">
        <v>0</v>
      </c>
      <c r="E1413" s="14">
        <f t="shared" si="22"/>
        <v>49.321911111111099</v>
      </c>
    </row>
    <row r="1414" spans="1:5" x14ac:dyDescent="0.3">
      <c r="A1414" s="7">
        <v>1004674</v>
      </c>
      <c r="B1414" s="7" t="s">
        <v>1416</v>
      </c>
      <c r="C1414" s="14">
        <v>133.040172839506</v>
      </c>
      <c r="D1414" s="14">
        <v>0</v>
      </c>
      <c r="E1414" s="14">
        <f t="shared" si="22"/>
        <v>133.040172839506</v>
      </c>
    </row>
    <row r="1415" spans="1:5" x14ac:dyDescent="0.3">
      <c r="A1415" s="7">
        <v>1004675</v>
      </c>
      <c r="B1415" s="7" t="s">
        <v>1417</v>
      </c>
      <c r="C1415" s="14">
        <v>297.98070000000001</v>
      </c>
      <c r="D1415" s="14">
        <v>0</v>
      </c>
      <c r="E1415" s="14">
        <f t="shared" si="22"/>
        <v>297.98070000000001</v>
      </c>
    </row>
    <row r="1416" spans="1:5" x14ac:dyDescent="0.3">
      <c r="A1416" s="7">
        <v>1004680</v>
      </c>
      <c r="B1416" s="7" t="s">
        <v>1418</v>
      </c>
      <c r="C1416" s="14">
        <v>21021.044999999998</v>
      </c>
      <c r="D1416" s="14">
        <v>0</v>
      </c>
      <c r="E1416" s="14">
        <f t="shared" si="22"/>
        <v>21021.044999999998</v>
      </c>
    </row>
    <row r="1417" spans="1:5" x14ac:dyDescent="0.3">
      <c r="A1417" s="7">
        <v>1004681</v>
      </c>
      <c r="B1417" s="7" t="s">
        <v>1419</v>
      </c>
      <c r="C1417" s="14">
        <v>35492.258750000001</v>
      </c>
      <c r="D1417" s="14">
        <v>0</v>
      </c>
      <c r="E1417" s="14">
        <f t="shared" si="22"/>
        <v>35492.258750000001</v>
      </c>
    </row>
    <row r="1418" spans="1:5" x14ac:dyDescent="0.3">
      <c r="A1418" s="7">
        <v>1004682</v>
      </c>
      <c r="B1418" s="7" t="s">
        <v>1420</v>
      </c>
      <c r="C1418" s="14">
        <v>60431.385000000002</v>
      </c>
      <c r="D1418" s="14">
        <v>0</v>
      </c>
      <c r="E1418" s="14">
        <f t="shared" si="22"/>
        <v>60431.385000000002</v>
      </c>
    </row>
    <row r="1419" spans="1:5" x14ac:dyDescent="0.3">
      <c r="A1419" s="7">
        <v>1004683</v>
      </c>
      <c r="B1419" s="7" t="s">
        <v>1421</v>
      </c>
      <c r="C1419" s="14">
        <v>2296.8000000000002</v>
      </c>
      <c r="D1419" s="14">
        <v>0</v>
      </c>
      <c r="E1419" s="14">
        <f t="shared" si="22"/>
        <v>2296.8000000000002</v>
      </c>
    </row>
    <row r="1420" spans="1:5" x14ac:dyDescent="0.3">
      <c r="A1420" s="7">
        <v>1004684</v>
      </c>
      <c r="B1420" s="7" t="s">
        <v>1422</v>
      </c>
      <c r="C1420" s="14">
        <v>132.82</v>
      </c>
      <c r="D1420" s="14">
        <v>0</v>
      </c>
      <c r="E1420" s="14">
        <f t="shared" si="22"/>
        <v>132.82</v>
      </c>
    </row>
    <row r="1421" spans="1:5" x14ac:dyDescent="0.3">
      <c r="A1421" s="7">
        <v>1004685</v>
      </c>
      <c r="B1421" s="7" t="s">
        <v>1423</v>
      </c>
      <c r="C1421" s="14">
        <v>313.90800000000002</v>
      </c>
      <c r="D1421" s="14">
        <v>0</v>
      </c>
      <c r="E1421" s="14">
        <f t="shared" si="22"/>
        <v>313.90800000000002</v>
      </c>
    </row>
    <row r="1422" spans="1:5" x14ac:dyDescent="0.3">
      <c r="A1422" s="7">
        <v>1004686</v>
      </c>
      <c r="B1422" s="7" t="s">
        <v>1424</v>
      </c>
      <c r="C1422" s="14">
        <v>0</v>
      </c>
      <c r="D1422" s="14">
        <v>0</v>
      </c>
      <c r="E1422" s="14">
        <f t="shared" si="22"/>
        <v>0</v>
      </c>
    </row>
    <row r="1423" spans="1:5" x14ac:dyDescent="0.3">
      <c r="A1423" s="7">
        <v>1004687</v>
      </c>
      <c r="B1423" s="7" t="s">
        <v>1425</v>
      </c>
      <c r="C1423" s="14">
        <v>10268.77</v>
      </c>
      <c r="D1423" s="14">
        <v>0</v>
      </c>
      <c r="E1423" s="14">
        <f t="shared" si="22"/>
        <v>10268.77</v>
      </c>
    </row>
    <row r="1424" spans="1:5" x14ac:dyDescent="0.3">
      <c r="A1424" s="7">
        <v>1004688</v>
      </c>
      <c r="B1424" s="7" t="s">
        <v>1426</v>
      </c>
      <c r="C1424" s="14">
        <v>9389.2950000000001</v>
      </c>
      <c r="D1424" s="14">
        <v>0</v>
      </c>
      <c r="E1424" s="14">
        <f t="shared" si="22"/>
        <v>9389.2950000000001</v>
      </c>
    </row>
    <row r="1425" spans="1:5" x14ac:dyDescent="0.3">
      <c r="A1425" s="7">
        <v>1004689</v>
      </c>
      <c r="B1425" s="7" t="s">
        <v>1427</v>
      </c>
      <c r="C1425" s="14">
        <v>4740.9089999999997</v>
      </c>
      <c r="D1425" s="14">
        <v>0</v>
      </c>
      <c r="E1425" s="14">
        <f t="shared" si="22"/>
        <v>4740.9089999999997</v>
      </c>
    </row>
    <row r="1426" spans="1:5" x14ac:dyDescent="0.3">
      <c r="A1426" s="7">
        <v>1004690</v>
      </c>
      <c r="B1426" s="7" t="s">
        <v>1428</v>
      </c>
      <c r="C1426" s="14">
        <v>242551.3725</v>
      </c>
      <c r="D1426" s="14">
        <v>0</v>
      </c>
      <c r="E1426" s="14">
        <f t="shared" si="22"/>
        <v>242551.3725</v>
      </c>
    </row>
    <row r="1427" spans="1:5" x14ac:dyDescent="0.3">
      <c r="A1427" s="7">
        <v>1004691</v>
      </c>
      <c r="B1427" s="7" t="s">
        <v>1429</v>
      </c>
      <c r="C1427" s="14">
        <v>55834.496249999997</v>
      </c>
      <c r="D1427" s="14">
        <v>0</v>
      </c>
      <c r="E1427" s="14">
        <f t="shared" si="22"/>
        <v>55834.496249999997</v>
      </c>
    </row>
    <row r="1428" spans="1:5" x14ac:dyDescent="0.3">
      <c r="A1428" s="7">
        <v>1004692</v>
      </c>
      <c r="B1428" s="7" t="s">
        <v>1430</v>
      </c>
      <c r="C1428" s="14">
        <v>4416.5723749999997</v>
      </c>
      <c r="D1428" s="14">
        <v>0</v>
      </c>
      <c r="E1428" s="14">
        <f t="shared" si="22"/>
        <v>4416.5723749999997</v>
      </c>
    </row>
    <row r="1429" spans="1:5" x14ac:dyDescent="0.3">
      <c r="A1429" s="7">
        <v>1004693</v>
      </c>
      <c r="B1429" s="7" t="s">
        <v>1431</v>
      </c>
      <c r="C1429" s="14">
        <v>8153.41</v>
      </c>
      <c r="D1429" s="14">
        <v>0</v>
      </c>
      <c r="E1429" s="14">
        <f t="shared" si="22"/>
        <v>8153.41</v>
      </c>
    </row>
    <row r="1430" spans="1:5" x14ac:dyDescent="0.3">
      <c r="A1430" s="7">
        <v>1004694</v>
      </c>
      <c r="B1430" s="7" t="s">
        <v>1432</v>
      </c>
      <c r="C1430" s="14">
        <v>17.806000000000001</v>
      </c>
      <c r="D1430" s="14">
        <v>0</v>
      </c>
      <c r="E1430" s="14">
        <f t="shared" si="22"/>
        <v>17.806000000000001</v>
      </c>
    </row>
    <row r="1431" spans="1:5" x14ac:dyDescent="0.3">
      <c r="A1431" s="7">
        <v>1004695</v>
      </c>
      <c r="B1431" s="7" t="s">
        <v>1433</v>
      </c>
      <c r="C1431" s="14">
        <v>44.509</v>
      </c>
      <c r="D1431" s="14">
        <v>0</v>
      </c>
      <c r="E1431" s="14">
        <f t="shared" si="22"/>
        <v>44.509</v>
      </c>
    </row>
    <row r="1432" spans="1:5" x14ac:dyDescent="0.3">
      <c r="A1432" s="7">
        <v>1004696</v>
      </c>
      <c r="B1432" s="7" t="s">
        <v>1434</v>
      </c>
      <c r="C1432" s="14">
        <v>89.018500000000003</v>
      </c>
      <c r="D1432" s="14">
        <v>0</v>
      </c>
      <c r="E1432" s="14">
        <f t="shared" si="22"/>
        <v>89.018500000000003</v>
      </c>
    </row>
    <row r="1433" spans="1:5" x14ac:dyDescent="0.3">
      <c r="A1433" s="7">
        <v>1004697</v>
      </c>
      <c r="B1433" s="7" t="s">
        <v>1435</v>
      </c>
      <c r="C1433" s="14">
        <v>44.5092</v>
      </c>
      <c r="D1433" s="14">
        <v>0</v>
      </c>
      <c r="E1433" s="14">
        <f t="shared" si="22"/>
        <v>44.5092</v>
      </c>
    </row>
    <row r="1434" spans="1:5" x14ac:dyDescent="0.3">
      <c r="A1434" s="7">
        <v>1004698</v>
      </c>
      <c r="B1434" s="7" t="s">
        <v>1436</v>
      </c>
      <c r="C1434" s="14">
        <v>73.845555555555507</v>
      </c>
      <c r="D1434" s="14">
        <v>0</v>
      </c>
      <c r="E1434" s="14">
        <f t="shared" si="22"/>
        <v>73.845555555555507</v>
      </c>
    </row>
    <row r="1435" spans="1:5" x14ac:dyDescent="0.3">
      <c r="A1435" s="7">
        <v>1004699</v>
      </c>
      <c r="B1435" s="7" t="s">
        <v>1437</v>
      </c>
      <c r="C1435" s="14">
        <v>329.37033333333301</v>
      </c>
      <c r="D1435" s="14">
        <v>0</v>
      </c>
      <c r="E1435" s="14">
        <f t="shared" si="22"/>
        <v>329.37033333333301</v>
      </c>
    </row>
    <row r="1436" spans="1:5" x14ac:dyDescent="0.3">
      <c r="A1436" s="7">
        <v>1004700</v>
      </c>
      <c r="B1436" s="7" t="s">
        <v>1438</v>
      </c>
      <c r="C1436" s="14">
        <v>202.392577777778</v>
      </c>
      <c r="D1436" s="14">
        <v>0</v>
      </c>
      <c r="E1436" s="14">
        <f t="shared" si="22"/>
        <v>202.392577777778</v>
      </c>
    </row>
    <row r="1437" spans="1:5" x14ac:dyDescent="0.3">
      <c r="A1437" s="7">
        <v>1004701</v>
      </c>
      <c r="B1437" s="7" t="s">
        <v>1439</v>
      </c>
      <c r="C1437" s="14">
        <v>206.19946666666701</v>
      </c>
      <c r="D1437" s="14">
        <v>0</v>
      </c>
      <c r="E1437" s="14">
        <f t="shared" si="22"/>
        <v>206.19946666666701</v>
      </c>
    </row>
    <row r="1438" spans="1:5" x14ac:dyDescent="0.3">
      <c r="A1438" s="7">
        <v>1004702</v>
      </c>
      <c r="B1438" s="7" t="s">
        <v>1440</v>
      </c>
      <c r="C1438" s="14">
        <v>258.22863333333299</v>
      </c>
      <c r="D1438" s="14">
        <v>0</v>
      </c>
      <c r="E1438" s="14">
        <f t="shared" si="22"/>
        <v>258.22863333333299</v>
      </c>
    </row>
    <row r="1439" spans="1:5" x14ac:dyDescent="0.3">
      <c r="A1439" s="7">
        <v>1004703</v>
      </c>
      <c r="B1439" s="7" t="s">
        <v>1441</v>
      </c>
      <c r="C1439" s="14">
        <v>398.35566666666699</v>
      </c>
      <c r="D1439" s="14">
        <v>0</v>
      </c>
      <c r="E1439" s="14">
        <f t="shared" si="22"/>
        <v>398.35566666666699</v>
      </c>
    </row>
    <row r="1440" spans="1:5" x14ac:dyDescent="0.3">
      <c r="A1440" s="7">
        <v>1004704</v>
      </c>
      <c r="B1440" s="7" t="s">
        <v>1442</v>
      </c>
      <c r="C1440" s="14">
        <v>1182.9219000000001</v>
      </c>
      <c r="D1440" s="14">
        <v>0</v>
      </c>
      <c r="E1440" s="14">
        <f t="shared" si="22"/>
        <v>1182.9219000000001</v>
      </c>
    </row>
    <row r="1441" spans="1:5" x14ac:dyDescent="0.3">
      <c r="A1441" s="7">
        <v>1004708</v>
      </c>
      <c r="B1441" s="7" t="s">
        <v>1443</v>
      </c>
      <c r="C1441" s="14">
        <v>334.46666666666698</v>
      </c>
      <c r="D1441" s="14">
        <v>0</v>
      </c>
      <c r="E1441" s="14">
        <f t="shared" ref="E1441:E1504" si="23">+MAX(C1441, D1441)</f>
        <v>334.46666666666698</v>
      </c>
    </row>
    <row r="1442" spans="1:5" x14ac:dyDescent="0.3">
      <c r="A1442" s="7">
        <v>1004709</v>
      </c>
      <c r="B1442" s="7" t="s">
        <v>1444</v>
      </c>
      <c r="C1442" s="14">
        <v>841</v>
      </c>
      <c r="D1442" s="14">
        <v>0</v>
      </c>
      <c r="E1442" s="14">
        <f t="shared" si="23"/>
        <v>841</v>
      </c>
    </row>
    <row r="1443" spans="1:5" x14ac:dyDescent="0.3">
      <c r="A1443" s="7">
        <v>1004752</v>
      </c>
      <c r="B1443" s="7" t="s">
        <v>1445</v>
      </c>
      <c r="C1443" s="14">
        <v>313.61</v>
      </c>
      <c r="D1443" s="14">
        <v>0</v>
      </c>
      <c r="E1443" s="14">
        <f t="shared" si="23"/>
        <v>313.61</v>
      </c>
    </row>
    <row r="1444" spans="1:5" x14ac:dyDescent="0.3">
      <c r="A1444" s="7">
        <v>1004753</v>
      </c>
      <c r="B1444" s="7" t="s">
        <v>1447</v>
      </c>
      <c r="C1444" s="14">
        <v>154.72657398680488</v>
      </c>
      <c r="D1444" s="14">
        <v>75.935258620689652</v>
      </c>
      <c r="E1444" s="14">
        <f t="shared" si="23"/>
        <v>154.72657398680488</v>
      </c>
    </row>
    <row r="1445" spans="1:5" x14ac:dyDescent="0.3">
      <c r="A1445" s="7">
        <v>1004754</v>
      </c>
      <c r="B1445" s="7" t="s">
        <v>1449</v>
      </c>
      <c r="C1445" s="14">
        <v>210.2107387154355</v>
      </c>
      <c r="D1445" s="14">
        <v>179.42682826199072</v>
      </c>
      <c r="E1445" s="14">
        <f t="shared" si="23"/>
        <v>210.2107387154355</v>
      </c>
    </row>
    <row r="1446" spans="1:5" x14ac:dyDescent="0.3">
      <c r="A1446" s="7">
        <v>1004797</v>
      </c>
      <c r="B1446" s="7" t="s">
        <v>1450</v>
      </c>
      <c r="C1446" s="14">
        <v>93.511158405141899</v>
      </c>
      <c r="D1446" s="14">
        <v>0</v>
      </c>
      <c r="E1446" s="14">
        <f t="shared" si="23"/>
        <v>93.511158405141899</v>
      </c>
    </row>
    <row r="1447" spans="1:5" x14ac:dyDescent="0.3">
      <c r="A1447" s="7">
        <v>1004798</v>
      </c>
      <c r="B1447" s="7" t="s">
        <v>1451</v>
      </c>
      <c r="C1447" s="14">
        <v>252.27875817506001</v>
      </c>
      <c r="D1447" s="14">
        <v>0</v>
      </c>
      <c r="E1447" s="14">
        <f t="shared" si="23"/>
        <v>252.27875817506001</v>
      </c>
    </row>
    <row r="1448" spans="1:5" x14ac:dyDescent="0.3">
      <c r="A1448" s="7">
        <v>1004807</v>
      </c>
      <c r="B1448" s="7" t="s">
        <v>1452</v>
      </c>
      <c r="C1448" s="14">
        <v>398</v>
      </c>
      <c r="D1448" s="14">
        <v>0</v>
      </c>
      <c r="E1448" s="14">
        <f t="shared" si="23"/>
        <v>398</v>
      </c>
    </row>
    <row r="1449" spans="1:5" x14ac:dyDescent="0.3">
      <c r="A1449" s="7">
        <v>1004813</v>
      </c>
      <c r="B1449" s="7" t="s">
        <v>1453</v>
      </c>
      <c r="C1449" s="14">
        <v>393.75</v>
      </c>
      <c r="D1449" s="14">
        <v>3346</v>
      </c>
      <c r="E1449" s="14">
        <f t="shared" si="23"/>
        <v>3346</v>
      </c>
    </row>
    <row r="1450" spans="1:5" x14ac:dyDescent="0.3">
      <c r="A1450" s="7">
        <v>1004814</v>
      </c>
      <c r="B1450" s="7" t="s">
        <v>1454</v>
      </c>
      <c r="C1450" s="14">
        <v>317.77642592695668</v>
      </c>
      <c r="D1450" s="14">
        <v>234.32140947288005</v>
      </c>
      <c r="E1450" s="14">
        <f t="shared" si="23"/>
        <v>317.77642592695668</v>
      </c>
    </row>
    <row r="1451" spans="1:5" x14ac:dyDescent="0.3">
      <c r="A1451" s="7">
        <v>1004818</v>
      </c>
      <c r="B1451" s="7" t="s">
        <v>1455</v>
      </c>
      <c r="C1451" s="14">
        <v>172.55033158811898</v>
      </c>
      <c r="D1451" s="14">
        <v>172.02607311320753</v>
      </c>
      <c r="E1451" s="14">
        <f t="shared" si="23"/>
        <v>172.55033158811898</v>
      </c>
    </row>
    <row r="1452" spans="1:5" x14ac:dyDescent="0.3">
      <c r="A1452" s="7">
        <v>1004822</v>
      </c>
      <c r="B1452" s="7" t="s">
        <v>1456</v>
      </c>
      <c r="C1452" s="14">
        <v>515.76397727272752</v>
      </c>
      <c r="D1452" s="14">
        <v>493.4758823529412</v>
      </c>
      <c r="E1452" s="14">
        <f t="shared" si="23"/>
        <v>515.76397727272752</v>
      </c>
    </row>
    <row r="1453" spans="1:5" x14ac:dyDescent="0.3">
      <c r="A1453" s="7">
        <v>1004827</v>
      </c>
      <c r="B1453" s="7" t="s">
        <v>1457</v>
      </c>
      <c r="C1453" s="14">
        <v>539.92245495410248</v>
      </c>
      <c r="D1453" s="14">
        <v>539.92245883644341</v>
      </c>
      <c r="E1453" s="14">
        <f t="shared" si="23"/>
        <v>539.92245883644341</v>
      </c>
    </row>
    <row r="1454" spans="1:5" x14ac:dyDescent="0.3">
      <c r="A1454" s="7">
        <v>1004830</v>
      </c>
      <c r="B1454" s="7" t="s">
        <v>1458</v>
      </c>
      <c r="C1454" s="14">
        <v>31.317825106511478</v>
      </c>
      <c r="D1454" s="14">
        <v>49.769012830583925</v>
      </c>
      <c r="E1454" s="14">
        <f t="shared" si="23"/>
        <v>49.769012830583925</v>
      </c>
    </row>
    <row r="1455" spans="1:5" x14ac:dyDescent="0.3">
      <c r="A1455" s="7">
        <v>1004836</v>
      </c>
      <c r="B1455" s="7" t="s">
        <v>1459</v>
      </c>
      <c r="C1455" s="14">
        <v>150</v>
      </c>
      <c r="D1455" s="14">
        <v>46.019999999999996</v>
      </c>
      <c r="E1455" s="14">
        <f t="shared" si="23"/>
        <v>150</v>
      </c>
    </row>
    <row r="1456" spans="1:5" x14ac:dyDescent="0.3">
      <c r="A1456" s="7">
        <v>1004837</v>
      </c>
      <c r="B1456" s="7" t="s">
        <v>1460</v>
      </c>
      <c r="C1456" s="14">
        <v>1431.8924311926601</v>
      </c>
      <c r="D1456" s="14">
        <v>0</v>
      </c>
      <c r="E1456" s="14">
        <f t="shared" si="23"/>
        <v>1431.8924311926601</v>
      </c>
    </row>
    <row r="1457" spans="1:5" x14ac:dyDescent="0.3">
      <c r="A1457" s="7">
        <v>1004839</v>
      </c>
      <c r="B1457" s="7" t="s">
        <v>1461</v>
      </c>
      <c r="C1457" s="14">
        <v>91.9388183612988</v>
      </c>
      <c r="D1457" s="14">
        <v>25.96</v>
      </c>
      <c r="E1457" s="14">
        <f t="shared" si="23"/>
        <v>91.9388183612988</v>
      </c>
    </row>
    <row r="1458" spans="1:5" x14ac:dyDescent="0.3">
      <c r="A1458" s="7">
        <v>1004850</v>
      </c>
      <c r="B1458" s="7" t="s">
        <v>1462</v>
      </c>
      <c r="C1458" s="14">
        <v>465206.4</v>
      </c>
      <c r="D1458" s="14">
        <v>0</v>
      </c>
      <c r="E1458" s="14">
        <f t="shared" si="23"/>
        <v>465206.4</v>
      </c>
    </row>
    <row r="1459" spans="1:5" x14ac:dyDescent="0.3">
      <c r="A1459" s="7">
        <v>1004857</v>
      </c>
      <c r="B1459" s="7" t="s">
        <v>1463</v>
      </c>
      <c r="C1459" s="14">
        <v>3485.3423602020698</v>
      </c>
      <c r="D1459" s="14">
        <v>0</v>
      </c>
      <c r="E1459" s="14">
        <f t="shared" si="23"/>
        <v>3485.3423602020698</v>
      </c>
    </row>
    <row r="1460" spans="1:5" x14ac:dyDescent="0.3">
      <c r="A1460" s="7">
        <v>1004863</v>
      </c>
      <c r="B1460" s="7" t="s">
        <v>1464</v>
      </c>
      <c r="C1460" s="14">
        <v>512.12</v>
      </c>
      <c r="D1460" s="14">
        <v>0</v>
      </c>
      <c r="E1460" s="14">
        <f t="shared" si="23"/>
        <v>512.12</v>
      </c>
    </row>
    <row r="1461" spans="1:5" x14ac:dyDescent="0.3">
      <c r="A1461" s="7">
        <v>1004865</v>
      </c>
      <c r="B1461" s="7" t="s">
        <v>1465</v>
      </c>
      <c r="C1461" s="14">
        <v>9979.26</v>
      </c>
      <c r="D1461" s="14">
        <v>0</v>
      </c>
      <c r="E1461" s="14">
        <f t="shared" si="23"/>
        <v>9979.26</v>
      </c>
    </row>
    <row r="1462" spans="1:5" x14ac:dyDescent="0.3">
      <c r="A1462" s="7">
        <v>1004868</v>
      </c>
      <c r="B1462" s="7" t="s">
        <v>1466</v>
      </c>
      <c r="C1462" s="14">
        <v>23.2</v>
      </c>
      <c r="D1462" s="14">
        <v>0</v>
      </c>
      <c r="E1462" s="14">
        <f t="shared" si="23"/>
        <v>23.2</v>
      </c>
    </row>
    <row r="1463" spans="1:5" x14ac:dyDescent="0.3">
      <c r="A1463" s="7">
        <v>1004883</v>
      </c>
      <c r="B1463" s="7" t="s">
        <v>1467</v>
      </c>
      <c r="C1463" s="14">
        <v>70</v>
      </c>
      <c r="D1463" s="14">
        <v>0</v>
      </c>
      <c r="E1463" s="14">
        <f t="shared" si="23"/>
        <v>70</v>
      </c>
    </row>
    <row r="1464" spans="1:5" x14ac:dyDescent="0.3">
      <c r="A1464" s="7">
        <v>1004894</v>
      </c>
      <c r="B1464" s="7" t="s">
        <v>1468</v>
      </c>
      <c r="C1464" s="14">
        <v>123476.29</v>
      </c>
      <c r="D1464" s="14">
        <v>0</v>
      </c>
      <c r="E1464" s="14">
        <f t="shared" si="23"/>
        <v>123476.29</v>
      </c>
    </row>
    <row r="1465" spans="1:5" x14ac:dyDescent="0.3">
      <c r="A1465" s="7">
        <v>1004915</v>
      </c>
      <c r="B1465" s="7" t="s">
        <v>1469</v>
      </c>
      <c r="C1465" s="14">
        <v>892.66807894500198</v>
      </c>
      <c r="D1465" s="14">
        <v>1868.9290618181822</v>
      </c>
      <c r="E1465" s="14">
        <f t="shared" si="23"/>
        <v>1868.9290618181822</v>
      </c>
    </row>
    <row r="1466" spans="1:5" x14ac:dyDescent="0.3">
      <c r="A1466" s="7">
        <v>1004916</v>
      </c>
      <c r="B1466" s="7" t="s">
        <v>1470</v>
      </c>
      <c r="C1466" s="14">
        <v>78.841660702910843</v>
      </c>
      <c r="D1466" s="14">
        <v>67.749692874692869</v>
      </c>
      <c r="E1466" s="14">
        <f t="shared" si="23"/>
        <v>78.841660702910843</v>
      </c>
    </row>
    <row r="1467" spans="1:5" x14ac:dyDescent="0.3">
      <c r="A1467" s="7">
        <v>1004918</v>
      </c>
      <c r="B1467" s="7" t="s">
        <v>1471</v>
      </c>
      <c r="C1467" s="14">
        <v>20802.727218710479</v>
      </c>
      <c r="D1467" s="14">
        <v>26630.382935779817</v>
      </c>
      <c r="E1467" s="14">
        <f t="shared" si="23"/>
        <v>26630.382935779817</v>
      </c>
    </row>
    <row r="1468" spans="1:5" x14ac:dyDescent="0.3">
      <c r="A1468" s="7">
        <v>1004921</v>
      </c>
      <c r="B1468" s="7" t="s">
        <v>1472</v>
      </c>
      <c r="C1468" s="14">
        <v>3835</v>
      </c>
      <c r="D1468" s="14">
        <v>0</v>
      </c>
      <c r="E1468" s="14">
        <f t="shared" si="23"/>
        <v>3835</v>
      </c>
    </row>
    <row r="1469" spans="1:5" x14ac:dyDescent="0.3">
      <c r="A1469" s="7">
        <v>1004928</v>
      </c>
      <c r="B1469" s="7" t="s">
        <v>1473</v>
      </c>
      <c r="C1469" s="14">
        <v>2271.0854240506333</v>
      </c>
      <c r="D1469" s="14">
        <v>3094.998</v>
      </c>
      <c r="E1469" s="14">
        <f t="shared" si="23"/>
        <v>3094.998</v>
      </c>
    </row>
    <row r="1470" spans="1:5" x14ac:dyDescent="0.3">
      <c r="A1470" s="7">
        <v>1004932</v>
      </c>
      <c r="B1470" s="7" t="s">
        <v>1474</v>
      </c>
      <c r="C1470" s="14">
        <v>1121.2733391608392</v>
      </c>
      <c r="D1470" s="14">
        <v>1001.8070873786409</v>
      </c>
      <c r="E1470" s="14">
        <f t="shared" si="23"/>
        <v>1121.2733391608392</v>
      </c>
    </row>
    <row r="1471" spans="1:5" x14ac:dyDescent="0.3">
      <c r="A1471" s="7">
        <v>1004933</v>
      </c>
      <c r="B1471" s="7" t="s">
        <v>1475</v>
      </c>
      <c r="C1471" s="14">
        <v>19714</v>
      </c>
      <c r="D1471" s="14">
        <v>0</v>
      </c>
      <c r="E1471" s="14">
        <f t="shared" si="23"/>
        <v>19714</v>
      </c>
    </row>
    <row r="1472" spans="1:5" x14ac:dyDescent="0.3">
      <c r="A1472" s="7">
        <v>1005041</v>
      </c>
      <c r="B1472" s="7" t="s">
        <v>1476</v>
      </c>
      <c r="C1472" s="14">
        <v>6960</v>
      </c>
      <c r="D1472" s="14">
        <v>0</v>
      </c>
      <c r="E1472" s="14">
        <f t="shared" si="23"/>
        <v>6960</v>
      </c>
    </row>
    <row r="1473" spans="1:5" x14ac:dyDescent="0.3">
      <c r="A1473" s="7">
        <v>1005050</v>
      </c>
      <c r="B1473" s="7" t="s">
        <v>1477</v>
      </c>
      <c r="C1473" s="14">
        <v>183280</v>
      </c>
      <c r="D1473" s="14">
        <v>0</v>
      </c>
      <c r="E1473" s="14">
        <f t="shared" si="23"/>
        <v>183280</v>
      </c>
    </row>
    <row r="1474" spans="1:5" x14ac:dyDescent="0.3">
      <c r="A1474" s="7">
        <v>1005070</v>
      </c>
      <c r="B1474" s="7" t="s">
        <v>1478</v>
      </c>
      <c r="C1474" s="14">
        <v>30</v>
      </c>
      <c r="D1474" s="14">
        <v>0</v>
      </c>
      <c r="E1474" s="14">
        <f t="shared" si="23"/>
        <v>30</v>
      </c>
    </row>
    <row r="1475" spans="1:5" x14ac:dyDescent="0.3">
      <c r="A1475" s="7">
        <v>1005092</v>
      </c>
      <c r="B1475" s="7" t="s">
        <v>1479</v>
      </c>
      <c r="C1475" s="14">
        <v>171492.23125000001</v>
      </c>
      <c r="D1475" s="14">
        <v>0</v>
      </c>
      <c r="E1475" s="14">
        <f t="shared" si="23"/>
        <v>171492.23125000001</v>
      </c>
    </row>
    <row r="1476" spans="1:5" x14ac:dyDescent="0.3">
      <c r="A1476" s="7">
        <v>1005093</v>
      </c>
      <c r="B1476" s="7" t="s">
        <v>1480</v>
      </c>
      <c r="C1476" s="14">
        <v>26000</v>
      </c>
      <c r="D1476" s="14">
        <v>26000</v>
      </c>
      <c r="E1476" s="14">
        <f t="shared" si="23"/>
        <v>26000</v>
      </c>
    </row>
    <row r="1477" spans="1:5" x14ac:dyDescent="0.3">
      <c r="A1477" s="7">
        <v>1005094</v>
      </c>
      <c r="B1477" s="7" t="s">
        <v>1481</v>
      </c>
      <c r="C1477" s="14">
        <v>12400</v>
      </c>
      <c r="D1477" s="14">
        <v>12400</v>
      </c>
      <c r="E1477" s="14">
        <f t="shared" si="23"/>
        <v>12400</v>
      </c>
    </row>
    <row r="1478" spans="1:5" x14ac:dyDescent="0.3">
      <c r="A1478" s="7">
        <v>1005096</v>
      </c>
      <c r="B1478" s="7" t="s">
        <v>1482</v>
      </c>
      <c r="C1478" s="14">
        <v>109805.602096774</v>
      </c>
      <c r="D1478" s="14">
        <v>0</v>
      </c>
      <c r="E1478" s="14">
        <f t="shared" si="23"/>
        <v>109805.602096774</v>
      </c>
    </row>
    <row r="1479" spans="1:5" x14ac:dyDescent="0.3">
      <c r="A1479" s="7">
        <v>1005097</v>
      </c>
      <c r="B1479" s="7" t="s">
        <v>1483</v>
      </c>
      <c r="C1479" s="14">
        <v>25</v>
      </c>
      <c r="D1479" s="14">
        <v>0</v>
      </c>
      <c r="E1479" s="14">
        <f t="shared" si="23"/>
        <v>25</v>
      </c>
    </row>
    <row r="1480" spans="1:5" x14ac:dyDescent="0.3">
      <c r="A1480" s="7">
        <v>1005099</v>
      </c>
      <c r="B1480" s="7" t="s">
        <v>1484</v>
      </c>
      <c r="C1480" s="14">
        <v>1324654.5009999999</v>
      </c>
      <c r="D1480" s="14">
        <v>0</v>
      </c>
      <c r="E1480" s="14">
        <f t="shared" si="23"/>
        <v>1324654.5009999999</v>
      </c>
    </row>
    <row r="1481" spans="1:5" x14ac:dyDescent="0.3">
      <c r="A1481" s="7">
        <v>1005100</v>
      </c>
      <c r="B1481" s="7" t="s">
        <v>1485</v>
      </c>
      <c r="C1481" s="14">
        <v>732831.86966666661</v>
      </c>
      <c r="D1481" s="14">
        <v>0</v>
      </c>
      <c r="E1481" s="14">
        <f t="shared" si="23"/>
        <v>732831.86966666661</v>
      </c>
    </row>
    <row r="1482" spans="1:5" x14ac:dyDescent="0.3">
      <c r="A1482" s="7">
        <v>1005110</v>
      </c>
      <c r="B1482" s="7" t="s">
        <v>1486</v>
      </c>
      <c r="C1482" s="14">
        <v>164.56</v>
      </c>
      <c r="D1482" s="14">
        <v>0</v>
      </c>
      <c r="E1482" s="14">
        <f t="shared" si="23"/>
        <v>164.56</v>
      </c>
    </row>
    <row r="1483" spans="1:5" x14ac:dyDescent="0.3">
      <c r="A1483" s="7">
        <v>1005142</v>
      </c>
      <c r="B1483" s="7" t="s">
        <v>1487</v>
      </c>
      <c r="C1483" s="14">
        <v>4408.6031666666704</v>
      </c>
      <c r="D1483" s="14">
        <v>0</v>
      </c>
      <c r="E1483" s="14">
        <f t="shared" si="23"/>
        <v>4408.6031666666704</v>
      </c>
    </row>
    <row r="1484" spans="1:5" x14ac:dyDescent="0.3">
      <c r="A1484" s="7">
        <v>1005230</v>
      </c>
      <c r="B1484" s="7" t="s">
        <v>1488</v>
      </c>
      <c r="C1484" s="14">
        <v>39906.551517857144</v>
      </c>
      <c r="D1484" s="14">
        <v>53113.102962962963</v>
      </c>
      <c r="E1484" s="14">
        <f t="shared" si="23"/>
        <v>53113.102962962963</v>
      </c>
    </row>
    <row r="1485" spans="1:5" x14ac:dyDescent="0.3">
      <c r="A1485" s="7">
        <v>1005421</v>
      </c>
      <c r="B1485" s="7" t="s">
        <v>1489</v>
      </c>
      <c r="C1485" s="14">
        <v>28862.503000000001</v>
      </c>
      <c r="D1485" s="14">
        <v>0</v>
      </c>
      <c r="E1485" s="14">
        <f t="shared" si="23"/>
        <v>28862.503000000001</v>
      </c>
    </row>
    <row r="1486" spans="1:5" x14ac:dyDescent="0.3">
      <c r="A1486" s="7">
        <v>1005555</v>
      </c>
      <c r="B1486" s="7" t="s">
        <v>1490</v>
      </c>
      <c r="C1486" s="14">
        <v>24408.18</v>
      </c>
      <c r="D1486" s="14">
        <v>0</v>
      </c>
      <c r="E1486" s="14">
        <f t="shared" si="23"/>
        <v>24408.18</v>
      </c>
    </row>
    <row r="1487" spans="1:5" x14ac:dyDescent="0.3">
      <c r="A1487" s="7">
        <v>1005663</v>
      </c>
      <c r="B1487" s="7" t="s">
        <v>1491</v>
      </c>
      <c r="C1487" s="14">
        <v>0</v>
      </c>
      <c r="D1487" s="14">
        <v>0</v>
      </c>
      <c r="E1487" s="14">
        <f t="shared" si="23"/>
        <v>0</v>
      </c>
    </row>
    <row r="1488" spans="1:5" x14ac:dyDescent="0.3">
      <c r="A1488" s="7">
        <v>1005668</v>
      </c>
      <c r="B1488" s="7" t="s">
        <v>1492</v>
      </c>
      <c r="C1488" s="14">
        <v>6350.42</v>
      </c>
      <c r="D1488" s="14">
        <v>0</v>
      </c>
      <c r="E1488" s="14">
        <f t="shared" si="23"/>
        <v>6350.42</v>
      </c>
    </row>
    <row r="1489" spans="1:5" x14ac:dyDescent="0.3">
      <c r="A1489" s="7">
        <v>1005804</v>
      </c>
      <c r="B1489" s="7" t="s">
        <v>1493</v>
      </c>
      <c r="C1489" s="14">
        <v>290248.80072131613</v>
      </c>
      <c r="D1489" s="14">
        <v>0</v>
      </c>
      <c r="E1489" s="14">
        <f t="shared" si="23"/>
        <v>290248.80072131613</v>
      </c>
    </row>
    <row r="1490" spans="1:5" x14ac:dyDescent="0.3">
      <c r="A1490" s="7">
        <v>1005835</v>
      </c>
      <c r="B1490" s="7" t="s">
        <v>1494</v>
      </c>
      <c r="C1490" s="14">
        <v>6171.4</v>
      </c>
      <c r="D1490" s="14">
        <v>0</v>
      </c>
      <c r="E1490" s="14">
        <f t="shared" si="23"/>
        <v>6171.4</v>
      </c>
    </row>
    <row r="1491" spans="1:5" x14ac:dyDescent="0.3">
      <c r="A1491" s="7">
        <v>1005838</v>
      </c>
      <c r="B1491" s="7" t="s">
        <v>1495</v>
      </c>
      <c r="C1491" s="14">
        <v>2784</v>
      </c>
      <c r="D1491" s="14">
        <v>0</v>
      </c>
      <c r="E1491" s="14">
        <f t="shared" si="23"/>
        <v>2784</v>
      </c>
    </row>
    <row r="1492" spans="1:5" x14ac:dyDescent="0.3">
      <c r="A1492" s="7">
        <v>1005942</v>
      </c>
      <c r="B1492" s="7" t="s">
        <v>1496</v>
      </c>
      <c r="C1492" s="14">
        <v>3686.8881690140802</v>
      </c>
      <c r="D1492" s="14">
        <v>0</v>
      </c>
      <c r="E1492" s="14">
        <f t="shared" si="23"/>
        <v>3686.8881690140802</v>
      </c>
    </row>
    <row r="1493" spans="1:5" x14ac:dyDescent="0.3">
      <c r="A1493" s="7">
        <v>1006027</v>
      </c>
      <c r="B1493" s="7" t="s">
        <v>1497</v>
      </c>
      <c r="C1493" s="14">
        <v>512.12</v>
      </c>
      <c r="D1493" s="14">
        <v>0</v>
      </c>
      <c r="E1493" s="14">
        <f t="shared" si="23"/>
        <v>512.12</v>
      </c>
    </row>
    <row r="1494" spans="1:5" x14ac:dyDescent="0.3">
      <c r="A1494" s="7">
        <v>1006051</v>
      </c>
      <c r="B1494" s="7" t="s">
        <v>1498</v>
      </c>
      <c r="C1494" s="14">
        <v>574.80160000000001</v>
      </c>
      <c r="D1494" s="14">
        <v>0</v>
      </c>
      <c r="E1494" s="14">
        <f t="shared" si="23"/>
        <v>574.80160000000001</v>
      </c>
    </row>
    <row r="1495" spans="1:5" x14ac:dyDescent="0.3">
      <c r="A1495" s="7">
        <v>1006090</v>
      </c>
      <c r="B1495" s="7" t="s">
        <v>1499</v>
      </c>
      <c r="C1495" s="14">
        <v>139.63333333333301</v>
      </c>
      <c r="D1495" s="14">
        <v>0</v>
      </c>
      <c r="E1495" s="14">
        <f t="shared" si="23"/>
        <v>139.63333333333301</v>
      </c>
    </row>
    <row r="1496" spans="1:5" x14ac:dyDescent="0.3">
      <c r="A1496" s="7">
        <v>1006192</v>
      </c>
      <c r="B1496" s="7" t="s">
        <v>1500</v>
      </c>
      <c r="C1496" s="14">
        <v>2518.4414129527891</v>
      </c>
      <c r="D1496" s="14">
        <v>0</v>
      </c>
      <c r="E1496" s="14">
        <f t="shared" si="23"/>
        <v>2518.4414129527891</v>
      </c>
    </row>
    <row r="1497" spans="1:5" x14ac:dyDescent="0.3">
      <c r="A1497" s="7">
        <v>1006266</v>
      </c>
      <c r="B1497" s="7" t="s">
        <v>1501</v>
      </c>
      <c r="C1497" s="14">
        <v>0</v>
      </c>
      <c r="D1497" s="14">
        <v>0</v>
      </c>
      <c r="E1497" s="14">
        <f t="shared" si="23"/>
        <v>0</v>
      </c>
    </row>
    <row r="1498" spans="1:5" x14ac:dyDescent="0.3">
      <c r="A1498" s="7">
        <v>1006368</v>
      </c>
      <c r="B1498" s="7" t="s">
        <v>1502</v>
      </c>
      <c r="C1498" s="14">
        <v>112.1</v>
      </c>
      <c r="D1498" s="14">
        <v>0</v>
      </c>
      <c r="E1498" s="14">
        <f t="shared" si="23"/>
        <v>112.1</v>
      </c>
    </row>
    <row r="1499" spans="1:5" x14ac:dyDescent="0.3">
      <c r="A1499" s="7">
        <v>1006654</v>
      </c>
      <c r="B1499" s="7" t="s">
        <v>1503</v>
      </c>
      <c r="C1499" s="14">
        <v>0</v>
      </c>
      <c r="D1499" s="14">
        <v>302.273006833713</v>
      </c>
      <c r="E1499" s="14">
        <f t="shared" si="23"/>
        <v>302.273006833713</v>
      </c>
    </row>
    <row r="1500" spans="1:5" x14ac:dyDescent="0.3">
      <c r="A1500" s="7">
        <v>1006659</v>
      </c>
      <c r="B1500" s="7" t="s">
        <v>1504</v>
      </c>
      <c r="C1500" s="14">
        <v>0</v>
      </c>
      <c r="D1500" s="14">
        <v>277.14104595879559</v>
      </c>
      <c r="E1500" s="14">
        <f t="shared" si="23"/>
        <v>277.14104595879559</v>
      </c>
    </row>
    <row r="1501" spans="1:5" x14ac:dyDescent="0.3">
      <c r="A1501" s="7">
        <v>1006740</v>
      </c>
      <c r="B1501" s="7" t="s">
        <v>1505</v>
      </c>
      <c r="C1501" s="14">
        <v>6136</v>
      </c>
      <c r="D1501" s="14">
        <v>0</v>
      </c>
      <c r="E1501" s="14">
        <f t="shared" si="23"/>
        <v>6136</v>
      </c>
    </row>
    <row r="1502" spans="1:5" x14ac:dyDescent="0.3">
      <c r="A1502" s="7">
        <v>1006760</v>
      </c>
      <c r="B1502" s="7" t="s">
        <v>1506</v>
      </c>
      <c r="C1502" s="14">
        <v>146.32</v>
      </c>
      <c r="D1502" s="14">
        <v>0</v>
      </c>
      <c r="E1502" s="14">
        <f t="shared" si="23"/>
        <v>146.32</v>
      </c>
    </row>
    <row r="1503" spans="1:5" x14ac:dyDescent="0.3">
      <c r="A1503" s="7">
        <v>1006818</v>
      </c>
      <c r="B1503" s="7" t="s">
        <v>1507</v>
      </c>
      <c r="C1503" s="14">
        <v>2726.8239705882352</v>
      </c>
      <c r="D1503" s="14">
        <v>6530.7186486486489</v>
      </c>
      <c r="E1503" s="14">
        <f t="shared" si="23"/>
        <v>6530.7186486486489</v>
      </c>
    </row>
    <row r="1504" spans="1:5" x14ac:dyDescent="0.3">
      <c r="A1504" s="7">
        <v>1006874</v>
      </c>
      <c r="B1504" s="7" t="s">
        <v>1508</v>
      </c>
      <c r="C1504" s="14">
        <v>696.2</v>
      </c>
      <c r="D1504" s="14">
        <v>0</v>
      </c>
      <c r="E1504" s="14">
        <f t="shared" si="23"/>
        <v>696.2</v>
      </c>
    </row>
    <row r="1505" spans="1:5" x14ac:dyDescent="0.3">
      <c r="A1505" s="7">
        <v>1006892</v>
      </c>
      <c r="B1505" s="7" t="s">
        <v>1509</v>
      </c>
      <c r="C1505" s="14">
        <v>468.066666666667</v>
      </c>
      <c r="D1505" s="14">
        <v>0</v>
      </c>
      <c r="E1505" s="14">
        <f t="shared" ref="E1505:E1568" si="24">+MAX(C1505, D1505)</f>
        <v>468.066666666667</v>
      </c>
    </row>
    <row r="1506" spans="1:5" x14ac:dyDescent="0.3">
      <c r="A1506" s="7">
        <v>1007237</v>
      </c>
      <c r="B1506" s="7" t="s">
        <v>1510</v>
      </c>
      <c r="C1506" s="14">
        <v>1327.5</v>
      </c>
      <c r="D1506" s="14">
        <v>0</v>
      </c>
      <c r="E1506" s="14">
        <f t="shared" si="24"/>
        <v>1327.5</v>
      </c>
    </row>
    <row r="1507" spans="1:5" x14ac:dyDescent="0.3">
      <c r="A1507" s="7">
        <v>1007404</v>
      </c>
      <c r="B1507" s="7" t="s">
        <v>1511</v>
      </c>
      <c r="C1507" s="14">
        <v>803.60155555555605</v>
      </c>
      <c r="D1507" s="14">
        <v>0</v>
      </c>
      <c r="E1507" s="14">
        <f t="shared" si="24"/>
        <v>803.60155555555605</v>
      </c>
    </row>
    <row r="1508" spans="1:5" x14ac:dyDescent="0.3">
      <c r="A1508" s="7">
        <v>1007546</v>
      </c>
      <c r="B1508" s="7" t="s">
        <v>1512</v>
      </c>
      <c r="C1508" s="14">
        <v>407.9</v>
      </c>
      <c r="D1508" s="14">
        <v>0</v>
      </c>
      <c r="E1508" s="14">
        <f t="shared" si="24"/>
        <v>407.9</v>
      </c>
    </row>
    <row r="1509" spans="1:5" x14ac:dyDescent="0.3">
      <c r="A1509" s="7">
        <v>1007762</v>
      </c>
      <c r="B1509" s="7" t="s">
        <v>1513</v>
      </c>
      <c r="C1509" s="14">
        <v>1976.5</v>
      </c>
      <c r="D1509" s="14">
        <v>0</v>
      </c>
      <c r="E1509" s="14">
        <f t="shared" si="24"/>
        <v>1976.5</v>
      </c>
    </row>
    <row r="1510" spans="1:5" x14ac:dyDescent="0.3">
      <c r="A1510" s="7">
        <v>1007893</v>
      </c>
      <c r="B1510" s="7" t="s">
        <v>1514</v>
      </c>
      <c r="C1510" s="14">
        <v>796.5</v>
      </c>
      <c r="D1510" s="14">
        <v>0</v>
      </c>
      <c r="E1510" s="14">
        <f t="shared" si="24"/>
        <v>796.5</v>
      </c>
    </row>
    <row r="1511" spans="1:5" x14ac:dyDescent="0.3">
      <c r="A1511" s="7">
        <v>1007966</v>
      </c>
      <c r="B1511" s="7" t="s">
        <v>1515</v>
      </c>
      <c r="C1511" s="14">
        <v>330.4</v>
      </c>
      <c r="D1511" s="14">
        <v>0</v>
      </c>
      <c r="E1511" s="14">
        <f t="shared" si="24"/>
        <v>330.4</v>
      </c>
    </row>
    <row r="1512" spans="1:5" x14ac:dyDescent="0.3">
      <c r="A1512" s="7">
        <v>1007995</v>
      </c>
      <c r="B1512" s="7" t="s">
        <v>1516</v>
      </c>
      <c r="C1512" s="14">
        <v>240120</v>
      </c>
      <c r="D1512" s="14">
        <v>240120</v>
      </c>
      <c r="E1512" s="14">
        <f t="shared" si="24"/>
        <v>240120</v>
      </c>
    </row>
    <row r="1513" spans="1:5" x14ac:dyDescent="0.3">
      <c r="A1513" s="7">
        <v>1008102</v>
      </c>
      <c r="B1513" s="7" t="s">
        <v>1517</v>
      </c>
      <c r="C1513" s="14">
        <v>206146.81797485999</v>
      </c>
      <c r="D1513" s="14">
        <v>0</v>
      </c>
      <c r="E1513" s="14">
        <f t="shared" si="24"/>
        <v>206146.81797485999</v>
      </c>
    </row>
    <row r="1514" spans="1:5" x14ac:dyDescent="0.3">
      <c r="A1514" s="7">
        <v>1008139</v>
      </c>
      <c r="B1514" s="7" t="s">
        <v>1518</v>
      </c>
      <c r="C1514" s="14">
        <v>17953.7</v>
      </c>
      <c r="D1514" s="14">
        <v>0</v>
      </c>
      <c r="E1514" s="14">
        <f t="shared" si="24"/>
        <v>17953.7</v>
      </c>
    </row>
    <row r="1515" spans="1:5" x14ac:dyDescent="0.3">
      <c r="A1515" s="7">
        <v>1008194</v>
      </c>
      <c r="B1515" s="7" t="s">
        <v>1519</v>
      </c>
      <c r="C1515" s="14">
        <v>8317.2592166666709</v>
      </c>
      <c r="D1515" s="14">
        <v>0</v>
      </c>
      <c r="E1515" s="14">
        <f t="shared" si="24"/>
        <v>8317.2592166666709</v>
      </c>
    </row>
    <row r="1516" spans="1:5" x14ac:dyDescent="0.3">
      <c r="A1516" s="7">
        <v>1008202</v>
      </c>
      <c r="B1516" s="7" t="s">
        <v>1520</v>
      </c>
      <c r="C1516" s="14">
        <v>15060</v>
      </c>
      <c r="D1516" s="14">
        <v>0</v>
      </c>
      <c r="E1516" s="14">
        <f t="shared" si="24"/>
        <v>15060</v>
      </c>
    </row>
    <row r="1517" spans="1:5" x14ac:dyDescent="0.3">
      <c r="A1517" s="7">
        <v>1008203</v>
      </c>
      <c r="B1517" s="7" t="s">
        <v>1521</v>
      </c>
      <c r="C1517" s="14">
        <v>50.534262473319401</v>
      </c>
      <c r="D1517" s="14">
        <v>0</v>
      </c>
      <c r="E1517" s="14">
        <f t="shared" si="24"/>
        <v>50.534262473319401</v>
      </c>
    </row>
    <row r="1518" spans="1:5" x14ac:dyDescent="0.3">
      <c r="A1518" s="7">
        <v>1008245</v>
      </c>
      <c r="B1518" s="7" t="s">
        <v>1522</v>
      </c>
      <c r="C1518" s="14">
        <v>505343.64</v>
      </c>
      <c r="D1518" s="14">
        <v>0</v>
      </c>
      <c r="E1518" s="14">
        <f t="shared" si="24"/>
        <v>505343.64</v>
      </c>
    </row>
    <row r="1519" spans="1:5" x14ac:dyDescent="0.3">
      <c r="A1519" s="7">
        <v>1008247</v>
      </c>
      <c r="B1519" s="7" t="s">
        <v>1523</v>
      </c>
      <c r="C1519" s="14">
        <v>64900</v>
      </c>
      <c r="D1519" s="14">
        <v>0</v>
      </c>
      <c r="E1519" s="14">
        <f t="shared" si="24"/>
        <v>64900</v>
      </c>
    </row>
    <row r="1520" spans="1:5" x14ac:dyDescent="0.3">
      <c r="A1520" s="7">
        <v>1008248</v>
      </c>
      <c r="B1520" s="7" t="s">
        <v>1524</v>
      </c>
      <c r="C1520" s="14">
        <v>182.85664102955801</v>
      </c>
      <c r="D1520" s="14">
        <v>0</v>
      </c>
      <c r="E1520" s="14">
        <f t="shared" si="24"/>
        <v>182.85664102955801</v>
      </c>
    </row>
    <row r="1521" spans="1:5" x14ac:dyDescent="0.3">
      <c r="A1521" s="7">
        <v>1008279</v>
      </c>
      <c r="B1521" s="7" t="s">
        <v>1525</v>
      </c>
      <c r="C1521" s="14">
        <v>612.13214130434801</v>
      </c>
      <c r="D1521" s="14">
        <v>0</v>
      </c>
      <c r="E1521" s="14">
        <f t="shared" si="24"/>
        <v>612.13214130434801</v>
      </c>
    </row>
    <row r="1522" spans="1:5" x14ac:dyDescent="0.3">
      <c r="A1522" s="7">
        <v>1008280</v>
      </c>
      <c r="B1522" s="7" t="s">
        <v>1526</v>
      </c>
      <c r="C1522" s="14">
        <v>933.8</v>
      </c>
      <c r="D1522" s="14">
        <v>0</v>
      </c>
      <c r="E1522" s="14">
        <f t="shared" si="24"/>
        <v>933.8</v>
      </c>
    </row>
    <row r="1523" spans="1:5" x14ac:dyDescent="0.3">
      <c r="A1523" s="7">
        <v>1008282</v>
      </c>
      <c r="B1523" s="7" t="s">
        <v>1527</v>
      </c>
      <c r="C1523" s="14">
        <v>166.445333333333</v>
      </c>
      <c r="D1523" s="14">
        <v>0</v>
      </c>
      <c r="E1523" s="14">
        <f t="shared" si="24"/>
        <v>166.445333333333</v>
      </c>
    </row>
    <row r="1524" spans="1:5" x14ac:dyDescent="0.3">
      <c r="A1524" s="7">
        <v>1008283</v>
      </c>
      <c r="B1524" s="7" t="s">
        <v>1528</v>
      </c>
      <c r="C1524" s="14">
        <v>2298.5071212121202</v>
      </c>
      <c r="D1524" s="14">
        <v>0</v>
      </c>
      <c r="E1524" s="14">
        <f t="shared" si="24"/>
        <v>2298.5071212121202</v>
      </c>
    </row>
    <row r="1525" spans="1:5" x14ac:dyDescent="0.3">
      <c r="A1525" s="7">
        <v>1008306</v>
      </c>
      <c r="B1525" s="7" t="s">
        <v>1529</v>
      </c>
      <c r="C1525" s="14">
        <v>1273306.93</v>
      </c>
      <c r="D1525" s="14">
        <v>0</v>
      </c>
      <c r="E1525" s="14">
        <f t="shared" si="24"/>
        <v>1273306.93</v>
      </c>
    </row>
    <row r="1526" spans="1:5" x14ac:dyDescent="0.3">
      <c r="A1526" s="7">
        <v>1008321</v>
      </c>
      <c r="B1526" s="7" t="s">
        <v>1530</v>
      </c>
      <c r="C1526" s="14">
        <v>597.4</v>
      </c>
      <c r="D1526" s="14">
        <v>0</v>
      </c>
      <c r="E1526" s="14">
        <f t="shared" si="24"/>
        <v>597.4</v>
      </c>
    </row>
    <row r="1527" spans="1:5" x14ac:dyDescent="0.3">
      <c r="A1527" s="7">
        <v>1008327</v>
      </c>
      <c r="B1527" s="7" t="s">
        <v>1531</v>
      </c>
      <c r="C1527" s="14">
        <v>6601.56</v>
      </c>
      <c r="D1527" s="14">
        <v>0</v>
      </c>
      <c r="E1527" s="14">
        <f t="shared" si="24"/>
        <v>6601.56</v>
      </c>
    </row>
    <row r="1528" spans="1:5" x14ac:dyDescent="0.3">
      <c r="A1528" s="7">
        <v>1008330</v>
      </c>
      <c r="B1528" s="7" t="s">
        <v>1532</v>
      </c>
      <c r="C1528" s="14">
        <v>2187.1640256340602</v>
      </c>
      <c r="D1528" s="14">
        <v>0</v>
      </c>
      <c r="E1528" s="14">
        <f t="shared" si="24"/>
        <v>2187.1640256340602</v>
      </c>
    </row>
    <row r="1529" spans="1:5" x14ac:dyDescent="0.3">
      <c r="A1529" s="7">
        <v>1008340</v>
      </c>
      <c r="B1529" s="7" t="s">
        <v>1533</v>
      </c>
      <c r="C1529" s="14">
        <v>8121.1021739130401</v>
      </c>
      <c r="D1529" s="14">
        <v>0</v>
      </c>
      <c r="E1529" s="14">
        <f t="shared" si="24"/>
        <v>8121.1021739130401</v>
      </c>
    </row>
    <row r="1530" spans="1:5" x14ac:dyDescent="0.3">
      <c r="A1530" s="7">
        <v>1008344</v>
      </c>
      <c r="B1530" s="7" t="s">
        <v>1534</v>
      </c>
      <c r="C1530" s="14">
        <v>20767.1971798864</v>
      </c>
      <c r="D1530" s="14">
        <v>0</v>
      </c>
      <c r="E1530" s="14">
        <f t="shared" si="24"/>
        <v>20767.1971798864</v>
      </c>
    </row>
    <row r="1531" spans="1:5" x14ac:dyDescent="0.3">
      <c r="A1531" s="7">
        <v>1008345</v>
      </c>
      <c r="B1531" s="7" t="s">
        <v>1535</v>
      </c>
      <c r="C1531" s="14">
        <v>22436.164188492101</v>
      </c>
      <c r="D1531" s="14">
        <v>0</v>
      </c>
      <c r="E1531" s="14">
        <f t="shared" si="24"/>
        <v>22436.164188492101</v>
      </c>
    </row>
    <row r="1532" spans="1:5" x14ac:dyDescent="0.3">
      <c r="A1532" s="7">
        <v>1008346</v>
      </c>
      <c r="B1532" s="7" t="s">
        <v>1536</v>
      </c>
      <c r="C1532" s="14">
        <v>43771.874555255301</v>
      </c>
      <c r="D1532" s="14">
        <v>0</v>
      </c>
      <c r="E1532" s="14">
        <f t="shared" si="24"/>
        <v>43771.874555255301</v>
      </c>
    </row>
    <row r="1533" spans="1:5" x14ac:dyDescent="0.3">
      <c r="A1533" s="7">
        <v>1008349</v>
      </c>
      <c r="B1533" s="7" t="s">
        <v>1537</v>
      </c>
      <c r="C1533" s="14">
        <v>8879.7166666666708</v>
      </c>
      <c r="D1533" s="14">
        <v>0</v>
      </c>
      <c r="E1533" s="14">
        <f t="shared" si="24"/>
        <v>8879.7166666666708</v>
      </c>
    </row>
    <row r="1534" spans="1:5" x14ac:dyDescent="0.3">
      <c r="A1534" s="7">
        <v>1008350</v>
      </c>
      <c r="B1534" s="7" t="s">
        <v>1538</v>
      </c>
      <c r="C1534" s="14">
        <v>127785.60000000001</v>
      </c>
      <c r="D1534" s="14">
        <v>0</v>
      </c>
      <c r="E1534" s="14">
        <f t="shared" si="24"/>
        <v>127785.60000000001</v>
      </c>
    </row>
    <row r="1535" spans="1:5" x14ac:dyDescent="0.3">
      <c r="A1535" s="7">
        <v>1008351</v>
      </c>
      <c r="B1535" s="7" t="s">
        <v>1539</v>
      </c>
      <c r="C1535" s="14">
        <v>6494.66</v>
      </c>
      <c r="D1535" s="14">
        <v>0</v>
      </c>
      <c r="E1535" s="14">
        <f t="shared" si="24"/>
        <v>6494.66</v>
      </c>
    </row>
    <row r="1536" spans="1:5" x14ac:dyDescent="0.3">
      <c r="A1536" s="7">
        <v>1008353</v>
      </c>
      <c r="B1536" s="7" t="s">
        <v>1540</v>
      </c>
      <c r="C1536" s="14">
        <v>171.60354228515399</v>
      </c>
      <c r="D1536" s="14">
        <v>0</v>
      </c>
      <c r="E1536" s="14">
        <f t="shared" si="24"/>
        <v>171.60354228515399</v>
      </c>
    </row>
    <row r="1537" spans="1:5" x14ac:dyDescent="0.3">
      <c r="A1537" s="7">
        <v>1008420</v>
      </c>
      <c r="B1537" s="7" t="s">
        <v>1541</v>
      </c>
      <c r="C1537" s="14">
        <v>183.75</v>
      </c>
      <c r="D1537" s="14">
        <v>1174.0999999999999</v>
      </c>
      <c r="E1537" s="14">
        <f t="shared" si="24"/>
        <v>1174.0999999999999</v>
      </c>
    </row>
    <row r="1538" spans="1:5" x14ac:dyDescent="0.3">
      <c r="A1538" s="7">
        <v>1008435</v>
      </c>
      <c r="B1538" s="7" t="s">
        <v>1542</v>
      </c>
      <c r="C1538" s="14">
        <v>24980.4411486395</v>
      </c>
      <c r="D1538" s="14">
        <v>0</v>
      </c>
      <c r="E1538" s="14">
        <f t="shared" si="24"/>
        <v>24980.4411486395</v>
      </c>
    </row>
    <row r="1539" spans="1:5" x14ac:dyDescent="0.3">
      <c r="A1539" s="7">
        <v>1008451</v>
      </c>
      <c r="B1539" s="7" t="s">
        <v>1543</v>
      </c>
      <c r="C1539" s="14">
        <v>551</v>
      </c>
      <c r="D1539" s="14">
        <v>0</v>
      </c>
      <c r="E1539" s="14">
        <f t="shared" si="24"/>
        <v>551</v>
      </c>
    </row>
    <row r="1540" spans="1:5" x14ac:dyDescent="0.3">
      <c r="A1540" s="7">
        <v>1008504</v>
      </c>
      <c r="B1540" s="7" t="s">
        <v>1544</v>
      </c>
      <c r="C1540" s="14">
        <v>1515.6045624032799</v>
      </c>
      <c r="D1540" s="14">
        <v>0</v>
      </c>
      <c r="E1540" s="14">
        <f t="shared" si="24"/>
        <v>1515.6045624032799</v>
      </c>
    </row>
    <row r="1541" spans="1:5" x14ac:dyDescent="0.3">
      <c r="A1541" s="7">
        <v>1008505</v>
      </c>
      <c r="B1541" s="7" t="s">
        <v>1545</v>
      </c>
      <c r="C1541" s="14">
        <v>4148.7912451923103</v>
      </c>
      <c r="D1541" s="14">
        <v>4938.3</v>
      </c>
      <c r="E1541" s="14">
        <f t="shared" si="24"/>
        <v>4938.3</v>
      </c>
    </row>
    <row r="1542" spans="1:5" x14ac:dyDescent="0.3">
      <c r="A1542" s="7">
        <v>1008506</v>
      </c>
      <c r="B1542" s="7" t="s">
        <v>1546</v>
      </c>
      <c r="C1542" s="14">
        <v>1358.15131666667</v>
      </c>
      <c r="D1542" s="14">
        <v>0</v>
      </c>
      <c r="E1542" s="14">
        <f t="shared" si="24"/>
        <v>1358.15131666667</v>
      </c>
    </row>
    <row r="1543" spans="1:5" x14ac:dyDescent="0.3">
      <c r="A1543" s="7">
        <v>1008508</v>
      </c>
      <c r="B1543" s="7" t="s">
        <v>1547</v>
      </c>
      <c r="C1543" s="14">
        <v>545.27895391763195</v>
      </c>
      <c r="D1543" s="14">
        <v>0</v>
      </c>
      <c r="E1543" s="14">
        <f t="shared" si="24"/>
        <v>545.27895391763195</v>
      </c>
    </row>
    <row r="1544" spans="1:5" x14ac:dyDescent="0.3">
      <c r="A1544" s="7">
        <v>1008509</v>
      </c>
      <c r="B1544" s="7" t="s">
        <v>1548</v>
      </c>
      <c r="C1544" s="14">
        <v>1153.2192857142859</v>
      </c>
      <c r="D1544" s="14">
        <v>2034.8866666666665</v>
      </c>
      <c r="E1544" s="14">
        <f t="shared" si="24"/>
        <v>2034.8866666666665</v>
      </c>
    </row>
    <row r="1545" spans="1:5" x14ac:dyDescent="0.3">
      <c r="A1545" s="7">
        <v>1008512</v>
      </c>
      <c r="B1545" s="7" t="s">
        <v>1549</v>
      </c>
      <c r="C1545" s="14">
        <v>2694.2171981455999</v>
      </c>
      <c r="D1545" s="14">
        <v>0</v>
      </c>
      <c r="E1545" s="14">
        <f t="shared" si="24"/>
        <v>2694.2171981455999</v>
      </c>
    </row>
    <row r="1546" spans="1:5" x14ac:dyDescent="0.3">
      <c r="A1546" s="7">
        <v>1008517</v>
      </c>
      <c r="B1546" s="7" t="s">
        <v>1550</v>
      </c>
      <c r="C1546" s="14">
        <v>12040.12875</v>
      </c>
      <c r="D1546" s="14">
        <v>0</v>
      </c>
      <c r="E1546" s="14">
        <f t="shared" si="24"/>
        <v>12040.12875</v>
      </c>
    </row>
    <row r="1547" spans="1:5" x14ac:dyDescent="0.3">
      <c r="A1547" s="7">
        <v>1008534</v>
      </c>
      <c r="B1547" s="7" t="s">
        <v>1551</v>
      </c>
      <c r="C1547" s="14">
        <v>247.08</v>
      </c>
      <c r="D1547" s="14">
        <v>0</v>
      </c>
      <c r="E1547" s="14">
        <f t="shared" si="24"/>
        <v>247.08</v>
      </c>
    </row>
    <row r="1548" spans="1:5" x14ac:dyDescent="0.3">
      <c r="A1548" s="7">
        <v>1008539</v>
      </c>
      <c r="B1548" s="7" t="s">
        <v>1552</v>
      </c>
      <c r="C1548" s="14">
        <v>117011.52</v>
      </c>
      <c r="D1548" s="14">
        <v>0</v>
      </c>
      <c r="E1548" s="14">
        <f t="shared" si="24"/>
        <v>117011.52</v>
      </c>
    </row>
    <row r="1549" spans="1:5" x14ac:dyDescent="0.3">
      <c r="A1549" s="7">
        <v>1008540</v>
      </c>
      <c r="B1549" s="7" t="s">
        <v>1553</v>
      </c>
      <c r="C1549" s="14">
        <v>1480.5631000000001</v>
      </c>
      <c r="D1549" s="14">
        <v>0</v>
      </c>
      <c r="E1549" s="14">
        <f t="shared" si="24"/>
        <v>1480.5631000000001</v>
      </c>
    </row>
    <row r="1550" spans="1:5" x14ac:dyDescent="0.3">
      <c r="A1550" s="7">
        <v>1008541</v>
      </c>
      <c r="B1550" s="7" t="s">
        <v>1554</v>
      </c>
      <c r="C1550" s="14">
        <v>4060</v>
      </c>
      <c r="D1550" s="14">
        <v>0</v>
      </c>
      <c r="E1550" s="14">
        <f t="shared" si="24"/>
        <v>4060</v>
      </c>
    </row>
    <row r="1551" spans="1:5" x14ac:dyDescent="0.3">
      <c r="A1551" s="7">
        <v>1008543</v>
      </c>
      <c r="B1551" s="7" t="s">
        <v>1555</v>
      </c>
      <c r="C1551" s="14">
        <v>231.76329999999999</v>
      </c>
      <c r="D1551" s="14">
        <v>0</v>
      </c>
      <c r="E1551" s="14">
        <f t="shared" si="24"/>
        <v>231.76329999999999</v>
      </c>
    </row>
    <row r="1552" spans="1:5" x14ac:dyDescent="0.3">
      <c r="A1552" s="7">
        <v>1008544</v>
      </c>
      <c r="B1552" s="7" t="s">
        <v>1556</v>
      </c>
      <c r="C1552" s="14">
        <v>51852</v>
      </c>
      <c r="D1552" s="14">
        <v>0</v>
      </c>
      <c r="E1552" s="14">
        <f t="shared" si="24"/>
        <v>51852</v>
      </c>
    </row>
    <row r="1553" spans="1:5" x14ac:dyDescent="0.3">
      <c r="A1553" s="7">
        <v>1008545</v>
      </c>
      <c r="B1553" s="7" t="s">
        <v>1557</v>
      </c>
      <c r="C1553" s="14">
        <v>1624</v>
      </c>
      <c r="D1553" s="14">
        <v>0</v>
      </c>
      <c r="E1553" s="14">
        <f t="shared" si="24"/>
        <v>1624</v>
      </c>
    </row>
    <row r="1554" spans="1:5" x14ac:dyDescent="0.3">
      <c r="A1554" s="7">
        <v>1008546</v>
      </c>
      <c r="B1554" s="7" t="s">
        <v>1558</v>
      </c>
      <c r="C1554" s="14">
        <v>5097.7918356867767</v>
      </c>
      <c r="D1554" s="14">
        <v>5774.2369230769227</v>
      </c>
      <c r="E1554" s="14">
        <f t="shared" si="24"/>
        <v>5774.2369230769227</v>
      </c>
    </row>
    <row r="1555" spans="1:5" x14ac:dyDescent="0.3">
      <c r="A1555" s="7">
        <v>1008550</v>
      </c>
      <c r="B1555" s="7" t="s">
        <v>1559</v>
      </c>
      <c r="C1555" s="14">
        <v>724.36863769734873</v>
      </c>
      <c r="D1555" s="14">
        <v>882.64622950819683</v>
      </c>
      <c r="E1555" s="14">
        <f t="shared" si="24"/>
        <v>882.64622950819683</v>
      </c>
    </row>
    <row r="1556" spans="1:5" x14ac:dyDescent="0.3">
      <c r="A1556" s="7">
        <v>1008552</v>
      </c>
      <c r="B1556" s="7" t="s">
        <v>1560</v>
      </c>
      <c r="C1556" s="14">
        <v>1059.0336021286626</v>
      </c>
      <c r="D1556" s="14">
        <v>1066.8034146341463</v>
      </c>
      <c r="E1556" s="14">
        <f t="shared" si="24"/>
        <v>1066.8034146341463</v>
      </c>
    </row>
    <row r="1557" spans="1:5" x14ac:dyDescent="0.3">
      <c r="A1557" s="7">
        <v>1008553</v>
      </c>
      <c r="B1557" s="7" t="s">
        <v>1561</v>
      </c>
      <c r="C1557" s="14">
        <v>714.555555555556</v>
      </c>
      <c r="D1557" s="14">
        <v>0</v>
      </c>
      <c r="E1557" s="14">
        <f t="shared" si="24"/>
        <v>714.555555555556</v>
      </c>
    </row>
    <row r="1558" spans="1:5" x14ac:dyDescent="0.3">
      <c r="A1558" s="7">
        <v>1008554</v>
      </c>
      <c r="B1558" s="7" t="s">
        <v>1562</v>
      </c>
      <c r="C1558" s="14">
        <v>1437.7155199891074</v>
      </c>
      <c r="D1558" s="14">
        <v>2200.6999999999998</v>
      </c>
      <c r="E1558" s="14">
        <f t="shared" si="24"/>
        <v>2200.6999999999998</v>
      </c>
    </row>
    <row r="1559" spans="1:5" x14ac:dyDescent="0.3">
      <c r="A1559" s="7">
        <v>1008555</v>
      </c>
      <c r="B1559" s="7" t="s">
        <v>1563</v>
      </c>
      <c r="C1559" s="14">
        <v>678.5</v>
      </c>
      <c r="D1559" s="14">
        <v>0</v>
      </c>
      <c r="E1559" s="14">
        <f t="shared" si="24"/>
        <v>678.5</v>
      </c>
    </row>
    <row r="1560" spans="1:5" x14ac:dyDescent="0.3">
      <c r="A1560" s="7">
        <v>1008668</v>
      </c>
      <c r="B1560" s="7" t="s">
        <v>1564</v>
      </c>
      <c r="C1560" s="14">
        <v>220.4</v>
      </c>
      <c r="D1560" s="14">
        <v>0</v>
      </c>
      <c r="E1560" s="14">
        <f t="shared" si="24"/>
        <v>220.4</v>
      </c>
    </row>
    <row r="1561" spans="1:5" x14ac:dyDescent="0.3">
      <c r="A1561" s="7">
        <v>1008687</v>
      </c>
      <c r="B1561" s="7" t="s">
        <v>1565</v>
      </c>
      <c r="C1561" s="14">
        <v>165.72500108134099</v>
      </c>
      <c r="D1561" s="14">
        <v>0</v>
      </c>
      <c r="E1561" s="14">
        <f t="shared" si="24"/>
        <v>165.72500108134099</v>
      </c>
    </row>
    <row r="1562" spans="1:5" x14ac:dyDescent="0.3">
      <c r="A1562" s="7">
        <v>1008701</v>
      </c>
      <c r="B1562" s="7" t="s">
        <v>1566</v>
      </c>
      <c r="C1562" s="14">
        <v>1622.5</v>
      </c>
      <c r="D1562" s="14">
        <v>0</v>
      </c>
      <c r="E1562" s="14">
        <f t="shared" si="24"/>
        <v>1622.5</v>
      </c>
    </row>
    <row r="1563" spans="1:5" x14ac:dyDescent="0.3">
      <c r="A1563" s="7">
        <v>1008814</v>
      </c>
      <c r="B1563" s="7" t="s">
        <v>1567</v>
      </c>
      <c r="C1563" s="14">
        <v>530.83198589743597</v>
      </c>
      <c r="D1563" s="14">
        <v>0</v>
      </c>
      <c r="E1563" s="14">
        <f t="shared" si="24"/>
        <v>530.83198589743597</v>
      </c>
    </row>
    <row r="1564" spans="1:5" x14ac:dyDescent="0.3">
      <c r="A1564" s="7">
        <v>1008815</v>
      </c>
      <c r="B1564" s="7" t="s">
        <v>1568</v>
      </c>
      <c r="C1564" s="14">
        <v>535.80873567493097</v>
      </c>
      <c r="D1564" s="14">
        <v>0</v>
      </c>
      <c r="E1564" s="14">
        <f t="shared" si="24"/>
        <v>535.80873567493097</v>
      </c>
    </row>
    <row r="1565" spans="1:5" x14ac:dyDescent="0.3">
      <c r="A1565" s="7">
        <v>1008840</v>
      </c>
      <c r="B1565" s="7" t="s">
        <v>1569</v>
      </c>
      <c r="C1565" s="14">
        <v>159416.49575757599</v>
      </c>
      <c r="D1565" s="14">
        <v>0</v>
      </c>
      <c r="E1565" s="14">
        <f t="shared" si="24"/>
        <v>159416.49575757599</v>
      </c>
    </row>
    <row r="1566" spans="1:5" x14ac:dyDescent="0.3">
      <c r="A1566" s="7">
        <v>1008841</v>
      </c>
      <c r="B1566" s="7" t="s">
        <v>1570</v>
      </c>
      <c r="C1566" s="14">
        <v>107921.34625</v>
      </c>
      <c r="D1566" s="14">
        <v>0</v>
      </c>
      <c r="E1566" s="14">
        <f t="shared" si="24"/>
        <v>107921.34625</v>
      </c>
    </row>
    <row r="1567" spans="1:5" x14ac:dyDescent="0.3">
      <c r="A1567" s="7">
        <v>1008842</v>
      </c>
      <c r="B1567" s="7" t="s">
        <v>1571</v>
      </c>
      <c r="C1567" s="14">
        <v>223172.41641666699</v>
      </c>
      <c r="D1567" s="14">
        <v>0</v>
      </c>
      <c r="E1567" s="14">
        <f t="shared" si="24"/>
        <v>223172.41641666699</v>
      </c>
    </row>
    <row r="1568" spans="1:5" x14ac:dyDescent="0.3">
      <c r="A1568" s="7">
        <v>1008843</v>
      </c>
      <c r="B1568" s="7" t="s">
        <v>1572</v>
      </c>
      <c r="C1568" s="14">
        <v>250502.660117647</v>
      </c>
      <c r="D1568" s="14">
        <v>0</v>
      </c>
      <c r="E1568" s="14">
        <f t="shared" si="24"/>
        <v>250502.660117647</v>
      </c>
    </row>
    <row r="1569" spans="1:5" x14ac:dyDescent="0.3">
      <c r="A1569" s="7">
        <v>1008879</v>
      </c>
      <c r="B1569" s="7" t="s">
        <v>1573</v>
      </c>
      <c r="C1569" s="14">
        <v>0</v>
      </c>
      <c r="D1569" s="14">
        <v>0</v>
      </c>
      <c r="E1569" s="14">
        <f t="shared" ref="E1569:E1632" si="25">+MAX(C1569, D1569)</f>
        <v>0</v>
      </c>
    </row>
    <row r="1570" spans="1:5" x14ac:dyDescent="0.3">
      <c r="A1570" s="7">
        <v>1008884</v>
      </c>
      <c r="B1570" s="7" t="s">
        <v>1574</v>
      </c>
      <c r="C1570" s="14">
        <v>3986.8941741071399</v>
      </c>
      <c r="D1570" s="14">
        <v>0</v>
      </c>
      <c r="E1570" s="14">
        <f t="shared" si="25"/>
        <v>3986.8941741071399</v>
      </c>
    </row>
    <row r="1571" spans="1:5" x14ac:dyDescent="0.3">
      <c r="A1571" s="7">
        <v>1008900</v>
      </c>
      <c r="B1571" s="7" t="s">
        <v>1575</v>
      </c>
      <c r="C1571" s="14">
        <v>3401.03</v>
      </c>
      <c r="D1571" s="14">
        <v>0</v>
      </c>
      <c r="E1571" s="14">
        <f t="shared" si="25"/>
        <v>3401.03</v>
      </c>
    </row>
    <row r="1572" spans="1:5" x14ac:dyDescent="0.3">
      <c r="A1572" s="7">
        <v>1008901</v>
      </c>
      <c r="B1572" s="7" t="s">
        <v>1576</v>
      </c>
      <c r="C1572" s="14">
        <v>777.37824999999998</v>
      </c>
      <c r="D1572" s="14">
        <v>0</v>
      </c>
      <c r="E1572" s="14">
        <f t="shared" si="25"/>
        <v>777.37824999999998</v>
      </c>
    </row>
    <row r="1573" spans="1:5" x14ac:dyDescent="0.3">
      <c r="A1573" s="7">
        <v>1008902</v>
      </c>
      <c r="B1573" s="7" t="s">
        <v>1577</v>
      </c>
      <c r="C1573" s="14">
        <v>728.79250000000002</v>
      </c>
      <c r="D1573" s="14">
        <v>0</v>
      </c>
      <c r="E1573" s="14">
        <f t="shared" si="25"/>
        <v>728.79250000000002</v>
      </c>
    </row>
    <row r="1574" spans="1:5" x14ac:dyDescent="0.3">
      <c r="A1574" s="7">
        <v>1008973</v>
      </c>
      <c r="B1574" s="7" t="s">
        <v>1578</v>
      </c>
      <c r="C1574" s="14">
        <v>1207.0234158808285</v>
      </c>
      <c r="D1574" s="14">
        <v>1203.371879194631</v>
      </c>
      <c r="E1574" s="14">
        <f t="shared" si="25"/>
        <v>1207.0234158808285</v>
      </c>
    </row>
    <row r="1575" spans="1:5" x14ac:dyDescent="0.3">
      <c r="A1575" s="7">
        <v>1008975</v>
      </c>
      <c r="B1575" s="7" t="s">
        <v>1579</v>
      </c>
      <c r="C1575" s="14">
        <v>1059.43266145949</v>
      </c>
      <c r="D1575" s="14">
        <v>0</v>
      </c>
      <c r="E1575" s="14">
        <f t="shared" si="25"/>
        <v>1059.43266145949</v>
      </c>
    </row>
    <row r="1576" spans="1:5" x14ac:dyDescent="0.3">
      <c r="A1576" s="7">
        <v>1008976</v>
      </c>
      <c r="B1576" s="7" t="s">
        <v>1580</v>
      </c>
      <c r="C1576" s="14">
        <v>973.18548727926282</v>
      </c>
      <c r="D1576" s="14">
        <v>896.48371428571431</v>
      </c>
      <c r="E1576" s="14">
        <f t="shared" si="25"/>
        <v>973.18548727926282</v>
      </c>
    </row>
    <row r="1577" spans="1:5" x14ac:dyDescent="0.3">
      <c r="A1577" s="7">
        <v>1008977</v>
      </c>
      <c r="B1577" s="7" t="s">
        <v>1581</v>
      </c>
      <c r="C1577" s="14">
        <v>1163.16160606061</v>
      </c>
      <c r="D1577" s="14">
        <v>1056.1000000000001</v>
      </c>
      <c r="E1577" s="14">
        <f t="shared" si="25"/>
        <v>1163.16160606061</v>
      </c>
    </row>
    <row r="1578" spans="1:5" x14ac:dyDescent="0.3">
      <c r="A1578" s="7">
        <v>1008982</v>
      </c>
      <c r="B1578" s="7" t="s">
        <v>1582</v>
      </c>
      <c r="C1578" s="14">
        <v>23343.535400000001</v>
      </c>
      <c r="D1578" s="14">
        <v>36530.561923076923</v>
      </c>
      <c r="E1578" s="14">
        <f t="shared" si="25"/>
        <v>36530.561923076923</v>
      </c>
    </row>
    <row r="1579" spans="1:5" x14ac:dyDescent="0.3">
      <c r="A1579" s="7">
        <v>1009010</v>
      </c>
      <c r="B1579" s="7" t="s">
        <v>1583</v>
      </c>
      <c r="C1579" s="14">
        <v>3967.7965853658538</v>
      </c>
      <c r="D1579" s="14">
        <v>3722.9931192660551</v>
      </c>
      <c r="E1579" s="14">
        <f t="shared" si="25"/>
        <v>3967.7965853658538</v>
      </c>
    </row>
    <row r="1580" spans="1:5" x14ac:dyDescent="0.3">
      <c r="A1580" s="7">
        <v>1009014</v>
      </c>
      <c r="B1580" s="7" t="s">
        <v>1584</v>
      </c>
      <c r="C1580" s="14">
        <v>5026.6634666666496</v>
      </c>
      <c r="D1580" s="14">
        <v>0</v>
      </c>
      <c r="E1580" s="14">
        <f t="shared" si="25"/>
        <v>5026.6634666666496</v>
      </c>
    </row>
    <row r="1581" spans="1:5" x14ac:dyDescent="0.3">
      <c r="A1581" s="7">
        <v>1009015</v>
      </c>
      <c r="B1581" s="7" t="s">
        <v>1585</v>
      </c>
      <c r="C1581" s="14">
        <v>280.25</v>
      </c>
      <c r="D1581" s="14">
        <v>0</v>
      </c>
      <c r="E1581" s="14">
        <f t="shared" si="25"/>
        <v>280.25</v>
      </c>
    </row>
    <row r="1582" spans="1:5" x14ac:dyDescent="0.3">
      <c r="A1582" s="7">
        <v>1009027</v>
      </c>
      <c r="B1582" s="7" t="s">
        <v>1586</v>
      </c>
      <c r="C1582" s="14">
        <v>4554.7578571428603</v>
      </c>
      <c r="D1582" s="14">
        <v>0</v>
      </c>
      <c r="E1582" s="14">
        <f t="shared" si="25"/>
        <v>4554.7578571428603</v>
      </c>
    </row>
    <row r="1583" spans="1:5" x14ac:dyDescent="0.3">
      <c r="A1583" s="7">
        <v>1009028</v>
      </c>
      <c r="B1583" s="7" t="s">
        <v>1587</v>
      </c>
      <c r="C1583" s="14">
        <v>4285.0519999999997</v>
      </c>
      <c r="D1583" s="14">
        <v>0</v>
      </c>
      <c r="E1583" s="14">
        <f t="shared" si="25"/>
        <v>4285.0519999999997</v>
      </c>
    </row>
    <row r="1584" spans="1:5" x14ac:dyDescent="0.3">
      <c r="A1584" s="7">
        <v>1009029</v>
      </c>
      <c r="B1584" s="7" t="s">
        <v>1588</v>
      </c>
      <c r="C1584" s="14">
        <v>425</v>
      </c>
      <c r="D1584" s="14">
        <v>0</v>
      </c>
      <c r="E1584" s="14">
        <f t="shared" si="25"/>
        <v>425</v>
      </c>
    </row>
    <row r="1585" spans="1:5" x14ac:dyDescent="0.3">
      <c r="A1585" s="7">
        <v>1009036</v>
      </c>
      <c r="B1585" s="7" t="s">
        <v>1589</v>
      </c>
      <c r="C1585" s="14">
        <v>0</v>
      </c>
      <c r="D1585" s="14">
        <v>0</v>
      </c>
      <c r="E1585" s="14">
        <f t="shared" si="25"/>
        <v>0</v>
      </c>
    </row>
    <row r="1586" spans="1:5" x14ac:dyDescent="0.3">
      <c r="A1586" s="7">
        <v>1009037</v>
      </c>
      <c r="B1586" s="7" t="s">
        <v>1590</v>
      </c>
      <c r="C1586" s="14">
        <v>474.62419583333298</v>
      </c>
      <c r="D1586" s="14">
        <v>0</v>
      </c>
      <c r="E1586" s="14">
        <f t="shared" si="25"/>
        <v>474.62419583333298</v>
      </c>
    </row>
    <row r="1587" spans="1:5" x14ac:dyDescent="0.3">
      <c r="A1587" s="7">
        <v>1009063</v>
      </c>
      <c r="B1587" s="7" t="s">
        <v>1591</v>
      </c>
      <c r="C1587" s="14">
        <v>1460.25</v>
      </c>
      <c r="D1587" s="14">
        <v>0</v>
      </c>
      <c r="E1587" s="14">
        <f t="shared" si="25"/>
        <v>1460.25</v>
      </c>
    </row>
    <row r="1588" spans="1:5" x14ac:dyDescent="0.3">
      <c r="A1588" s="7">
        <v>1009069</v>
      </c>
      <c r="B1588" s="7" t="s">
        <v>1592</v>
      </c>
      <c r="C1588" s="14">
        <v>16.035926091825299</v>
      </c>
      <c r="D1588" s="14">
        <v>0</v>
      </c>
      <c r="E1588" s="14">
        <f t="shared" si="25"/>
        <v>16.035926091825299</v>
      </c>
    </row>
    <row r="1589" spans="1:5" x14ac:dyDescent="0.3">
      <c r="A1589" s="7">
        <v>1009070</v>
      </c>
      <c r="B1589" s="7" t="s">
        <v>1593</v>
      </c>
      <c r="C1589" s="14">
        <v>1758.2</v>
      </c>
      <c r="D1589" s="14">
        <v>0</v>
      </c>
      <c r="E1589" s="14">
        <f t="shared" si="25"/>
        <v>1758.2</v>
      </c>
    </row>
    <row r="1590" spans="1:5" x14ac:dyDescent="0.3">
      <c r="A1590" s="7">
        <v>1009071</v>
      </c>
      <c r="B1590" s="7" t="s">
        <v>1594</v>
      </c>
      <c r="C1590" s="14">
        <v>1758.2</v>
      </c>
      <c r="D1590" s="14">
        <v>0</v>
      </c>
      <c r="E1590" s="14">
        <f t="shared" si="25"/>
        <v>1758.2</v>
      </c>
    </row>
    <row r="1591" spans="1:5" x14ac:dyDescent="0.3">
      <c r="A1591" s="7">
        <v>1009079</v>
      </c>
      <c r="B1591" s="7" t="s">
        <v>1595</v>
      </c>
      <c r="C1591" s="14">
        <v>111864</v>
      </c>
      <c r="D1591" s="14">
        <v>0</v>
      </c>
      <c r="E1591" s="14">
        <f t="shared" si="25"/>
        <v>111864</v>
      </c>
    </row>
    <row r="1592" spans="1:5" x14ac:dyDescent="0.3">
      <c r="A1592" s="7">
        <v>1009192</v>
      </c>
      <c r="B1592" s="7" t="s">
        <v>1596</v>
      </c>
      <c r="C1592" s="14">
        <v>2289.3653030302999</v>
      </c>
      <c r="D1592" s="14">
        <v>0</v>
      </c>
      <c r="E1592" s="14">
        <f t="shared" si="25"/>
        <v>2289.3653030302999</v>
      </c>
    </row>
    <row r="1593" spans="1:5" x14ac:dyDescent="0.3">
      <c r="A1593" s="7">
        <v>1009197</v>
      </c>
      <c r="B1593" s="7" t="s">
        <v>1597</v>
      </c>
      <c r="C1593" s="14">
        <v>18225.041000000001</v>
      </c>
      <c r="D1593" s="14">
        <v>0</v>
      </c>
      <c r="E1593" s="14">
        <f t="shared" si="25"/>
        <v>18225.041000000001</v>
      </c>
    </row>
    <row r="1594" spans="1:5" x14ac:dyDescent="0.3">
      <c r="A1594" s="7">
        <v>1009198</v>
      </c>
      <c r="B1594" s="7" t="s">
        <v>1598</v>
      </c>
      <c r="C1594" s="14">
        <v>2408.6042499999999</v>
      </c>
      <c r="D1594" s="14">
        <v>0</v>
      </c>
      <c r="E1594" s="14">
        <f t="shared" si="25"/>
        <v>2408.6042499999999</v>
      </c>
    </row>
    <row r="1595" spans="1:5" x14ac:dyDescent="0.3">
      <c r="A1595" s="7">
        <v>1009200</v>
      </c>
      <c r="B1595" s="7" t="s">
        <v>1599</v>
      </c>
      <c r="C1595" s="14">
        <v>890.45121463077999</v>
      </c>
      <c r="D1595" s="14">
        <v>0</v>
      </c>
      <c r="E1595" s="14">
        <f t="shared" si="25"/>
        <v>890.45121463077999</v>
      </c>
    </row>
    <row r="1596" spans="1:5" x14ac:dyDescent="0.3">
      <c r="A1596" s="7">
        <v>1009201</v>
      </c>
      <c r="B1596" s="7" t="s">
        <v>1600</v>
      </c>
      <c r="C1596" s="14">
        <v>890.45111455108395</v>
      </c>
      <c r="D1596" s="14">
        <v>0</v>
      </c>
      <c r="E1596" s="14">
        <f t="shared" si="25"/>
        <v>890.45111455108395</v>
      </c>
    </row>
    <row r="1597" spans="1:5" x14ac:dyDescent="0.3">
      <c r="A1597" s="7">
        <v>1009202</v>
      </c>
      <c r="B1597" s="7" t="s">
        <v>1601</v>
      </c>
      <c r="C1597" s="14">
        <v>890.451818181818</v>
      </c>
      <c r="D1597" s="14">
        <v>0</v>
      </c>
      <c r="E1597" s="14">
        <f t="shared" si="25"/>
        <v>890.451818181818</v>
      </c>
    </row>
    <row r="1598" spans="1:5" x14ac:dyDescent="0.3">
      <c r="A1598" s="7">
        <v>1009203</v>
      </c>
      <c r="B1598" s="7" t="s">
        <v>1602</v>
      </c>
      <c r="C1598" s="14">
        <v>890.451470588235</v>
      </c>
      <c r="D1598" s="14">
        <v>0</v>
      </c>
      <c r="E1598" s="14">
        <f t="shared" si="25"/>
        <v>890.451470588235</v>
      </c>
    </row>
    <row r="1599" spans="1:5" x14ac:dyDescent="0.3">
      <c r="A1599" s="7">
        <v>1009204</v>
      </c>
      <c r="B1599" s="7" t="s">
        <v>1603</v>
      </c>
      <c r="C1599" s="14">
        <v>468.01623931623902</v>
      </c>
      <c r="D1599" s="14">
        <v>0</v>
      </c>
      <c r="E1599" s="14">
        <f t="shared" si="25"/>
        <v>468.01623931623902</v>
      </c>
    </row>
    <row r="1600" spans="1:5" x14ac:dyDescent="0.3">
      <c r="A1600" s="7">
        <v>1009205</v>
      </c>
      <c r="B1600" s="7" t="s">
        <v>1604</v>
      </c>
      <c r="C1600" s="14">
        <v>3636.7448717948714</v>
      </c>
      <c r="D1600" s="14">
        <v>6771.9896969696974</v>
      </c>
      <c r="E1600" s="14">
        <f t="shared" si="25"/>
        <v>6771.9896969696974</v>
      </c>
    </row>
    <row r="1601" spans="1:5" x14ac:dyDescent="0.3">
      <c r="A1601" s="7">
        <v>1009209</v>
      </c>
      <c r="B1601" s="7" t="s">
        <v>1605</v>
      </c>
      <c r="C1601" s="14">
        <v>384.06986111111098</v>
      </c>
      <c r="D1601" s="14">
        <v>0</v>
      </c>
      <c r="E1601" s="14">
        <f t="shared" si="25"/>
        <v>384.06986111111098</v>
      </c>
    </row>
    <row r="1602" spans="1:5" x14ac:dyDescent="0.3">
      <c r="A1602" s="7">
        <v>1009211</v>
      </c>
      <c r="B1602" s="7" t="s">
        <v>1606</v>
      </c>
      <c r="C1602" s="14">
        <v>1266.8992460317461</v>
      </c>
      <c r="D1602" s="14">
        <v>468.79844444444444</v>
      </c>
      <c r="E1602" s="14">
        <f t="shared" si="25"/>
        <v>1266.8992460317461</v>
      </c>
    </row>
    <row r="1603" spans="1:5" x14ac:dyDescent="0.3">
      <c r="A1603" s="7">
        <v>1009215</v>
      </c>
      <c r="B1603" s="7" t="s">
        <v>1607</v>
      </c>
      <c r="C1603" s="14">
        <v>215.102214814815</v>
      </c>
      <c r="D1603" s="14">
        <v>0</v>
      </c>
      <c r="E1603" s="14">
        <f t="shared" si="25"/>
        <v>215.102214814815</v>
      </c>
    </row>
    <row r="1604" spans="1:5" x14ac:dyDescent="0.3">
      <c r="A1604" s="7">
        <v>1009216</v>
      </c>
      <c r="B1604" s="7" t="s">
        <v>1608</v>
      </c>
      <c r="C1604" s="14">
        <v>259.60000000000002</v>
      </c>
      <c r="D1604" s="14">
        <v>0</v>
      </c>
      <c r="E1604" s="14">
        <f t="shared" si="25"/>
        <v>259.60000000000002</v>
      </c>
    </row>
    <row r="1605" spans="1:5" x14ac:dyDescent="0.3">
      <c r="A1605" s="7">
        <v>1009217</v>
      </c>
      <c r="B1605" s="7" t="s">
        <v>1609</v>
      </c>
      <c r="C1605" s="14">
        <v>1267.32</v>
      </c>
      <c r="D1605" s="14">
        <v>0</v>
      </c>
      <c r="E1605" s="14">
        <f t="shared" si="25"/>
        <v>1267.32</v>
      </c>
    </row>
    <row r="1606" spans="1:5" x14ac:dyDescent="0.3">
      <c r="A1606" s="7">
        <v>1009218</v>
      </c>
      <c r="B1606" s="7" t="s">
        <v>1610</v>
      </c>
      <c r="C1606" s="14">
        <v>1770</v>
      </c>
      <c r="D1606" s="14">
        <v>0</v>
      </c>
      <c r="E1606" s="14">
        <f t="shared" si="25"/>
        <v>1770</v>
      </c>
    </row>
    <row r="1607" spans="1:5" x14ac:dyDescent="0.3">
      <c r="A1607" s="7">
        <v>1009223</v>
      </c>
      <c r="B1607" s="7" t="s">
        <v>1611</v>
      </c>
      <c r="C1607" s="14">
        <v>2108.97481642512</v>
      </c>
      <c r="D1607" s="14">
        <v>0</v>
      </c>
      <c r="E1607" s="14">
        <f t="shared" si="25"/>
        <v>2108.97481642512</v>
      </c>
    </row>
    <row r="1608" spans="1:5" x14ac:dyDescent="0.3">
      <c r="A1608" s="7">
        <v>1009224</v>
      </c>
      <c r="B1608" s="7" t="s">
        <v>1612</v>
      </c>
      <c r="C1608" s="14">
        <v>2360.4275767955505</v>
      </c>
      <c r="D1608" s="14">
        <v>2711.9744871794874</v>
      </c>
      <c r="E1608" s="14">
        <f t="shared" si="25"/>
        <v>2711.9744871794874</v>
      </c>
    </row>
    <row r="1609" spans="1:5" x14ac:dyDescent="0.3">
      <c r="A1609" s="7">
        <v>1009225</v>
      </c>
      <c r="B1609" s="7" t="s">
        <v>1613</v>
      </c>
      <c r="C1609" s="14">
        <v>4520.495062845649</v>
      </c>
      <c r="D1609" s="14">
        <v>6694.872571428572</v>
      </c>
      <c r="E1609" s="14">
        <f t="shared" si="25"/>
        <v>6694.872571428572</v>
      </c>
    </row>
    <row r="1610" spans="1:5" x14ac:dyDescent="0.3">
      <c r="A1610" s="7">
        <v>1009229</v>
      </c>
      <c r="B1610" s="7" t="s">
        <v>1614</v>
      </c>
      <c r="C1610" s="14">
        <v>0</v>
      </c>
      <c r="D1610" s="14">
        <v>0</v>
      </c>
      <c r="E1610" s="14">
        <f t="shared" si="25"/>
        <v>0</v>
      </c>
    </row>
    <row r="1611" spans="1:5" x14ac:dyDescent="0.3">
      <c r="A1611" s="7">
        <v>1009292</v>
      </c>
      <c r="B1611" s="7" t="s">
        <v>1615</v>
      </c>
      <c r="C1611" s="14">
        <v>1356.528</v>
      </c>
      <c r="D1611" s="14">
        <v>0</v>
      </c>
      <c r="E1611" s="14">
        <f t="shared" si="25"/>
        <v>1356.528</v>
      </c>
    </row>
    <row r="1612" spans="1:5" x14ac:dyDescent="0.3">
      <c r="A1612" s="7">
        <v>1009294</v>
      </c>
      <c r="B1612" s="7" t="s">
        <v>1616</v>
      </c>
      <c r="C1612" s="14">
        <v>2115.9772631578899</v>
      </c>
      <c r="D1612" s="14">
        <v>0</v>
      </c>
      <c r="E1612" s="14">
        <f t="shared" si="25"/>
        <v>2115.9772631578899</v>
      </c>
    </row>
    <row r="1613" spans="1:5" x14ac:dyDescent="0.3">
      <c r="A1613" s="7">
        <v>1009297</v>
      </c>
      <c r="B1613" s="7" t="s">
        <v>1617</v>
      </c>
      <c r="C1613" s="14">
        <v>2048.1428571428551</v>
      </c>
      <c r="D1613" s="14">
        <v>0</v>
      </c>
      <c r="E1613" s="14">
        <f t="shared" si="25"/>
        <v>2048.1428571428551</v>
      </c>
    </row>
    <row r="1614" spans="1:5" x14ac:dyDescent="0.3">
      <c r="A1614" s="7">
        <v>1009300</v>
      </c>
      <c r="B1614" s="7" t="s">
        <v>1618</v>
      </c>
      <c r="C1614" s="14">
        <v>2321.68067990891</v>
      </c>
      <c r="D1614" s="14">
        <v>0</v>
      </c>
      <c r="E1614" s="14">
        <f t="shared" si="25"/>
        <v>2321.68067990891</v>
      </c>
    </row>
    <row r="1615" spans="1:5" x14ac:dyDescent="0.3">
      <c r="A1615" s="7">
        <v>1009301</v>
      </c>
      <c r="B1615" s="7" t="s">
        <v>1619</v>
      </c>
      <c r="C1615" s="14">
        <v>8230.5</v>
      </c>
      <c r="D1615" s="14">
        <v>0</v>
      </c>
      <c r="E1615" s="14">
        <f t="shared" si="25"/>
        <v>8230.5</v>
      </c>
    </row>
    <row r="1616" spans="1:5" x14ac:dyDescent="0.3">
      <c r="A1616" s="7">
        <v>1009302</v>
      </c>
      <c r="B1616" s="7" t="s">
        <v>1620</v>
      </c>
      <c r="C1616" s="14">
        <v>2091.12857142857</v>
      </c>
      <c r="D1616" s="14">
        <v>0</v>
      </c>
      <c r="E1616" s="14">
        <f t="shared" si="25"/>
        <v>2091.12857142857</v>
      </c>
    </row>
    <row r="1617" spans="1:5" x14ac:dyDescent="0.3">
      <c r="A1617" s="7">
        <v>1009303</v>
      </c>
      <c r="B1617" s="7" t="s">
        <v>1621</v>
      </c>
      <c r="C1617" s="14">
        <v>39583.1</v>
      </c>
      <c r="D1617" s="14">
        <v>68440</v>
      </c>
      <c r="E1617" s="14">
        <f t="shared" si="25"/>
        <v>68440</v>
      </c>
    </row>
    <row r="1618" spans="1:5" x14ac:dyDescent="0.3">
      <c r="A1618" s="7">
        <v>1009304</v>
      </c>
      <c r="B1618" s="7" t="s">
        <v>1622</v>
      </c>
      <c r="C1618" s="14">
        <v>80.239999999999995</v>
      </c>
      <c r="D1618" s="14">
        <v>0</v>
      </c>
      <c r="E1618" s="14">
        <f t="shared" si="25"/>
        <v>80.239999999999995</v>
      </c>
    </row>
    <row r="1619" spans="1:5" x14ac:dyDescent="0.3">
      <c r="A1619" s="7">
        <v>1009305</v>
      </c>
      <c r="B1619" s="7" t="s">
        <v>1623</v>
      </c>
      <c r="C1619" s="14">
        <v>2800.9659090909099</v>
      </c>
      <c r="D1619" s="14">
        <v>0</v>
      </c>
      <c r="E1619" s="14">
        <f t="shared" si="25"/>
        <v>2800.9659090909099</v>
      </c>
    </row>
    <row r="1620" spans="1:5" x14ac:dyDescent="0.3">
      <c r="A1620" s="7">
        <v>1009306</v>
      </c>
      <c r="B1620" s="7" t="s">
        <v>1624</v>
      </c>
      <c r="C1620" s="14">
        <v>265.5</v>
      </c>
      <c r="D1620" s="14">
        <v>0</v>
      </c>
      <c r="E1620" s="14">
        <f t="shared" si="25"/>
        <v>265.5</v>
      </c>
    </row>
    <row r="1621" spans="1:5" x14ac:dyDescent="0.3">
      <c r="A1621" s="7">
        <v>1009307</v>
      </c>
      <c r="B1621" s="7" t="s">
        <v>1625</v>
      </c>
      <c r="C1621" s="14">
        <v>147.5</v>
      </c>
      <c r="D1621" s="14">
        <v>0</v>
      </c>
      <c r="E1621" s="14">
        <f t="shared" si="25"/>
        <v>147.5</v>
      </c>
    </row>
    <row r="1622" spans="1:5" x14ac:dyDescent="0.3">
      <c r="A1622" s="7">
        <v>1009308</v>
      </c>
      <c r="B1622" s="7" t="s">
        <v>1626</v>
      </c>
      <c r="C1622" s="14">
        <v>10065.549999999999</v>
      </c>
      <c r="D1622" s="14">
        <v>0</v>
      </c>
      <c r="E1622" s="14">
        <f t="shared" si="25"/>
        <v>10065.549999999999</v>
      </c>
    </row>
    <row r="1623" spans="1:5" x14ac:dyDescent="0.3">
      <c r="A1623" s="7">
        <v>1009327</v>
      </c>
      <c r="B1623" s="7" t="s">
        <v>1627</v>
      </c>
      <c r="C1623" s="14">
        <v>260.93342857142898</v>
      </c>
      <c r="D1623" s="14">
        <v>0</v>
      </c>
      <c r="E1623" s="14">
        <f t="shared" si="25"/>
        <v>260.93342857142898</v>
      </c>
    </row>
    <row r="1624" spans="1:5" x14ac:dyDescent="0.3">
      <c r="A1624" s="7">
        <v>1009328</v>
      </c>
      <c r="B1624" s="7" t="s">
        <v>1628</v>
      </c>
      <c r="C1624" s="14">
        <v>4149.0807142857138</v>
      </c>
      <c r="D1624" s="14">
        <v>4149.0807692307699</v>
      </c>
      <c r="E1624" s="14">
        <f t="shared" si="25"/>
        <v>4149.0807692307699</v>
      </c>
    </row>
    <row r="1625" spans="1:5" x14ac:dyDescent="0.3">
      <c r="A1625" s="7">
        <v>1009329</v>
      </c>
      <c r="B1625" s="7" t="s">
        <v>1629</v>
      </c>
      <c r="C1625" s="14">
        <v>5010.5789333333296</v>
      </c>
      <c r="D1625" s="14">
        <v>0</v>
      </c>
      <c r="E1625" s="14">
        <f t="shared" si="25"/>
        <v>5010.5789333333296</v>
      </c>
    </row>
    <row r="1626" spans="1:5" x14ac:dyDescent="0.3">
      <c r="A1626" s="7">
        <v>1009330</v>
      </c>
      <c r="B1626" s="7" t="s">
        <v>1630</v>
      </c>
      <c r="C1626" s="14">
        <v>120484.94</v>
      </c>
      <c r="D1626" s="14">
        <v>0</v>
      </c>
      <c r="E1626" s="14">
        <f t="shared" si="25"/>
        <v>120484.94</v>
      </c>
    </row>
    <row r="1627" spans="1:5" x14ac:dyDescent="0.3">
      <c r="A1627" s="7">
        <v>1009331</v>
      </c>
      <c r="B1627" s="7" t="s">
        <v>1631</v>
      </c>
      <c r="C1627" s="14">
        <v>189.98</v>
      </c>
      <c r="D1627" s="14">
        <v>0</v>
      </c>
      <c r="E1627" s="14">
        <f t="shared" si="25"/>
        <v>189.98</v>
      </c>
    </row>
    <row r="1628" spans="1:5" x14ac:dyDescent="0.3">
      <c r="A1628" s="7">
        <v>1009338</v>
      </c>
      <c r="B1628" s="7" t="s">
        <v>1632</v>
      </c>
      <c r="C1628" s="14">
        <v>0</v>
      </c>
      <c r="D1628" s="14">
        <v>0</v>
      </c>
      <c r="E1628" s="14">
        <f t="shared" si="25"/>
        <v>0</v>
      </c>
    </row>
    <row r="1629" spans="1:5" x14ac:dyDescent="0.3">
      <c r="A1629" s="7">
        <v>1009339</v>
      </c>
      <c r="B1629" s="7" t="s">
        <v>1633</v>
      </c>
      <c r="C1629" s="14">
        <v>0</v>
      </c>
      <c r="D1629" s="14">
        <v>0</v>
      </c>
      <c r="E1629" s="14">
        <f t="shared" si="25"/>
        <v>0</v>
      </c>
    </row>
    <row r="1630" spans="1:5" x14ac:dyDescent="0.3">
      <c r="A1630" s="7">
        <v>1009340</v>
      </c>
      <c r="B1630" s="7" t="s">
        <v>1634</v>
      </c>
      <c r="C1630" s="14">
        <v>0</v>
      </c>
      <c r="D1630" s="14">
        <v>0</v>
      </c>
      <c r="E1630" s="14">
        <f t="shared" si="25"/>
        <v>0</v>
      </c>
    </row>
    <row r="1631" spans="1:5" x14ac:dyDescent="0.3">
      <c r="A1631" s="7">
        <v>1009341</v>
      </c>
      <c r="B1631" s="7" t="s">
        <v>1635</v>
      </c>
      <c r="C1631" s="14">
        <v>0</v>
      </c>
      <c r="D1631" s="14">
        <v>0</v>
      </c>
      <c r="E1631" s="14">
        <f t="shared" si="25"/>
        <v>0</v>
      </c>
    </row>
    <row r="1632" spans="1:5" x14ac:dyDescent="0.3">
      <c r="A1632" s="7">
        <v>1009342</v>
      </c>
      <c r="B1632" s="7" t="s">
        <v>1636</v>
      </c>
      <c r="C1632" s="14">
        <v>0</v>
      </c>
      <c r="D1632" s="14">
        <v>0</v>
      </c>
      <c r="E1632" s="14">
        <f t="shared" si="25"/>
        <v>0</v>
      </c>
    </row>
    <row r="1633" spans="1:5" x14ac:dyDescent="0.3">
      <c r="A1633" s="7">
        <v>1009343</v>
      </c>
      <c r="B1633" s="7" t="s">
        <v>1637</v>
      </c>
      <c r="C1633" s="14">
        <v>0</v>
      </c>
      <c r="D1633" s="14">
        <v>0</v>
      </c>
      <c r="E1633" s="14">
        <f t="shared" ref="E1633:E1696" si="26">+MAX(C1633, D1633)</f>
        <v>0</v>
      </c>
    </row>
    <row r="1634" spans="1:5" x14ac:dyDescent="0.3">
      <c r="A1634" s="7">
        <v>1009344</v>
      </c>
      <c r="B1634" s="7" t="s">
        <v>1638</v>
      </c>
      <c r="C1634" s="14">
        <v>0</v>
      </c>
      <c r="D1634" s="14">
        <v>0</v>
      </c>
      <c r="E1634" s="14">
        <f t="shared" si="26"/>
        <v>0</v>
      </c>
    </row>
    <row r="1635" spans="1:5" x14ac:dyDescent="0.3">
      <c r="A1635" s="7">
        <v>1009345</v>
      </c>
      <c r="B1635" s="7" t="s">
        <v>1639</v>
      </c>
      <c r="C1635" s="14">
        <v>0</v>
      </c>
      <c r="D1635" s="14">
        <v>0</v>
      </c>
      <c r="E1635" s="14">
        <f t="shared" si="26"/>
        <v>0</v>
      </c>
    </row>
    <row r="1636" spans="1:5" x14ac:dyDescent="0.3">
      <c r="A1636" s="7">
        <v>1009346</v>
      </c>
      <c r="B1636" s="7" t="s">
        <v>1640</v>
      </c>
      <c r="C1636" s="14">
        <v>0</v>
      </c>
      <c r="D1636" s="14">
        <v>0</v>
      </c>
      <c r="E1636" s="14">
        <f t="shared" si="26"/>
        <v>0</v>
      </c>
    </row>
    <row r="1637" spans="1:5" x14ac:dyDescent="0.3">
      <c r="A1637" s="7">
        <v>1009347</v>
      </c>
      <c r="B1637" s="7" t="s">
        <v>1641</v>
      </c>
      <c r="C1637" s="14">
        <v>0</v>
      </c>
      <c r="D1637" s="14">
        <v>0</v>
      </c>
      <c r="E1637" s="14">
        <f t="shared" si="26"/>
        <v>0</v>
      </c>
    </row>
    <row r="1638" spans="1:5" x14ac:dyDescent="0.3">
      <c r="A1638" s="7">
        <v>1009348</v>
      </c>
      <c r="B1638" s="7" t="s">
        <v>1642</v>
      </c>
      <c r="C1638" s="14">
        <v>3200</v>
      </c>
      <c r="D1638" s="14">
        <v>0</v>
      </c>
      <c r="E1638" s="14">
        <f t="shared" si="26"/>
        <v>3200</v>
      </c>
    </row>
    <row r="1639" spans="1:5" x14ac:dyDescent="0.3">
      <c r="A1639" s="7">
        <v>1009349</v>
      </c>
      <c r="B1639" s="7" t="s">
        <v>1643</v>
      </c>
      <c r="C1639" s="14">
        <v>0</v>
      </c>
      <c r="D1639" s="14">
        <v>0</v>
      </c>
      <c r="E1639" s="14">
        <f t="shared" si="26"/>
        <v>0</v>
      </c>
    </row>
    <row r="1640" spans="1:5" x14ac:dyDescent="0.3">
      <c r="A1640" s="7">
        <v>1009352</v>
      </c>
      <c r="B1640" s="7" t="s">
        <v>1644</v>
      </c>
      <c r="C1640" s="14">
        <v>268.21009222919901</v>
      </c>
      <c r="D1640" s="14">
        <v>236.29500627352573</v>
      </c>
      <c r="E1640" s="14">
        <f t="shared" si="26"/>
        <v>268.21009222919901</v>
      </c>
    </row>
    <row r="1641" spans="1:5" x14ac:dyDescent="0.3">
      <c r="A1641" s="7">
        <v>1009353</v>
      </c>
      <c r="B1641" s="7" t="s">
        <v>1645</v>
      </c>
      <c r="C1641" s="14">
        <v>0</v>
      </c>
      <c r="D1641" s="14">
        <v>0</v>
      </c>
      <c r="E1641" s="14">
        <f t="shared" si="26"/>
        <v>0</v>
      </c>
    </row>
    <row r="1642" spans="1:5" x14ac:dyDescent="0.3">
      <c r="A1642" s="7">
        <v>1009355</v>
      </c>
      <c r="B1642" s="7" t="s">
        <v>1646</v>
      </c>
      <c r="C1642" s="14">
        <v>0</v>
      </c>
      <c r="D1642" s="14">
        <v>0</v>
      </c>
      <c r="E1642" s="14">
        <f t="shared" si="26"/>
        <v>0</v>
      </c>
    </row>
    <row r="1643" spans="1:5" x14ac:dyDescent="0.3">
      <c r="A1643" s="7">
        <v>1009356</v>
      </c>
      <c r="B1643" s="7" t="s">
        <v>1647</v>
      </c>
      <c r="C1643" s="14">
        <v>0</v>
      </c>
      <c r="D1643" s="14">
        <v>0</v>
      </c>
      <c r="E1643" s="14">
        <f t="shared" si="26"/>
        <v>0</v>
      </c>
    </row>
    <row r="1644" spans="1:5" x14ac:dyDescent="0.3">
      <c r="A1644" s="7">
        <v>1009357</v>
      </c>
      <c r="B1644" s="7" t="s">
        <v>1648</v>
      </c>
      <c r="C1644" s="14">
        <v>0</v>
      </c>
      <c r="D1644" s="14">
        <v>0</v>
      </c>
      <c r="E1644" s="14">
        <f t="shared" si="26"/>
        <v>0</v>
      </c>
    </row>
    <row r="1645" spans="1:5" x14ac:dyDescent="0.3">
      <c r="A1645" s="7">
        <v>1009358</v>
      </c>
      <c r="B1645" s="7" t="s">
        <v>1649</v>
      </c>
      <c r="C1645" s="14">
        <v>554.15946666666696</v>
      </c>
      <c r="D1645" s="14">
        <v>0</v>
      </c>
      <c r="E1645" s="14">
        <f t="shared" si="26"/>
        <v>554.15946666666696</v>
      </c>
    </row>
    <row r="1646" spans="1:5" x14ac:dyDescent="0.3">
      <c r="A1646" s="7">
        <v>1009359</v>
      </c>
      <c r="B1646" s="7" t="s">
        <v>1650</v>
      </c>
      <c r="C1646" s="14">
        <v>0</v>
      </c>
      <c r="D1646" s="14">
        <v>0</v>
      </c>
      <c r="E1646" s="14">
        <f t="shared" si="26"/>
        <v>0</v>
      </c>
    </row>
    <row r="1647" spans="1:5" x14ac:dyDescent="0.3">
      <c r="A1647" s="7">
        <v>1009360</v>
      </c>
      <c r="B1647" s="7" t="s">
        <v>1651</v>
      </c>
      <c r="C1647" s="14">
        <v>31.636870026525202</v>
      </c>
      <c r="D1647" s="14">
        <v>31.276525000000003</v>
      </c>
      <c r="E1647" s="14">
        <f t="shared" si="26"/>
        <v>31.636870026525202</v>
      </c>
    </row>
    <row r="1648" spans="1:5" x14ac:dyDescent="0.3">
      <c r="A1648" s="7">
        <v>1009361</v>
      </c>
      <c r="B1648" s="7" t="s">
        <v>1652</v>
      </c>
      <c r="C1648" s="14">
        <v>0</v>
      </c>
      <c r="D1648" s="14">
        <v>5.3029301886792455</v>
      </c>
      <c r="E1648" s="14">
        <f t="shared" si="26"/>
        <v>5.3029301886792455</v>
      </c>
    </row>
    <row r="1649" spans="1:5" x14ac:dyDescent="0.3">
      <c r="A1649" s="7">
        <v>1009364</v>
      </c>
      <c r="B1649" s="7" t="s">
        <v>1653</v>
      </c>
      <c r="C1649" s="14">
        <v>3035.9981944444444</v>
      </c>
      <c r="D1649" s="14">
        <v>3581.7539999999999</v>
      </c>
      <c r="E1649" s="14">
        <f t="shared" si="26"/>
        <v>3581.7539999999999</v>
      </c>
    </row>
    <row r="1650" spans="1:5" x14ac:dyDescent="0.3">
      <c r="A1650" s="7">
        <v>1009382</v>
      </c>
      <c r="B1650" s="7" t="s">
        <v>1654</v>
      </c>
      <c r="C1650" s="14">
        <v>0.6607999647203866</v>
      </c>
      <c r="D1650" s="14">
        <v>0.66079996469209912</v>
      </c>
      <c r="E1650" s="14">
        <f t="shared" si="26"/>
        <v>0.6607999647203866</v>
      </c>
    </row>
    <row r="1651" spans="1:5" x14ac:dyDescent="0.3">
      <c r="A1651" s="7">
        <v>1009400</v>
      </c>
      <c r="B1651" s="7" t="s">
        <v>1655</v>
      </c>
      <c r="C1651" s="14">
        <v>2860518.21</v>
      </c>
      <c r="D1651" s="14">
        <v>0</v>
      </c>
      <c r="E1651" s="14">
        <f t="shared" si="26"/>
        <v>2860518.21</v>
      </c>
    </row>
    <row r="1652" spans="1:5" x14ac:dyDescent="0.3">
      <c r="A1652" s="7">
        <v>1009401</v>
      </c>
      <c r="B1652" s="7" t="s">
        <v>1656</v>
      </c>
      <c r="C1652" s="14">
        <v>17919.055116883119</v>
      </c>
      <c r="D1652" s="14">
        <v>17919.055090909093</v>
      </c>
      <c r="E1652" s="14">
        <f t="shared" si="26"/>
        <v>17919.055116883119</v>
      </c>
    </row>
    <row r="1653" spans="1:5" x14ac:dyDescent="0.3">
      <c r="A1653" s="7">
        <v>1009402</v>
      </c>
      <c r="B1653" s="7" t="s">
        <v>1657</v>
      </c>
      <c r="C1653" s="14">
        <v>3329.7750286094501</v>
      </c>
      <c r="D1653" s="14">
        <v>0</v>
      </c>
      <c r="E1653" s="14">
        <f t="shared" si="26"/>
        <v>3329.7750286094501</v>
      </c>
    </row>
    <row r="1654" spans="1:5" x14ac:dyDescent="0.3">
      <c r="A1654" s="7">
        <v>1009437</v>
      </c>
      <c r="B1654" s="7" t="s">
        <v>1658</v>
      </c>
      <c r="C1654" s="14">
        <v>28472.455999999998</v>
      </c>
      <c r="D1654" s="14">
        <v>28472.456086956521</v>
      </c>
      <c r="E1654" s="14">
        <f t="shared" si="26"/>
        <v>28472.456086956521</v>
      </c>
    </row>
    <row r="1655" spans="1:5" x14ac:dyDescent="0.3">
      <c r="A1655" s="7">
        <v>1009438</v>
      </c>
      <c r="B1655" s="7" t="s">
        <v>1659</v>
      </c>
      <c r="C1655" s="14">
        <v>13743.165000000001</v>
      </c>
      <c r="D1655" s="14">
        <v>13743.164814814816</v>
      </c>
      <c r="E1655" s="14">
        <f t="shared" si="26"/>
        <v>13743.165000000001</v>
      </c>
    </row>
    <row r="1656" spans="1:5" x14ac:dyDescent="0.3">
      <c r="A1656" s="7">
        <v>1009448</v>
      </c>
      <c r="B1656" s="7" t="s">
        <v>1660</v>
      </c>
      <c r="C1656" s="14">
        <v>476.67026785714285</v>
      </c>
      <c r="D1656" s="14">
        <v>476.67028708133972</v>
      </c>
      <c r="E1656" s="14">
        <f t="shared" si="26"/>
        <v>476.67028708133972</v>
      </c>
    </row>
    <row r="1657" spans="1:5" x14ac:dyDescent="0.3">
      <c r="A1657" s="7">
        <v>1009573</v>
      </c>
      <c r="B1657" s="7" t="s">
        <v>1661</v>
      </c>
      <c r="C1657" s="14">
        <v>6.1359999264223326</v>
      </c>
      <c r="D1657" s="14">
        <v>6.1359999339378017</v>
      </c>
      <c r="E1657" s="14">
        <f t="shared" si="26"/>
        <v>6.1359999339378017</v>
      </c>
    </row>
    <row r="1658" spans="1:5" x14ac:dyDescent="0.3">
      <c r="A1658" s="7">
        <v>1009574</v>
      </c>
      <c r="B1658" s="7" t="s">
        <v>1662</v>
      </c>
      <c r="C1658" s="14">
        <v>34.113799639987541</v>
      </c>
      <c r="D1658" s="14">
        <v>34.113799237611175</v>
      </c>
      <c r="E1658" s="14">
        <f t="shared" si="26"/>
        <v>34.113799639987541</v>
      </c>
    </row>
    <row r="1659" spans="1:5" x14ac:dyDescent="0.3">
      <c r="A1659" s="7">
        <v>1009576</v>
      </c>
      <c r="B1659" s="7" t="s">
        <v>1663</v>
      </c>
      <c r="C1659" s="14">
        <v>27.151800098445143</v>
      </c>
      <c r="D1659" s="14">
        <v>27.151800098445143</v>
      </c>
      <c r="E1659" s="14">
        <f t="shared" si="26"/>
        <v>27.151800098445143</v>
      </c>
    </row>
    <row r="1660" spans="1:5" x14ac:dyDescent="0.3">
      <c r="A1660" s="7">
        <v>1009578</v>
      </c>
      <c r="B1660" s="7" t="s">
        <v>1664</v>
      </c>
      <c r="C1660" s="14">
        <v>10571.833765290499</v>
      </c>
      <c r="D1660" s="14">
        <v>0</v>
      </c>
      <c r="E1660" s="14">
        <f t="shared" si="26"/>
        <v>10571.833765290499</v>
      </c>
    </row>
    <row r="1661" spans="1:5" x14ac:dyDescent="0.3">
      <c r="A1661" s="7">
        <v>1009580</v>
      </c>
      <c r="B1661" s="7" t="s">
        <v>1665</v>
      </c>
      <c r="C1661" s="14">
        <v>6937.7644151971499</v>
      </c>
      <c r="D1661" s="14">
        <v>0</v>
      </c>
      <c r="E1661" s="14">
        <f t="shared" si="26"/>
        <v>6937.7644151971499</v>
      </c>
    </row>
    <row r="1662" spans="1:5" x14ac:dyDescent="0.3">
      <c r="A1662" s="7">
        <v>1009584</v>
      </c>
      <c r="B1662" s="7" t="s">
        <v>1666</v>
      </c>
      <c r="C1662" s="14">
        <v>391097.23333333334</v>
      </c>
      <c r="D1662" s="14">
        <v>391097.23333333334</v>
      </c>
      <c r="E1662" s="14">
        <f t="shared" si="26"/>
        <v>391097.23333333334</v>
      </c>
    </row>
    <row r="1663" spans="1:5" x14ac:dyDescent="0.3">
      <c r="A1663" s="7">
        <v>1009585</v>
      </c>
      <c r="B1663" s="7" t="s">
        <v>1667</v>
      </c>
      <c r="C1663" s="14">
        <v>905355</v>
      </c>
      <c r="D1663" s="14">
        <v>0</v>
      </c>
      <c r="E1663" s="14">
        <f t="shared" si="26"/>
        <v>905355</v>
      </c>
    </row>
    <row r="1664" spans="1:5" x14ac:dyDescent="0.3">
      <c r="A1664" s="7">
        <v>1009587</v>
      </c>
      <c r="B1664" s="7" t="s">
        <v>1668</v>
      </c>
      <c r="C1664" s="14">
        <v>503.69425000000001</v>
      </c>
      <c r="D1664" s="14">
        <v>503.69425000000001</v>
      </c>
      <c r="E1664" s="14">
        <f t="shared" si="26"/>
        <v>503.69425000000001</v>
      </c>
    </row>
    <row r="1665" spans="1:5" x14ac:dyDescent="0.3">
      <c r="A1665" s="7">
        <v>1009588</v>
      </c>
      <c r="B1665" s="7" t="s">
        <v>1669</v>
      </c>
      <c r="C1665" s="14">
        <v>259.01</v>
      </c>
      <c r="D1665" s="14">
        <v>0</v>
      </c>
      <c r="E1665" s="14">
        <f t="shared" si="26"/>
        <v>259.01</v>
      </c>
    </row>
    <row r="1666" spans="1:5" x14ac:dyDescent="0.3">
      <c r="A1666" s="7">
        <v>1009589</v>
      </c>
      <c r="B1666" s="7" t="s">
        <v>1670</v>
      </c>
      <c r="C1666" s="14">
        <v>31886036.215</v>
      </c>
      <c r="D1666" s="14">
        <v>0</v>
      </c>
      <c r="E1666" s="14">
        <f t="shared" si="26"/>
        <v>31886036.215</v>
      </c>
    </row>
    <row r="1667" spans="1:5" x14ac:dyDescent="0.3">
      <c r="A1667" s="7">
        <v>1009591</v>
      </c>
      <c r="B1667" s="7" t="s">
        <v>1671</v>
      </c>
      <c r="C1667" s="14">
        <v>33102628.329999998</v>
      </c>
      <c r="D1667" s="14">
        <v>0</v>
      </c>
      <c r="E1667" s="14">
        <f t="shared" si="26"/>
        <v>33102628.329999998</v>
      </c>
    </row>
    <row r="1668" spans="1:5" x14ac:dyDescent="0.3">
      <c r="A1668" s="7">
        <v>1009592</v>
      </c>
      <c r="B1668" s="7" t="s">
        <v>1672</v>
      </c>
      <c r="C1668" s="14">
        <v>27790627.890000001</v>
      </c>
      <c r="D1668" s="14">
        <v>0</v>
      </c>
      <c r="E1668" s="14">
        <f t="shared" si="26"/>
        <v>27790627.890000001</v>
      </c>
    </row>
    <row r="1669" spans="1:5" x14ac:dyDescent="0.3">
      <c r="A1669" s="7">
        <v>1009593</v>
      </c>
      <c r="B1669" s="7" t="s">
        <v>1673</v>
      </c>
      <c r="C1669" s="14">
        <v>11879.67266606335</v>
      </c>
      <c r="D1669" s="14">
        <v>5980.4829901960784</v>
      </c>
      <c r="E1669" s="14">
        <f t="shared" si="26"/>
        <v>11879.67266606335</v>
      </c>
    </row>
    <row r="1670" spans="1:5" x14ac:dyDescent="0.3">
      <c r="A1670" s="7">
        <v>1009594</v>
      </c>
      <c r="B1670" s="7" t="s">
        <v>1674</v>
      </c>
      <c r="C1670" s="14">
        <v>61776.81</v>
      </c>
      <c r="D1670" s="14">
        <v>61776.81</v>
      </c>
      <c r="E1670" s="14">
        <f t="shared" si="26"/>
        <v>61776.81</v>
      </c>
    </row>
    <row r="1671" spans="1:5" x14ac:dyDescent="0.3">
      <c r="A1671" s="7">
        <v>1009595</v>
      </c>
      <c r="B1671" s="7" t="s">
        <v>1675</v>
      </c>
      <c r="C1671" s="14">
        <v>600.7970015948963</v>
      </c>
      <c r="D1671" s="14">
        <v>600.7970015948963</v>
      </c>
      <c r="E1671" s="14">
        <f t="shared" si="26"/>
        <v>600.7970015948963</v>
      </c>
    </row>
    <row r="1672" spans="1:5" x14ac:dyDescent="0.3">
      <c r="A1672" s="7">
        <v>1009596</v>
      </c>
      <c r="B1672" s="7" t="s">
        <v>1676</v>
      </c>
      <c r="C1672" s="14">
        <v>57540.834999999999</v>
      </c>
      <c r="D1672" s="14">
        <v>0</v>
      </c>
      <c r="E1672" s="14">
        <f t="shared" si="26"/>
        <v>57540.834999999999</v>
      </c>
    </row>
    <row r="1673" spans="1:5" x14ac:dyDescent="0.3">
      <c r="A1673" s="7">
        <v>1009597</v>
      </c>
      <c r="B1673" s="7" t="s">
        <v>1677</v>
      </c>
      <c r="C1673" s="14">
        <v>70175</v>
      </c>
      <c r="D1673" s="14">
        <v>0</v>
      </c>
      <c r="E1673" s="14">
        <f t="shared" si="26"/>
        <v>70175</v>
      </c>
    </row>
    <row r="1674" spans="1:5" x14ac:dyDescent="0.3">
      <c r="A1674" s="7">
        <v>1009598</v>
      </c>
      <c r="B1674" s="7" t="s">
        <v>1678</v>
      </c>
      <c r="C1674" s="14">
        <v>80111.820000000007</v>
      </c>
      <c r="D1674" s="14">
        <v>0</v>
      </c>
      <c r="E1674" s="14">
        <f t="shared" si="26"/>
        <v>80111.820000000007</v>
      </c>
    </row>
    <row r="1675" spans="1:5" x14ac:dyDescent="0.3">
      <c r="A1675" s="7">
        <v>1009599</v>
      </c>
      <c r="B1675" s="7" t="s">
        <v>1679</v>
      </c>
      <c r="C1675" s="14">
        <v>87125.645000000004</v>
      </c>
      <c r="D1675" s="14">
        <v>0</v>
      </c>
      <c r="E1675" s="14">
        <f t="shared" si="26"/>
        <v>87125.645000000004</v>
      </c>
    </row>
    <row r="1676" spans="1:5" x14ac:dyDescent="0.3">
      <c r="A1676" s="7">
        <v>1009631</v>
      </c>
      <c r="B1676" s="7" t="s">
        <v>1680</v>
      </c>
      <c r="C1676" s="14">
        <v>630266.91</v>
      </c>
      <c r="D1676" s="14">
        <v>0</v>
      </c>
      <c r="E1676" s="14">
        <f t="shared" si="26"/>
        <v>630266.91</v>
      </c>
    </row>
    <row r="1677" spans="1:5" x14ac:dyDescent="0.3">
      <c r="A1677" s="7">
        <v>1009664</v>
      </c>
      <c r="B1677" s="7" t="s">
        <v>1681</v>
      </c>
      <c r="C1677" s="14">
        <v>3340.2862500000001</v>
      </c>
      <c r="D1677" s="14">
        <v>0</v>
      </c>
      <c r="E1677" s="14">
        <f t="shared" si="26"/>
        <v>3340.2862500000001</v>
      </c>
    </row>
    <row r="1678" spans="1:5" x14ac:dyDescent="0.3">
      <c r="A1678" s="7">
        <v>1009670</v>
      </c>
      <c r="B1678" s="7" t="s">
        <v>1682</v>
      </c>
      <c r="C1678" s="14">
        <v>230.1</v>
      </c>
      <c r="D1678" s="14">
        <v>0</v>
      </c>
      <c r="E1678" s="14">
        <f t="shared" si="26"/>
        <v>230.1</v>
      </c>
    </row>
    <row r="1679" spans="1:5" x14ac:dyDescent="0.3">
      <c r="A1679" s="7">
        <v>1009706</v>
      </c>
      <c r="B1679" s="7" t="s">
        <v>1683</v>
      </c>
      <c r="C1679" s="14">
        <v>96.553827515330994</v>
      </c>
      <c r="D1679" s="14">
        <v>0</v>
      </c>
      <c r="E1679" s="14">
        <f t="shared" si="26"/>
        <v>96.553827515330994</v>
      </c>
    </row>
    <row r="1680" spans="1:5" x14ac:dyDescent="0.3">
      <c r="A1680" s="7">
        <v>1009715</v>
      </c>
      <c r="B1680" s="7" t="s">
        <v>1684</v>
      </c>
      <c r="C1680" s="14">
        <v>1444.2711538461499</v>
      </c>
      <c r="D1680" s="14">
        <v>0</v>
      </c>
      <c r="E1680" s="14">
        <f t="shared" si="26"/>
        <v>1444.2711538461499</v>
      </c>
    </row>
    <row r="1681" spans="1:5" x14ac:dyDescent="0.3">
      <c r="A1681" s="7">
        <v>1009734</v>
      </c>
      <c r="B1681" s="7" t="s">
        <v>1685</v>
      </c>
      <c r="C1681" s="14">
        <v>48148.372222222199</v>
      </c>
      <c r="D1681" s="14">
        <v>0</v>
      </c>
      <c r="E1681" s="14">
        <f t="shared" si="26"/>
        <v>48148.372222222199</v>
      </c>
    </row>
    <row r="1682" spans="1:5" x14ac:dyDescent="0.3">
      <c r="A1682" s="7">
        <v>1009736</v>
      </c>
      <c r="B1682" s="7" t="s">
        <v>1686</v>
      </c>
      <c r="C1682" s="14">
        <v>64361.595000000001</v>
      </c>
      <c r="D1682" s="14">
        <v>64361.593333333331</v>
      </c>
      <c r="E1682" s="14">
        <f t="shared" si="26"/>
        <v>64361.595000000001</v>
      </c>
    </row>
    <row r="1683" spans="1:5" x14ac:dyDescent="0.3">
      <c r="A1683" s="7">
        <v>1009737</v>
      </c>
      <c r="B1683" s="7" t="s">
        <v>1687</v>
      </c>
      <c r="C1683" s="14">
        <v>384306.74285714288</v>
      </c>
      <c r="D1683" s="14">
        <v>384306.74249999999</v>
      </c>
      <c r="E1683" s="14">
        <f t="shared" si="26"/>
        <v>384306.74285714288</v>
      </c>
    </row>
    <row r="1684" spans="1:5" x14ac:dyDescent="0.3">
      <c r="A1684" s="7">
        <v>1009739</v>
      </c>
      <c r="B1684" s="7" t="s">
        <v>1688</v>
      </c>
      <c r="C1684" s="14">
        <v>384306.74075</v>
      </c>
      <c r="D1684" s="14">
        <v>0</v>
      </c>
      <c r="E1684" s="14">
        <f t="shared" si="26"/>
        <v>384306.74075</v>
      </c>
    </row>
    <row r="1685" spans="1:5" x14ac:dyDescent="0.3">
      <c r="A1685" s="7">
        <v>1009741</v>
      </c>
      <c r="B1685" s="7" t="s">
        <v>1689</v>
      </c>
      <c r="C1685" s="14">
        <v>630266.91</v>
      </c>
      <c r="D1685" s="14">
        <v>1900000</v>
      </c>
      <c r="E1685" s="14">
        <f t="shared" si="26"/>
        <v>1900000</v>
      </c>
    </row>
    <row r="1686" spans="1:5" x14ac:dyDescent="0.3">
      <c r="A1686" s="7">
        <v>1009742</v>
      </c>
      <c r="B1686" s="7" t="s">
        <v>1690</v>
      </c>
      <c r="C1686" s="14">
        <v>1233100</v>
      </c>
      <c r="D1686" s="14">
        <v>0</v>
      </c>
      <c r="E1686" s="14">
        <f t="shared" si="26"/>
        <v>1233100</v>
      </c>
    </row>
    <row r="1687" spans="1:5" x14ac:dyDescent="0.3">
      <c r="A1687" s="7">
        <v>1009743</v>
      </c>
      <c r="B1687" s="7" t="s">
        <v>1691</v>
      </c>
      <c r="C1687" s="14">
        <v>1233.7923333333299</v>
      </c>
      <c r="D1687" s="14">
        <v>0</v>
      </c>
      <c r="E1687" s="14">
        <f t="shared" si="26"/>
        <v>1233.7923333333299</v>
      </c>
    </row>
    <row r="1688" spans="1:5" x14ac:dyDescent="0.3">
      <c r="A1688" s="7">
        <v>1009745</v>
      </c>
      <c r="B1688" s="7" t="s">
        <v>1692</v>
      </c>
      <c r="C1688" s="14">
        <v>270.37135779816498</v>
      </c>
      <c r="D1688" s="14">
        <v>0</v>
      </c>
      <c r="E1688" s="14">
        <f t="shared" si="26"/>
        <v>270.37135779816498</v>
      </c>
    </row>
    <row r="1689" spans="1:5" x14ac:dyDescent="0.3">
      <c r="A1689" s="7">
        <v>1009746</v>
      </c>
      <c r="B1689" s="7" t="s">
        <v>1693</v>
      </c>
      <c r="C1689" s="14">
        <v>98.992628968253996</v>
      </c>
      <c r="D1689" s="14">
        <v>76.7</v>
      </c>
      <c r="E1689" s="14">
        <f t="shared" si="26"/>
        <v>98.992628968253996</v>
      </c>
    </row>
    <row r="1690" spans="1:5" x14ac:dyDescent="0.3">
      <c r="A1690" s="7">
        <v>1009747</v>
      </c>
      <c r="B1690" s="7" t="s">
        <v>1694</v>
      </c>
      <c r="C1690" s="14">
        <v>104.5433870620015</v>
      </c>
      <c r="D1690" s="14">
        <v>95.33</v>
      </c>
      <c r="E1690" s="14">
        <f t="shared" si="26"/>
        <v>104.5433870620015</v>
      </c>
    </row>
    <row r="1691" spans="1:5" x14ac:dyDescent="0.3">
      <c r="A1691" s="7">
        <v>1009748</v>
      </c>
      <c r="B1691" s="7" t="s">
        <v>1693</v>
      </c>
      <c r="C1691" s="14">
        <v>223.23240074392999</v>
      </c>
      <c r="D1691" s="14">
        <v>0</v>
      </c>
      <c r="E1691" s="14">
        <f t="shared" si="26"/>
        <v>223.23240074392999</v>
      </c>
    </row>
    <row r="1692" spans="1:5" x14ac:dyDescent="0.3">
      <c r="A1692" s="7">
        <v>1009749</v>
      </c>
      <c r="B1692" s="7" t="s">
        <v>1694</v>
      </c>
      <c r="C1692" s="14">
        <v>228.77839449541301</v>
      </c>
      <c r="D1692" s="14">
        <v>0</v>
      </c>
      <c r="E1692" s="14">
        <f t="shared" si="26"/>
        <v>228.77839449541301</v>
      </c>
    </row>
    <row r="1693" spans="1:5" x14ac:dyDescent="0.3">
      <c r="A1693" s="7">
        <v>1009750</v>
      </c>
      <c r="B1693" s="7" t="s">
        <v>1695</v>
      </c>
      <c r="C1693" s="14">
        <v>298.93</v>
      </c>
      <c r="D1693" s="14">
        <v>298.93</v>
      </c>
      <c r="E1693" s="14">
        <f t="shared" si="26"/>
        <v>298.93</v>
      </c>
    </row>
    <row r="1694" spans="1:5" x14ac:dyDescent="0.3">
      <c r="A1694" s="7">
        <v>1009751</v>
      </c>
      <c r="B1694" s="7" t="s">
        <v>1696</v>
      </c>
      <c r="C1694" s="14">
        <v>988.25</v>
      </c>
      <c r="D1694" s="14">
        <v>988.25</v>
      </c>
      <c r="E1694" s="14">
        <f t="shared" si="26"/>
        <v>988.25</v>
      </c>
    </row>
    <row r="1695" spans="1:5" x14ac:dyDescent="0.3">
      <c r="A1695" s="7">
        <v>1009752</v>
      </c>
      <c r="B1695" s="7" t="s">
        <v>1697</v>
      </c>
      <c r="C1695" s="14">
        <v>793.56007399272903</v>
      </c>
      <c r="D1695" s="14">
        <v>0</v>
      </c>
      <c r="E1695" s="14">
        <f t="shared" si="26"/>
        <v>793.56007399272903</v>
      </c>
    </row>
    <row r="1696" spans="1:5" x14ac:dyDescent="0.3">
      <c r="A1696" s="7">
        <v>1009754</v>
      </c>
      <c r="B1696" s="7" t="s">
        <v>1698</v>
      </c>
      <c r="C1696" s="14">
        <v>650.37487395124208</v>
      </c>
      <c r="D1696" s="14">
        <v>432.10829446359764</v>
      </c>
      <c r="E1696" s="14">
        <f t="shared" si="26"/>
        <v>650.37487395124208</v>
      </c>
    </row>
    <row r="1697" spans="1:5" x14ac:dyDescent="0.3">
      <c r="A1697" s="7">
        <v>1009779</v>
      </c>
      <c r="B1697" s="7" t="s">
        <v>1699</v>
      </c>
      <c r="C1697" s="14">
        <v>815.02642933006916</v>
      </c>
      <c r="D1697" s="14">
        <v>497.01753597122303</v>
      </c>
      <c r="E1697" s="14">
        <f t="shared" ref="E1697:E1760" si="27">+MAX(C1697, D1697)</f>
        <v>815.02642933006916</v>
      </c>
    </row>
    <row r="1698" spans="1:5" x14ac:dyDescent="0.3">
      <c r="A1698" s="7">
        <v>1009781</v>
      </c>
      <c r="B1698" s="7" t="s">
        <v>1700</v>
      </c>
      <c r="C1698" s="14">
        <v>1768.4189999999999</v>
      </c>
      <c r="D1698" s="14">
        <v>52.161531215772186</v>
      </c>
      <c r="E1698" s="14">
        <f t="shared" si="27"/>
        <v>1768.4189999999999</v>
      </c>
    </row>
    <row r="1699" spans="1:5" x14ac:dyDescent="0.3">
      <c r="A1699" s="7">
        <v>1009782</v>
      </c>
      <c r="B1699" s="7" t="s">
        <v>1701</v>
      </c>
      <c r="C1699" s="14">
        <v>279.87694667317805</v>
      </c>
      <c r="D1699" s="14">
        <v>0</v>
      </c>
      <c r="E1699" s="14">
        <f t="shared" si="27"/>
        <v>279.87694667317805</v>
      </c>
    </row>
    <row r="1700" spans="1:5" x14ac:dyDescent="0.3">
      <c r="A1700" s="7">
        <v>1009783</v>
      </c>
      <c r="B1700" s="7" t="s">
        <v>1702</v>
      </c>
      <c r="C1700" s="14">
        <v>0</v>
      </c>
      <c r="D1700" s="14">
        <v>12.012529365700862</v>
      </c>
      <c r="E1700" s="14">
        <f t="shared" si="27"/>
        <v>12.012529365700862</v>
      </c>
    </row>
    <row r="1701" spans="1:5" x14ac:dyDescent="0.3">
      <c r="A1701" s="7">
        <v>1009784</v>
      </c>
      <c r="B1701" s="7" t="s">
        <v>1703</v>
      </c>
      <c r="C1701" s="14">
        <v>0</v>
      </c>
      <c r="D1701" s="14">
        <v>0</v>
      </c>
      <c r="E1701" s="14">
        <f t="shared" si="27"/>
        <v>0</v>
      </c>
    </row>
    <row r="1702" spans="1:5" x14ac:dyDescent="0.3">
      <c r="A1702" s="7">
        <v>1009787</v>
      </c>
      <c r="B1702" s="7" t="s">
        <v>1704</v>
      </c>
      <c r="C1702" s="14">
        <v>203.55</v>
      </c>
      <c r="D1702" s="14">
        <v>130.79742138364782</v>
      </c>
      <c r="E1702" s="14">
        <f t="shared" si="27"/>
        <v>203.55</v>
      </c>
    </row>
    <row r="1703" spans="1:5" x14ac:dyDescent="0.3">
      <c r="A1703" s="7">
        <v>1009789</v>
      </c>
      <c r="B1703" s="7" t="s">
        <v>1705</v>
      </c>
      <c r="C1703" s="14">
        <v>405.91999999999996</v>
      </c>
      <c r="D1703" s="14">
        <v>61.367972972972979</v>
      </c>
      <c r="E1703" s="14">
        <f t="shared" si="27"/>
        <v>405.91999999999996</v>
      </c>
    </row>
    <row r="1704" spans="1:5" x14ac:dyDescent="0.3">
      <c r="A1704" s="7">
        <v>1009790</v>
      </c>
      <c r="B1704" s="7" t="s">
        <v>1706</v>
      </c>
      <c r="C1704" s="14">
        <v>407.1</v>
      </c>
      <c r="D1704" s="14">
        <v>0</v>
      </c>
      <c r="E1704" s="14">
        <f t="shared" si="27"/>
        <v>407.1</v>
      </c>
    </row>
    <row r="1705" spans="1:5" x14ac:dyDescent="0.3">
      <c r="A1705" s="7">
        <v>1009791</v>
      </c>
      <c r="B1705" s="7" t="s">
        <v>1707</v>
      </c>
      <c r="C1705" s="14">
        <v>0</v>
      </c>
      <c r="D1705" s="14">
        <v>0</v>
      </c>
      <c r="E1705" s="14">
        <f t="shared" si="27"/>
        <v>0</v>
      </c>
    </row>
    <row r="1706" spans="1:5" x14ac:dyDescent="0.3">
      <c r="A1706" s="7">
        <v>1009792</v>
      </c>
      <c r="B1706" s="7" t="s">
        <v>1708</v>
      </c>
      <c r="C1706" s="14">
        <v>424.2087972949945</v>
      </c>
      <c r="D1706" s="14">
        <v>617.18268496420035</v>
      </c>
      <c r="E1706" s="14">
        <f t="shared" si="27"/>
        <v>617.18268496420035</v>
      </c>
    </row>
    <row r="1707" spans="1:5" x14ac:dyDescent="0.3">
      <c r="A1707" s="7">
        <v>1009793</v>
      </c>
      <c r="B1707" s="7" t="s">
        <v>1709</v>
      </c>
      <c r="C1707" s="14">
        <v>331.65435502958582</v>
      </c>
      <c r="D1707" s="14">
        <v>368.12402777777777</v>
      </c>
      <c r="E1707" s="14">
        <f t="shared" si="27"/>
        <v>368.12402777777777</v>
      </c>
    </row>
    <row r="1708" spans="1:5" x14ac:dyDescent="0.3">
      <c r="A1708" s="7">
        <v>1009796</v>
      </c>
      <c r="B1708" s="7" t="s">
        <v>1710</v>
      </c>
      <c r="C1708" s="14">
        <v>49135.943361253274</v>
      </c>
      <c r="D1708" s="14">
        <v>0</v>
      </c>
      <c r="E1708" s="14">
        <f t="shared" si="27"/>
        <v>49135.943361253274</v>
      </c>
    </row>
    <row r="1709" spans="1:5" x14ac:dyDescent="0.3">
      <c r="A1709" s="7">
        <v>1009798</v>
      </c>
      <c r="B1709" s="7" t="s">
        <v>1711</v>
      </c>
      <c r="C1709" s="14">
        <v>7447.6849019607798</v>
      </c>
      <c r="D1709" s="14">
        <v>0</v>
      </c>
      <c r="E1709" s="14">
        <f t="shared" si="27"/>
        <v>7447.6849019607798</v>
      </c>
    </row>
    <row r="1710" spans="1:5" x14ac:dyDescent="0.3">
      <c r="A1710" s="7">
        <v>1009800</v>
      </c>
      <c r="B1710" s="7" t="s">
        <v>1712</v>
      </c>
      <c r="C1710" s="14">
        <v>7723.4411261261284</v>
      </c>
      <c r="D1710" s="14">
        <v>0</v>
      </c>
      <c r="E1710" s="14">
        <f t="shared" si="27"/>
        <v>7723.4411261261284</v>
      </c>
    </row>
    <row r="1711" spans="1:5" x14ac:dyDescent="0.3">
      <c r="A1711" s="7">
        <v>1009801</v>
      </c>
      <c r="B1711" s="7" t="s">
        <v>1713</v>
      </c>
      <c r="C1711" s="14">
        <v>8275.1849999999995</v>
      </c>
      <c r="D1711" s="14">
        <v>0</v>
      </c>
      <c r="E1711" s="14">
        <f t="shared" si="27"/>
        <v>8275.1849999999995</v>
      </c>
    </row>
    <row r="1712" spans="1:5" x14ac:dyDescent="0.3">
      <c r="A1712" s="7">
        <v>1009804</v>
      </c>
      <c r="B1712" s="7" t="s">
        <v>1714</v>
      </c>
      <c r="C1712" s="14">
        <v>5869.3758956465135</v>
      </c>
      <c r="D1712" s="14">
        <v>3773.5711423220973</v>
      </c>
      <c r="E1712" s="14">
        <f t="shared" si="27"/>
        <v>5869.3758956465135</v>
      </c>
    </row>
    <row r="1713" spans="1:5" x14ac:dyDescent="0.3">
      <c r="A1713" s="7">
        <v>1009805</v>
      </c>
      <c r="B1713" s="7" t="s">
        <v>1715</v>
      </c>
      <c r="C1713" s="14">
        <v>1553.0098338560199</v>
      </c>
      <c r="D1713" s="14">
        <v>0</v>
      </c>
      <c r="E1713" s="14">
        <f t="shared" si="27"/>
        <v>1553.0098338560199</v>
      </c>
    </row>
    <row r="1714" spans="1:5" x14ac:dyDescent="0.3">
      <c r="A1714" s="7">
        <v>1009807</v>
      </c>
      <c r="B1714" s="7" t="s">
        <v>1716</v>
      </c>
      <c r="C1714" s="14">
        <v>31115.338478260866</v>
      </c>
      <c r="D1714" s="14">
        <v>0</v>
      </c>
      <c r="E1714" s="14">
        <f t="shared" si="27"/>
        <v>31115.338478260866</v>
      </c>
    </row>
    <row r="1715" spans="1:5" x14ac:dyDescent="0.3">
      <c r="A1715" s="7">
        <v>1009808</v>
      </c>
      <c r="B1715" s="7" t="s">
        <v>1717</v>
      </c>
      <c r="C1715" s="14">
        <v>114570.9</v>
      </c>
      <c r="D1715" s="14">
        <v>114570.90000000001</v>
      </c>
      <c r="E1715" s="14">
        <f t="shared" si="27"/>
        <v>114570.90000000001</v>
      </c>
    </row>
    <row r="1716" spans="1:5" x14ac:dyDescent="0.3">
      <c r="A1716" s="7">
        <v>1009810</v>
      </c>
      <c r="B1716" s="7" t="s">
        <v>1718</v>
      </c>
      <c r="C1716" s="14">
        <v>0</v>
      </c>
      <c r="D1716" s="14">
        <v>0</v>
      </c>
      <c r="E1716" s="14">
        <f t="shared" si="27"/>
        <v>0</v>
      </c>
    </row>
    <row r="1717" spans="1:5" x14ac:dyDescent="0.3">
      <c r="A1717" s="7">
        <v>1009811</v>
      </c>
      <c r="B1717" s="7" t="s">
        <v>1719</v>
      </c>
      <c r="C1717" s="14">
        <v>1024.9656721034848</v>
      </c>
      <c r="D1717" s="14">
        <v>0</v>
      </c>
      <c r="E1717" s="14">
        <f t="shared" si="27"/>
        <v>1024.9656721034848</v>
      </c>
    </row>
    <row r="1718" spans="1:5" x14ac:dyDescent="0.3">
      <c r="A1718" s="7">
        <v>1009812</v>
      </c>
      <c r="B1718" s="7" t="s">
        <v>1720</v>
      </c>
      <c r="C1718" s="14">
        <v>26107.5</v>
      </c>
      <c r="D1718" s="14">
        <v>33040</v>
      </c>
      <c r="E1718" s="14">
        <f>+MAX(C1718, D1718)</f>
        <v>33040</v>
      </c>
    </row>
    <row r="1719" spans="1:5" x14ac:dyDescent="0.3">
      <c r="A1719" s="7">
        <v>1009813</v>
      </c>
      <c r="B1719" s="7" t="s">
        <v>1721</v>
      </c>
      <c r="C1719" s="14">
        <v>35954.967945278084</v>
      </c>
      <c r="D1719" s="14">
        <v>44840</v>
      </c>
      <c r="E1719" s="14">
        <f t="shared" si="27"/>
        <v>44840</v>
      </c>
    </row>
    <row r="1720" spans="1:5" x14ac:dyDescent="0.3">
      <c r="A1720" s="7">
        <v>1009821</v>
      </c>
      <c r="B1720" s="7" t="s">
        <v>1722</v>
      </c>
      <c r="C1720" s="14">
        <v>160.19</v>
      </c>
      <c r="D1720" s="14">
        <v>160.19</v>
      </c>
      <c r="E1720" s="14">
        <f t="shared" si="27"/>
        <v>160.19</v>
      </c>
    </row>
    <row r="1721" spans="1:5" x14ac:dyDescent="0.3">
      <c r="A1721" s="7">
        <v>1009853</v>
      </c>
      <c r="B1721" s="7" t="s">
        <v>1723</v>
      </c>
      <c r="C1721" s="14">
        <v>8.2608695652173908E-3</v>
      </c>
      <c r="D1721" s="14">
        <v>0</v>
      </c>
      <c r="E1721" s="14">
        <f t="shared" si="27"/>
        <v>8.2608695652173908E-3</v>
      </c>
    </row>
    <row r="1722" spans="1:5" x14ac:dyDescent="0.3">
      <c r="A1722" s="7">
        <v>1009854</v>
      </c>
      <c r="B1722" s="7" t="s">
        <v>1724</v>
      </c>
      <c r="C1722" s="14">
        <v>8.6666666666666697E-3</v>
      </c>
      <c r="D1722" s="14">
        <v>0</v>
      </c>
      <c r="E1722" s="14">
        <f t="shared" si="27"/>
        <v>8.6666666666666697E-3</v>
      </c>
    </row>
    <row r="1723" spans="1:5" x14ac:dyDescent="0.3">
      <c r="A1723" s="7">
        <v>1009873</v>
      </c>
      <c r="B1723" s="7" t="s">
        <v>1725</v>
      </c>
      <c r="C1723" s="14">
        <v>3501.4346949180745</v>
      </c>
      <c r="D1723" s="14">
        <v>2386.5353077609279</v>
      </c>
      <c r="E1723" s="14">
        <f t="shared" si="27"/>
        <v>3501.4346949180745</v>
      </c>
    </row>
    <row r="1724" spans="1:5" x14ac:dyDescent="0.3">
      <c r="A1724" s="7">
        <v>1009878</v>
      </c>
      <c r="B1724" s="7" t="s">
        <v>1726</v>
      </c>
      <c r="C1724" s="14">
        <v>11115.131531953733</v>
      </c>
      <c r="D1724" s="14">
        <v>6182.9476521149063</v>
      </c>
      <c r="E1724" s="14">
        <f t="shared" si="27"/>
        <v>11115.131531953733</v>
      </c>
    </row>
    <row r="1725" spans="1:5" x14ac:dyDescent="0.3">
      <c r="A1725" s="7">
        <v>1009879</v>
      </c>
      <c r="B1725" s="7" t="s">
        <v>1727</v>
      </c>
      <c r="C1725" s="14">
        <v>15720.591498855832</v>
      </c>
      <c r="D1725" s="14">
        <v>0</v>
      </c>
      <c r="E1725" s="14">
        <f t="shared" si="27"/>
        <v>15720.591498855832</v>
      </c>
    </row>
    <row r="1726" spans="1:5" x14ac:dyDescent="0.3">
      <c r="A1726" s="7">
        <v>1009881</v>
      </c>
      <c r="B1726" s="7" t="s">
        <v>1728</v>
      </c>
      <c r="C1726" s="14">
        <v>61814.3</v>
      </c>
      <c r="D1726" s="14">
        <v>61814.3</v>
      </c>
      <c r="E1726" s="14">
        <f t="shared" si="27"/>
        <v>61814.3</v>
      </c>
    </row>
    <row r="1727" spans="1:5" x14ac:dyDescent="0.3">
      <c r="A1727" s="7">
        <v>1009886</v>
      </c>
      <c r="B1727" s="7" t="s">
        <v>1729</v>
      </c>
      <c r="C1727" s="14">
        <v>729.55884461152868</v>
      </c>
      <c r="D1727" s="14">
        <v>607.79444444444437</v>
      </c>
      <c r="E1727" s="14">
        <f t="shared" si="27"/>
        <v>729.55884461152868</v>
      </c>
    </row>
    <row r="1728" spans="1:5" x14ac:dyDescent="0.3">
      <c r="A1728" s="7">
        <v>1009890</v>
      </c>
      <c r="B1728" s="7" t="s">
        <v>1730</v>
      </c>
      <c r="C1728" s="14">
        <v>0.01</v>
      </c>
      <c r="D1728" s="14">
        <v>0.01</v>
      </c>
      <c r="E1728" s="14">
        <f t="shared" si="27"/>
        <v>0.01</v>
      </c>
    </row>
    <row r="1729" spans="1:5" x14ac:dyDescent="0.3">
      <c r="A1729" s="7">
        <v>1009893</v>
      </c>
      <c r="B1729" s="7" t="s">
        <v>1731</v>
      </c>
      <c r="C1729" s="14">
        <v>9.9999999999999985E-3</v>
      </c>
      <c r="D1729" s="14">
        <v>9.9999999999999985E-3</v>
      </c>
      <c r="E1729" s="14">
        <f t="shared" si="27"/>
        <v>9.9999999999999985E-3</v>
      </c>
    </row>
    <row r="1730" spans="1:5" x14ac:dyDescent="0.3">
      <c r="A1730" s="7">
        <v>1009894</v>
      </c>
      <c r="B1730" s="7" t="s">
        <v>1732</v>
      </c>
      <c r="C1730" s="14">
        <v>0.01</v>
      </c>
      <c r="D1730" s="14">
        <v>0.01</v>
      </c>
      <c r="E1730" s="14">
        <f t="shared" si="27"/>
        <v>0.01</v>
      </c>
    </row>
    <row r="1731" spans="1:5" x14ac:dyDescent="0.3">
      <c r="A1731" s="7">
        <v>1009896</v>
      </c>
      <c r="B1731" s="7" t="s">
        <v>1733</v>
      </c>
      <c r="C1731" s="14">
        <v>0.01</v>
      </c>
      <c r="D1731" s="14">
        <v>0.01</v>
      </c>
      <c r="E1731" s="14">
        <f t="shared" si="27"/>
        <v>0.01</v>
      </c>
    </row>
    <row r="1732" spans="1:5" x14ac:dyDescent="0.3">
      <c r="A1732" s="7">
        <v>1009901</v>
      </c>
      <c r="B1732" s="7" t="s">
        <v>1734</v>
      </c>
      <c r="C1732" s="14">
        <v>0.01</v>
      </c>
      <c r="D1732" s="14">
        <v>0.01</v>
      </c>
      <c r="E1732" s="14">
        <f t="shared" si="27"/>
        <v>0.01</v>
      </c>
    </row>
    <row r="1733" spans="1:5" x14ac:dyDescent="0.3">
      <c r="A1733" s="7">
        <v>1009902</v>
      </c>
      <c r="B1733" s="7" t="s">
        <v>1735</v>
      </c>
      <c r="C1733" s="14">
        <v>9.9999999999999985E-3</v>
      </c>
      <c r="D1733" s="14">
        <v>9.9999999999999985E-3</v>
      </c>
      <c r="E1733" s="14">
        <f t="shared" si="27"/>
        <v>9.9999999999999985E-3</v>
      </c>
    </row>
    <row r="1734" spans="1:5" x14ac:dyDescent="0.3">
      <c r="A1734" s="7">
        <v>1009903</v>
      </c>
      <c r="B1734" s="7" t="s">
        <v>1736</v>
      </c>
      <c r="C1734" s="14">
        <v>0.01</v>
      </c>
      <c r="D1734" s="14">
        <v>5.4726368159203984E-3</v>
      </c>
      <c r="E1734" s="14">
        <f t="shared" si="27"/>
        <v>0.01</v>
      </c>
    </row>
    <row r="1735" spans="1:5" x14ac:dyDescent="0.3">
      <c r="A1735" s="7">
        <v>1009904</v>
      </c>
      <c r="B1735" s="7" t="s">
        <v>1737</v>
      </c>
      <c r="C1735" s="14">
        <v>0.01</v>
      </c>
      <c r="D1735" s="14">
        <v>0.01</v>
      </c>
      <c r="E1735" s="14">
        <f t="shared" si="27"/>
        <v>0.01</v>
      </c>
    </row>
    <row r="1736" spans="1:5" x14ac:dyDescent="0.3">
      <c r="A1736" s="7">
        <v>1009907</v>
      </c>
      <c r="B1736" s="7" t="s">
        <v>1738</v>
      </c>
      <c r="C1736" s="14">
        <v>1608.1431271477663</v>
      </c>
      <c r="D1736" s="14">
        <v>0</v>
      </c>
      <c r="E1736" s="14">
        <f t="shared" si="27"/>
        <v>1608.1431271477663</v>
      </c>
    </row>
    <row r="1737" spans="1:5" x14ac:dyDescent="0.3">
      <c r="A1737" s="7">
        <v>1009909</v>
      </c>
      <c r="B1737" s="7" t="s">
        <v>1739</v>
      </c>
      <c r="C1737" s="14">
        <v>491.82404351059199</v>
      </c>
      <c r="D1737" s="14">
        <v>0</v>
      </c>
      <c r="E1737" s="14">
        <f t="shared" si="27"/>
        <v>491.82404351059199</v>
      </c>
    </row>
    <row r="1738" spans="1:5" x14ac:dyDescent="0.3">
      <c r="A1738" s="7">
        <v>1009910</v>
      </c>
      <c r="B1738" s="7" t="s">
        <v>1740</v>
      </c>
      <c r="C1738" s="14">
        <v>0.01</v>
      </c>
      <c r="D1738" s="14">
        <v>0</v>
      </c>
      <c r="E1738" s="14">
        <f t="shared" si="27"/>
        <v>0.01</v>
      </c>
    </row>
    <row r="1739" spans="1:5" x14ac:dyDescent="0.3">
      <c r="A1739" s="7">
        <v>1009912</v>
      </c>
      <c r="B1739" s="7" t="s">
        <v>1741</v>
      </c>
      <c r="C1739" s="14">
        <v>0.01</v>
      </c>
      <c r="D1739" s="14">
        <v>0</v>
      </c>
      <c r="E1739" s="14">
        <f t="shared" si="27"/>
        <v>0.01</v>
      </c>
    </row>
    <row r="1740" spans="1:5" x14ac:dyDescent="0.3">
      <c r="A1740" s="7">
        <v>1009919</v>
      </c>
      <c r="B1740" s="7" t="s">
        <v>1742</v>
      </c>
      <c r="C1740" s="14">
        <v>0</v>
      </c>
      <c r="D1740" s="14">
        <v>0.01</v>
      </c>
      <c r="E1740" s="14">
        <f t="shared" si="27"/>
        <v>0.01</v>
      </c>
    </row>
    <row r="1741" spans="1:5" x14ac:dyDescent="0.3">
      <c r="A1741" s="7">
        <v>1009920</v>
      </c>
      <c r="B1741" s="7" t="s">
        <v>1743</v>
      </c>
      <c r="C1741" s="14">
        <v>9.9999999999999985E-3</v>
      </c>
      <c r="D1741" s="14">
        <v>9.9999999999999985E-3</v>
      </c>
      <c r="E1741" s="14">
        <f t="shared" si="27"/>
        <v>9.9999999999999985E-3</v>
      </c>
    </row>
    <row r="1742" spans="1:5" x14ac:dyDescent="0.3">
      <c r="A1742" s="7">
        <v>1009921</v>
      </c>
      <c r="B1742" s="7" t="s">
        <v>1744</v>
      </c>
      <c r="C1742" s="14">
        <v>0.01</v>
      </c>
      <c r="D1742" s="14">
        <v>0.01</v>
      </c>
      <c r="E1742" s="14">
        <f t="shared" si="27"/>
        <v>0.01</v>
      </c>
    </row>
    <row r="1743" spans="1:5" x14ac:dyDescent="0.3">
      <c r="A1743" s="7">
        <v>1009923</v>
      </c>
      <c r="B1743" s="7" t="s">
        <v>1745</v>
      </c>
      <c r="C1743" s="14">
        <v>0.01</v>
      </c>
      <c r="D1743" s="14">
        <v>0.01</v>
      </c>
      <c r="E1743" s="14">
        <f t="shared" si="27"/>
        <v>0.01</v>
      </c>
    </row>
    <row r="1744" spans="1:5" x14ac:dyDescent="0.3">
      <c r="A1744" s="7">
        <v>1009924</v>
      </c>
      <c r="B1744" s="7" t="s">
        <v>1746</v>
      </c>
      <c r="C1744" s="14">
        <v>0.01</v>
      </c>
      <c r="D1744" s="14">
        <v>0.01</v>
      </c>
      <c r="E1744" s="14">
        <f t="shared" si="27"/>
        <v>0.01</v>
      </c>
    </row>
    <row r="1745" spans="1:5" x14ac:dyDescent="0.3">
      <c r="A1745" s="7">
        <v>1009925</v>
      </c>
      <c r="B1745" s="7" t="s">
        <v>1747</v>
      </c>
      <c r="C1745" s="14">
        <v>5.0000000000000001E-3</v>
      </c>
      <c r="D1745" s="14">
        <v>0</v>
      </c>
      <c r="E1745" s="14">
        <f t="shared" si="27"/>
        <v>5.0000000000000001E-3</v>
      </c>
    </row>
    <row r="1746" spans="1:5" x14ac:dyDescent="0.3">
      <c r="A1746" s="7">
        <v>1009926</v>
      </c>
      <c r="B1746" s="7" t="s">
        <v>2011</v>
      </c>
      <c r="C1746" s="14">
        <v>2971.7356068693434</v>
      </c>
      <c r="D1746" s="14">
        <v>2882.8442123025006</v>
      </c>
      <c r="E1746" s="14">
        <f t="shared" si="27"/>
        <v>2971.7356068693434</v>
      </c>
    </row>
    <row r="1747" spans="1:5" x14ac:dyDescent="0.3">
      <c r="A1747" s="7">
        <v>1009928</v>
      </c>
      <c r="B1747" s="7" t="s">
        <v>1750</v>
      </c>
      <c r="C1747" s="14">
        <v>1455.8248775612192</v>
      </c>
      <c r="D1747" s="14">
        <v>1455.8248275862068</v>
      </c>
      <c r="E1747" s="14">
        <f t="shared" si="27"/>
        <v>1455.8248775612192</v>
      </c>
    </row>
    <row r="1748" spans="1:5" x14ac:dyDescent="0.3">
      <c r="A1748" s="7">
        <v>1009931</v>
      </c>
      <c r="B1748" s="7" t="s">
        <v>1751</v>
      </c>
      <c r="C1748" s="14">
        <v>645.97919917959496</v>
      </c>
      <c r="D1748" s="14">
        <v>0</v>
      </c>
      <c r="E1748" s="14">
        <f t="shared" si="27"/>
        <v>645.97919917959496</v>
      </c>
    </row>
    <row r="1749" spans="1:5" x14ac:dyDescent="0.3">
      <c r="A1749" s="7">
        <v>1009937</v>
      </c>
      <c r="B1749" s="7" t="s">
        <v>1752</v>
      </c>
      <c r="C1749" s="14">
        <v>697144.59</v>
      </c>
      <c r="D1749" s="14">
        <v>0</v>
      </c>
      <c r="E1749" s="14">
        <f t="shared" si="27"/>
        <v>697144.59</v>
      </c>
    </row>
    <row r="1750" spans="1:5" x14ac:dyDescent="0.3">
      <c r="A1750" s="7">
        <v>1009938</v>
      </c>
      <c r="B1750" s="7" t="s">
        <v>1753</v>
      </c>
      <c r="C1750" s="14">
        <v>1144.1279999999999</v>
      </c>
      <c r="D1750" s="14">
        <v>0</v>
      </c>
      <c r="E1750" s="14">
        <f t="shared" si="27"/>
        <v>1144.1279999999999</v>
      </c>
    </row>
    <row r="1751" spans="1:5" x14ac:dyDescent="0.3">
      <c r="A1751" s="7">
        <v>1009939</v>
      </c>
      <c r="B1751" s="7" t="s">
        <v>1754</v>
      </c>
      <c r="C1751" s="14">
        <v>24957</v>
      </c>
      <c r="D1751" s="14">
        <v>0</v>
      </c>
      <c r="E1751" s="14">
        <f t="shared" si="27"/>
        <v>24957</v>
      </c>
    </row>
    <row r="1752" spans="1:5" x14ac:dyDescent="0.3">
      <c r="A1752" s="7">
        <v>1009955</v>
      </c>
      <c r="B1752" s="7" t="s">
        <v>1755</v>
      </c>
      <c r="C1752" s="14">
        <v>3551.9887700534759</v>
      </c>
      <c r="D1752" s="14">
        <v>3551.9887912087911</v>
      </c>
      <c r="E1752" s="14">
        <f t="shared" si="27"/>
        <v>3551.9887912087911</v>
      </c>
    </row>
    <row r="1753" spans="1:5" x14ac:dyDescent="0.3">
      <c r="A1753" s="7">
        <v>1009963</v>
      </c>
      <c r="B1753" s="7" t="s">
        <v>1756</v>
      </c>
      <c r="C1753" s="14">
        <v>294.22849145029687</v>
      </c>
      <c r="D1753" s="14">
        <v>284.15071638285377</v>
      </c>
      <c r="E1753" s="14">
        <f t="shared" si="27"/>
        <v>294.22849145029687</v>
      </c>
    </row>
    <row r="1754" spans="1:5" x14ac:dyDescent="0.3">
      <c r="A1754" s="7">
        <v>1009964</v>
      </c>
      <c r="B1754" s="7" t="s">
        <v>1757</v>
      </c>
      <c r="C1754" s="14">
        <v>135.69999999999999</v>
      </c>
      <c r="D1754" s="14">
        <v>154.71111111111111</v>
      </c>
      <c r="E1754" s="14">
        <f t="shared" si="27"/>
        <v>154.71111111111111</v>
      </c>
    </row>
    <row r="1755" spans="1:5" x14ac:dyDescent="0.3">
      <c r="A1755" s="7">
        <v>1009980</v>
      </c>
      <c r="B1755" s="7" t="s">
        <v>1758</v>
      </c>
      <c r="C1755" s="14">
        <v>82.51481017469419</v>
      </c>
      <c r="D1755" s="14">
        <v>0</v>
      </c>
      <c r="E1755" s="14">
        <f t="shared" si="27"/>
        <v>82.51481017469419</v>
      </c>
    </row>
    <row r="1756" spans="1:5" x14ac:dyDescent="0.3">
      <c r="A1756" s="7">
        <v>1009982</v>
      </c>
      <c r="B1756" s="7" t="s">
        <v>1759</v>
      </c>
      <c r="C1756" s="14">
        <v>944</v>
      </c>
      <c r="D1756" s="14">
        <v>0</v>
      </c>
      <c r="E1756" s="14">
        <f t="shared" si="27"/>
        <v>944</v>
      </c>
    </row>
    <row r="1757" spans="1:5" x14ac:dyDescent="0.3">
      <c r="A1757" s="7">
        <v>1009988</v>
      </c>
      <c r="B1757" s="7" t="s">
        <v>1760</v>
      </c>
      <c r="C1757" s="14">
        <v>154177.255</v>
      </c>
      <c r="D1757" s="14">
        <v>0</v>
      </c>
      <c r="E1757" s="14">
        <f t="shared" si="27"/>
        <v>154177.255</v>
      </c>
    </row>
    <row r="1758" spans="1:5" x14ac:dyDescent="0.3">
      <c r="A1758" s="7">
        <v>1009992</v>
      </c>
      <c r="B1758" s="7" t="s">
        <v>1761</v>
      </c>
      <c r="C1758" s="14">
        <v>2436.7934166666669</v>
      </c>
      <c r="D1758" s="14">
        <v>2427.7650576779024</v>
      </c>
      <c r="E1758" s="14">
        <f t="shared" si="27"/>
        <v>2436.7934166666669</v>
      </c>
    </row>
    <row r="1759" spans="1:5" x14ac:dyDescent="0.3">
      <c r="A1759" s="7">
        <v>1009999</v>
      </c>
      <c r="B1759" s="7" t="s">
        <v>1762</v>
      </c>
      <c r="C1759" s="14">
        <v>126.67607073378301</v>
      </c>
      <c r="D1759" s="14">
        <v>0</v>
      </c>
      <c r="E1759" s="14">
        <f t="shared" si="27"/>
        <v>126.67607073378301</v>
      </c>
    </row>
    <row r="1760" spans="1:5" x14ac:dyDescent="0.3">
      <c r="A1760" s="7">
        <v>1010004</v>
      </c>
      <c r="B1760" s="7" t="s">
        <v>1763</v>
      </c>
      <c r="C1760" s="14">
        <v>12.98</v>
      </c>
      <c r="D1760" s="14">
        <v>12.98</v>
      </c>
      <c r="E1760" s="14">
        <f t="shared" si="27"/>
        <v>12.98</v>
      </c>
    </row>
    <row r="1761" spans="1:5" x14ac:dyDescent="0.3">
      <c r="A1761" s="7">
        <v>1010022</v>
      </c>
      <c r="B1761" s="7" t="s">
        <v>1764</v>
      </c>
      <c r="C1761" s="14">
        <v>30.278801843317972</v>
      </c>
      <c r="D1761" s="14">
        <v>30.278801467590704</v>
      </c>
      <c r="E1761" s="14">
        <f t="shared" ref="E1761:E1824" si="28">+MAX(C1761, D1761)</f>
        <v>30.278801843317972</v>
      </c>
    </row>
    <row r="1762" spans="1:5" x14ac:dyDescent="0.3">
      <c r="A1762" s="7">
        <v>1010023</v>
      </c>
      <c r="B1762" s="7" t="s">
        <v>1765</v>
      </c>
      <c r="C1762" s="14">
        <v>30.278803222094361</v>
      </c>
      <c r="D1762" s="14">
        <v>30.278803222094361</v>
      </c>
      <c r="E1762" s="14">
        <f t="shared" si="28"/>
        <v>30.278803222094361</v>
      </c>
    </row>
    <row r="1763" spans="1:5" x14ac:dyDescent="0.3">
      <c r="A1763" s="7">
        <v>1010024</v>
      </c>
      <c r="B1763" s="7" t="s">
        <v>1766</v>
      </c>
      <c r="C1763" s="14">
        <v>30.2788</v>
      </c>
      <c r="D1763" s="14">
        <v>30.2788</v>
      </c>
      <c r="E1763" s="14">
        <f t="shared" si="28"/>
        <v>30.2788</v>
      </c>
    </row>
    <row r="1764" spans="1:5" x14ac:dyDescent="0.3">
      <c r="A1764" s="7">
        <v>1010030</v>
      </c>
      <c r="B1764" s="7" t="s">
        <v>1767</v>
      </c>
      <c r="C1764" s="14">
        <v>4071</v>
      </c>
      <c r="D1764" s="14">
        <v>4071</v>
      </c>
      <c r="E1764" s="14">
        <f t="shared" si="28"/>
        <v>4071</v>
      </c>
    </row>
    <row r="1765" spans="1:5" x14ac:dyDescent="0.3">
      <c r="A1765" s="7">
        <v>1010239</v>
      </c>
      <c r="B1765" s="7" t="s">
        <v>1768</v>
      </c>
      <c r="C1765" s="14">
        <v>23.01</v>
      </c>
      <c r="D1765" s="14">
        <v>23.009999999999998</v>
      </c>
      <c r="E1765" s="14">
        <f t="shared" si="28"/>
        <v>23.01</v>
      </c>
    </row>
    <row r="1766" spans="1:5" x14ac:dyDescent="0.3">
      <c r="A1766" s="7">
        <v>1010240</v>
      </c>
      <c r="B1766" s="7" t="s">
        <v>1769</v>
      </c>
      <c r="C1766" s="14">
        <v>28.909999999999997</v>
      </c>
      <c r="D1766" s="14">
        <v>28.91</v>
      </c>
      <c r="E1766" s="14">
        <f t="shared" si="28"/>
        <v>28.91</v>
      </c>
    </row>
    <row r="1767" spans="1:5" x14ac:dyDescent="0.3">
      <c r="A1767" s="7">
        <v>1010241</v>
      </c>
      <c r="B1767" s="7" t="s">
        <v>1770</v>
      </c>
      <c r="C1767" s="14">
        <v>1150.54</v>
      </c>
      <c r="D1767" s="14">
        <v>1150.54</v>
      </c>
      <c r="E1767" s="14">
        <f t="shared" si="28"/>
        <v>1150.54</v>
      </c>
    </row>
    <row r="1768" spans="1:5" x14ac:dyDescent="0.3">
      <c r="A1768" s="7">
        <v>1010262</v>
      </c>
      <c r="B1768" s="7" t="s">
        <v>1771</v>
      </c>
      <c r="C1768" s="14">
        <v>2481.06</v>
      </c>
      <c r="D1768" s="14">
        <v>0</v>
      </c>
      <c r="E1768" s="14">
        <f t="shared" si="28"/>
        <v>2481.06</v>
      </c>
    </row>
    <row r="1769" spans="1:5" x14ac:dyDescent="0.3">
      <c r="A1769" s="7">
        <v>1010299</v>
      </c>
      <c r="B1769" s="7" t="s">
        <v>1772</v>
      </c>
      <c r="C1769" s="14">
        <v>2493.4811017838406</v>
      </c>
      <c r="D1769" s="14">
        <v>0</v>
      </c>
      <c r="E1769" s="14">
        <f t="shared" si="28"/>
        <v>2493.4811017838406</v>
      </c>
    </row>
    <row r="1770" spans="1:5" x14ac:dyDescent="0.3">
      <c r="A1770" s="7">
        <v>1010304</v>
      </c>
      <c r="B1770" s="7" t="s">
        <v>1773</v>
      </c>
      <c r="C1770" s="14">
        <v>1886.96</v>
      </c>
      <c r="D1770" s="14">
        <v>2676.5711705453282</v>
      </c>
      <c r="E1770" s="14">
        <f t="shared" si="28"/>
        <v>2676.5711705453282</v>
      </c>
    </row>
    <row r="1771" spans="1:5" x14ac:dyDescent="0.3">
      <c r="A1771" s="7">
        <v>1010307</v>
      </c>
      <c r="B1771" s="7" t="s">
        <v>1774</v>
      </c>
      <c r="C1771" s="14">
        <v>19429.858888888888</v>
      </c>
      <c r="D1771" s="14">
        <v>19429.858333333334</v>
      </c>
      <c r="E1771" s="14">
        <f t="shared" si="28"/>
        <v>19429.858888888888</v>
      </c>
    </row>
    <row r="1772" spans="1:5" x14ac:dyDescent="0.3">
      <c r="A1772" s="7">
        <v>1010308</v>
      </c>
      <c r="B1772" s="7" t="s">
        <v>1775</v>
      </c>
      <c r="C1772" s="14">
        <v>1185611.5423529411</v>
      </c>
      <c r="D1772" s="14">
        <v>1185611.5430000001</v>
      </c>
      <c r="E1772" s="14">
        <f t="shared" si="28"/>
        <v>1185611.5430000001</v>
      </c>
    </row>
    <row r="1773" spans="1:5" x14ac:dyDescent="0.3">
      <c r="A1773" s="7">
        <v>1010319</v>
      </c>
      <c r="B1773" s="7" t="s">
        <v>1776</v>
      </c>
      <c r="C1773" s="14">
        <v>42008.41</v>
      </c>
      <c r="D1773" s="14">
        <v>0</v>
      </c>
      <c r="E1773" s="14">
        <f t="shared" si="28"/>
        <v>42008.41</v>
      </c>
    </row>
    <row r="1774" spans="1:5" x14ac:dyDescent="0.3">
      <c r="A1774" s="7">
        <v>1010320</v>
      </c>
      <c r="B1774" s="7" t="s">
        <v>1777</v>
      </c>
      <c r="C1774" s="14">
        <v>32524.34</v>
      </c>
      <c r="D1774" s="14">
        <v>0</v>
      </c>
      <c r="E1774" s="14">
        <f t="shared" si="28"/>
        <v>32524.34</v>
      </c>
    </row>
    <row r="1775" spans="1:5" x14ac:dyDescent="0.3">
      <c r="A1775" s="7">
        <v>1010340</v>
      </c>
      <c r="B1775" s="7" t="s">
        <v>1778</v>
      </c>
      <c r="C1775" s="14">
        <v>700.92000000000007</v>
      </c>
      <c r="D1775" s="14">
        <v>0</v>
      </c>
      <c r="E1775" s="14">
        <f t="shared" si="28"/>
        <v>700.92000000000007</v>
      </c>
    </row>
    <row r="1776" spans="1:5" x14ac:dyDescent="0.3">
      <c r="A1776" s="7">
        <v>1010358</v>
      </c>
      <c r="B1776" s="7" t="s">
        <v>1779</v>
      </c>
      <c r="C1776" s="14">
        <v>3625.2383870967742</v>
      </c>
      <c r="D1776" s="14">
        <v>3625.2383870967742</v>
      </c>
      <c r="E1776" s="14">
        <f t="shared" si="28"/>
        <v>3625.2383870967742</v>
      </c>
    </row>
    <row r="1777" spans="1:5" x14ac:dyDescent="0.3">
      <c r="A1777" s="7">
        <v>1010360</v>
      </c>
      <c r="B1777" s="7" t="s">
        <v>1780</v>
      </c>
      <c r="C1777" s="14">
        <v>114570.90000000001</v>
      </c>
      <c r="D1777" s="14">
        <v>114570.9</v>
      </c>
      <c r="E1777" s="14">
        <f t="shared" si="28"/>
        <v>114570.90000000001</v>
      </c>
    </row>
    <row r="1778" spans="1:5" x14ac:dyDescent="0.3">
      <c r="A1778" s="7">
        <v>1010367</v>
      </c>
      <c r="B1778" s="7" t="s">
        <v>1781</v>
      </c>
      <c r="C1778" s="14">
        <v>163024</v>
      </c>
      <c r="D1778" s="14">
        <v>163024</v>
      </c>
      <c r="E1778" s="14">
        <f t="shared" si="28"/>
        <v>163024</v>
      </c>
    </row>
    <row r="1779" spans="1:5" x14ac:dyDescent="0.3">
      <c r="A1779" s="7">
        <v>1010382</v>
      </c>
      <c r="B1779" s="7" t="s">
        <v>1782</v>
      </c>
      <c r="C1779" s="14">
        <v>0.01</v>
      </c>
      <c r="D1779" s="14">
        <v>0.01</v>
      </c>
      <c r="E1779" s="14">
        <f t="shared" si="28"/>
        <v>0.01</v>
      </c>
    </row>
    <row r="1780" spans="1:5" x14ac:dyDescent="0.3">
      <c r="A1780" s="7">
        <v>1010400</v>
      </c>
      <c r="B1780" s="7" t="s">
        <v>1783</v>
      </c>
      <c r="C1780" s="14">
        <v>1528.0408333333335</v>
      </c>
      <c r="D1780" s="14">
        <v>1423.0210000910001</v>
      </c>
      <c r="E1780" s="14">
        <f t="shared" si="28"/>
        <v>1528.0408333333335</v>
      </c>
    </row>
    <row r="1781" spans="1:5" x14ac:dyDescent="0.3">
      <c r="A1781" s="7">
        <v>1010401</v>
      </c>
      <c r="B1781" s="7" t="s">
        <v>1784</v>
      </c>
      <c r="C1781" s="14">
        <v>1550.69</v>
      </c>
      <c r="D1781" s="14">
        <v>1140.6871615974928</v>
      </c>
      <c r="E1781" s="14">
        <f t="shared" si="28"/>
        <v>1550.69</v>
      </c>
    </row>
    <row r="1782" spans="1:5" x14ac:dyDescent="0.3">
      <c r="A1782" s="7">
        <v>1010402</v>
      </c>
      <c r="B1782" s="7" t="s">
        <v>1785</v>
      </c>
      <c r="C1782" s="14">
        <v>1239</v>
      </c>
      <c r="D1782" s="14">
        <v>1239</v>
      </c>
      <c r="E1782" s="14">
        <f t="shared" si="28"/>
        <v>1239</v>
      </c>
    </row>
    <row r="1783" spans="1:5" x14ac:dyDescent="0.3">
      <c r="A1783" s="7">
        <v>1010412</v>
      </c>
      <c r="B1783" s="7" t="s">
        <v>1786</v>
      </c>
      <c r="C1783" s="14">
        <v>22302</v>
      </c>
      <c r="D1783" s="14">
        <v>22302</v>
      </c>
      <c r="E1783" s="14">
        <f t="shared" si="28"/>
        <v>22302</v>
      </c>
    </row>
    <row r="1784" spans="1:5" x14ac:dyDescent="0.3">
      <c r="A1784" s="7">
        <v>1010421</v>
      </c>
      <c r="B1784" s="7" t="s">
        <v>1787</v>
      </c>
      <c r="C1784" s="14">
        <v>29.901201525746977</v>
      </c>
      <c r="D1784" s="14">
        <v>0</v>
      </c>
      <c r="E1784" s="14">
        <f t="shared" si="28"/>
        <v>29.901201525746977</v>
      </c>
    </row>
    <row r="1785" spans="1:5" x14ac:dyDescent="0.3">
      <c r="A1785" s="7">
        <v>1010428</v>
      </c>
      <c r="B1785" s="7" t="s">
        <v>1788</v>
      </c>
      <c r="C1785" s="14">
        <v>545.16</v>
      </c>
      <c r="D1785" s="14">
        <v>545.16</v>
      </c>
      <c r="E1785" s="14">
        <f t="shared" si="28"/>
        <v>545.16</v>
      </c>
    </row>
    <row r="1786" spans="1:5" x14ac:dyDescent="0.3">
      <c r="A1786" s="7">
        <v>1010432</v>
      </c>
      <c r="B1786" s="7" t="s">
        <v>1789</v>
      </c>
      <c r="C1786" s="14">
        <v>500</v>
      </c>
      <c r="D1786" s="14">
        <v>500</v>
      </c>
      <c r="E1786" s="14">
        <f t="shared" si="28"/>
        <v>500</v>
      </c>
    </row>
    <row r="1787" spans="1:5" x14ac:dyDescent="0.3">
      <c r="A1787" s="7">
        <v>1010447</v>
      </c>
      <c r="B1787" s="7" t="s">
        <v>1790</v>
      </c>
      <c r="C1787" s="14">
        <v>15000</v>
      </c>
      <c r="D1787" s="14">
        <v>15000</v>
      </c>
      <c r="E1787" s="14">
        <f t="shared" si="28"/>
        <v>15000</v>
      </c>
    </row>
    <row r="1788" spans="1:5" x14ac:dyDescent="0.3">
      <c r="A1788" s="7">
        <v>1010558</v>
      </c>
      <c r="B1788" s="7" t="s">
        <v>1791</v>
      </c>
      <c r="C1788" s="14">
        <v>1298</v>
      </c>
      <c r="D1788" s="14">
        <v>0</v>
      </c>
      <c r="E1788" s="14">
        <f t="shared" si="28"/>
        <v>1298</v>
      </c>
    </row>
    <row r="1789" spans="1:5" x14ac:dyDescent="0.3">
      <c r="A1789" s="7">
        <v>1010570</v>
      </c>
      <c r="B1789" s="7" t="s">
        <v>1792</v>
      </c>
      <c r="C1789" s="14">
        <v>54752</v>
      </c>
      <c r="D1789" s="14">
        <v>54752</v>
      </c>
      <c r="E1789" s="14">
        <f t="shared" si="28"/>
        <v>54752</v>
      </c>
    </row>
    <row r="1790" spans="1:5" x14ac:dyDescent="0.3">
      <c r="A1790" s="7">
        <v>1010588</v>
      </c>
      <c r="B1790" s="7" t="s">
        <v>1793</v>
      </c>
      <c r="C1790" s="14">
        <v>109504</v>
      </c>
      <c r="D1790" s="14">
        <v>109504</v>
      </c>
      <c r="E1790" s="14">
        <f t="shared" si="28"/>
        <v>109504</v>
      </c>
    </row>
    <row r="1791" spans="1:5" x14ac:dyDescent="0.3">
      <c r="A1791" s="7">
        <v>1010594</v>
      </c>
      <c r="B1791" s="7" t="s">
        <v>1794</v>
      </c>
      <c r="C1791" s="14">
        <v>117646</v>
      </c>
      <c r="D1791" s="14">
        <v>117646</v>
      </c>
      <c r="E1791" s="14">
        <f t="shared" si="28"/>
        <v>117646</v>
      </c>
    </row>
    <row r="1792" spans="1:5" x14ac:dyDescent="0.3">
      <c r="A1792" s="7">
        <v>1010601</v>
      </c>
      <c r="B1792" s="7" t="s">
        <v>1795</v>
      </c>
      <c r="C1792" s="14">
        <v>136290</v>
      </c>
      <c r="D1792" s="14">
        <v>136290</v>
      </c>
      <c r="E1792" s="14">
        <f t="shared" si="28"/>
        <v>136290</v>
      </c>
    </row>
    <row r="1793" spans="1:5" x14ac:dyDescent="0.3">
      <c r="A1793" s="7">
        <v>1010603</v>
      </c>
      <c r="B1793" s="7" t="s">
        <v>1796</v>
      </c>
      <c r="C1793" s="14">
        <v>109362.4</v>
      </c>
      <c r="D1793" s="14">
        <v>109362.4</v>
      </c>
      <c r="E1793" s="14">
        <f t="shared" si="28"/>
        <v>109362.4</v>
      </c>
    </row>
    <row r="1794" spans="1:5" x14ac:dyDescent="0.3">
      <c r="A1794" s="7">
        <v>1010605</v>
      </c>
      <c r="B1794" s="7" t="s">
        <v>1797</v>
      </c>
      <c r="C1794" s="14">
        <v>79124.899999999994</v>
      </c>
      <c r="D1794" s="14">
        <v>79124.899999999994</v>
      </c>
      <c r="E1794" s="14">
        <f t="shared" si="28"/>
        <v>79124.899999999994</v>
      </c>
    </row>
    <row r="1795" spans="1:5" x14ac:dyDescent="0.3">
      <c r="A1795" s="7">
        <v>1010613</v>
      </c>
      <c r="B1795" s="7" t="s">
        <v>1798</v>
      </c>
      <c r="C1795" s="14">
        <v>303732</v>
      </c>
      <c r="D1795" s="14">
        <v>303732</v>
      </c>
      <c r="E1795" s="14">
        <f t="shared" si="28"/>
        <v>303732</v>
      </c>
    </row>
    <row r="1796" spans="1:5" x14ac:dyDescent="0.3">
      <c r="A1796" s="7">
        <v>1010615</v>
      </c>
      <c r="B1796" s="7" t="s">
        <v>1799</v>
      </c>
      <c r="C1796" s="14">
        <v>413000</v>
      </c>
      <c r="D1796" s="14">
        <v>413000</v>
      </c>
      <c r="E1796" s="14">
        <f t="shared" si="28"/>
        <v>413000</v>
      </c>
    </row>
    <row r="1797" spans="1:5" x14ac:dyDescent="0.3">
      <c r="A1797" s="7">
        <v>1010627</v>
      </c>
      <c r="B1797" s="7" t="s">
        <v>1800</v>
      </c>
      <c r="C1797" s="14">
        <v>48097.75</v>
      </c>
      <c r="D1797" s="14">
        <v>48097.75</v>
      </c>
      <c r="E1797" s="14">
        <f t="shared" si="28"/>
        <v>48097.75</v>
      </c>
    </row>
    <row r="1798" spans="1:5" x14ac:dyDescent="0.3">
      <c r="A1798" s="7">
        <v>1010634</v>
      </c>
      <c r="B1798" s="7" t="s">
        <v>1801</v>
      </c>
      <c r="C1798" s="14">
        <v>2183</v>
      </c>
      <c r="D1798" s="14">
        <v>2183</v>
      </c>
      <c r="E1798" s="14">
        <f t="shared" si="28"/>
        <v>2183</v>
      </c>
    </row>
    <row r="1799" spans="1:5" x14ac:dyDescent="0.3">
      <c r="A1799" s="7">
        <v>1010646</v>
      </c>
      <c r="B1799" s="7" t="s">
        <v>1802</v>
      </c>
      <c r="C1799" s="14">
        <v>2899999.9899999998</v>
      </c>
      <c r="D1799" s="14">
        <v>0</v>
      </c>
      <c r="E1799" s="14">
        <f t="shared" si="28"/>
        <v>2899999.9899999998</v>
      </c>
    </row>
    <row r="1800" spans="1:5" x14ac:dyDescent="0.3">
      <c r="A1800" s="7">
        <v>1010653</v>
      </c>
      <c r="B1800" s="7" t="s">
        <v>1803</v>
      </c>
      <c r="C1800" s="14">
        <v>180.01933515172178</v>
      </c>
      <c r="D1800" s="14">
        <v>82.437801474460244</v>
      </c>
      <c r="E1800" s="14">
        <f t="shared" si="28"/>
        <v>180.01933515172178</v>
      </c>
    </row>
    <row r="1801" spans="1:5" x14ac:dyDescent="0.3">
      <c r="A1801" s="7">
        <v>1010680</v>
      </c>
      <c r="B1801" s="7" t="s">
        <v>1804</v>
      </c>
      <c r="C1801" s="14">
        <v>4500</v>
      </c>
      <c r="D1801" s="14">
        <v>0</v>
      </c>
      <c r="E1801" s="14">
        <f t="shared" si="28"/>
        <v>4500</v>
      </c>
    </row>
    <row r="1802" spans="1:5" x14ac:dyDescent="0.3">
      <c r="A1802" s="7">
        <v>1010696</v>
      </c>
      <c r="B1802" s="7" t="s">
        <v>1805</v>
      </c>
      <c r="C1802" s="14">
        <v>106790</v>
      </c>
      <c r="D1802" s="14">
        <v>106790</v>
      </c>
      <c r="E1802" s="14">
        <f t="shared" si="28"/>
        <v>106790</v>
      </c>
    </row>
    <row r="1803" spans="1:5" x14ac:dyDescent="0.3">
      <c r="A1803" s="7">
        <v>1010697</v>
      </c>
      <c r="B1803" s="7" t="s">
        <v>1806</v>
      </c>
      <c r="C1803" s="14">
        <v>295945.0625</v>
      </c>
      <c r="D1803" s="14">
        <v>177567.038</v>
      </c>
      <c r="E1803" s="14">
        <f t="shared" si="28"/>
        <v>295945.0625</v>
      </c>
    </row>
    <row r="1804" spans="1:5" x14ac:dyDescent="0.3">
      <c r="A1804" s="7">
        <v>1010700</v>
      </c>
      <c r="B1804" s="7" t="s">
        <v>1807</v>
      </c>
      <c r="C1804" s="14">
        <v>460908.23333333334</v>
      </c>
      <c r="D1804" s="14">
        <v>460908.23</v>
      </c>
      <c r="E1804" s="14">
        <f t="shared" si="28"/>
        <v>460908.23333333334</v>
      </c>
    </row>
    <row r="1805" spans="1:5" x14ac:dyDescent="0.3">
      <c r="A1805" s="7">
        <v>1010709</v>
      </c>
      <c r="B1805" s="7" t="s">
        <v>1808</v>
      </c>
      <c r="C1805" s="14">
        <v>55</v>
      </c>
      <c r="D1805" s="14">
        <v>55</v>
      </c>
      <c r="E1805" s="14">
        <f t="shared" si="28"/>
        <v>55</v>
      </c>
    </row>
    <row r="1806" spans="1:5" x14ac:dyDescent="0.3">
      <c r="A1806" s="7">
        <v>1010779</v>
      </c>
      <c r="B1806" s="7" t="s">
        <v>1809</v>
      </c>
      <c r="C1806" s="14">
        <v>200</v>
      </c>
      <c r="D1806" s="14">
        <v>200</v>
      </c>
      <c r="E1806" s="14">
        <f t="shared" si="28"/>
        <v>200</v>
      </c>
    </row>
    <row r="1807" spans="1:5" x14ac:dyDescent="0.3">
      <c r="A1807" s="7">
        <v>1010781</v>
      </c>
      <c r="B1807" s="7" t="s">
        <v>1810</v>
      </c>
      <c r="C1807" s="14">
        <v>6729.88</v>
      </c>
      <c r="D1807" s="14">
        <v>60.357668161434979</v>
      </c>
      <c r="E1807" s="14">
        <f t="shared" si="28"/>
        <v>6729.88</v>
      </c>
    </row>
    <row r="1808" spans="1:5" x14ac:dyDescent="0.3">
      <c r="A1808" s="7">
        <v>1010783</v>
      </c>
      <c r="B1808" s="7" t="s">
        <v>1811</v>
      </c>
      <c r="C1808" s="14">
        <v>5957.763985517402</v>
      </c>
      <c r="D1808" s="14">
        <v>3057.2220316027092</v>
      </c>
      <c r="E1808" s="14">
        <f t="shared" si="28"/>
        <v>5957.763985517402</v>
      </c>
    </row>
    <row r="1809" spans="1:5" x14ac:dyDescent="0.3">
      <c r="A1809" s="7">
        <v>1010786</v>
      </c>
      <c r="B1809" s="7" t="s">
        <v>1812</v>
      </c>
      <c r="C1809" s="14">
        <v>8300.9708737864075</v>
      </c>
      <c r="D1809" s="14">
        <v>0</v>
      </c>
      <c r="E1809" s="14">
        <f t="shared" si="28"/>
        <v>8300.9708737864075</v>
      </c>
    </row>
    <row r="1810" spans="1:5" x14ac:dyDescent="0.3">
      <c r="A1810" s="7">
        <v>1010890</v>
      </c>
      <c r="B1810" s="7" t="s">
        <v>1813</v>
      </c>
      <c r="C1810" s="14">
        <v>568.94880052579686</v>
      </c>
      <c r="D1810" s="14">
        <v>0</v>
      </c>
      <c r="E1810" s="14">
        <f t="shared" si="28"/>
        <v>568.94880052579686</v>
      </c>
    </row>
    <row r="1811" spans="1:5" x14ac:dyDescent="0.3">
      <c r="A1811" s="7">
        <v>1010930</v>
      </c>
      <c r="B1811" s="7" t="s">
        <v>1814</v>
      </c>
      <c r="C1811" s="14">
        <v>2568082.35</v>
      </c>
      <c r="D1811" s="14">
        <v>0</v>
      </c>
      <c r="E1811" s="14">
        <f t="shared" si="28"/>
        <v>2568082.35</v>
      </c>
    </row>
    <row r="1812" spans="1:5" x14ac:dyDescent="0.3">
      <c r="A1812" s="7">
        <v>1010958</v>
      </c>
      <c r="B1812" s="7" t="s">
        <v>1815</v>
      </c>
      <c r="C1812" s="14">
        <v>3958</v>
      </c>
      <c r="D1812" s="14">
        <v>0</v>
      </c>
      <c r="E1812" s="14">
        <f t="shared" si="28"/>
        <v>3958</v>
      </c>
    </row>
    <row r="1813" spans="1:5" x14ac:dyDescent="0.3">
      <c r="A1813" s="7">
        <v>1010991</v>
      </c>
      <c r="B1813" s="7" t="s">
        <v>1816</v>
      </c>
      <c r="C1813" s="14">
        <v>114.43</v>
      </c>
      <c r="D1813" s="14">
        <v>0</v>
      </c>
      <c r="E1813" s="14">
        <f t="shared" si="28"/>
        <v>114.43</v>
      </c>
    </row>
    <row r="1814" spans="1:5" x14ac:dyDescent="0.3">
      <c r="A1814" s="7">
        <v>1011044</v>
      </c>
      <c r="B1814" s="7" t="s">
        <v>1817</v>
      </c>
      <c r="C1814" s="14">
        <v>4248</v>
      </c>
      <c r="D1814" s="14">
        <v>3599</v>
      </c>
      <c r="E1814" s="14">
        <f t="shared" si="28"/>
        <v>4248</v>
      </c>
    </row>
    <row r="1815" spans="1:5" x14ac:dyDescent="0.3">
      <c r="A1815" s="7">
        <v>1011045</v>
      </c>
      <c r="B1815" s="7" t="s">
        <v>1818</v>
      </c>
      <c r="C1815" s="14">
        <v>7375</v>
      </c>
      <c r="D1815" s="14">
        <v>5947.2</v>
      </c>
      <c r="E1815" s="14">
        <f t="shared" si="28"/>
        <v>7375</v>
      </c>
    </row>
    <row r="1816" spans="1:5" x14ac:dyDescent="0.3">
      <c r="A1816" s="7">
        <v>1011047</v>
      </c>
      <c r="B1816" s="7" t="s">
        <v>1819</v>
      </c>
      <c r="C1816" s="14">
        <v>5310</v>
      </c>
      <c r="D1816" s="14">
        <v>4720</v>
      </c>
      <c r="E1816" s="14">
        <f t="shared" si="28"/>
        <v>5310</v>
      </c>
    </row>
    <row r="1817" spans="1:5" x14ac:dyDescent="0.3">
      <c r="A1817" s="7">
        <v>1011048</v>
      </c>
      <c r="B1817" s="7" t="s">
        <v>1820</v>
      </c>
      <c r="C1817" s="14">
        <v>7131.9616216216218</v>
      </c>
      <c r="D1817" s="14">
        <v>7131.9616197183104</v>
      </c>
      <c r="E1817" s="14">
        <f t="shared" si="28"/>
        <v>7131.9616216216218</v>
      </c>
    </row>
    <row r="1818" spans="1:5" x14ac:dyDescent="0.3">
      <c r="A1818" s="7">
        <v>1011049</v>
      </c>
      <c r="B1818" s="7" t="s">
        <v>1821</v>
      </c>
      <c r="C1818" s="14">
        <v>161.8252</v>
      </c>
      <c r="D1818" s="14">
        <v>157.05013333333335</v>
      </c>
      <c r="E1818" s="14">
        <f t="shared" si="28"/>
        <v>161.8252</v>
      </c>
    </row>
    <row r="1819" spans="1:5" x14ac:dyDescent="0.3">
      <c r="A1819" s="7">
        <v>1011079</v>
      </c>
      <c r="B1819" s="7" t="s">
        <v>1822</v>
      </c>
      <c r="C1819" s="14">
        <v>6696</v>
      </c>
      <c r="D1819" s="14">
        <v>6696</v>
      </c>
      <c r="E1819" s="14">
        <f t="shared" si="28"/>
        <v>6696</v>
      </c>
    </row>
    <row r="1820" spans="1:5" x14ac:dyDescent="0.3">
      <c r="A1820" s="7">
        <v>1011100</v>
      </c>
      <c r="B1820" s="7" t="s">
        <v>1823</v>
      </c>
      <c r="C1820" s="14">
        <v>148305</v>
      </c>
      <c r="D1820" s="14">
        <v>148305</v>
      </c>
      <c r="E1820" s="14">
        <f t="shared" si="28"/>
        <v>148305</v>
      </c>
    </row>
    <row r="1821" spans="1:5" x14ac:dyDescent="0.3">
      <c r="A1821" s="7">
        <v>1011115</v>
      </c>
      <c r="B1821" s="7" t="s">
        <v>1824</v>
      </c>
      <c r="C1821" s="14">
        <v>3792.8503999999998</v>
      </c>
      <c r="D1821" s="14">
        <v>3792.8503999999998</v>
      </c>
      <c r="E1821" s="14">
        <f t="shared" si="28"/>
        <v>3792.8503999999998</v>
      </c>
    </row>
    <row r="1822" spans="1:5" x14ac:dyDescent="0.3">
      <c r="A1822" s="7">
        <v>1011118</v>
      </c>
      <c r="B1822" s="7" t="s">
        <v>1825</v>
      </c>
      <c r="C1822" s="14">
        <v>14814.994324324325</v>
      </c>
      <c r="D1822" s="14">
        <v>14814.994324324325</v>
      </c>
      <c r="E1822" s="14">
        <f t="shared" si="28"/>
        <v>14814.994324324325</v>
      </c>
    </row>
    <row r="1823" spans="1:5" x14ac:dyDescent="0.3">
      <c r="A1823" s="7">
        <v>1011159</v>
      </c>
      <c r="B1823" s="7" t="s">
        <v>1826</v>
      </c>
      <c r="C1823" s="14">
        <v>3564</v>
      </c>
      <c r="D1823" s="14">
        <v>3564</v>
      </c>
      <c r="E1823" s="14">
        <f t="shared" si="28"/>
        <v>3564</v>
      </c>
    </row>
    <row r="1824" spans="1:5" x14ac:dyDescent="0.3">
      <c r="A1824" s="7">
        <v>1011160</v>
      </c>
      <c r="B1824" s="7" t="s">
        <v>1827</v>
      </c>
      <c r="C1824" s="14">
        <v>4500.8599999999997</v>
      </c>
      <c r="D1824" s="14">
        <v>4500.8599999999997</v>
      </c>
      <c r="E1824" s="14">
        <f t="shared" si="28"/>
        <v>4500.8599999999997</v>
      </c>
    </row>
    <row r="1825" spans="1:5" x14ac:dyDescent="0.3">
      <c r="A1825" s="7">
        <v>1011161</v>
      </c>
      <c r="B1825" s="7" t="s">
        <v>1828</v>
      </c>
      <c r="C1825" s="14">
        <v>283.2</v>
      </c>
      <c r="D1825" s="14">
        <v>283.20000000000005</v>
      </c>
      <c r="E1825" s="14">
        <f t="shared" ref="E1825:E1888" si="29">+MAX(C1825, D1825)</f>
        <v>283.20000000000005</v>
      </c>
    </row>
    <row r="1826" spans="1:5" x14ac:dyDescent="0.3">
      <c r="A1826" s="7">
        <v>1011162</v>
      </c>
      <c r="B1826" s="7" t="s">
        <v>191</v>
      </c>
      <c r="C1826" s="14">
        <v>250</v>
      </c>
      <c r="D1826" s="14">
        <v>410.98765432098764</v>
      </c>
      <c r="E1826" s="14">
        <f t="shared" si="29"/>
        <v>410.98765432098764</v>
      </c>
    </row>
    <row r="1827" spans="1:5" x14ac:dyDescent="0.3">
      <c r="A1827" s="7">
        <v>1011163</v>
      </c>
      <c r="B1827" s="7" t="s">
        <v>1829</v>
      </c>
      <c r="C1827" s="14">
        <v>20968.446470588238</v>
      </c>
      <c r="D1827" s="14">
        <v>20968.446666666667</v>
      </c>
      <c r="E1827" s="14">
        <f t="shared" si="29"/>
        <v>20968.446666666667</v>
      </c>
    </row>
    <row r="1828" spans="1:5" x14ac:dyDescent="0.3">
      <c r="A1828" s="7">
        <v>1011165</v>
      </c>
      <c r="B1828" s="7" t="s">
        <v>1830</v>
      </c>
      <c r="C1828" s="14">
        <v>2500</v>
      </c>
      <c r="D1828" s="14">
        <v>2500</v>
      </c>
      <c r="E1828" s="14">
        <f t="shared" si="29"/>
        <v>2500</v>
      </c>
    </row>
    <row r="1829" spans="1:5" x14ac:dyDescent="0.3">
      <c r="A1829" s="7">
        <v>1011166</v>
      </c>
      <c r="B1829" s="7" t="s">
        <v>1831</v>
      </c>
      <c r="C1829" s="14">
        <v>5672.4369999999999</v>
      </c>
      <c r="D1829" s="14">
        <v>4461.6980000000003</v>
      </c>
      <c r="E1829" s="14">
        <f t="shared" si="29"/>
        <v>5672.4369999999999</v>
      </c>
    </row>
    <row r="1830" spans="1:5" x14ac:dyDescent="0.3">
      <c r="A1830" s="7">
        <v>1011167</v>
      </c>
      <c r="B1830" s="7" t="s">
        <v>1832</v>
      </c>
      <c r="C1830" s="14">
        <v>3280.8995294117649</v>
      </c>
      <c r="D1830" s="14">
        <v>3280.8994202898552</v>
      </c>
      <c r="E1830" s="14">
        <f t="shared" si="29"/>
        <v>3280.8995294117649</v>
      </c>
    </row>
    <row r="1831" spans="1:5" x14ac:dyDescent="0.3">
      <c r="A1831" s="7">
        <v>1011176</v>
      </c>
      <c r="B1831" s="7" t="s">
        <v>1833</v>
      </c>
      <c r="C1831" s="14">
        <v>1436.2770702179178</v>
      </c>
      <c r="D1831" s="14">
        <v>1436.2770976253298</v>
      </c>
      <c r="E1831" s="14">
        <f t="shared" si="29"/>
        <v>1436.2770976253298</v>
      </c>
    </row>
    <row r="1832" spans="1:5" x14ac:dyDescent="0.3">
      <c r="A1832" s="7">
        <v>1011178</v>
      </c>
      <c r="B1832" s="7" t="s">
        <v>1834</v>
      </c>
      <c r="C1832" s="14">
        <v>2500</v>
      </c>
      <c r="D1832" s="14">
        <v>2500</v>
      </c>
      <c r="E1832" s="14">
        <f t="shared" si="29"/>
        <v>2500</v>
      </c>
    </row>
    <row r="1833" spans="1:5" x14ac:dyDescent="0.3">
      <c r="A1833" s="7">
        <v>1011180</v>
      </c>
      <c r="B1833" s="7" t="s">
        <v>1835</v>
      </c>
      <c r="C1833" s="14">
        <v>6835.7992000000004</v>
      </c>
      <c r="D1833" s="14">
        <v>1207.788888888889</v>
      </c>
      <c r="E1833" s="14">
        <f t="shared" si="29"/>
        <v>6835.7992000000004</v>
      </c>
    </row>
    <row r="1834" spans="1:5" x14ac:dyDescent="0.3">
      <c r="A1834" s="7">
        <v>1011182</v>
      </c>
      <c r="B1834" s="7" t="s">
        <v>1836</v>
      </c>
      <c r="C1834" s="14">
        <v>103.54985754985755</v>
      </c>
      <c r="D1834" s="14">
        <v>103.54984894259819</v>
      </c>
      <c r="E1834" s="14">
        <f t="shared" si="29"/>
        <v>103.54985754985755</v>
      </c>
    </row>
    <row r="1835" spans="1:5" x14ac:dyDescent="0.3">
      <c r="A1835" s="7">
        <v>1011183</v>
      </c>
      <c r="B1835" s="7" t="s">
        <v>1837</v>
      </c>
      <c r="C1835" s="14">
        <v>955.8</v>
      </c>
      <c r="D1835" s="14">
        <v>5707.3344827586207</v>
      </c>
      <c r="E1835" s="14">
        <f t="shared" si="29"/>
        <v>5707.3344827586207</v>
      </c>
    </row>
    <row r="1836" spans="1:5" x14ac:dyDescent="0.3">
      <c r="A1836" s="7">
        <v>1011185</v>
      </c>
      <c r="B1836" s="7" t="s">
        <v>1838</v>
      </c>
      <c r="C1836" s="14">
        <v>1241.910357142857</v>
      </c>
      <c r="D1836" s="14">
        <v>1932.25</v>
      </c>
      <c r="E1836" s="14">
        <f t="shared" si="29"/>
        <v>1932.25</v>
      </c>
    </row>
    <row r="1837" spans="1:5" x14ac:dyDescent="0.3">
      <c r="A1837" s="7">
        <v>1011186</v>
      </c>
      <c r="B1837" s="7" t="s">
        <v>1839</v>
      </c>
      <c r="C1837" s="14">
        <v>26800</v>
      </c>
      <c r="D1837" s="14">
        <v>26800</v>
      </c>
      <c r="E1837" s="14">
        <f t="shared" si="29"/>
        <v>26800</v>
      </c>
    </row>
    <row r="1838" spans="1:5" x14ac:dyDescent="0.3">
      <c r="A1838" s="7">
        <v>1011187</v>
      </c>
      <c r="B1838" s="7" t="s">
        <v>1840</v>
      </c>
      <c r="C1838" s="14">
        <v>758.57500000000005</v>
      </c>
      <c r="D1838" s="14">
        <v>577.50380769230765</v>
      </c>
      <c r="E1838" s="14">
        <f t="shared" si="29"/>
        <v>758.57500000000005</v>
      </c>
    </row>
    <row r="1839" spans="1:5" x14ac:dyDescent="0.3">
      <c r="A1839" s="7">
        <v>1011188</v>
      </c>
      <c r="B1839" s="7" t="s">
        <v>1841</v>
      </c>
      <c r="C1839" s="14">
        <v>287.36263245956496</v>
      </c>
      <c r="D1839" s="14">
        <v>287.36263981042657</v>
      </c>
      <c r="E1839" s="14">
        <f t="shared" si="29"/>
        <v>287.36263981042657</v>
      </c>
    </row>
    <row r="1840" spans="1:5" x14ac:dyDescent="0.3">
      <c r="A1840" s="7">
        <v>1011190</v>
      </c>
      <c r="B1840" s="7" t="s">
        <v>1842</v>
      </c>
      <c r="C1840" s="14">
        <v>976.34828729281776</v>
      </c>
      <c r="D1840" s="14">
        <v>1033.8598268398268</v>
      </c>
      <c r="E1840" s="14">
        <f t="shared" si="29"/>
        <v>1033.8598268398268</v>
      </c>
    </row>
    <row r="1841" spans="1:5" x14ac:dyDescent="0.3">
      <c r="A1841" s="7">
        <v>1011193</v>
      </c>
      <c r="B1841" s="7" t="s">
        <v>1843</v>
      </c>
      <c r="C1841" s="14">
        <v>30</v>
      </c>
      <c r="D1841" s="14">
        <v>30</v>
      </c>
      <c r="E1841" s="14">
        <f t="shared" si="29"/>
        <v>30</v>
      </c>
    </row>
    <row r="1842" spans="1:5" x14ac:dyDescent="0.3">
      <c r="A1842" s="7">
        <v>1011194</v>
      </c>
      <c r="B1842" s="7" t="s">
        <v>1844</v>
      </c>
      <c r="C1842" s="14">
        <v>2500</v>
      </c>
      <c r="D1842" s="14">
        <v>2500</v>
      </c>
      <c r="E1842" s="14">
        <f t="shared" si="29"/>
        <v>2500</v>
      </c>
    </row>
    <row r="1843" spans="1:5" x14ac:dyDescent="0.3">
      <c r="A1843" s="7">
        <v>1011195</v>
      </c>
      <c r="B1843" s="7" t="s">
        <v>1845</v>
      </c>
      <c r="C1843" s="14">
        <v>1500</v>
      </c>
      <c r="D1843" s="14">
        <v>1500</v>
      </c>
      <c r="E1843" s="14">
        <f t="shared" si="29"/>
        <v>1500</v>
      </c>
    </row>
    <row r="1844" spans="1:5" x14ac:dyDescent="0.3">
      <c r="A1844" s="7">
        <v>1011196</v>
      </c>
      <c r="B1844" s="7" t="s">
        <v>1846</v>
      </c>
      <c r="C1844" s="14">
        <v>1200</v>
      </c>
      <c r="D1844" s="14">
        <v>0</v>
      </c>
      <c r="E1844" s="14">
        <f t="shared" si="29"/>
        <v>1200</v>
      </c>
    </row>
    <row r="1845" spans="1:5" x14ac:dyDescent="0.3">
      <c r="A1845" s="7">
        <v>1011197</v>
      </c>
      <c r="B1845" s="7" t="s">
        <v>1847</v>
      </c>
      <c r="C1845" s="14">
        <v>114.3351039008385</v>
      </c>
      <c r="D1845" s="14">
        <v>113.55898889538281</v>
      </c>
      <c r="E1845" s="14">
        <f t="shared" si="29"/>
        <v>114.3351039008385</v>
      </c>
    </row>
    <row r="1846" spans="1:5" x14ac:dyDescent="0.3">
      <c r="A1846" s="7">
        <v>1011199</v>
      </c>
      <c r="B1846" s="7" t="s">
        <v>282</v>
      </c>
      <c r="C1846" s="14">
        <v>25934.924999999999</v>
      </c>
      <c r="D1846" s="14">
        <v>25934.924444444445</v>
      </c>
      <c r="E1846" s="14">
        <f t="shared" si="29"/>
        <v>25934.924999999999</v>
      </c>
    </row>
    <row r="1847" spans="1:5" x14ac:dyDescent="0.3">
      <c r="A1847" s="7">
        <v>1011200</v>
      </c>
      <c r="B1847" s="7" t="s">
        <v>1848</v>
      </c>
      <c r="C1847" s="14">
        <v>58700.043999999994</v>
      </c>
      <c r="D1847" s="14">
        <v>58700.043999999994</v>
      </c>
      <c r="E1847" s="14">
        <f t="shared" si="29"/>
        <v>58700.043999999994</v>
      </c>
    </row>
    <row r="1848" spans="1:5" x14ac:dyDescent="0.3">
      <c r="A1848" s="7">
        <v>1011201</v>
      </c>
      <c r="B1848" s="7" t="s">
        <v>1849</v>
      </c>
      <c r="C1848" s="14">
        <v>2337.6014285714286</v>
      </c>
      <c r="D1848" s="14">
        <v>2337.602142857143</v>
      </c>
      <c r="E1848" s="14">
        <f t="shared" si="29"/>
        <v>2337.602142857143</v>
      </c>
    </row>
    <row r="1849" spans="1:5" x14ac:dyDescent="0.3">
      <c r="A1849" s="7">
        <v>1011202</v>
      </c>
      <c r="B1849" s="7" t="s">
        <v>1850</v>
      </c>
      <c r="C1849" s="14">
        <v>5094.674087591241</v>
      </c>
      <c r="D1849" s="14">
        <v>5094.6740816326528</v>
      </c>
      <c r="E1849" s="14">
        <f t="shared" si="29"/>
        <v>5094.674087591241</v>
      </c>
    </row>
    <row r="1850" spans="1:5" x14ac:dyDescent="0.3">
      <c r="A1850" s="7">
        <v>1011203</v>
      </c>
      <c r="B1850" s="7" t="s">
        <v>1851</v>
      </c>
      <c r="C1850" s="14">
        <v>900</v>
      </c>
      <c r="D1850" s="14">
        <v>900</v>
      </c>
      <c r="E1850" s="14">
        <f t="shared" si="29"/>
        <v>900</v>
      </c>
    </row>
    <row r="1851" spans="1:5" x14ac:dyDescent="0.3">
      <c r="A1851" s="7">
        <v>1011206</v>
      </c>
      <c r="B1851" s="7" t="s">
        <v>1852</v>
      </c>
      <c r="C1851" s="14">
        <v>3215.5</v>
      </c>
      <c r="D1851" s="14">
        <v>3215.5</v>
      </c>
      <c r="E1851" s="14">
        <f t="shared" si="29"/>
        <v>3215.5</v>
      </c>
    </row>
    <row r="1852" spans="1:5" x14ac:dyDescent="0.3">
      <c r="A1852" s="7">
        <v>1011207</v>
      </c>
      <c r="B1852" s="7" t="s">
        <v>1853</v>
      </c>
      <c r="C1852" s="14">
        <v>2600</v>
      </c>
      <c r="D1852" s="14">
        <v>2600</v>
      </c>
      <c r="E1852" s="14">
        <f t="shared" si="29"/>
        <v>2600</v>
      </c>
    </row>
    <row r="1853" spans="1:5" x14ac:dyDescent="0.3">
      <c r="A1853" s="7">
        <v>1011208</v>
      </c>
      <c r="B1853" s="7" t="s">
        <v>1854</v>
      </c>
      <c r="C1853" s="14">
        <v>1700</v>
      </c>
      <c r="D1853" s="14">
        <v>1700</v>
      </c>
      <c r="E1853" s="14">
        <f t="shared" si="29"/>
        <v>1700</v>
      </c>
    </row>
    <row r="1854" spans="1:5" x14ac:dyDescent="0.3">
      <c r="A1854" s="7">
        <v>1011215</v>
      </c>
      <c r="B1854" s="7" t="s">
        <v>1855</v>
      </c>
      <c r="C1854" s="14">
        <v>150</v>
      </c>
      <c r="D1854" s="14">
        <v>329.77232142857144</v>
      </c>
      <c r="E1854" s="14">
        <f t="shared" si="29"/>
        <v>329.77232142857144</v>
      </c>
    </row>
    <row r="1855" spans="1:5" x14ac:dyDescent="0.3">
      <c r="A1855" s="7">
        <v>1011247</v>
      </c>
      <c r="B1855" s="7" t="s">
        <v>1856</v>
      </c>
      <c r="C1855" s="14">
        <v>1500</v>
      </c>
      <c r="D1855" s="14">
        <v>1500</v>
      </c>
      <c r="E1855" s="14">
        <f t="shared" si="29"/>
        <v>1500</v>
      </c>
    </row>
    <row r="1856" spans="1:5" x14ac:dyDescent="0.3">
      <c r="A1856" s="7">
        <v>1011248</v>
      </c>
      <c r="B1856" s="7" t="s">
        <v>1857</v>
      </c>
      <c r="C1856" s="14">
        <v>297.47432835820894</v>
      </c>
      <c r="D1856" s="14">
        <v>297.47432835820894</v>
      </c>
      <c r="E1856" s="14">
        <f t="shared" si="29"/>
        <v>297.47432835820894</v>
      </c>
    </row>
    <row r="1857" spans="1:5" x14ac:dyDescent="0.3">
      <c r="A1857" s="7">
        <v>1011305</v>
      </c>
      <c r="B1857" s="7" t="s">
        <v>1858</v>
      </c>
      <c r="C1857" s="14">
        <v>115.05000000000001</v>
      </c>
      <c r="D1857" s="14">
        <v>115.05000000000001</v>
      </c>
      <c r="E1857" s="14">
        <f t="shared" si="29"/>
        <v>115.05000000000001</v>
      </c>
    </row>
    <row r="1858" spans="1:5" x14ac:dyDescent="0.3">
      <c r="A1858" s="7">
        <v>1011306</v>
      </c>
      <c r="B1858" s="7" t="s">
        <v>1859</v>
      </c>
      <c r="C1858" s="14">
        <v>186.95920529801325</v>
      </c>
      <c r="D1858" s="14">
        <v>186.95920529801325</v>
      </c>
      <c r="E1858" s="14">
        <f t="shared" si="29"/>
        <v>186.95920529801325</v>
      </c>
    </row>
    <row r="1859" spans="1:5" x14ac:dyDescent="0.3">
      <c r="A1859" s="7">
        <v>1011319</v>
      </c>
      <c r="B1859" s="7" t="s">
        <v>1860</v>
      </c>
      <c r="C1859" s="14">
        <v>14545.51782857143</v>
      </c>
      <c r="D1859" s="14">
        <v>11069.863206896553</v>
      </c>
      <c r="E1859" s="14">
        <f t="shared" si="29"/>
        <v>14545.51782857143</v>
      </c>
    </row>
    <row r="1860" spans="1:5" x14ac:dyDescent="0.3">
      <c r="A1860" s="7">
        <v>1011330</v>
      </c>
      <c r="B1860" s="7" t="s">
        <v>1861</v>
      </c>
      <c r="C1860" s="14">
        <v>39958.372307692312</v>
      </c>
      <c r="D1860" s="14">
        <v>0</v>
      </c>
      <c r="E1860" s="14">
        <f t="shared" si="29"/>
        <v>39958.372307692312</v>
      </c>
    </row>
    <row r="1861" spans="1:5" x14ac:dyDescent="0.3">
      <c r="A1861" s="7">
        <v>1011331</v>
      </c>
      <c r="B1861" s="7" t="s">
        <v>1862</v>
      </c>
      <c r="C1861" s="14">
        <v>3422</v>
      </c>
      <c r="D1861" s="14">
        <v>3422</v>
      </c>
      <c r="E1861" s="14">
        <f t="shared" si="29"/>
        <v>3422</v>
      </c>
    </row>
    <row r="1862" spans="1:5" x14ac:dyDescent="0.3">
      <c r="A1862" s="7">
        <v>1011334</v>
      </c>
      <c r="B1862" s="7" t="s">
        <v>1863</v>
      </c>
      <c r="C1862" s="14">
        <v>15140.58</v>
      </c>
      <c r="D1862" s="14">
        <v>15140.58</v>
      </c>
      <c r="E1862" s="14">
        <f t="shared" si="29"/>
        <v>15140.58</v>
      </c>
    </row>
    <row r="1863" spans="1:5" x14ac:dyDescent="0.3">
      <c r="A1863" s="7">
        <v>1011355</v>
      </c>
      <c r="B1863" s="7" t="s">
        <v>1864</v>
      </c>
      <c r="C1863" s="14">
        <v>13662.411666666665</v>
      </c>
      <c r="D1863" s="14">
        <v>13662.411724137932</v>
      </c>
      <c r="E1863" s="14">
        <f t="shared" si="29"/>
        <v>13662.411724137932</v>
      </c>
    </row>
    <row r="1864" spans="1:5" x14ac:dyDescent="0.3">
      <c r="A1864" s="7">
        <v>1011373</v>
      </c>
      <c r="B1864" s="7" t="s">
        <v>1865</v>
      </c>
      <c r="C1864" s="14">
        <v>48369.75</v>
      </c>
      <c r="D1864" s="14">
        <v>35589.638751642582</v>
      </c>
      <c r="E1864" s="14">
        <f t="shared" si="29"/>
        <v>48369.75</v>
      </c>
    </row>
    <row r="1865" spans="1:5" x14ac:dyDescent="0.3">
      <c r="A1865" s="7">
        <v>1011378</v>
      </c>
      <c r="B1865" s="7" t="s">
        <v>1866</v>
      </c>
      <c r="C1865" s="14">
        <v>40245.481666666667</v>
      </c>
      <c r="D1865" s="14">
        <v>40245.481538461536</v>
      </c>
      <c r="E1865" s="14">
        <f t="shared" si="29"/>
        <v>40245.481666666667</v>
      </c>
    </row>
    <row r="1866" spans="1:5" x14ac:dyDescent="0.3">
      <c r="A1866" s="7">
        <v>1011380</v>
      </c>
      <c r="B1866" s="7" t="s">
        <v>1867</v>
      </c>
      <c r="C1866" s="14">
        <v>242608</v>
      </c>
      <c r="D1866" s="14">
        <v>242608</v>
      </c>
      <c r="E1866" s="14">
        <f t="shared" si="29"/>
        <v>242608</v>
      </c>
    </row>
    <row r="1867" spans="1:5" x14ac:dyDescent="0.3">
      <c r="A1867" s="7">
        <v>1011391</v>
      </c>
      <c r="B1867" s="7" t="s">
        <v>1868</v>
      </c>
      <c r="C1867" s="14">
        <v>121463.80499999999</v>
      </c>
      <c r="D1867" s="14">
        <v>0</v>
      </c>
      <c r="E1867" s="14">
        <f t="shared" si="29"/>
        <v>121463.80499999999</v>
      </c>
    </row>
    <row r="1868" spans="1:5" x14ac:dyDescent="0.3">
      <c r="A1868" s="7">
        <v>1011392</v>
      </c>
      <c r="B1868" s="7" t="s">
        <v>1869</v>
      </c>
      <c r="C1868" s="14">
        <v>1130.4827916666666</v>
      </c>
      <c r="D1868" s="14">
        <v>1130.4828099173556</v>
      </c>
      <c r="E1868" s="14">
        <f t="shared" si="29"/>
        <v>1130.4828099173556</v>
      </c>
    </row>
    <row r="1869" spans="1:5" x14ac:dyDescent="0.3">
      <c r="A1869" s="7">
        <v>1011393</v>
      </c>
      <c r="B1869" s="7" t="s">
        <v>1870</v>
      </c>
      <c r="C1869" s="14">
        <v>4390.2941176470586</v>
      </c>
      <c r="D1869" s="14">
        <v>4390.2941176470586</v>
      </c>
      <c r="E1869" s="14">
        <f t="shared" si="29"/>
        <v>4390.2941176470586</v>
      </c>
    </row>
    <row r="1870" spans="1:5" x14ac:dyDescent="0.3">
      <c r="A1870" s="7">
        <v>1011396</v>
      </c>
      <c r="B1870" s="7" t="s">
        <v>1871</v>
      </c>
      <c r="C1870" s="14">
        <v>92789.3</v>
      </c>
      <c r="D1870" s="14">
        <v>92789.3</v>
      </c>
      <c r="E1870" s="14">
        <f t="shared" si="29"/>
        <v>92789.3</v>
      </c>
    </row>
    <row r="1871" spans="1:5" x14ac:dyDescent="0.3">
      <c r="A1871" s="7">
        <v>1011403</v>
      </c>
      <c r="B1871" s="7" t="s">
        <v>1872</v>
      </c>
      <c r="C1871" s="14">
        <v>854.86128440366974</v>
      </c>
      <c r="D1871" s="14">
        <v>1398.2292005813952</v>
      </c>
      <c r="E1871" s="14">
        <f t="shared" si="29"/>
        <v>1398.2292005813952</v>
      </c>
    </row>
    <row r="1872" spans="1:5" x14ac:dyDescent="0.3">
      <c r="A1872" s="7">
        <v>1011407</v>
      </c>
      <c r="B1872" s="7" t="s">
        <v>1873</v>
      </c>
      <c r="C1872" s="14">
        <v>2585936.73</v>
      </c>
      <c r="D1872" s="14">
        <v>0</v>
      </c>
      <c r="E1872" s="14">
        <f t="shared" si="29"/>
        <v>2585936.73</v>
      </c>
    </row>
    <row r="1873" spans="1:5" x14ac:dyDescent="0.3">
      <c r="A1873" s="7">
        <v>1011408</v>
      </c>
      <c r="B1873" s="7" t="s">
        <v>1874</v>
      </c>
      <c r="C1873" s="14">
        <v>57026.567777777775</v>
      </c>
      <c r="D1873" s="14">
        <v>108843.61304347825</v>
      </c>
      <c r="E1873" s="14">
        <f t="shared" si="29"/>
        <v>108843.61304347825</v>
      </c>
    </row>
    <row r="1874" spans="1:5" x14ac:dyDescent="0.3">
      <c r="A1874" s="7">
        <v>1011420</v>
      </c>
      <c r="B1874" s="7" t="s">
        <v>1783</v>
      </c>
      <c r="C1874" s="14">
        <v>2717.0305193734544</v>
      </c>
      <c r="D1874" s="14">
        <v>2701.7212044926409</v>
      </c>
      <c r="E1874" s="14">
        <f t="shared" si="29"/>
        <v>2717.0305193734544</v>
      </c>
    </row>
    <row r="1875" spans="1:5" x14ac:dyDescent="0.3">
      <c r="A1875" s="7">
        <v>1011544</v>
      </c>
      <c r="B1875" s="7" t="s">
        <v>1875</v>
      </c>
      <c r="C1875" s="14">
        <v>25.900952380952379</v>
      </c>
      <c r="D1875" s="14">
        <v>28.202000000000002</v>
      </c>
      <c r="E1875" s="14">
        <f t="shared" si="29"/>
        <v>28.202000000000002</v>
      </c>
    </row>
    <row r="1876" spans="1:5" x14ac:dyDescent="0.3">
      <c r="A1876" s="7">
        <v>1011549</v>
      </c>
      <c r="B1876" s="7" t="s">
        <v>1876</v>
      </c>
      <c r="C1876" s="14">
        <v>789.40250000000003</v>
      </c>
      <c r="D1876" s="14">
        <v>789.40250000000003</v>
      </c>
      <c r="E1876" s="14">
        <f t="shared" si="29"/>
        <v>789.40250000000003</v>
      </c>
    </row>
    <row r="1877" spans="1:5" x14ac:dyDescent="0.3">
      <c r="A1877" s="7">
        <v>1011550</v>
      </c>
      <c r="B1877" s="7" t="s">
        <v>1877</v>
      </c>
      <c r="C1877" s="14">
        <v>129.80000000000001</v>
      </c>
      <c r="D1877" s="14">
        <v>0</v>
      </c>
      <c r="E1877" s="14">
        <f t="shared" si="29"/>
        <v>129.80000000000001</v>
      </c>
    </row>
    <row r="1878" spans="1:5" x14ac:dyDescent="0.3">
      <c r="A1878" s="7">
        <v>1011557</v>
      </c>
      <c r="B1878" s="7" t="s">
        <v>1878</v>
      </c>
      <c r="C1878" s="14">
        <v>599.96</v>
      </c>
      <c r="D1878" s="14">
        <v>636.02</v>
      </c>
      <c r="E1878" s="14">
        <f t="shared" si="29"/>
        <v>636.02</v>
      </c>
    </row>
    <row r="1879" spans="1:5" x14ac:dyDescent="0.3">
      <c r="A1879" s="7">
        <v>1011562</v>
      </c>
      <c r="B1879" s="7" t="s">
        <v>1879</v>
      </c>
      <c r="C1879" s="14">
        <v>158.15059782608697</v>
      </c>
      <c r="D1879" s="14">
        <v>158.15050505050505</v>
      </c>
      <c r="E1879" s="14">
        <f t="shared" si="29"/>
        <v>158.15059782608697</v>
      </c>
    </row>
    <row r="1880" spans="1:5" x14ac:dyDescent="0.3">
      <c r="A1880" s="7">
        <v>1011563</v>
      </c>
      <c r="B1880" s="7" t="s">
        <v>1880</v>
      </c>
      <c r="C1880" s="14">
        <v>785.36080000000004</v>
      </c>
      <c r="D1880" s="14">
        <v>1059.3399999999999</v>
      </c>
      <c r="E1880" s="14">
        <f t="shared" si="29"/>
        <v>1059.3399999999999</v>
      </c>
    </row>
    <row r="1881" spans="1:5" x14ac:dyDescent="0.3">
      <c r="A1881" s="7">
        <v>1011567</v>
      </c>
      <c r="B1881" s="7" t="s">
        <v>1881</v>
      </c>
      <c r="C1881" s="14">
        <v>140.41999999999999</v>
      </c>
      <c r="D1881" s="14">
        <v>0</v>
      </c>
      <c r="E1881" s="14">
        <f t="shared" si="29"/>
        <v>140.41999999999999</v>
      </c>
    </row>
    <row r="1882" spans="1:5" x14ac:dyDescent="0.3">
      <c r="A1882" s="7">
        <v>1011585</v>
      </c>
      <c r="B1882" s="7" t="s">
        <v>1882</v>
      </c>
      <c r="C1882" s="14">
        <v>814.2</v>
      </c>
      <c r="D1882" s="14">
        <v>0</v>
      </c>
      <c r="E1882" s="14">
        <f t="shared" si="29"/>
        <v>814.2</v>
      </c>
    </row>
    <row r="1883" spans="1:5" x14ac:dyDescent="0.3">
      <c r="A1883" s="7">
        <v>1011590</v>
      </c>
      <c r="B1883" s="7" t="s">
        <v>1883</v>
      </c>
      <c r="C1883" s="14">
        <v>316.69913636363634</v>
      </c>
      <c r="D1883" s="14">
        <v>506.97519160583948</v>
      </c>
      <c r="E1883" s="14">
        <f t="shared" si="29"/>
        <v>506.97519160583948</v>
      </c>
    </row>
    <row r="1884" spans="1:5" x14ac:dyDescent="0.3">
      <c r="A1884" s="7">
        <v>1011644</v>
      </c>
      <c r="B1884" s="7" t="s">
        <v>1884</v>
      </c>
      <c r="C1884" s="14">
        <v>115.63999999999999</v>
      </c>
      <c r="D1884" s="14">
        <v>106.22043859649123</v>
      </c>
      <c r="E1884" s="14">
        <f t="shared" si="29"/>
        <v>115.63999999999999</v>
      </c>
    </row>
    <row r="1885" spans="1:5" x14ac:dyDescent="0.3">
      <c r="A1885" s="7">
        <v>1011647</v>
      </c>
      <c r="B1885" s="7" t="s">
        <v>1885</v>
      </c>
      <c r="C1885" s="14">
        <v>5000</v>
      </c>
      <c r="D1885" s="14">
        <v>5000</v>
      </c>
      <c r="E1885" s="14">
        <f t="shared" si="29"/>
        <v>5000</v>
      </c>
    </row>
    <row r="1886" spans="1:5" x14ac:dyDescent="0.3">
      <c r="A1886" s="7">
        <v>1011676</v>
      </c>
      <c r="B1886" s="7" t="s">
        <v>1886</v>
      </c>
      <c r="C1886" s="14">
        <v>40645.663710691828</v>
      </c>
      <c r="D1886" s="14">
        <v>40645.663710691828</v>
      </c>
      <c r="E1886" s="14">
        <f t="shared" si="29"/>
        <v>40645.663710691828</v>
      </c>
    </row>
    <row r="1887" spans="1:5" x14ac:dyDescent="0.3">
      <c r="A1887" s="7">
        <v>1011709</v>
      </c>
      <c r="B1887" s="7" t="s">
        <v>1887</v>
      </c>
      <c r="C1887" s="14">
        <v>1003</v>
      </c>
      <c r="D1887" s="14">
        <v>0</v>
      </c>
      <c r="E1887" s="14">
        <f t="shared" si="29"/>
        <v>1003</v>
      </c>
    </row>
    <row r="1888" spans="1:5" x14ac:dyDescent="0.3">
      <c r="A1888" s="7">
        <v>1011710</v>
      </c>
      <c r="B1888" s="7" t="s">
        <v>1888</v>
      </c>
      <c r="C1888" s="14">
        <v>4570.3051999999998</v>
      </c>
      <c r="D1888" s="14">
        <v>0</v>
      </c>
      <c r="E1888" s="14">
        <f t="shared" si="29"/>
        <v>4570.3051999999998</v>
      </c>
    </row>
    <row r="1889" spans="1:5" x14ac:dyDescent="0.3">
      <c r="A1889" s="7">
        <v>1011712</v>
      </c>
      <c r="B1889" s="7" t="s">
        <v>1889</v>
      </c>
      <c r="C1889" s="14">
        <v>2858428.22</v>
      </c>
      <c r="D1889" s="14">
        <v>0</v>
      </c>
      <c r="E1889" s="14">
        <f t="shared" ref="E1889:E1952" si="30">+MAX(C1889, D1889)</f>
        <v>2858428.22</v>
      </c>
    </row>
    <row r="1890" spans="1:5" x14ac:dyDescent="0.3">
      <c r="A1890" s="7">
        <v>1011713</v>
      </c>
      <c r="B1890" s="7" t="s">
        <v>1890</v>
      </c>
      <c r="C1890" s="14">
        <v>1375179.55</v>
      </c>
      <c r="D1890" s="14">
        <v>0</v>
      </c>
      <c r="E1890" s="14">
        <f t="shared" si="30"/>
        <v>1375179.55</v>
      </c>
    </row>
    <row r="1891" spans="1:5" x14ac:dyDescent="0.3">
      <c r="A1891" s="7">
        <v>1011769</v>
      </c>
      <c r="B1891" s="7" t="s">
        <v>1891</v>
      </c>
      <c r="C1891" s="14">
        <v>116.72122962962963</v>
      </c>
      <c r="D1891" s="14">
        <v>98.518202357563851</v>
      </c>
      <c r="E1891" s="14">
        <f t="shared" si="30"/>
        <v>116.72122962962963</v>
      </c>
    </row>
    <row r="1892" spans="1:5" x14ac:dyDescent="0.3">
      <c r="A1892" s="7">
        <v>1011772</v>
      </c>
      <c r="B1892" s="7" t="s">
        <v>1892</v>
      </c>
      <c r="C1892" s="14">
        <v>39326.450000000004</v>
      </c>
      <c r="D1892" s="14">
        <v>39326.450000000004</v>
      </c>
      <c r="E1892" s="14">
        <f t="shared" si="30"/>
        <v>39326.450000000004</v>
      </c>
    </row>
    <row r="1893" spans="1:5" x14ac:dyDescent="0.3">
      <c r="A1893" s="7">
        <v>1011779</v>
      </c>
      <c r="B1893" s="7" t="s">
        <v>1893</v>
      </c>
      <c r="C1893" s="14">
        <v>9707.8482352941191</v>
      </c>
      <c r="D1893" s="14">
        <v>9707.8482352941191</v>
      </c>
      <c r="E1893" s="14">
        <f t="shared" si="30"/>
        <v>9707.8482352941191</v>
      </c>
    </row>
    <row r="1894" spans="1:5" x14ac:dyDescent="0.3">
      <c r="A1894" s="7">
        <v>1011780</v>
      </c>
      <c r="B1894" s="7" t="s">
        <v>1894</v>
      </c>
      <c r="C1894" s="14">
        <v>9707.8482499999991</v>
      </c>
      <c r="D1894" s="14">
        <v>9707.8482499999991</v>
      </c>
      <c r="E1894" s="14">
        <f t="shared" si="30"/>
        <v>9707.8482499999991</v>
      </c>
    </row>
    <row r="1895" spans="1:5" x14ac:dyDescent="0.3">
      <c r="A1895" s="7">
        <v>1011781</v>
      </c>
      <c r="B1895" s="7" t="s">
        <v>1895</v>
      </c>
      <c r="C1895" s="14">
        <v>9707.8483333333334</v>
      </c>
      <c r="D1895" s="14">
        <v>9707.8483333333334</v>
      </c>
      <c r="E1895" s="14">
        <f t="shared" si="30"/>
        <v>9707.8483333333334</v>
      </c>
    </row>
    <row r="1896" spans="1:5" x14ac:dyDescent="0.3">
      <c r="A1896" s="7">
        <v>1011783</v>
      </c>
      <c r="B1896" s="7" t="s">
        <v>1896</v>
      </c>
      <c r="C1896" s="14">
        <v>9707.8478571428568</v>
      </c>
      <c r="D1896" s="14">
        <v>9707.8478571428568</v>
      </c>
      <c r="E1896" s="14">
        <f t="shared" si="30"/>
        <v>9707.8478571428568</v>
      </c>
    </row>
    <row r="1897" spans="1:5" x14ac:dyDescent="0.3">
      <c r="A1897" s="7">
        <v>1011784</v>
      </c>
      <c r="B1897" s="7" t="s">
        <v>1897</v>
      </c>
      <c r="C1897" s="14">
        <v>9923.8792307692311</v>
      </c>
      <c r="D1897" s="14">
        <v>9923.8792307692311</v>
      </c>
      <c r="E1897" s="14">
        <f t="shared" si="30"/>
        <v>9923.8792307692311</v>
      </c>
    </row>
    <row r="1898" spans="1:5" x14ac:dyDescent="0.3">
      <c r="A1898" s="7">
        <v>1011785</v>
      </c>
      <c r="B1898" s="7" t="s">
        <v>1898</v>
      </c>
      <c r="C1898" s="14">
        <v>9707.848</v>
      </c>
      <c r="D1898" s="14">
        <v>9707.848</v>
      </c>
      <c r="E1898" s="14">
        <f t="shared" si="30"/>
        <v>9707.848</v>
      </c>
    </row>
    <row r="1899" spans="1:5" x14ac:dyDescent="0.3">
      <c r="A1899" s="7">
        <v>1011786</v>
      </c>
      <c r="B1899" s="7" t="s">
        <v>1899</v>
      </c>
      <c r="C1899" s="14">
        <v>9707.85</v>
      </c>
      <c r="D1899" s="14">
        <v>9707.85</v>
      </c>
      <c r="E1899" s="14">
        <f t="shared" si="30"/>
        <v>9707.85</v>
      </c>
    </row>
    <row r="1900" spans="1:5" x14ac:dyDescent="0.3">
      <c r="A1900" s="7">
        <v>1011787</v>
      </c>
      <c r="B1900" s="7" t="s">
        <v>1900</v>
      </c>
      <c r="C1900" s="14">
        <v>9805.3814285714288</v>
      </c>
      <c r="D1900" s="14">
        <v>9805.3814285714288</v>
      </c>
      <c r="E1900" s="14">
        <f t="shared" si="30"/>
        <v>9805.3814285714288</v>
      </c>
    </row>
    <row r="1901" spans="1:5" x14ac:dyDescent="0.3">
      <c r="A1901" s="7">
        <v>1011788</v>
      </c>
      <c r="B1901" s="7" t="s">
        <v>1901</v>
      </c>
      <c r="C1901" s="14">
        <v>12516.26</v>
      </c>
      <c r="D1901" s="14">
        <v>12516.26</v>
      </c>
      <c r="E1901" s="14">
        <f t="shared" si="30"/>
        <v>12516.26</v>
      </c>
    </row>
    <row r="1902" spans="1:5" x14ac:dyDescent="0.3">
      <c r="A1902" s="7">
        <v>1011820</v>
      </c>
      <c r="B1902" s="7" t="s">
        <v>1902</v>
      </c>
      <c r="C1902" s="14">
        <v>165460.78</v>
      </c>
      <c r="D1902" s="14">
        <v>165460.78</v>
      </c>
      <c r="E1902" s="14">
        <f t="shared" si="30"/>
        <v>165460.78</v>
      </c>
    </row>
    <row r="1903" spans="1:5" x14ac:dyDescent="0.3">
      <c r="A1903" s="7">
        <v>1011841</v>
      </c>
      <c r="B1903" s="7" t="s">
        <v>1903</v>
      </c>
      <c r="C1903" s="14">
        <v>1543.3</v>
      </c>
      <c r="D1903" s="14">
        <v>1543.3</v>
      </c>
      <c r="E1903" s="14">
        <f t="shared" si="30"/>
        <v>1543.3</v>
      </c>
    </row>
    <row r="1904" spans="1:5" x14ac:dyDescent="0.3">
      <c r="A1904" s="7">
        <v>1011842</v>
      </c>
      <c r="B1904" s="7" t="s">
        <v>1904</v>
      </c>
      <c r="C1904" s="14">
        <v>1543.3</v>
      </c>
      <c r="D1904" s="14">
        <v>1543.3</v>
      </c>
      <c r="E1904" s="14">
        <f t="shared" si="30"/>
        <v>1543.3</v>
      </c>
    </row>
    <row r="1905" spans="1:5" x14ac:dyDescent="0.3">
      <c r="A1905" s="7">
        <v>1011843</v>
      </c>
      <c r="B1905" s="7" t="s">
        <v>1905</v>
      </c>
      <c r="C1905" s="14" t="e">
        <v>#DIV/0!</v>
      </c>
      <c r="D1905" s="14">
        <v>5577.815419532325</v>
      </c>
      <c r="E1905" s="14" t="e">
        <f t="shared" si="30"/>
        <v>#DIV/0!</v>
      </c>
    </row>
    <row r="1906" spans="1:5" x14ac:dyDescent="0.3">
      <c r="A1906" s="7">
        <v>1011845</v>
      </c>
      <c r="B1906" s="7" t="s">
        <v>1906</v>
      </c>
      <c r="C1906" s="14">
        <v>10442</v>
      </c>
      <c r="D1906" s="14">
        <v>10442</v>
      </c>
      <c r="E1906" s="14">
        <f t="shared" si="30"/>
        <v>10442</v>
      </c>
    </row>
    <row r="1907" spans="1:5" x14ac:dyDescent="0.3">
      <c r="A1907" s="7">
        <v>1011848</v>
      </c>
      <c r="B1907" s="7" t="s">
        <v>1907</v>
      </c>
      <c r="C1907" s="14">
        <v>210819.38</v>
      </c>
      <c r="D1907" s="14">
        <v>0</v>
      </c>
      <c r="E1907" s="14">
        <f t="shared" si="30"/>
        <v>210819.38</v>
      </c>
    </row>
    <row r="1908" spans="1:5" x14ac:dyDescent="0.3">
      <c r="A1908" s="7">
        <v>1011849</v>
      </c>
      <c r="B1908" s="7" t="s">
        <v>1908</v>
      </c>
      <c r="C1908" s="14">
        <v>204035.3</v>
      </c>
      <c r="D1908" s="14">
        <v>0</v>
      </c>
      <c r="E1908" s="14">
        <f t="shared" si="30"/>
        <v>204035.3</v>
      </c>
    </row>
    <row r="1909" spans="1:5" x14ac:dyDescent="0.3">
      <c r="A1909" s="7">
        <v>1011850</v>
      </c>
      <c r="B1909" s="7" t="s">
        <v>1909</v>
      </c>
      <c r="C1909" s="14">
        <v>223227.88</v>
      </c>
      <c r="D1909" s="14">
        <v>111613.94</v>
      </c>
      <c r="E1909" s="14">
        <f t="shared" si="30"/>
        <v>223227.88</v>
      </c>
    </row>
    <row r="1910" spans="1:5" x14ac:dyDescent="0.3">
      <c r="A1910" s="7">
        <v>1011853</v>
      </c>
      <c r="B1910" s="7" t="s">
        <v>1910</v>
      </c>
      <c r="C1910" s="14">
        <v>119.44</v>
      </c>
      <c r="D1910" s="14">
        <v>116.80889518872507</v>
      </c>
      <c r="E1910" s="14">
        <f t="shared" si="30"/>
        <v>119.44</v>
      </c>
    </row>
    <row r="1911" spans="1:5" x14ac:dyDescent="0.3">
      <c r="A1911" s="7">
        <v>1011854</v>
      </c>
      <c r="B1911" s="7" t="s">
        <v>1911</v>
      </c>
      <c r="C1911" s="14">
        <v>1049.26</v>
      </c>
      <c r="D1911" s="14">
        <v>361.58811267605631</v>
      </c>
      <c r="E1911" s="14">
        <f t="shared" si="30"/>
        <v>1049.26</v>
      </c>
    </row>
    <row r="1912" spans="1:5" x14ac:dyDescent="0.3">
      <c r="A1912" s="7">
        <v>1011855</v>
      </c>
      <c r="B1912" s="7" t="s">
        <v>1912</v>
      </c>
      <c r="C1912" s="14">
        <v>40.019999999999996</v>
      </c>
      <c r="D1912" s="14">
        <v>37.460297176820212</v>
      </c>
      <c r="E1912" s="14">
        <f t="shared" si="30"/>
        <v>40.019999999999996</v>
      </c>
    </row>
    <row r="1913" spans="1:5" x14ac:dyDescent="0.3">
      <c r="A1913" s="7">
        <v>1011964</v>
      </c>
      <c r="B1913" s="7" t="s">
        <v>1913</v>
      </c>
      <c r="C1913" s="14">
        <v>309.07</v>
      </c>
      <c r="D1913" s="14">
        <v>0</v>
      </c>
      <c r="E1913" s="14">
        <f t="shared" si="30"/>
        <v>309.07</v>
      </c>
    </row>
    <row r="1914" spans="1:5" x14ac:dyDescent="0.3">
      <c r="A1914" s="7">
        <v>1012080</v>
      </c>
      <c r="B1914" s="7" t="s">
        <v>1914</v>
      </c>
      <c r="C1914" s="14">
        <v>3140.1333333333332</v>
      </c>
      <c r="D1914" s="14">
        <v>3140.1333333333332</v>
      </c>
      <c r="E1914" s="14">
        <f t="shared" si="30"/>
        <v>3140.1333333333332</v>
      </c>
    </row>
    <row r="1915" spans="1:5" x14ac:dyDescent="0.3">
      <c r="A1915" s="7">
        <v>1012128</v>
      </c>
      <c r="B1915" s="7" t="s">
        <v>1915</v>
      </c>
      <c r="C1915" s="14">
        <v>2610395.9533333336</v>
      </c>
      <c r="D1915" s="14">
        <v>0</v>
      </c>
      <c r="E1915" s="14">
        <f t="shared" si="30"/>
        <v>2610395.9533333336</v>
      </c>
    </row>
    <row r="1916" spans="1:5" x14ac:dyDescent="0.3">
      <c r="A1916" s="7">
        <v>1012129</v>
      </c>
      <c r="B1916" s="7" t="s">
        <v>1916</v>
      </c>
      <c r="C1916" s="14">
        <v>2045530.9</v>
      </c>
      <c r="D1916" s="14">
        <v>0</v>
      </c>
      <c r="E1916" s="14">
        <f t="shared" si="30"/>
        <v>2045530.9</v>
      </c>
    </row>
    <row r="1917" spans="1:5" x14ac:dyDescent="0.3">
      <c r="A1917" s="7">
        <v>1012130</v>
      </c>
      <c r="B1917" s="7" t="s">
        <v>1917</v>
      </c>
      <c r="C1917" s="14">
        <v>3052967.65</v>
      </c>
      <c r="D1917" s="14">
        <v>0</v>
      </c>
      <c r="E1917" s="14">
        <f t="shared" si="30"/>
        <v>3052967.65</v>
      </c>
    </row>
    <row r="1918" spans="1:5" x14ac:dyDescent="0.3">
      <c r="A1918" s="7">
        <v>1012131</v>
      </c>
      <c r="B1918" s="7" t="s">
        <v>1918</v>
      </c>
      <c r="C1918" s="14">
        <v>4399.04</v>
      </c>
      <c r="D1918" s="14">
        <v>4399.04</v>
      </c>
      <c r="E1918" s="14">
        <f t="shared" si="30"/>
        <v>4399.04</v>
      </c>
    </row>
    <row r="1919" spans="1:5" x14ac:dyDescent="0.3">
      <c r="A1919" s="7">
        <v>1012132</v>
      </c>
      <c r="B1919" s="7" t="s">
        <v>1919</v>
      </c>
      <c r="C1919" s="14">
        <v>39882.796399999999</v>
      </c>
      <c r="D1919" s="14">
        <v>0</v>
      </c>
      <c r="E1919" s="14">
        <f t="shared" si="30"/>
        <v>39882.796399999999</v>
      </c>
    </row>
    <row r="1920" spans="1:5" x14ac:dyDescent="0.3">
      <c r="A1920" s="7">
        <v>1012134</v>
      </c>
      <c r="B1920" s="7" t="s">
        <v>1920</v>
      </c>
      <c r="C1920" s="14">
        <v>6302.8993055555557</v>
      </c>
      <c r="D1920" s="14">
        <v>0</v>
      </c>
      <c r="E1920" s="14">
        <f t="shared" si="30"/>
        <v>6302.8993055555557</v>
      </c>
    </row>
    <row r="1921" spans="1:5" x14ac:dyDescent="0.3">
      <c r="A1921" s="7">
        <v>1012143</v>
      </c>
      <c r="B1921" s="7" t="s">
        <v>1921</v>
      </c>
      <c r="C1921" s="14">
        <v>16638</v>
      </c>
      <c r="D1921" s="14">
        <v>0</v>
      </c>
      <c r="E1921" s="14">
        <f t="shared" si="30"/>
        <v>16638</v>
      </c>
    </row>
    <row r="1922" spans="1:5" x14ac:dyDescent="0.3">
      <c r="A1922" s="7">
        <v>1012144</v>
      </c>
      <c r="B1922" s="7" t="s">
        <v>1922</v>
      </c>
      <c r="C1922" s="14">
        <v>26603.1</v>
      </c>
      <c r="D1922" s="14">
        <v>26603.1</v>
      </c>
      <c r="E1922" s="14">
        <f t="shared" si="30"/>
        <v>26603.1</v>
      </c>
    </row>
    <row r="1923" spans="1:5" x14ac:dyDescent="0.3">
      <c r="A1923" s="7">
        <v>1012145</v>
      </c>
      <c r="B1923" s="7" t="s">
        <v>1923</v>
      </c>
      <c r="C1923" s="14">
        <v>34608.574000000001</v>
      </c>
      <c r="D1923" s="14">
        <v>0</v>
      </c>
      <c r="E1923" s="14">
        <f t="shared" si="30"/>
        <v>34608.574000000001</v>
      </c>
    </row>
    <row r="1924" spans="1:5" x14ac:dyDescent="0.3">
      <c r="A1924" s="7">
        <v>1012164</v>
      </c>
      <c r="B1924" s="7" t="s">
        <v>1924</v>
      </c>
      <c r="C1924" s="14">
        <v>152.36910179182195</v>
      </c>
      <c r="D1924" s="14">
        <v>78.630075080019495</v>
      </c>
      <c r="E1924" s="14">
        <f t="shared" si="30"/>
        <v>152.36910179182195</v>
      </c>
    </row>
    <row r="1925" spans="1:5" x14ac:dyDescent="0.3">
      <c r="A1925" s="7">
        <v>1012187</v>
      </c>
      <c r="B1925" s="7" t="s">
        <v>1925</v>
      </c>
      <c r="C1925" s="14">
        <v>4573.5383993212672</v>
      </c>
      <c r="D1925" s="14">
        <v>4573.5383993212672</v>
      </c>
      <c r="E1925" s="14">
        <f t="shared" si="30"/>
        <v>4573.5383993212672</v>
      </c>
    </row>
    <row r="1926" spans="1:5" x14ac:dyDescent="0.3">
      <c r="A1926" s="7">
        <v>1012203</v>
      </c>
      <c r="B1926" s="7" t="s">
        <v>1926</v>
      </c>
      <c r="C1926" s="14">
        <v>68440</v>
      </c>
      <c r="D1926" s="14">
        <v>68440</v>
      </c>
      <c r="E1926" s="14">
        <f t="shared" si="30"/>
        <v>68440</v>
      </c>
    </row>
    <row r="1927" spans="1:5" x14ac:dyDescent="0.3">
      <c r="A1927" s="7">
        <v>1012248</v>
      </c>
      <c r="B1927" s="7" t="s">
        <v>1927</v>
      </c>
      <c r="C1927" s="14">
        <v>17957.912400000001</v>
      </c>
      <c r="D1927" s="14">
        <v>17957.912400000001</v>
      </c>
      <c r="E1927" s="14">
        <f t="shared" si="30"/>
        <v>17957.912400000001</v>
      </c>
    </row>
    <row r="1928" spans="1:5" x14ac:dyDescent="0.3">
      <c r="A1928" s="7">
        <v>1012249</v>
      </c>
      <c r="B1928" s="7" t="s">
        <v>1928</v>
      </c>
      <c r="C1928" s="14">
        <v>2944.1000000000004</v>
      </c>
      <c r="D1928" s="14">
        <v>2944.1</v>
      </c>
      <c r="E1928" s="14">
        <f t="shared" si="30"/>
        <v>2944.1000000000004</v>
      </c>
    </row>
    <row r="1929" spans="1:5" x14ac:dyDescent="0.3">
      <c r="A1929" s="7">
        <v>1012252</v>
      </c>
      <c r="B1929" s="7" t="s">
        <v>1929</v>
      </c>
      <c r="C1929" s="14">
        <v>93520.9</v>
      </c>
      <c r="D1929" s="14">
        <v>0</v>
      </c>
      <c r="E1929" s="14">
        <f t="shared" si="30"/>
        <v>93520.9</v>
      </c>
    </row>
    <row r="1930" spans="1:5" x14ac:dyDescent="0.3">
      <c r="A1930" s="7">
        <v>1012260</v>
      </c>
      <c r="B1930" s="7" t="s">
        <v>1930</v>
      </c>
      <c r="C1930" s="14">
        <v>1611.4936904761905</v>
      </c>
      <c r="D1930" s="14">
        <v>1611.4937179487179</v>
      </c>
      <c r="E1930" s="14">
        <f t="shared" si="30"/>
        <v>1611.4937179487179</v>
      </c>
    </row>
    <row r="1931" spans="1:5" x14ac:dyDescent="0.3">
      <c r="A1931" s="7">
        <v>1012262</v>
      </c>
      <c r="B1931" s="7" t="s">
        <v>1931</v>
      </c>
      <c r="C1931" s="14">
        <v>3023.16</v>
      </c>
      <c r="D1931" s="14">
        <v>2631.7933333333331</v>
      </c>
      <c r="E1931" s="14">
        <f t="shared" si="30"/>
        <v>3023.16</v>
      </c>
    </row>
    <row r="1932" spans="1:5" x14ac:dyDescent="0.3">
      <c r="A1932" s="7">
        <v>1012341</v>
      </c>
      <c r="B1932" s="7" t="s">
        <v>1932</v>
      </c>
      <c r="C1932" s="14">
        <v>14855.91</v>
      </c>
      <c r="D1932" s="14">
        <v>0</v>
      </c>
      <c r="E1932" s="14">
        <f t="shared" si="30"/>
        <v>14855.91</v>
      </c>
    </row>
    <row r="1933" spans="1:5" x14ac:dyDescent="0.3">
      <c r="A1933" s="7">
        <v>1012346</v>
      </c>
      <c r="B1933" s="7" t="s">
        <v>1933</v>
      </c>
      <c r="C1933" s="14">
        <v>33983.01</v>
      </c>
      <c r="D1933" s="14">
        <v>33983.01</v>
      </c>
      <c r="E1933" s="14">
        <f t="shared" si="30"/>
        <v>33983.01</v>
      </c>
    </row>
    <row r="1934" spans="1:5" x14ac:dyDescent="0.3">
      <c r="A1934" s="7">
        <v>1012347</v>
      </c>
      <c r="B1934" s="7" t="s">
        <v>1934</v>
      </c>
      <c r="C1934" s="14">
        <v>35983.01</v>
      </c>
      <c r="D1934" s="14">
        <v>27347.087599999999</v>
      </c>
      <c r="E1934" s="14">
        <f t="shared" si="30"/>
        <v>35983.01</v>
      </c>
    </row>
    <row r="1935" spans="1:5" x14ac:dyDescent="0.3">
      <c r="A1935" s="7">
        <v>1012379</v>
      </c>
      <c r="B1935" s="7" t="s">
        <v>1935</v>
      </c>
      <c r="C1935" s="14">
        <v>1007280</v>
      </c>
      <c r="D1935" s="14">
        <v>1007280</v>
      </c>
      <c r="E1935" s="14">
        <f t="shared" si="30"/>
        <v>1007280</v>
      </c>
    </row>
    <row r="1936" spans="1:5" x14ac:dyDescent="0.3">
      <c r="A1936" s="7">
        <v>1012380</v>
      </c>
      <c r="B1936" s="7" t="s">
        <v>1936</v>
      </c>
      <c r="C1936" s="14">
        <v>2068652.615</v>
      </c>
      <c r="D1936" s="14">
        <v>2068652.615</v>
      </c>
      <c r="E1936" s="14">
        <f t="shared" si="30"/>
        <v>2068652.615</v>
      </c>
    </row>
    <row r="1937" spans="1:5" x14ac:dyDescent="0.3">
      <c r="A1937" s="7">
        <v>1012381</v>
      </c>
      <c r="B1937" s="7" t="s">
        <v>1937</v>
      </c>
      <c r="C1937" s="14">
        <v>1408213.33</v>
      </c>
      <c r="D1937" s="14">
        <v>1408213.33</v>
      </c>
      <c r="E1937" s="14">
        <f t="shared" si="30"/>
        <v>1408213.33</v>
      </c>
    </row>
    <row r="1938" spans="1:5" x14ac:dyDescent="0.3">
      <c r="A1938" s="7">
        <v>1012382</v>
      </c>
      <c r="B1938" s="7" t="s">
        <v>1938</v>
      </c>
      <c r="C1938" s="14">
        <v>1605714.4975000001</v>
      </c>
      <c r="D1938" s="14">
        <v>1450845.0328571429</v>
      </c>
      <c r="E1938" s="14">
        <f t="shared" si="30"/>
        <v>1605714.4975000001</v>
      </c>
    </row>
    <row r="1939" spans="1:5" x14ac:dyDescent="0.3">
      <c r="A1939" s="7">
        <v>1012383</v>
      </c>
      <c r="B1939" s="7" t="s">
        <v>1939</v>
      </c>
      <c r="C1939" s="14">
        <v>3427683.01</v>
      </c>
      <c r="D1939" s="14">
        <v>0</v>
      </c>
      <c r="E1939" s="14">
        <f t="shared" si="30"/>
        <v>3427683.01</v>
      </c>
    </row>
    <row r="1940" spans="1:5" x14ac:dyDescent="0.3">
      <c r="A1940" s="7">
        <v>1012384</v>
      </c>
      <c r="B1940" s="7" t="s">
        <v>1940</v>
      </c>
      <c r="C1940" s="14">
        <v>1626785.2572727271</v>
      </c>
      <c r="D1940" s="14">
        <v>1626785.2549999999</v>
      </c>
      <c r="E1940" s="14">
        <f t="shared" si="30"/>
        <v>1626785.2572727271</v>
      </c>
    </row>
    <row r="1941" spans="1:5" x14ac:dyDescent="0.3">
      <c r="A1941" s="7">
        <v>1012385</v>
      </c>
      <c r="B1941" s="7" t="s">
        <v>1941</v>
      </c>
      <c r="C1941" s="14">
        <v>120000</v>
      </c>
      <c r="D1941" s="14">
        <v>120000</v>
      </c>
      <c r="E1941" s="14">
        <f t="shared" si="30"/>
        <v>120000</v>
      </c>
    </row>
    <row r="1942" spans="1:5" x14ac:dyDescent="0.3">
      <c r="A1942" s="7">
        <v>1012397</v>
      </c>
      <c r="B1942" s="7" t="s">
        <v>638</v>
      </c>
      <c r="C1942" s="14">
        <v>325.67724979798692</v>
      </c>
      <c r="D1942" s="14">
        <v>179.63193430608408</v>
      </c>
      <c r="E1942" s="14">
        <f t="shared" si="30"/>
        <v>325.67724979798692</v>
      </c>
    </row>
    <row r="1943" spans="1:5" x14ac:dyDescent="0.3">
      <c r="A1943" s="7">
        <v>1012439</v>
      </c>
      <c r="B1943" s="7" t="s">
        <v>1942</v>
      </c>
      <c r="C1943" s="14">
        <v>17842.656153846154</v>
      </c>
      <c r="D1943" s="14">
        <v>17842.656162790696</v>
      </c>
      <c r="E1943" s="14">
        <f t="shared" si="30"/>
        <v>17842.656162790696</v>
      </c>
    </row>
    <row r="1944" spans="1:5" x14ac:dyDescent="0.3">
      <c r="A1944" s="7">
        <v>1012441</v>
      </c>
      <c r="B1944" s="7" t="s">
        <v>1943</v>
      </c>
      <c r="C1944" s="14">
        <v>16643.941333333332</v>
      </c>
      <c r="D1944" s="14">
        <v>17191.763505154639</v>
      </c>
      <c r="E1944" s="14">
        <f t="shared" si="30"/>
        <v>17191.763505154639</v>
      </c>
    </row>
    <row r="1945" spans="1:5" x14ac:dyDescent="0.3">
      <c r="A1945" s="7">
        <v>1012442</v>
      </c>
      <c r="B1945" s="7" t="s">
        <v>1944</v>
      </c>
      <c r="C1945" s="14">
        <v>300</v>
      </c>
      <c r="D1945" s="14">
        <v>300</v>
      </c>
      <c r="E1945" s="14">
        <f t="shared" si="30"/>
        <v>300</v>
      </c>
    </row>
    <row r="1946" spans="1:5" x14ac:dyDescent="0.3">
      <c r="A1946" s="7">
        <v>1012470</v>
      </c>
      <c r="B1946" s="7" t="s">
        <v>1945</v>
      </c>
      <c r="C1946" s="14">
        <v>266880.59999999998</v>
      </c>
      <c r="D1946" s="14">
        <v>222400.58333333334</v>
      </c>
      <c r="E1946" s="14">
        <f t="shared" si="30"/>
        <v>266880.59999999998</v>
      </c>
    </row>
    <row r="1947" spans="1:5" x14ac:dyDescent="0.3">
      <c r="A1947" s="7">
        <v>1012642</v>
      </c>
      <c r="B1947" s="7" t="s">
        <v>1946</v>
      </c>
      <c r="C1947" s="14">
        <v>4826.21</v>
      </c>
      <c r="D1947" s="14">
        <v>0</v>
      </c>
      <c r="E1947" s="14">
        <f t="shared" si="30"/>
        <v>4826.21</v>
      </c>
    </row>
    <row r="1948" spans="1:5" x14ac:dyDescent="0.3">
      <c r="A1948" s="7">
        <v>1012650</v>
      </c>
      <c r="B1948" s="7" t="s">
        <v>1947</v>
      </c>
      <c r="C1948" s="14">
        <v>302.87984111221448</v>
      </c>
      <c r="D1948" s="14">
        <v>245.93096595208073</v>
      </c>
      <c r="E1948" s="14">
        <f t="shared" si="30"/>
        <v>302.87984111221448</v>
      </c>
    </row>
    <row r="1949" spans="1:5" x14ac:dyDescent="0.3">
      <c r="A1949" s="7">
        <v>1012669</v>
      </c>
      <c r="B1949" s="7" t="s">
        <v>1948</v>
      </c>
      <c r="C1949" s="14">
        <v>277.3</v>
      </c>
      <c r="D1949" s="14">
        <v>0</v>
      </c>
      <c r="E1949" s="14">
        <f t="shared" si="30"/>
        <v>277.3</v>
      </c>
    </row>
    <row r="1950" spans="1:5" x14ac:dyDescent="0.3">
      <c r="A1950" s="7">
        <v>1012837</v>
      </c>
      <c r="B1950" s="7" t="s">
        <v>1949</v>
      </c>
      <c r="C1950" s="14">
        <v>35742.200000000004</v>
      </c>
      <c r="D1950" s="14">
        <v>35742.200000000004</v>
      </c>
      <c r="E1950" s="14">
        <f t="shared" si="30"/>
        <v>35742.200000000004</v>
      </c>
    </row>
    <row r="1951" spans="1:5" x14ac:dyDescent="0.3">
      <c r="A1951" s="7">
        <v>1012875</v>
      </c>
      <c r="B1951" s="7" t="s">
        <v>1950</v>
      </c>
      <c r="C1951" s="14">
        <v>4422.05</v>
      </c>
      <c r="D1951" s="14">
        <v>4422.05</v>
      </c>
      <c r="E1951" s="14">
        <f t="shared" si="30"/>
        <v>4422.05</v>
      </c>
    </row>
    <row r="1952" spans="1:5" x14ac:dyDescent="0.3">
      <c r="A1952" s="7">
        <v>1012876</v>
      </c>
      <c r="B1952" s="7" t="s">
        <v>1951</v>
      </c>
      <c r="C1952" s="14">
        <v>2950</v>
      </c>
      <c r="D1952" s="14">
        <v>2950</v>
      </c>
      <c r="E1952" s="14">
        <f t="shared" si="30"/>
        <v>2950</v>
      </c>
    </row>
    <row r="1953" spans="1:5" x14ac:dyDescent="0.3">
      <c r="A1953" s="7">
        <v>1012878</v>
      </c>
      <c r="B1953" s="7" t="s">
        <v>1952</v>
      </c>
      <c r="C1953" s="14">
        <v>108908.37</v>
      </c>
      <c r="D1953" s="14">
        <v>108908.37</v>
      </c>
      <c r="E1953" s="14">
        <f t="shared" ref="E1953:E2016" si="31">+MAX(C1953, D1953)</f>
        <v>108908.37</v>
      </c>
    </row>
    <row r="1954" spans="1:5" x14ac:dyDescent="0.3">
      <c r="A1954" s="7">
        <v>1012879</v>
      </c>
      <c r="B1954" s="7" t="s">
        <v>1953</v>
      </c>
      <c r="C1954" s="14">
        <v>23116.2</v>
      </c>
      <c r="D1954" s="14">
        <v>0</v>
      </c>
      <c r="E1954" s="14">
        <f t="shared" si="31"/>
        <v>23116.2</v>
      </c>
    </row>
    <row r="1955" spans="1:5" x14ac:dyDescent="0.3">
      <c r="A1955" s="7">
        <v>1012883</v>
      </c>
      <c r="B1955" s="7" t="s">
        <v>1954</v>
      </c>
      <c r="C1955" s="14">
        <v>8164.1250243902432</v>
      </c>
      <c r="D1955" s="14">
        <v>5736.6464814814817</v>
      </c>
      <c r="E1955" s="14">
        <f t="shared" si="31"/>
        <v>8164.1250243902432</v>
      </c>
    </row>
    <row r="1956" spans="1:5" x14ac:dyDescent="0.3">
      <c r="A1956" s="7">
        <v>1012892</v>
      </c>
      <c r="B1956" s="7" t="s">
        <v>1955</v>
      </c>
      <c r="C1956" s="14">
        <v>100010.04</v>
      </c>
      <c r="D1956" s="14">
        <v>100010.04</v>
      </c>
      <c r="E1956" s="14">
        <f t="shared" si="31"/>
        <v>100010.04</v>
      </c>
    </row>
    <row r="1957" spans="1:5" x14ac:dyDescent="0.3">
      <c r="A1957" s="7">
        <v>1012897</v>
      </c>
      <c r="B1957" s="7" t="s">
        <v>1956</v>
      </c>
      <c r="C1957" s="14">
        <v>117209.685</v>
      </c>
      <c r="D1957" s="14">
        <v>158643.22666666665</v>
      </c>
      <c r="E1957" s="14">
        <f t="shared" si="31"/>
        <v>158643.22666666665</v>
      </c>
    </row>
    <row r="1958" spans="1:5" x14ac:dyDescent="0.3">
      <c r="A1958" s="7">
        <v>1012945</v>
      </c>
      <c r="B1958" s="7" t="s">
        <v>1957</v>
      </c>
      <c r="C1958" s="14">
        <v>33534.927000000003</v>
      </c>
      <c r="D1958" s="14">
        <v>33534.927000000003</v>
      </c>
      <c r="E1958" s="14">
        <f t="shared" si="31"/>
        <v>33534.927000000003</v>
      </c>
    </row>
    <row r="1959" spans="1:5" x14ac:dyDescent="0.3">
      <c r="A1959" s="7">
        <v>1012973</v>
      </c>
      <c r="B1959" s="7" t="s">
        <v>1958</v>
      </c>
      <c r="C1959" s="14">
        <v>33534.923999999999</v>
      </c>
      <c r="D1959" s="14">
        <v>33534.92</v>
      </c>
      <c r="E1959" s="14">
        <f t="shared" si="31"/>
        <v>33534.923999999999</v>
      </c>
    </row>
    <row r="1960" spans="1:5" x14ac:dyDescent="0.3">
      <c r="A1960" s="7">
        <v>1012974</v>
      </c>
      <c r="B1960" s="7" t="s">
        <v>1959</v>
      </c>
      <c r="C1960" s="14">
        <v>1961.74</v>
      </c>
      <c r="D1960" s="14">
        <v>0</v>
      </c>
      <c r="E1960" s="14">
        <f t="shared" si="31"/>
        <v>1961.74</v>
      </c>
    </row>
    <row r="1961" spans="1:5" x14ac:dyDescent="0.3">
      <c r="A1961" s="7">
        <v>1012975</v>
      </c>
      <c r="B1961" s="7" t="s">
        <v>1960</v>
      </c>
      <c r="C1961" s="14">
        <v>44211.968571428573</v>
      </c>
      <c r="D1961" s="14">
        <v>0</v>
      </c>
      <c r="E1961" s="14">
        <f t="shared" si="31"/>
        <v>44211.968571428573</v>
      </c>
    </row>
    <row r="1962" spans="1:5" x14ac:dyDescent="0.3">
      <c r="A1962" s="7">
        <v>1012977</v>
      </c>
      <c r="B1962" s="7" t="s">
        <v>1961</v>
      </c>
      <c r="C1962" s="14">
        <v>1239.7080041152262</v>
      </c>
      <c r="D1962" s="14">
        <v>1239.7080069930068</v>
      </c>
      <c r="E1962" s="14">
        <f t="shared" si="31"/>
        <v>1239.7080069930068</v>
      </c>
    </row>
    <row r="1963" spans="1:5" x14ac:dyDescent="0.3">
      <c r="A1963" s="7">
        <v>1012978</v>
      </c>
      <c r="B1963" s="7" t="s">
        <v>1962</v>
      </c>
      <c r="C1963" s="14">
        <v>1239.7079957203996</v>
      </c>
      <c r="D1963" s="14">
        <v>1239.707995391705</v>
      </c>
      <c r="E1963" s="14">
        <f t="shared" si="31"/>
        <v>1239.7079957203996</v>
      </c>
    </row>
    <row r="1964" spans="1:5" x14ac:dyDescent="0.3">
      <c r="A1964" s="7">
        <v>1012980</v>
      </c>
      <c r="B1964" s="7" t="s">
        <v>1963</v>
      </c>
      <c r="C1964" s="14">
        <v>1376765.2649999999</v>
      </c>
      <c r="D1964" s="14">
        <v>1376765.2649999999</v>
      </c>
      <c r="E1964" s="14">
        <f t="shared" si="31"/>
        <v>1376765.2649999999</v>
      </c>
    </row>
    <row r="1965" spans="1:5" x14ac:dyDescent="0.3">
      <c r="A1965" s="7">
        <v>1012982</v>
      </c>
      <c r="B1965" s="7" t="s">
        <v>1964</v>
      </c>
      <c r="C1965" s="14">
        <v>929394.96499999997</v>
      </c>
      <c r="D1965" s="14">
        <v>929394.96499999997</v>
      </c>
      <c r="E1965" s="14">
        <f t="shared" si="31"/>
        <v>929394.96499999997</v>
      </c>
    </row>
    <row r="1966" spans="1:5" x14ac:dyDescent="0.3">
      <c r="A1966" s="7">
        <v>1012984</v>
      </c>
      <c r="B1966" s="7" t="s">
        <v>1965</v>
      </c>
      <c r="C1966" s="14">
        <v>10</v>
      </c>
      <c r="D1966" s="14">
        <v>10</v>
      </c>
      <c r="E1966" s="14">
        <f t="shared" si="31"/>
        <v>10</v>
      </c>
    </row>
    <row r="1967" spans="1:5" x14ac:dyDescent="0.3">
      <c r="A1967" s="7">
        <v>1013167</v>
      </c>
      <c r="B1967" s="7" t="s">
        <v>1966</v>
      </c>
      <c r="C1967" s="14">
        <v>4521.76</v>
      </c>
      <c r="D1967" s="14">
        <v>4521.7599999999993</v>
      </c>
      <c r="E1967" s="14">
        <f t="shared" si="31"/>
        <v>4521.76</v>
      </c>
    </row>
    <row r="1968" spans="1:5" x14ac:dyDescent="0.3">
      <c r="A1968" s="7">
        <v>1013168</v>
      </c>
      <c r="B1968" s="7" t="s">
        <v>1967</v>
      </c>
      <c r="C1968" s="14">
        <v>85756.5</v>
      </c>
      <c r="D1968" s="14">
        <v>85756.5</v>
      </c>
      <c r="E1968" s="14">
        <f t="shared" si="31"/>
        <v>85756.5</v>
      </c>
    </row>
    <row r="1969" spans="1:5" x14ac:dyDescent="0.3">
      <c r="A1969" s="7">
        <v>1013169</v>
      </c>
      <c r="B1969" s="7" t="s">
        <v>1968</v>
      </c>
      <c r="C1969" s="14">
        <v>4521.76</v>
      </c>
      <c r="D1969" s="14">
        <v>0</v>
      </c>
      <c r="E1969" s="14">
        <f t="shared" si="31"/>
        <v>4521.76</v>
      </c>
    </row>
    <row r="1970" spans="1:5" x14ac:dyDescent="0.3">
      <c r="A1970" s="7">
        <v>1013170</v>
      </c>
      <c r="B1970" s="7" t="s">
        <v>1969</v>
      </c>
      <c r="C1970" s="14">
        <v>12744</v>
      </c>
      <c r="D1970" s="14">
        <v>12744</v>
      </c>
      <c r="E1970" s="14">
        <f t="shared" si="31"/>
        <v>12744</v>
      </c>
    </row>
    <row r="1971" spans="1:5" x14ac:dyDescent="0.3">
      <c r="A1971" s="7">
        <v>1013171</v>
      </c>
      <c r="B1971" s="7" t="s">
        <v>1970</v>
      </c>
      <c r="C1971" s="14">
        <v>15675.12</v>
      </c>
      <c r="D1971" s="14">
        <v>15675.12</v>
      </c>
      <c r="E1971" s="14">
        <f t="shared" si="31"/>
        <v>15675.12</v>
      </c>
    </row>
    <row r="1972" spans="1:5" x14ac:dyDescent="0.3">
      <c r="A1972" s="7">
        <v>1013442</v>
      </c>
      <c r="B1972" s="7" t="s">
        <v>1971</v>
      </c>
      <c r="C1972" s="14">
        <v>2400</v>
      </c>
      <c r="D1972" s="14">
        <v>2400</v>
      </c>
      <c r="E1972" s="14">
        <f t="shared" si="31"/>
        <v>2400</v>
      </c>
    </row>
    <row r="1973" spans="1:5" x14ac:dyDescent="0.3">
      <c r="A1973" s="7">
        <v>1013484</v>
      </c>
      <c r="B1973" s="7" t="s">
        <v>1972</v>
      </c>
      <c r="C1973" s="14">
        <v>112.1</v>
      </c>
      <c r="D1973" s="14">
        <v>112.1</v>
      </c>
      <c r="E1973" s="14">
        <f t="shared" si="31"/>
        <v>112.1</v>
      </c>
    </row>
    <row r="1974" spans="1:5" x14ac:dyDescent="0.3">
      <c r="A1974" s="7">
        <v>1013521</v>
      </c>
      <c r="B1974" s="7" t="s">
        <v>1973</v>
      </c>
      <c r="C1974" s="14">
        <v>34209.557500000003</v>
      </c>
      <c r="D1974" s="14">
        <v>34209.557500000003</v>
      </c>
      <c r="E1974" s="14">
        <f t="shared" si="31"/>
        <v>34209.557500000003</v>
      </c>
    </row>
    <row r="1975" spans="1:5" x14ac:dyDescent="0.3">
      <c r="A1975" s="7">
        <v>1013603</v>
      </c>
      <c r="B1975" s="7" t="s">
        <v>1974</v>
      </c>
      <c r="C1975" s="14">
        <v>8.3000000000000007</v>
      </c>
      <c r="D1975" s="14">
        <v>0</v>
      </c>
      <c r="E1975" s="14">
        <f t="shared" si="31"/>
        <v>8.3000000000000007</v>
      </c>
    </row>
    <row r="1976" spans="1:5" x14ac:dyDescent="0.3">
      <c r="A1976" s="7">
        <v>1013618</v>
      </c>
      <c r="B1976" s="7" t="s">
        <v>1975</v>
      </c>
      <c r="C1976" s="14">
        <v>535.24798561151079</v>
      </c>
      <c r="D1976" s="14">
        <v>535.24798561151079</v>
      </c>
      <c r="E1976" s="14">
        <f t="shared" si="31"/>
        <v>535.24798561151079</v>
      </c>
    </row>
    <row r="1977" spans="1:5" x14ac:dyDescent="0.3">
      <c r="A1977" s="7">
        <v>1013640</v>
      </c>
      <c r="B1977" s="7" t="s">
        <v>1976</v>
      </c>
      <c r="C1977" s="14">
        <v>231.26820000000001</v>
      </c>
      <c r="D1977" s="14">
        <v>231.26819786096257</v>
      </c>
      <c r="E1977" s="14">
        <f t="shared" si="31"/>
        <v>231.26820000000001</v>
      </c>
    </row>
    <row r="1978" spans="1:5" x14ac:dyDescent="0.3">
      <c r="A1978" s="7">
        <v>1013641</v>
      </c>
      <c r="B1978" s="7" t="s">
        <v>1977</v>
      </c>
      <c r="C1978" s="14">
        <v>232.44820000000001</v>
      </c>
      <c r="D1978" s="14">
        <v>232.44819999999999</v>
      </c>
      <c r="E1978" s="14">
        <f t="shared" si="31"/>
        <v>232.44820000000001</v>
      </c>
    </row>
    <row r="1979" spans="1:5" x14ac:dyDescent="0.3">
      <c r="A1979" s="7">
        <v>1013664</v>
      </c>
      <c r="B1979" s="7" t="s">
        <v>1978</v>
      </c>
      <c r="C1979" s="14">
        <v>305.66258064516126</v>
      </c>
      <c r="D1979" s="14">
        <v>0</v>
      </c>
      <c r="E1979" s="14">
        <f t="shared" si="31"/>
        <v>305.66258064516126</v>
      </c>
    </row>
    <row r="1980" spans="1:5" x14ac:dyDescent="0.3">
      <c r="A1980" s="7">
        <v>1013666</v>
      </c>
      <c r="B1980" s="7" t="s">
        <v>1979</v>
      </c>
      <c r="C1980" s="14">
        <v>51.92</v>
      </c>
      <c r="D1980" s="14">
        <v>350.99105769230766</v>
      </c>
      <c r="E1980" s="14">
        <f t="shared" si="31"/>
        <v>350.99105769230766</v>
      </c>
    </row>
    <row r="1981" spans="1:5" x14ac:dyDescent="0.3">
      <c r="A1981" s="7">
        <v>1013810</v>
      </c>
      <c r="B1981" s="7" t="s">
        <v>1980</v>
      </c>
      <c r="C1981" s="14">
        <v>40</v>
      </c>
      <c r="D1981" s="14">
        <v>40</v>
      </c>
      <c r="E1981" s="14">
        <f t="shared" si="31"/>
        <v>40</v>
      </c>
    </row>
    <row r="1982" spans="1:5" x14ac:dyDescent="0.3">
      <c r="A1982" s="7">
        <v>1013813</v>
      </c>
      <c r="B1982" s="7" t="s">
        <v>1981</v>
      </c>
      <c r="C1982" s="14">
        <v>600</v>
      </c>
      <c r="D1982" s="14">
        <v>600</v>
      </c>
      <c r="E1982" s="14">
        <f t="shared" si="31"/>
        <v>600</v>
      </c>
    </row>
    <row r="1983" spans="1:5" x14ac:dyDescent="0.3">
      <c r="A1983" s="7">
        <v>1013845</v>
      </c>
      <c r="B1983" s="7" t="s">
        <v>1982</v>
      </c>
      <c r="C1983" s="14">
        <v>61.22</v>
      </c>
      <c r="D1983" s="14">
        <v>61.22</v>
      </c>
      <c r="E1983" s="14">
        <f t="shared" si="31"/>
        <v>61.22</v>
      </c>
    </row>
    <row r="1984" spans="1:5" x14ac:dyDescent="0.3">
      <c r="A1984" s="7">
        <v>1013870</v>
      </c>
      <c r="B1984" s="7" t="s">
        <v>1983</v>
      </c>
      <c r="C1984" s="14">
        <v>19429.859999999997</v>
      </c>
      <c r="D1984" s="14">
        <v>10378.297200208552</v>
      </c>
      <c r="E1984" s="14">
        <f t="shared" si="31"/>
        <v>19429.859999999997</v>
      </c>
    </row>
    <row r="1985" spans="1:5" x14ac:dyDescent="0.3">
      <c r="A1985" s="7">
        <v>1013954</v>
      </c>
      <c r="B1985" s="7" t="s">
        <v>1517</v>
      </c>
      <c r="C1985" s="14">
        <v>213731.01</v>
      </c>
      <c r="D1985" s="14">
        <v>0</v>
      </c>
      <c r="E1985" s="14">
        <f t="shared" si="31"/>
        <v>213731.01</v>
      </c>
    </row>
    <row r="1986" spans="1:5" x14ac:dyDescent="0.3">
      <c r="A1986" s="7">
        <v>1014067</v>
      </c>
      <c r="B1986" s="7" t="s">
        <v>1984</v>
      </c>
      <c r="C1986" s="14">
        <v>2030162.36</v>
      </c>
      <c r="D1986" s="14">
        <v>2030162.36</v>
      </c>
      <c r="E1986" s="14">
        <f t="shared" si="31"/>
        <v>2030162.36</v>
      </c>
    </row>
    <row r="1987" spans="1:5" x14ac:dyDescent="0.3">
      <c r="A1987" s="7">
        <v>1014068</v>
      </c>
      <c r="B1987" s="7" t="s">
        <v>1985</v>
      </c>
      <c r="C1987" s="14">
        <v>2046473.56</v>
      </c>
      <c r="D1987" s="14">
        <v>0</v>
      </c>
      <c r="E1987" s="14">
        <f t="shared" si="31"/>
        <v>2046473.56</v>
      </c>
    </row>
    <row r="1988" spans="1:5" x14ac:dyDescent="0.3">
      <c r="A1988" s="7">
        <v>1014072</v>
      </c>
      <c r="B1988" s="7" t="s">
        <v>81</v>
      </c>
      <c r="C1988" s="14">
        <v>13.57</v>
      </c>
      <c r="D1988" s="14">
        <v>34.338000000000001</v>
      </c>
      <c r="E1988" s="14">
        <f t="shared" si="31"/>
        <v>34.338000000000001</v>
      </c>
    </row>
    <row r="1989" spans="1:5" x14ac:dyDescent="0.3">
      <c r="A1989" s="7">
        <v>1014212</v>
      </c>
      <c r="B1989" s="7" t="s">
        <v>1986</v>
      </c>
      <c r="C1989" s="14">
        <v>112.29196063588191</v>
      </c>
      <c r="D1989" s="14">
        <v>112.29195876288659</v>
      </c>
      <c r="E1989" s="14">
        <f t="shared" si="31"/>
        <v>112.29196063588191</v>
      </c>
    </row>
    <row r="1990" spans="1:5" x14ac:dyDescent="0.3">
      <c r="A1990" s="7">
        <v>1014276</v>
      </c>
      <c r="B1990" s="7" t="s">
        <v>1987</v>
      </c>
      <c r="C1990" s="14">
        <v>25</v>
      </c>
      <c r="D1990" s="14">
        <v>25</v>
      </c>
      <c r="E1990" s="14">
        <f t="shared" si="31"/>
        <v>25</v>
      </c>
    </row>
    <row r="1991" spans="1:5" x14ac:dyDescent="0.3">
      <c r="A1991" s="7">
        <v>1014432</v>
      </c>
      <c r="B1991" s="7" t="s">
        <v>1988</v>
      </c>
      <c r="C1991" s="14">
        <v>0</v>
      </c>
      <c r="D1991" s="14">
        <v>0</v>
      </c>
      <c r="E1991" s="14">
        <f t="shared" si="31"/>
        <v>0</v>
      </c>
    </row>
    <row r="1992" spans="1:5" x14ac:dyDescent="0.3">
      <c r="A1992" s="7">
        <v>1014463</v>
      </c>
      <c r="B1992" s="7" t="s">
        <v>1989</v>
      </c>
      <c r="C1992" s="14">
        <v>0</v>
      </c>
      <c r="D1992" s="14">
        <v>0</v>
      </c>
      <c r="E1992" s="14">
        <f t="shared" si="31"/>
        <v>0</v>
      </c>
    </row>
    <row r="1993" spans="1:5" x14ac:dyDescent="0.3">
      <c r="A1993" s="7">
        <v>1014485</v>
      </c>
      <c r="B1993" s="7" t="s">
        <v>1990</v>
      </c>
      <c r="C1993" s="14">
        <v>8.378645694481472</v>
      </c>
      <c r="D1993" s="14">
        <v>8.3786456724886857</v>
      </c>
      <c r="E1993" s="14">
        <f t="shared" si="31"/>
        <v>8.378645694481472</v>
      </c>
    </row>
    <row r="1994" spans="1:5" x14ac:dyDescent="0.3">
      <c r="A1994" s="7">
        <v>1014487</v>
      </c>
      <c r="B1994" s="7" t="s">
        <v>1991</v>
      </c>
      <c r="C1994" s="14">
        <v>64.960000000000008</v>
      </c>
      <c r="D1994" s="14">
        <v>64.959999999999994</v>
      </c>
      <c r="E1994" s="14">
        <f t="shared" si="31"/>
        <v>64.960000000000008</v>
      </c>
    </row>
    <row r="1995" spans="1:5" x14ac:dyDescent="0.3">
      <c r="A1995" s="7">
        <v>1014528</v>
      </c>
      <c r="B1995" s="7" t="s">
        <v>1992</v>
      </c>
      <c r="C1995" s="14">
        <v>8</v>
      </c>
      <c r="D1995" s="14">
        <v>0</v>
      </c>
      <c r="E1995" s="14">
        <f t="shared" si="31"/>
        <v>8</v>
      </c>
    </row>
    <row r="1996" spans="1:5" x14ac:dyDescent="0.3">
      <c r="A1996" s="7">
        <v>1014549</v>
      </c>
      <c r="B1996" s="7" t="s">
        <v>1993</v>
      </c>
      <c r="C1996" s="14">
        <v>60007.75</v>
      </c>
      <c r="D1996" s="14">
        <v>0</v>
      </c>
      <c r="E1996" s="14">
        <f t="shared" si="31"/>
        <v>60007.75</v>
      </c>
    </row>
    <row r="1997" spans="1:5" x14ac:dyDescent="0.3">
      <c r="A1997" s="7">
        <v>2001226</v>
      </c>
      <c r="B1997" s="7" t="s">
        <v>1994</v>
      </c>
      <c r="C1997" s="14">
        <v>2.3482000000000003</v>
      </c>
      <c r="D1997" s="14">
        <v>2.3481999999999998</v>
      </c>
      <c r="E1997" s="14">
        <f t="shared" si="31"/>
        <v>2.3482000000000003</v>
      </c>
    </row>
    <row r="1998" spans="1:5" x14ac:dyDescent="0.3">
      <c r="A1998" s="7">
        <v>2004181</v>
      </c>
      <c r="B1998" s="7" t="s">
        <v>1995</v>
      </c>
      <c r="C1998" s="14">
        <v>3.3866000497553697</v>
      </c>
      <c r="D1998" s="14">
        <v>0</v>
      </c>
      <c r="E1998" s="14">
        <f t="shared" si="31"/>
        <v>3.3866000497553697</v>
      </c>
    </row>
    <row r="1999" spans="1:5" x14ac:dyDescent="0.3">
      <c r="A1999" s="7">
        <v>2004381</v>
      </c>
      <c r="B1999" s="7" t="s">
        <v>1996</v>
      </c>
      <c r="C1999" s="14">
        <v>600</v>
      </c>
      <c r="D1999" s="14">
        <v>600</v>
      </c>
      <c r="E1999" s="14">
        <f t="shared" si="31"/>
        <v>600</v>
      </c>
    </row>
    <row r="2000" spans="1:5" x14ac:dyDescent="0.3">
      <c r="A2000" s="7">
        <v>2005912</v>
      </c>
      <c r="B2000" s="7" t="s">
        <v>1997</v>
      </c>
      <c r="C2000" s="14">
        <v>286.33086193136472</v>
      </c>
      <c r="D2000" s="14">
        <v>286.33086193136472</v>
      </c>
      <c r="E2000" s="14">
        <f t="shared" si="31"/>
        <v>286.33086193136472</v>
      </c>
    </row>
    <row r="2001" spans="1:5" x14ac:dyDescent="0.3">
      <c r="A2001" s="7">
        <v>2008659</v>
      </c>
      <c r="B2001" s="7" t="s">
        <v>1998</v>
      </c>
      <c r="C2001" s="14">
        <v>20.060000000000002</v>
      </c>
      <c r="D2001" s="14">
        <v>20.060000000000002</v>
      </c>
      <c r="E2001" s="14">
        <f t="shared" si="31"/>
        <v>20.060000000000002</v>
      </c>
    </row>
    <row r="2002" spans="1:5" x14ac:dyDescent="0.3">
      <c r="A2002" s="7">
        <v>2008803</v>
      </c>
      <c r="B2002" s="7" t="s">
        <v>1999</v>
      </c>
      <c r="C2002" s="14">
        <v>172.65673913043477</v>
      </c>
      <c r="D2002" s="14">
        <v>0</v>
      </c>
      <c r="E2002" s="14">
        <f t="shared" si="31"/>
        <v>172.65673913043477</v>
      </c>
    </row>
    <row r="2003" spans="1:5" x14ac:dyDescent="0.3">
      <c r="A2003" s="7">
        <v>2009993</v>
      </c>
      <c r="B2003" s="7" t="s">
        <v>282</v>
      </c>
      <c r="C2003" s="14">
        <v>21782.799999999999</v>
      </c>
      <c r="D2003" s="14">
        <v>21782.799999999999</v>
      </c>
      <c r="E2003" s="14">
        <f t="shared" si="31"/>
        <v>21782.799999999999</v>
      </c>
    </row>
    <row r="2004" spans="1:5" x14ac:dyDescent="0.3">
      <c r="A2004" s="7">
        <v>2010037</v>
      </c>
      <c r="B2004" s="7" t="s">
        <v>769</v>
      </c>
      <c r="C2004" s="14">
        <v>30090</v>
      </c>
      <c r="D2004" s="14">
        <v>30090</v>
      </c>
      <c r="E2004" s="14">
        <f t="shared" si="31"/>
        <v>30090</v>
      </c>
    </row>
    <row r="2005" spans="1:5" x14ac:dyDescent="0.3">
      <c r="A2005" s="7">
        <v>2010039</v>
      </c>
      <c r="B2005" s="7" t="s">
        <v>772</v>
      </c>
      <c r="C2005" s="14">
        <v>30090</v>
      </c>
      <c r="D2005" s="14">
        <v>0</v>
      </c>
      <c r="E2005" s="14">
        <f t="shared" si="31"/>
        <v>30090</v>
      </c>
    </row>
    <row r="2006" spans="1:5" x14ac:dyDescent="0.3">
      <c r="A2006" s="7">
        <v>2010644</v>
      </c>
      <c r="B2006" s="7" t="s">
        <v>770</v>
      </c>
      <c r="C2006" s="14">
        <v>30090</v>
      </c>
      <c r="D2006" s="14">
        <v>30090</v>
      </c>
      <c r="E2006" s="14">
        <f t="shared" si="31"/>
        <v>30090</v>
      </c>
    </row>
    <row r="2007" spans="1:5" x14ac:dyDescent="0.3">
      <c r="A2007" s="7">
        <v>2011177</v>
      </c>
      <c r="B2007" s="7" t="s">
        <v>2000</v>
      </c>
      <c r="C2007" s="14">
        <v>247.3311967283685</v>
      </c>
      <c r="D2007" s="14">
        <v>247.3311967283685</v>
      </c>
      <c r="E2007" s="14">
        <f t="shared" si="31"/>
        <v>247.3311967283685</v>
      </c>
    </row>
    <row r="2008" spans="1:5" x14ac:dyDescent="0.3">
      <c r="A2008" s="7">
        <v>2011178</v>
      </c>
      <c r="B2008" s="7" t="s">
        <v>2001</v>
      </c>
      <c r="C2008" s="14">
        <v>44719.43</v>
      </c>
      <c r="D2008" s="14">
        <v>44719.43</v>
      </c>
      <c r="E2008" s="14">
        <f t="shared" si="31"/>
        <v>44719.43</v>
      </c>
    </row>
    <row r="2009" spans="1:5" x14ac:dyDescent="0.3">
      <c r="A2009" s="7">
        <v>2011179</v>
      </c>
      <c r="B2009" s="7" t="s">
        <v>2002</v>
      </c>
      <c r="C2009" s="14">
        <v>487.47234597759672</v>
      </c>
      <c r="D2009" s="14">
        <v>0</v>
      </c>
      <c r="E2009" s="14">
        <f t="shared" si="31"/>
        <v>487.47234597759672</v>
      </c>
    </row>
    <row r="2010" spans="1:5" x14ac:dyDescent="0.3">
      <c r="A2010" s="7">
        <v>2011260</v>
      </c>
      <c r="B2010" s="7" t="s">
        <v>2003</v>
      </c>
      <c r="C2010" s="14">
        <v>125670</v>
      </c>
      <c r="D2010" s="14">
        <v>125670</v>
      </c>
      <c r="E2010" s="14">
        <f t="shared" si="31"/>
        <v>125670</v>
      </c>
    </row>
    <row r="2011" spans="1:5" x14ac:dyDescent="0.3">
      <c r="A2011" s="7">
        <v>2011376</v>
      </c>
      <c r="B2011" s="7" t="s">
        <v>2004</v>
      </c>
      <c r="C2011" s="14">
        <v>35.4</v>
      </c>
      <c r="D2011" s="14">
        <v>0</v>
      </c>
      <c r="E2011" s="14">
        <f t="shared" si="31"/>
        <v>35.4</v>
      </c>
    </row>
    <row r="2012" spans="1:5" x14ac:dyDescent="0.3">
      <c r="A2012" s="7">
        <v>2011377</v>
      </c>
      <c r="B2012" s="7" t="s">
        <v>2005</v>
      </c>
      <c r="C2012" s="14">
        <v>178.18</v>
      </c>
      <c r="D2012" s="14">
        <v>0</v>
      </c>
      <c r="E2012" s="14">
        <f t="shared" si="31"/>
        <v>178.18</v>
      </c>
    </row>
    <row r="2013" spans="1:5" x14ac:dyDescent="0.3">
      <c r="A2013" s="7">
        <v>2012333</v>
      </c>
      <c r="B2013" s="7" t="s">
        <v>2006</v>
      </c>
      <c r="C2013" s="14">
        <v>140.41999999999999</v>
      </c>
      <c r="D2013" s="14">
        <v>140.41999999999999</v>
      </c>
      <c r="E2013" s="14">
        <f t="shared" si="31"/>
        <v>140.41999999999999</v>
      </c>
    </row>
    <row r="2014" spans="1:5" x14ac:dyDescent="0.3">
      <c r="A2014" s="7">
        <v>5000870</v>
      </c>
      <c r="B2014" s="7" t="s">
        <v>2007</v>
      </c>
      <c r="C2014" s="14">
        <v>0</v>
      </c>
      <c r="D2014" s="14">
        <v>0</v>
      </c>
      <c r="E2014" s="14">
        <f t="shared" si="31"/>
        <v>0</v>
      </c>
    </row>
    <row r="2015" spans="1:5" x14ac:dyDescent="0.3">
      <c r="A2015" s="7">
        <v>1000001</v>
      </c>
      <c r="B2015" s="15" t="s">
        <v>2012</v>
      </c>
      <c r="C2015" s="14">
        <v>650</v>
      </c>
      <c r="D2015" s="14">
        <v>0</v>
      </c>
      <c r="E2015" s="14">
        <f t="shared" si="31"/>
        <v>650</v>
      </c>
    </row>
    <row r="2016" spans="1:5" x14ac:dyDescent="0.3">
      <c r="A2016" s="7">
        <v>1000006</v>
      </c>
      <c r="B2016" s="15" t="s">
        <v>2013</v>
      </c>
      <c r="C2016" s="14">
        <v>0</v>
      </c>
      <c r="D2016" s="14">
        <v>0</v>
      </c>
      <c r="E2016" s="14">
        <f t="shared" si="31"/>
        <v>0</v>
      </c>
    </row>
    <row r="2017" spans="1:5" x14ac:dyDescent="0.3">
      <c r="A2017" s="7">
        <v>1000008</v>
      </c>
      <c r="B2017" s="15" t="s">
        <v>2014</v>
      </c>
      <c r="C2017" s="14">
        <v>0</v>
      </c>
      <c r="D2017" s="14">
        <v>0</v>
      </c>
      <c r="E2017" s="14">
        <f t="shared" ref="E2017:E2080" si="32">+MAX(C2017, D2017)</f>
        <v>0</v>
      </c>
    </row>
    <row r="2018" spans="1:5" x14ac:dyDescent="0.3">
      <c r="A2018" s="7">
        <v>1000012</v>
      </c>
      <c r="B2018" s="15" t="s">
        <v>2015</v>
      </c>
      <c r="C2018" s="14">
        <v>0</v>
      </c>
      <c r="D2018" s="14">
        <v>0</v>
      </c>
      <c r="E2018" s="14">
        <f t="shared" si="32"/>
        <v>0</v>
      </c>
    </row>
    <row r="2019" spans="1:5" x14ac:dyDescent="0.3">
      <c r="A2019" s="7">
        <v>1000013</v>
      </c>
      <c r="B2019" s="15" t="s">
        <v>2016</v>
      </c>
      <c r="C2019" s="14">
        <v>0</v>
      </c>
      <c r="D2019" s="14">
        <v>0</v>
      </c>
      <c r="E2019" s="14">
        <f t="shared" si="32"/>
        <v>0</v>
      </c>
    </row>
    <row r="2020" spans="1:5" x14ac:dyDescent="0.3">
      <c r="A2020" s="7">
        <v>1000015</v>
      </c>
      <c r="B2020" s="15" t="s">
        <v>2017</v>
      </c>
      <c r="C2020" s="14">
        <v>0</v>
      </c>
      <c r="D2020" s="14">
        <v>0</v>
      </c>
      <c r="E2020" s="14">
        <f t="shared" si="32"/>
        <v>0</v>
      </c>
    </row>
    <row r="2021" spans="1:5" x14ac:dyDescent="0.3">
      <c r="A2021" s="7">
        <v>1000021</v>
      </c>
      <c r="B2021" s="15" t="s">
        <v>2018</v>
      </c>
      <c r="C2021" s="14">
        <v>0</v>
      </c>
      <c r="D2021" s="14">
        <v>0</v>
      </c>
      <c r="E2021" s="14">
        <f t="shared" si="32"/>
        <v>0</v>
      </c>
    </row>
    <row r="2022" spans="1:5" x14ac:dyDescent="0.3">
      <c r="A2022" s="7">
        <v>1000022</v>
      </c>
      <c r="B2022" s="15" t="s">
        <v>2019</v>
      </c>
      <c r="C2022" s="14">
        <v>0</v>
      </c>
      <c r="D2022" s="14">
        <v>0</v>
      </c>
      <c r="E2022" s="14">
        <f t="shared" si="32"/>
        <v>0</v>
      </c>
    </row>
    <row r="2023" spans="1:5" x14ac:dyDescent="0.3">
      <c r="A2023" s="7">
        <v>1000024</v>
      </c>
      <c r="B2023" s="15" t="s">
        <v>2020</v>
      </c>
      <c r="C2023" s="14">
        <v>0</v>
      </c>
      <c r="D2023" s="14">
        <v>0</v>
      </c>
      <c r="E2023" s="14">
        <f t="shared" si="32"/>
        <v>0</v>
      </c>
    </row>
    <row r="2024" spans="1:5" x14ac:dyDescent="0.3">
      <c r="A2024" s="7">
        <v>1000025</v>
      </c>
      <c r="B2024" s="15" t="s">
        <v>2021</v>
      </c>
      <c r="C2024" s="14">
        <v>0</v>
      </c>
      <c r="D2024" s="14">
        <v>0</v>
      </c>
      <c r="E2024" s="14">
        <f t="shared" si="32"/>
        <v>0</v>
      </c>
    </row>
    <row r="2025" spans="1:5" x14ac:dyDescent="0.3">
      <c r="A2025" s="7">
        <v>1000028</v>
      </c>
      <c r="B2025" s="15" t="s">
        <v>2022</v>
      </c>
      <c r="C2025" s="14">
        <v>0</v>
      </c>
      <c r="D2025" s="14">
        <v>0</v>
      </c>
      <c r="E2025" s="14">
        <f t="shared" si="32"/>
        <v>0</v>
      </c>
    </row>
    <row r="2026" spans="1:5" x14ac:dyDescent="0.3">
      <c r="A2026" s="7">
        <v>1000036</v>
      </c>
      <c r="B2026" s="15" t="s">
        <v>2023</v>
      </c>
      <c r="C2026" s="14">
        <v>0</v>
      </c>
      <c r="D2026" s="14">
        <v>0</v>
      </c>
      <c r="E2026" s="14">
        <f t="shared" si="32"/>
        <v>0</v>
      </c>
    </row>
    <row r="2027" spans="1:5" x14ac:dyDescent="0.3">
      <c r="A2027" s="7">
        <v>1000037</v>
      </c>
      <c r="B2027" s="15" t="s">
        <v>2024</v>
      </c>
      <c r="C2027" s="14">
        <v>42.92</v>
      </c>
      <c r="D2027" s="14">
        <v>0</v>
      </c>
      <c r="E2027" s="14">
        <f t="shared" si="32"/>
        <v>42.92</v>
      </c>
    </row>
    <row r="2028" spans="1:5" x14ac:dyDescent="0.3">
      <c r="A2028" s="7">
        <v>1000045</v>
      </c>
      <c r="B2028" s="15" t="s">
        <v>34</v>
      </c>
      <c r="C2028" s="14">
        <v>0</v>
      </c>
      <c r="D2028" s="14">
        <v>0</v>
      </c>
      <c r="E2028" s="14">
        <f t="shared" si="32"/>
        <v>0</v>
      </c>
    </row>
    <row r="2029" spans="1:5" x14ac:dyDescent="0.3">
      <c r="A2029" s="7">
        <v>1000048</v>
      </c>
      <c r="B2029" s="15" t="s">
        <v>2025</v>
      </c>
      <c r="C2029" s="14">
        <v>0</v>
      </c>
      <c r="D2029" s="14">
        <v>0</v>
      </c>
      <c r="E2029" s="14">
        <f t="shared" si="32"/>
        <v>0</v>
      </c>
    </row>
    <row r="2030" spans="1:5" x14ac:dyDescent="0.3">
      <c r="A2030" s="7">
        <v>1000051</v>
      </c>
      <c r="B2030" s="15" t="s">
        <v>2026</v>
      </c>
      <c r="C2030" s="14">
        <v>0</v>
      </c>
      <c r="D2030" s="14">
        <v>0</v>
      </c>
      <c r="E2030" s="14">
        <f t="shared" si="32"/>
        <v>0</v>
      </c>
    </row>
    <row r="2031" spans="1:5" x14ac:dyDescent="0.3">
      <c r="A2031" s="7">
        <v>1000053</v>
      </c>
      <c r="B2031" s="15" t="s">
        <v>2027</v>
      </c>
      <c r="C2031" s="14">
        <v>0</v>
      </c>
      <c r="D2031" s="14">
        <v>0</v>
      </c>
      <c r="E2031" s="14">
        <f t="shared" si="32"/>
        <v>0</v>
      </c>
    </row>
    <row r="2032" spans="1:5" x14ac:dyDescent="0.3">
      <c r="A2032" s="7">
        <v>1000056</v>
      </c>
      <c r="B2032" s="15" t="s">
        <v>2028</v>
      </c>
      <c r="C2032" s="14">
        <v>0</v>
      </c>
      <c r="D2032" s="14">
        <v>0</v>
      </c>
      <c r="E2032" s="14">
        <f t="shared" si="32"/>
        <v>0</v>
      </c>
    </row>
    <row r="2033" spans="1:5" x14ac:dyDescent="0.3">
      <c r="A2033" s="7">
        <v>1000057</v>
      </c>
      <c r="B2033" s="15" t="s">
        <v>2029</v>
      </c>
      <c r="C2033" s="14">
        <v>0</v>
      </c>
      <c r="D2033" s="14">
        <v>0</v>
      </c>
      <c r="E2033" s="14">
        <f t="shared" si="32"/>
        <v>0</v>
      </c>
    </row>
    <row r="2034" spans="1:5" x14ac:dyDescent="0.3">
      <c r="A2034" s="7">
        <v>1000058</v>
      </c>
      <c r="B2034" s="15" t="s">
        <v>2030</v>
      </c>
      <c r="C2034" s="14">
        <v>0</v>
      </c>
      <c r="D2034" s="14">
        <v>0</v>
      </c>
      <c r="E2034" s="14">
        <f t="shared" si="32"/>
        <v>0</v>
      </c>
    </row>
    <row r="2035" spans="1:5" x14ac:dyDescent="0.3">
      <c r="A2035" s="7">
        <v>1000059</v>
      </c>
      <c r="B2035" s="15" t="s">
        <v>2031</v>
      </c>
      <c r="C2035" s="14">
        <v>0</v>
      </c>
      <c r="D2035" s="14">
        <v>0</v>
      </c>
      <c r="E2035" s="14">
        <f t="shared" si="32"/>
        <v>0</v>
      </c>
    </row>
    <row r="2036" spans="1:5" x14ac:dyDescent="0.3">
      <c r="A2036" s="7">
        <v>1000060</v>
      </c>
      <c r="B2036" s="15" t="s">
        <v>2032</v>
      </c>
      <c r="C2036" s="14">
        <v>0</v>
      </c>
      <c r="D2036" s="14">
        <v>0</v>
      </c>
      <c r="E2036" s="14">
        <f t="shared" si="32"/>
        <v>0</v>
      </c>
    </row>
    <row r="2037" spans="1:5" x14ac:dyDescent="0.3">
      <c r="A2037" s="7">
        <v>1000061</v>
      </c>
      <c r="B2037" s="15" t="s">
        <v>2033</v>
      </c>
      <c r="C2037" s="14">
        <v>0</v>
      </c>
      <c r="D2037" s="14">
        <v>0</v>
      </c>
      <c r="E2037" s="14">
        <f t="shared" si="32"/>
        <v>0</v>
      </c>
    </row>
    <row r="2038" spans="1:5" x14ac:dyDescent="0.3">
      <c r="A2038" s="7">
        <v>1000062</v>
      </c>
      <c r="B2038" s="15" t="s">
        <v>2034</v>
      </c>
      <c r="C2038" s="14">
        <v>0</v>
      </c>
      <c r="D2038" s="14">
        <v>0</v>
      </c>
      <c r="E2038" s="14">
        <f t="shared" si="32"/>
        <v>0</v>
      </c>
    </row>
    <row r="2039" spans="1:5" x14ac:dyDescent="0.3">
      <c r="A2039" s="7">
        <v>1000064</v>
      </c>
      <c r="B2039" s="15" t="s">
        <v>2035</v>
      </c>
      <c r="C2039" s="14">
        <v>0</v>
      </c>
      <c r="D2039" s="14">
        <v>0</v>
      </c>
      <c r="E2039" s="14">
        <f t="shared" si="32"/>
        <v>0</v>
      </c>
    </row>
    <row r="2040" spans="1:5" x14ac:dyDescent="0.3">
      <c r="A2040" s="7">
        <v>1000065</v>
      </c>
      <c r="B2040" s="15" t="s">
        <v>2036</v>
      </c>
      <c r="C2040" s="14">
        <v>0</v>
      </c>
      <c r="D2040" s="14">
        <v>0</v>
      </c>
      <c r="E2040" s="14">
        <f t="shared" si="32"/>
        <v>0</v>
      </c>
    </row>
    <row r="2041" spans="1:5" x14ac:dyDescent="0.3">
      <c r="A2041" s="7">
        <v>1000066</v>
      </c>
      <c r="B2041" s="15" t="s">
        <v>2037</v>
      </c>
      <c r="C2041" s="14">
        <v>0</v>
      </c>
      <c r="D2041" s="14">
        <v>0</v>
      </c>
      <c r="E2041" s="14">
        <f t="shared" si="32"/>
        <v>0</v>
      </c>
    </row>
    <row r="2042" spans="1:5" x14ac:dyDescent="0.3">
      <c r="A2042" s="7">
        <v>1000067</v>
      </c>
      <c r="B2042" s="15" t="s">
        <v>2038</v>
      </c>
      <c r="C2042" s="14">
        <v>0</v>
      </c>
      <c r="D2042" s="14">
        <v>0</v>
      </c>
      <c r="E2042" s="14">
        <f t="shared" si="32"/>
        <v>0</v>
      </c>
    </row>
    <row r="2043" spans="1:5" x14ac:dyDescent="0.3">
      <c r="A2043" s="7">
        <v>1000070</v>
      </c>
      <c r="B2043" s="15" t="s">
        <v>2039</v>
      </c>
      <c r="C2043" s="14">
        <v>0</v>
      </c>
      <c r="D2043" s="14">
        <v>0</v>
      </c>
      <c r="E2043" s="14">
        <f t="shared" si="32"/>
        <v>0</v>
      </c>
    </row>
    <row r="2044" spans="1:5" x14ac:dyDescent="0.3">
      <c r="A2044" s="7">
        <v>1000071</v>
      </c>
      <c r="B2044" s="15" t="s">
        <v>2040</v>
      </c>
      <c r="C2044" s="14">
        <v>0</v>
      </c>
      <c r="D2044" s="14">
        <v>0</v>
      </c>
      <c r="E2044" s="14">
        <f t="shared" si="32"/>
        <v>0</v>
      </c>
    </row>
    <row r="2045" spans="1:5" x14ac:dyDescent="0.3">
      <c r="A2045" s="7">
        <v>1000072</v>
      </c>
      <c r="B2045" s="15" t="s">
        <v>2041</v>
      </c>
      <c r="C2045" s="14">
        <v>0</v>
      </c>
      <c r="D2045" s="14">
        <v>0</v>
      </c>
      <c r="E2045" s="14">
        <f t="shared" si="32"/>
        <v>0</v>
      </c>
    </row>
    <row r="2046" spans="1:5" x14ac:dyDescent="0.3">
      <c r="A2046" s="7">
        <v>1000074</v>
      </c>
      <c r="B2046" s="15" t="s">
        <v>2042</v>
      </c>
      <c r="C2046" s="14">
        <v>0</v>
      </c>
      <c r="D2046" s="14">
        <v>0</v>
      </c>
      <c r="E2046" s="14">
        <f t="shared" si="32"/>
        <v>0</v>
      </c>
    </row>
    <row r="2047" spans="1:5" x14ac:dyDescent="0.3">
      <c r="A2047" s="7">
        <v>1000075</v>
      </c>
      <c r="B2047" s="15" t="s">
        <v>2043</v>
      </c>
      <c r="C2047" s="14">
        <v>0</v>
      </c>
      <c r="D2047" s="14">
        <v>0</v>
      </c>
      <c r="E2047" s="14">
        <f t="shared" si="32"/>
        <v>0</v>
      </c>
    </row>
    <row r="2048" spans="1:5" x14ac:dyDescent="0.3">
      <c r="A2048" s="7">
        <v>1000076</v>
      </c>
      <c r="B2048" s="15" t="s">
        <v>2044</v>
      </c>
      <c r="C2048" s="14">
        <v>0</v>
      </c>
      <c r="D2048" s="14">
        <v>0</v>
      </c>
      <c r="E2048" s="14">
        <f t="shared" si="32"/>
        <v>0</v>
      </c>
    </row>
    <row r="2049" spans="1:5" x14ac:dyDescent="0.3">
      <c r="A2049" s="7">
        <v>1000077</v>
      </c>
      <c r="B2049" s="15" t="s">
        <v>2045</v>
      </c>
      <c r="C2049" s="14">
        <v>0</v>
      </c>
      <c r="D2049" s="14">
        <v>0</v>
      </c>
      <c r="E2049" s="14">
        <f t="shared" si="32"/>
        <v>0</v>
      </c>
    </row>
    <row r="2050" spans="1:5" x14ac:dyDescent="0.3">
      <c r="A2050" s="7">
        <v>1000078</v>
      </c>
      <c r="B2050" s="15" t="s">
        <v>2046</v>
      </c>
      <c r="C2050" s="14">
        <v>0</v>
      </c>
      <c r="D2050" s="14">
        <v>0</v>
      </c>
      <c r="E2050" s="14">
        <f t="shared" si="32"/>
        <v>0</v>
      </c>
    </row>
    <row r="2051" spans="1:5" x14ac:dyDescent="0.3">
      <c r="A2051" s="7">
        <v>1000079</v>
      </c>
      <c r="B2051" s="15" t="s">
        <v>2047</v>
      </c>
      <c r="C2051" s="14">
        <v>0</v>
      </c>
      <c r="D2051" s="14">
        <v>0</v>
      </c>
      <c r="E2051" s="14">
        <f t="shared" si="32"/>
        <v>0</v>
      </c>
    </row>
    <row r="2052" spans="1:5" x14ac:dyDescent="0.3">
      <c r="A2052" s="7">
        <v>1000080</v>
      </c>
      <c r="B2052" s="15" t="s">
        <v>2048</v>
      </c>
      <c r="C2052" s="14">
        <v>0</v>
      </c>
      <c r="D2052" s="14">
        <v>0</v>
      </c>
      <c r="E2052" s="14">
        <f t="shared" si="32"/>
        <v>0</v>
      </c>
    </row>
    <row r="2053" spans="1:5" x14ac:dyDescent="0.3">
      <c r="A2053" s="7">
        <v>1000081</v>
      </c>
      <c r="B2053" s="15" t="s">
        <v>2049</v>
      </c>
      <c r="C2053" s="14">
        <v>0</v>
      </c>
      <c r="D2053" s="14">
        <v>0</v>
      </c>
      <c r="E2053" s="14">
        <f t="shared" si="32"/>
        <v>0</v>
      </c>
    </row>
    <row r="2054" spans="1:5" x14ac:dyDescent="0.3">
      <c r="A2054" s="7">
        <v>1000082</v>
      </c>
      <c r="B2054" s="15" t="s">
        <v>2050</v>
      </c>
      <c r="C2054" s="14">
        <v>0</v>
      </c>
      <c r="D2054" s="14">
        <v>0</v>
      </c>
      <c r="E2054" s="14">
        <f t="shared" si="32"/>
        <v>0</v>
      </c>
    </row>
    <row r="2055" spans="1:5" x14ac:dyDescent="0.3">
      <c r="A2055" s="7">
        <v>1000084</v>
      </c>
      <c r="B2055" s="15" t="s">
        <v>2051</v>
      </c>
      <c r="C2055" s="14">
        <v>0</v>
      </c>
      <c r="D2055" s="14">
        <v>0</v>
      </c>
      <c r="E2055" s="14">
        <f t="shared" si="32"/>
        <v>0</v>
      </c>
    </row>
    <row r="2056" spans="1:5" x14ac:dyDescent="0.3">
      <c r="A2056" s="7">
        <v>1000087</v>
      </c>
      <c r="B2056" s="15" t="s">
        <v>2052</v>
      </c>
      <c r="C2056" s="14">
        <v>0</v>
      </c>
      <c r="D2056" s="14">
        <v>0</v>
      </c>
      <c r="E2056" s="14">
        <f t="shared" si="32"/>
        <v>0</v>
      </c>
    </row>
    <row r="2057" spans="1:5" x14ac:dyDescent="0.3">
      <c r="A2057" s="7">
        <v>1000088</v>
      </c>
      <c r="B2057" s="15" t="s">
        <v>2053</v>
      </c>
      <c r="C2057" s="14">
        <v>0</v>
      </c>
      <c r="D2057" s="14">
        <v>0</v>
      </c>
      <c r="E2057" s="14">
        <f t="shared" si="32"/>
        <v>0</v>
      </c>
    </row>
    <row r="2058" spans="1:5" x14ac:dyDescent="0.3">
      <c r="A2058" s="7">
        <v>1000089</v>
      </c>
      <c r="B2058" s="15" t="s">
        <v>2054</v>
      </c>
      <c r="C2058" s="14">
        <v>85.03</v>
      </c>
      <c r="D2058" s="14">
        <v>0</v>
      </c>
      <c r="E2058" s="14">
        <f t="shared" si="32"/>
        <v>85.03</v>
      </c>
    </row>
    <row r="2059" spans="1:5" x14ac:dyDescent="0.3">
      <c r="A2059" s="7">
        <v>1000090</v>
      </c>
      <c r="B2059" s="15" t="s">
        <v>2055</v>
      </c>
      <c r="C2059" s="14">
        <v>0</v>
      </c>
      <c r="D2059" s="14">
        <v>0</v>
      </c>
      <c r="E2059" s="14">
        <f t="shared" si="32"/>
        <v>0</v>
      </c>
    </row>
    <row r="2060" spans="1:5" x14ac:dyDescent="0.3">
      <c r="A2060" s="7">
        <v>1000105</v>
      </c>
      <c r="B2060" s="15" t="s">
        <v>2056</v>
      </c>
      <c r="C2060" s="14">
        <v>0</v>
      </c>
      <c r="D2060" s="14">
        <v>0</v>
      </c>
      <c r="E2060" s="14">
        <f t="shared" si="32"/>
        <v>0</v>
      </c>
    </row>
    <row r="2061" spans="1:5" x14ac:dyDescent="0.3">
      <c r="A2061" s="7">
        <v>1000106</v>
      </c>
      <c r="B2061" s="15" t="s">
        <v>2057</v>
      </c>
      <c r="C2061" s="14">
        <v>0</v>
      </c>
      <c r="D2061" s="14">
        <v>0</v>
      </c>
      <c r="E2061" s="14">
        <f t="shared" si="32"/>
        <v>0</v>
      </c>
    </row>
    <row r="2062" spans="1:5" x14ac:dyDescent="0.3">
      <c r="A2062" s="7">
        <v>1000108</v>
      </c>
      <c r="B2062" s="15" t="s">
        <v>2058</v>
      </c>
      <c r="C2062" s="14">
        <v>0</v>
      </c>
      <c r="D2062" s="14">
        <v>0</v>
      </c>
      <c r="E2062" s="14">
        <f t="shared" si="32"/>
        <v>0</v>
      </c>
    </row>
    <row r="2063" spans="1:5" x14ac:dyDescent="0.3">
      <c r="A2063" s="7">
        <v>1000109</v>
      </c>
      <c r="B2063" s="15" t="s">
        <v>2059</v>
      </c>
      <c r="C2063" s="14">
        <v>0</v>
      </c>
      <c r="D2063" s="14">
        <v>0</v>
      </c>
      <c r="E2063" s="14">
        <f t="shared" si="32"/>
        <v>0</v>
      </c>
    </row>
    <row r="2064" spans="1:5" x14ac:dyDescent="0.3">
      <c r="A2064" s="7">
        <v>1000110</v>
      </c>
      <c r="B2064" s="15" t="s">
        <v>2060</v>
      </c>
      <c r="C2064" s="14">
        <v>0</v>
      </c>
      <c r="D2064" s="14">
        <v>0</v>
      </c>
      <c r="E2064" s="14">
        <f t="shared" si="32"/>
        <v>0</v>
      </c>
    </row>
    <row r="2065" spans="1:5" x14ac:dyDescent="0.3">
      <c r="A2065" s="7">
        <v>1000112</v>
      </c>
      <c r="B2065" s="15" t="s">
        <v>2061</v>
      </c>
      <c r="C2065" s="14">
        <v>0</v>
      </c>
      <c r="D2065" s="14">
        <v>0</v>
      </c>
      <c r="E2065" s="14">
        <f t="shared" si="32"/>
        <v>0</v>
      </c>
    </row>
    <row r="2066" spans="1:5" x14ac:dyDescent="0.3">
      <c r="A2066" s="7">
        <v>1000113</v>
      </c>
      <c r="B2066" s="15" t="s">
        <v>2062</v>
      </c>
      <c r="C2066" s="14">
        <v>0</v>
      </c>
      <c r="D2066" s="14">
        <v>0</v>
      </c>
      <c r="E2066" s="14">
        <f t="shared" si="32"/>
        <v>0</v>
      </c>
    </row>
    <row r="2067" spans="1:5" x14ac:dyDescent="0.3">
      <c r="A2067" s="7">
        <v>1000114</v>
      </c>
      <c r="B2067" s="15" t="s">
        <v>2063</v>
      </c>
      <c r="C2067" s="14">
        <v>0</v>
      </c>
      <c r="D2067" s="14">
        <v>0</v>
      </c>
      <c r="E2067" s="14">
        <f t="shared" si="32"/>
        <v>0</v>
      </c>
    </row>
    <row r="2068" spans="1:5" x14ac:dyDescent="0.3">
      <c r="A2068" s="7">
        <v>1000115</v>
      </c>
      <c r="B2068" s="15" t="s">
        <v>2064</v>
      </c>
      <c r="C2068" s="14">
        <v>0</v>
      </c>
      <c r="D2068" s="14">
        <v>0</v>
      </c>
      <c r="E2068" s="14">
        <f t="shared" si="32"/>
        <v>0</v>
      </c>
    </row>
    <row r="2069" spans="1:5" x14ac:dyDescent="0.3">
      <c r="A2069" s="7">
        <v>1000116</v>
      </c>
      <c r="B2069" s="15" t="s">
        <v>2065</v>
      </c>
      <c r="C2069" s="14">
        <v>0</v>
      </c>
      <c r="D2069" s="14">
        <v>0</v>
      </c>
      <c r="E2069" s="14">
        <f t="shared" si="32"/>
        <v>0</v>
      </c>
    </row>
    <row r="2070" spans="1:5" x14ac:dyDescent="0.3">
      <c r="A2070" s="7">
        <v>1000118</v>
      </c>
      <c r="B2070" s="15" t="s">
        <v>2066</v>
      </c>
      <c r="C2070" s="14">
        <v>0</v>
      </c>
      <c r="D2070" s="14">
        <v>0</v>
      </c>
      <c r="E2070" s="14">
        <f t="shared" si="32"/>
        <v>0</v>
      </c>
    </row>
    <row r="2071" spans="1:5" x14ac:dyDescent="0.3">
      <c r="A2071" s="7">
        <v>1000119</v>
      </c>
      <c r="B2071" s="15" t="s">
        <v>2067</v>
      </c>
      <c r="C2071" s="14">
        <v>0</v>
      </c>
      <c r="D2071" s="14">
        <v>0</v>
      </c>
      <c r="E2071" s="14">
        <f t="shared" si="32"/>
        <v>0</v>
      </c>
    </row>
    <row r="2072" spans="1:5" x14ac:dyDescent="0.3">
      <c r="A2072" s="7">
        <v>1000120</v>
      </c>
      <c r="B2072" s="15" t="s">
        <v>2068</v>
      </c>
      <c r="C2072" s="14">
        <v>0</v>
      </c>
      <c r="D2072" s="14">
        <v>0</v>
      </c>
      <c r="E2072" s="14">
        <f t="shared" si="32"/>
        <v>0</v>
      </c>
    </row>
    <row r="2073" spans="1:5" x14ac:dyDescent="0.3">
      <c r="A2073" s="7">
        <v>1000121</v>
      </c>
      <c r="B2073" s="15" t="s">
        <v>2069</v>
      </c>
      <c r="C2073" s="14">
        <v>0</v>
      </c>
      <c r="D2073" s="14">
        <v>0</v>
      </c>
      <c r="E2073" s="14">
        <f t="shared" si="32"/>
        <v>0</v>
      </c>
    </row>
    <row r="2074" spans="1:5" x14ac:dyDescent="0.3">
      <c r="A2074" s="7">
        <v>1000125</v>
      </c>
      <c r="B2074" s="15" t="s">
        <v>2070</v>
      </c>
      <c r="C2074" s="14">
        <v>0</v>
      </c>
      <c r="D2074" s="14">
        <v>0</v>
      </c>
      <c r="E2074" s="14">
        <f t="shared" si="32"/>
        <v>0</v>
      </c>
    </row>
    <row r="2075" spans="1:5" x14ac:dyDescent="0.3">
      <c r="A2075" s="7">
        <v>1000126</v>
      </c>
      <c r="B2075" s="15" t="s">
        <v>2071</v>
      </c>
      <c r="C2075" s="14">
        <v>0</v>
      </c>
      <c r="D2075" s="14">
        <v>0</v>
      </c>
      <c r="E2075" s="14">
        <f t="shared" si="32"/>
        <v>0</v>
      </c>
    </row>
    <row r="2076" spans="1:5" x14ac:dyDescent="0.3">
      <c r="A2076" s="7">
        <v>1000127</v>
      </c>
      <c r="B2076" s="15" t="s">
        <v>2072</v>
      </c>
      <c r="C2076" s="14">
        <v>0</v>
      </c>
      <c r="D2076" s="14">
        <v>0</v>
      </c>
      <c r="E2076" s="14">
        <f t="shared" si="32"/>
        <v>0</v>
      </c>
    </row>
    <row r="2077" spans="1:5" x14ac:dyDescent="0.3">
      <c r="A2077" s="7">
        <v>1000128</v>
      </c>
      <c r="B2077" s="15" t="s">
        <v>2073</v>
      </c>
      <c r="C2077" s="14">
        <v>0</v>
      </c>
      <c r="D2077" s="14">
        <v>0</v>
      </c>
      <c r="E2077" s="14">
        <f t="shared" si="32"/>
        <v>0</v>
      </c>
    </row>
    <row r="2078" spans="1:5" x14ac:dyDescent="0.3">
      <c r="A2078" s="7">
        <v>1000131</v>
      </c>
      <c r="B2078" s="15" t="s">
        <v>2074</v>
      </c>
      <c r="C2078" s="14">
        <v>0</v>
      </c>
      <c r="D2078" s="14">
        <v>0</v>
      </c>
      <c r="E2078" s="14">
        <f t="shared" si="32"/>
        <v>0</v>
      </c>
    </row>
    <row r="2079" spans="1:5" x14ac:dyDescent="0.3">
      <c r="A2079" s="7">
        <v>1000132</v>
      </c>
      <c r="B2079" s="15" t="s">
        <v>2075</v>
      </c>
      <c r="C2079" s="14">
        <v>0</v>
      </c>
      <c r="D2079" s="14">
        <v>0</v>
      </c>
      <c r="E2079" s="14">
        <f t="shared" si="32"/>
        <v>0</v>
      </c>
    </row>
    <row r="2080" spans="1:5" x14ac:dyDescent="0.3">
      <c r="A2080" s="7">
        <v>1000133</v>
      </c>
      <c r="B2080" s="15" t="s">
        <v>2076</v>
      </c>
      <c r="C2080" s="14">
        <v>0</v>
      </c>
      <c r="D2080" s="14">
        <v>0</v>
      </c>
      <c r="E2080" s="14">
        <f t="shared" si="32"/>
        <v>0</v>
      </c>
    </row>
    <row r="2081" spans="1:5" x14ac:dyDescent="0.3">
      <c r="A2081" s="7">
        <v>1000135</v>
      </c>
      <c r="B2081" s="15" t="s">
        <v>2077</v>
      </c>
      <c r="C2081" s="14">
        <v>0</v>
      </c>
      <c r="D2081" s="14">
        <v>0</v>
      </c>
      <c r="E2081" s="14">
        <f t="shared" ref="E2081:E2144" si="33">+MAX(C2081, D2081)</f>
        <v>0</v>
      </c>
    </row>
    <row r="2082" spans="1:5" x14ac:dyDescent="0.3">
      <c r="A2082" s="7">
        <v>1000139</v>
      </c>
      <c r="B2082" s="15" t="s">
        <v>2078</v>
      </c>
      <c r="C2082" s="14">
        <v>0</v>
      </c>
      <c r="D2082" s="14">
        <v>0</v>
      </c>
      <c r="E2082" s="14">
        <f t="shared" si="33"/>
        <v>0</v>
      </c>
    </row>
    <row r="2083" spans="1:5" x14ac:dyDescent="0.3">
      <c r="A2083" s="7">
        <v>1000146</v>
      </c>
      <c r="B2083" s="15" t="s">
        <v>2079</v>
      </c>
      <c r="C2083" s="14">
        <v>0</v>
      </c>
      <c r="D2083" s="14">
        <v>0</v>
      </c>
      <c r="E2083" s="14">
        <f t="shared" si="33"/>
        <v>0</v>
      </c>
    </row>
    <row r="2084" spans="1:5" x14ac:dyDescent="0.3">
      <c r="A2084" s="7">
        <v>1000148</v>
      </c>
      <c r="B2084" s="15" t="s">
        <v>2080</v>
      </c>
      <c r="C2084" s="14">
        <v>0</v>
      </c>
      <c r="D2084" s="14">
        <v>0</v>
      </c>
      <c r="E2084" s="14">
        <f t="shared" si="33"/>
        <v>0</v>
      </c>
    </row>
    <row r="2085" spans="1:5" x14ac:dyDescent="0.3">
      <c r="A2085" s="7">
        <v>1000149</v>
      </c>
      <c r="B2085" s="15" t="s">
        <v>2081</v>
      </c>
      <c r="C2085" s="14">
        <v>0</v>
      </c>
      <c r="D2085" s="14">
        <v>0</v>
      </c>
      <c r="E2085" s="14">
        <f t="shared" si="33"/>
        <v>0</v>
      </c>
    </row>
    <row r="2086" spans="1:5" x14ac:dyDescent="0.3">
      <c r="A2086" s="7">
        <v>1000151</v>
      </c>
      <c r="B2086" s="15" t="s">
        <v>2082</v>
      </c>
      <c r="C2086" s="14">
        <v>0</v>
      </c>
      <c r="D2086" s="14">
        <v>0</v>
      </c>
      <c r="E2086" s="14">
        <f t="shared" si="33"/>
        <v>0</v>
      </c>
    </row>
    <row r="2087" spans="1:5" x14ac:dyDescent="0.3">
      <c r="A2087" s="7">
        <v>1000152</v>
      </c>
      <c r="B2087" s="15" t="s">
        <v>2083</v>
      </c>
      <c r="C2087" s="14">
        <v>0</v>
      </c>
      <c r="D2087" s="14">
        <v>0</v>
      </c>
      <c r="E2087" s="14">
        <f t="shared" si="33"/>
        <v>0</v>
      </c>
    </row>
    <row r="2088" spans="1:5" x14ac:dyDescent="0.3">
      <c r="A2088" s="7">
        <v>1000153</v>
      </c>
      <c r="B2088" s="15" t="s">
        <v>2084</v>
      </c>
      <c r="C2088" s="14">
        <v>0</v>
      </c>
      <c r="D2088" s="14">
        <v>0</v>
      </c>
      <c r="E2088" s="14">
        <f t="shared" si="33"/>
        <v>0</v>
      </c>
    </row>
    <row r="2089" spans="1:5" x14ac:dyDescent="0.3">
      <c r="A2089" s="7">
        <v>1000154</v>
      </c>
      <c r="B2089" s="15" t="s">
        <v>2085</v>
      </c>
      <c r="C2089" s="14">
        <v>0</v>
      </c>
      <c r="D2089" s="14">
        <v>0</v>
      </c>
      <c r="E2089" s="14">
        <f t="shared" si="33"/>
        <v>0</v>
      </c>
    </row>
    <row r="2090" spans="1:5" x14ac:dyDescent="0.3">
      <c r="A2090" s="7">
        <v>1000155</v>
      </c>
      <c r="B2090" s="15" t="s">
        <v>2086</v>
      </c>
      <c r="C2090" s="14">
        <v>0</v>
      </c>
      <c r="D2090" s="14">
        <v>0</v>
      </c>
      <c r="E2090" s="14">
        <f t="shared" si="33"/>
        <v>0</v>
      </c>
    </row>
    <row r="2091" spans="1:5" x14ac:dyDescent="0.3">
      <c r="A2091" s="7">
        <v>1000157</v>
      </c>
      <c r="B2091" s="15" t="s">
        <v>2087</v>
      </c>
      <c r="C2091" s="14">
        <v>0</v>
      </c>
      <c r="D2091" s="14">
        <v>0</v>
      </c>
      <c r="E2091" s="14">
        <f t="shared" si="33"/>
        <v>0</v>
      </c>
    </row>
    <row r="2092" spans="1:5" x14ac:dyDescent="0.3">
      <c r="A2092" s="7">
        <v>1000158</v>
      </c>
      <c r="B2092" s="15" t="s">
        <v>2088</v>
      </c>
      <c r="C2092" s="14">
        <v>0</v>
      </c>
      <c r="D2092" s="14">
        <v>0</v>
      </c>
      <c r="E2092" s="14">
        <f t="shared" si="33"/>
        <v>0</v>
      </c>
    </row>
    <row r="2093" spans="1:5" x14ac:dyDescent="0.3">
      <c r="A2093" s="7">
        <v>1000162</v>
      </c>
      <c r="B2093" s="15" t="s">
        <v>2089</v>
      </c>
      <c r="C2093" s="14">
        <v>0</v>
      </c>
      <c r="D2093" s="14">
        <v>0</v>
      </c>
      <c r="E2093" s="14">
        <f t="shared" si="33"/>
        <v>0</v>
      </c>
    </row>
    <row r="2094" spans="1:5" x14ac:dyDescent="0.3">
      <c r="A2094" s="7">
        <v>1000166</v>
      </c>
      <c r="B2094" s="15" t="s">
        <v>2090</v>
      </c>
      <c r="C2094" s="14">
        <v>0</v>
      </c>
      <c r="D2094" s="14">
        <v>0</v>
      </c>
      <c r="E2094" s="14">
        <f t="shared" si="33"/>
        <v>0</v>
      </c>
    </row>
    <row r="2095" spans="1:5" x14ac:dyDescent="0.3">
      <c r="A2095" s="7">
        <v>1000167</v>
      </c>
      <c r="B2095" s="15" t="s">
        <v>2091</v>
      </c>
      <c r="C2095" s="14">
        <v>0</v>
      </c>
      <c r="D2095" s="14">
        <v>0</v>
      </c>
      <c r="E2095" s="14">
        <f t="shared" si="33"/>
        <v>0</v>
      </c>
    </row>
    <row r="2096" spans="1:5" x14ac:dyDescent="0.3">
      <c r="A2096" s="7">
        <v>1000168</v>
      </c>
      <c r="B2096" s="15" t="s">
        <v>2092</v>
      </c>
      <c r="C2096" s="14">
        <v>0</v>
      </c>
      <c r="D2096" s="14">
        <v>0</v>
      </c>
      <c r="E2096" s="14">
        <f t="shared" si="33"/>
        <v>0</v>
      </c>
    </row>
    <row r="2097" spans="1:5" x14ac:dyDescent="0.3">
      <c r="A2097" s="7">
        <v>1000169</v>
      </c>
      <c r="B2097" s="15" t="s">
        <v>2093</v>
      </c>
      <c r="C2097" s="14">
        <v>0</v>
      </c>
      <c r="D2097" s="14">
        <v>0</v>
      </c>
      <c r="E2097" s="14">
        <f t="shared" si="33"/>
        <v>0</v>
      </c>
    </row>
    <row r="2098" spans="1:5" x14ac:dyDescent="0.3">
      <c r="A2098" s="7">
        <v>1000170</v>
      </c>
      <c r="B2098" s="15" t="s">
        <v>2094</v>
      </c>
      <c r="C2098" s="14">
        <v>0</v>
      </c>
      <c r="D2098" s="14">
        <v>0</v>
      </c>
      <c r="E2098" s="14">
        <f t="shared" si="33"/>
        <v>0</v>
      </c>
    </row>
    <row r="2099" spans="1:5" x14ac:dyDescent="0.3">
      <c r="A2099" s="7">
        <v>1000171</v>
      </c>
      <c r="B2099" s="15" t="s">
        <v>2095</v>
      </c>
      <c r="C2099" s="14">
        <v>0</v>
      </c>
      <c r="D2099" s="14">
        <v>0</v>
      </c>
      <c r="E2099" s="14">
        <f t="shared" si="33"/>
        <v>0</v>
      </c>
    </row>
    <row r="2100" spans="1:5" x14ac:dyDescent="0.3">
      <c r="A2100" s="7">
        <v>1000172</v>
      </c>
      <c r="B2100" s="15" t="s">
        <v>2096</v>
      </c>
      <c r="C2100" s="14">
        <v>0</v>
      </c>
      <c r="D2100" s="14">
        <v>0</v>
      </c>
      <c r="E2100" s="14">
        <f t="shared" si="33"/>
        <v>0</v>
      </c>
    </row>
    <row r="2101" spans="1:5" x14ac:dyDescent="0.3">
      <c r="A2101" s="7">
        <v>1000174</v>
      </c>
      <c r="B2101" s="15" t="s">
        <v>2097</v>
      </c>
      <c r="C2101" s="14">
        <v>0</v>
      </c>
      <c r="D2101" s="14">
        <v>0</v>
      </c>
      <c r="E2101" s="14">
        <f t="shared" si="33"/>
        <v>0</v>
      </c>
    </row>
    <row r="2102" spans="1:5" x14ac:dyDescent="0.3">
      <c r="A2102" s="7">
        <v>1000175</v>
      </c>
      <c r="B2102" s="15" t="s">
        <v>2098</v>
      </c>
      <c r="C2102" s="14">
        <v>0</v>
      </c>
      <c r="D2102" s="14">
        <v>0</v>
      </c>
      <c r="E2102" s="14">
        <f t="shared" si="33"/>
        <v>0</v>
      </c>
    </row>
    <row r="2103" spans="1:5" x14ac:dyDescent="0.3">
      <c r="A2103" s="7">
        <v>1000178</v>
      </c>
      <c r="B2103" s="15" t="s">
        <v>2099</v>
      </c>
      <c r="C2103" s="14">
        <v>0</v>
      </c>
      <c r="D2103" s="14">
        <v>0</v>
      </c>
      <c r="E2103" s="14">
        <f t="shared" si="33"/>
        <v>0</v>
      </c>
    </row>
    <row r="2104" spans="1:5" x14ac:dyDescent="0.3">
      <c r="A2104" s="7">
        <v>1000180</v>
      </c>
      <c r="B2104" s="15" t="s">
        <v>2100</v>
      </c>
      <c r="C2104" s="14">
        <v>0</v>
      </c>
      <c r="D2104" s="14">
        <v>0</v>
      </c>
      <c r="E2104" s="14">
        <f t="shared" si="33"/>
        <v>0</v>
      </c>
    </row>
    <row r="2105" spans="1:5" x14ac:dyDescent="0.3">
      <c r="A2105" s="7">
        <v>1000182</v>
      </c>
      <c r="B2105" s="15" t="s">
        <v>2101</v>
      </c>
      <c r="C2105" s="14">
        <v>0</v>
      </c>
      <c r="D2105" s="14">
        <v>0</v>
      </c>
      <c r="E2105" s="14">
        <f t="shared" si="33"/>
        <v>0</v>
      </c>
    </row>
    <row r="2106" spans="1:5" x14ac:dyDescent="0.3">
      <c r="A2106" s="7">
        <v>1000183</v>
      </c>
      <c r="B2106" s="15" t="s">
        <v>2102</v>
      </c>
      <c r="C2106" s="14">
        <v>0</v>
      </c>
      <c r="D2106" s="14">
        <v>0</v>
      </c>
      <c r="E2106" s="14">
        <f t="shared" si="33"/>
        <v>0</v>
      </c>
    </row>
    <row r="2107" spans="1:5" x14ac:dyDescent="0.3">
      <c r="A2107" s="7">
        <v>1000184</v>
      </c>
      <c r="B2107" s="15" t="s">
        <v>2103</v>
      </c>
      <c r="C2107" s="14">
        <v>0</v>
      </c>
      <c r="D2107" s="14">
        <v>0</v>
      </c>
      <c r="E2107" s="14">
        <f t="shared" si="33"/>
        <v>0</v>
      </c>
    </row>
    <row r="2108" spans="1:5" x14ac:dyDescent="0.3">
      <c r="A2108" s="7">
        <v>1000185</v>
      </c>
      <c r="B2108" s="15" t="s">
        <v>2104</v>
      </c>
      <c r="C2108" s="14">
        <v>0</v>
      </c>
      <c r="D2108" s="14">
        <v>0</v>
      </c>
      <c r="E2108" s="14">
        <f t="shared" si="33"/>
        <v>0</v>
      </c>
    </row>
    <row r="2109" spans="1:5" x14ac:dyDescent="0.3">
      <c r="A2109" s="7">
        <v>1000186</v>
      </c>
      <c r="B2109" s="15" t="s">
        <v>2105</v>
      </c>
      <c r="C2109" s="14">
        <v>0</v>
      </c>
      <c r="D2109" s="14">
        <v>0</v>
      </c>
      <c r="E2109" s="14">
        <f t="shared" si="33"/>
        <v>0</v>
      </c>
    </row>
    <row r="2110" spans="1:5" x14ac:dyDescent="0.3">
      <c r="A2110" s="7">
        <v>1000187</v>
      </c>
      <c r="B2110" s="15" t="s">
        <v>2106</v>
      </c>
      <c r="C2110" s="14">
        <v>0</v>
      </c>
      <c r="D2110" s="14">
        <v>0</v>
      </c>
      <c r="E2110" s="14">
        <f t="shared" si="33"/>
        <v>0</v>
      </c>
    </row>
    <row r="2111" spans="1:5" x14ac:dyDescent="0.3">
      <c r="A2111" s="7">
        <v>1000188</v>
      </c>
      <c r="B2111" s="15" t="s">
        <v>2107</v>
      </c>
      <c r="C2111" s="14">
        <v>0</v>
      </c>
      <c r="D2111" s="14">
        <v>0</v>
      </c>
      <c r="E2111" s="14">
        <f t="shared" si="33"/>
        <v>0</v>
      </c>
    </row>
    <row r="2112" spans="1:5" x14ac:dyDescent="0.3">
      <c r="A2112" s="7">
        <v>1000191</v>
      </c>
      <c r="B2112" s="15" t="s">
        <v>2108</v>
      </c>
      <c r="C2112" s="14">
        <v>0</v>
      </c>
      <c r="D2112" s="14">
        <v>0</v>
      </c>
      <c r="E2112" s="14">
        <f t="shared" si="33"/>
        <v>0</v>
      </c>
    </row>
    <row r="2113" spans="1:5" x14ac:dyDescent="0.3">
      <c r="A2113" s="7">
        <v>1000194</v>
      </c>
      <c r="B2113" s="15" t="s">
        <v>2109</v>
      </c>
      <c r="C2113" s="14">
        <v>0</v>
      </c>
      <c r="D2113" s="14">
        <v>0</v>
      </c>
      <c r="E2113" s="14">
        <f t="shared" si="33"/>
        <v>0</v>
      </c>
    </row>
    <row r="2114" spans="1:5" x14ac:dyDescent="0.3">
      <c r="A2114" s="7">
        <v>1000195</v>
      </c>
      <c r="B2114" s="15" t="s">
        <v>2110</v>
      </c>
      <c r="C2114" s="14">
        <v>0</v>
      </c>
      <c r="D2114" s="14">
        <v>0</v>
      </c>
      <c r="E2114" s="14">
        <f t="shared" si="33"/>
        <v>0</v>
      </c>
    </row>
    <row r="2115" spans="1:5" x14ac:dyDescent="0.3">
      <c r="A2115" s="7">
        <v>1000196</v>
      </c>
      <c r="B2115" s="16" t="s">
        <v>2111</v>
      </c>
      <c r="C2115" s="14">
        <v>0</v>
      </c>
      <c r="D2115" s="14">
        <v>0</v>
      </c>
      <c r="E2115" s="14">
        <f t="shared" si="33"/>
        <v>0</v>
      </c>
    </row>
    <row r="2116" spans="1:5" x14ac:dyDescent="0.3">
      <c r="A2116" s="7">
        <v>1000197</v>
      </c>
      <c r="B2116" s="16" t="s">
        <v>2112</v>
      </c>
      <c r="C2116" s="14">
        <v>0</v>
      </c>
      <c r="D2116" s="14">
        <v>0</v>
      </c>
      <c r="E2116" s="14">
        <f t="shared" si="33"/>
        <v>0</v>
      </c>
    </row>
    <row r="2117" spans="1:5" x14ac:dyDescent="0.3">
      <c r="A2117" s="7">
        <v>1000198</v>
      </c>
      <c r="B2117" s="16" t="s">
        <v>2113</v>
      </c>
      <c r="C2117" s="14">
        <v>0</v>
      </c>
      <c r="D2117" s="14">
        <v>0</v>
      </c>
      <c r="E2117" s="14">
        <f t="shared" si="33"/>
        <v>0</v>
      </c>
    </row>
    <row r="2118" spans="1:5" x14ac:dyDescent="0.3">
      <c r="A2118" s="7">
        <v>1000203</v>
      </c>
      <c r="B2118" s="16" t="s">
        <v>2114</v>
      </c>
      <c r="C2118" s="14">
        <v>0</v>
      </c>
      <c r="D2118" s="14">
        <v>0</v>
      </c>
      <c r="E2118" s="14">
        <f t="shared" si="33"/>
        <v>0</v>
      </c>
    </row>
    <row r="2119" spans="1:5" x14ac:dyDescent="0.3">
      <c r="A2119" s="7">
        <v>1000204</v>
      </c>
      <c r="B2119" s="16" t="s">
        <v>2115</v>
      </c>
      <c r="C2119" s="14">
        <v>0</v>
      </c>
      <c r="D2119" s="14">
        <v>0</v>
      </c>
      <c r="E2119" s="14">
        <f t="shared" si="33"/>
        <v>0</v>
      </c>
    </row>
    <row r="2120" spans="1:5" x14ac:dyDescent="0.3">
      <c r="A2120" s="7">
        <v>1000205</v>
      </c>
      <c r="B2120" s="16" t="s">
        <v>2116</v>
      </c>
      <c r="C2120" s="14">
        <v>0</v>
      </c>
      <c r="D2120" s="14">
        <v>0</v>
      </c>
      <c r="E2120" s="14">
        <f t="shared" si="33"/>
        <v>0</v>
      </c>
    </row>
    <row r="2121" spans="1:5" x14ac:dyDescent="0.3">
      <c r="A2121" s="7">
        <v>1000206</v>
      </c>
      <c r="B2121" s="16" t="s">
        <v>2117</v>
      </c>
      <c r="C2121" s="14">
        <v>0</v>
      </c>
      <c r="D2121" s="14">
        <v>0</v>
      </c>
      <c r="E2121" s="14">
        <f t="shared" si="33"/>
        <v>0</v>
      </c>
    </row>
    <row r="2122" spans="1:5" x14ac:dyDescent="0.3">
      <c r="A2122" s="7">
        <v>1000207</v>
      </c>
      <c r="B2122" s="16" t="s">
        <v>2118</v>
      </c>
      <c r="C2122" s="14">
        <v>0</v>
      </c>
      <c r="D2122" s="14">
        <v>0</v>
      </c>
      <c r="E2122" s="14">
        <f t="shared" si="33"/>
        <v>0</v>
      </c>
    </row>
    <row r="2123" spans="1:5" x14ac:dyDescent="0.3">
      <c r="A2123" s="7">
        <v>1000208</v>
      </c>
      <c r="B2123" s="16" t="s">
        <v>2119</v>
      </c>
      <c r="C2123" s="14">
        <v>0</v>
      </c>
      <c r="D2123" s="14">
        <v>0</v>
      </c>
      <c r="E2123" s="14">
        <f t="shared" si="33"/>
        <v>0</v>
      </c>
    </row>
    <row r="2124" spans="1:5" x14ac:dyDescent="0.3">
      <c r="A2124" s="7">
        <v>1000210</v>
      </c>
      <c r="B2124" s="16" t="s">
        <v>2120</v>
      </c>
      <c r="C2124" s="14">
        <v>0</v>
      </c>
      <c r="D2124" s="14">
        <v>0</v>
      </c>
      <c r="E2124" s="14">
        <f t="shared" si="33"/>
        <v>0</v>
      </c>
    </row>
    <row r="2125" spans="1:5" x14ac:dyDescent="0.3">
      <c r="A2125" s="7">
        <v>1000216</v>
      </c>
      <c r="B2125" s="16" t="s">
        <v>2121</v>
      </c>
      <c r="C2125" s="14">
        <v>0</v>
      </c>
      <c r="D2125" s="14">
        <v>0</v>
      </c>
      <c r="E2125" s="14">
        <f t="shared" si="33"/>
        <v>0</v>
      </c>
    </row>
    <row r="2126" spans="1:5" x14ac:dyDescent="0.3">
      <c r="A2126" s="7">
        <v>1000244</v>
      </c>
      <c r="B2126" s="16" t="s">
        <v>2122</v>
      </c>
      <c r="C2126" s="14">
        <v>0</v>
      </c>
      <c r="D2126" s="14">
        <v>0</v>
      </c>
      <c r="E2126" s="14">
        <f t="shared" si="33"/>
        <v>0</v>
      </c>
    </row>
    <row r="2127" spans="1:5" x14ac:dyDescent="0.3">
      <c r="A2127" s="7">
        <v>1000250</v>
      </c>
      <c r="B2127" s="16" t="s">
        <v>2123</v>
      </c>
      <c r="C2127" s="14">
        <v>0</v>
      </c>
      <c r="D2127" s="14">
        <v>0</v>
      </c>
      <c r="E2127" s="14">
        <f t="shared" si="33"/>
        <v>0</v>
      </c>
    </row>
    <row r="2128" spans="1:5" x14ac:dyDescent="0.3">
      <c r="A2128" s="7">
        <v>1000251</v>
      </c>
      <c r="B2128" s="16" t="s">
        <v>2124</v>
      </c>
      <c r="C2128" s="14">
        <v>0</v>
      </c>
      <c r="D2128" s="14">
        <v>0</v>
      </c>
      <c r="E2128" s="14">
        <f t="shared" si="33"/>
        <v>0</v>
      </c>
    </row>
    <row r="2129" spans="1:5" x14ac:dyDescent="0.3">
      <c r="A2129" s="7">
        <v>1000252</v>
      </c>
      <c r="B2129" s="16" t="s">
        <v>2125</v>
      </c>
      <c r="C2129" s="14">
        <v>0</v>
      </c>
      <c r="D2129" s="14">
        <v>0</v>
      </c>
      <c r="E2129" s="14">
        <f t="shared" si="33"/>
        <v>0</v>
      </c>
    </row>
    <row r="2130" spans="1:5" x14ac:dyDescent="0.3">
      <c r="A2130" s="7">
        <v>1000253</v>
      </c>
      <c r="B2130" s="16" t="s">
        <v>2126</v>
      </c>
      <c r="C2130" s="14">
        <v>0</v>
      </c>
      <c r="D2130" s="14">
        <v>0</v>
      </c>
      <c r="E2130" s="14">
        <f t="shared" si="33"/>
        <v>0</v>
      </c>
    </row>
    <row r="2131" spans="1:5" x14ac:dyDescent="0.3">
      <c r="A2131" s="7">
        <v>1000254</v>
      </c>
      <c r="B2131" s="16" t="s">
        <v>2127</v>
      </c>
      <c r="C2131" s="14">
        <v>0</v>
      </c>
      <c r="D2131" s="14">
        <v>0</v>
      </c>
      <c r="E2131" s="14">
        <f t="shared" si="33"/>
        <v>0</v>
      </c>
    </row>
    <row r="2132" spans="1:5" x14ac:dyDescent="0.3">
      <c r="A2132" s="7">
        <v>1000261</v>
      </c>
      <c r="B2132" s="16" t="s">
        <v>2128</v>
      </c>
      <c r="C2132" s="14">
        <v>0</v>
      </c>
      <c r="D2132" s="14">
        <v>0</v>
      </c>
      <c r="E2132" s="14">
        <f t="shared" si="33"/>
        <v>0</v>
      </c>
    </row>
    <row r="2133" spans="1:5" x14ac:dyDescent="0.3">
      <c r="A2133" s="7">
        <v>1000268</v>
      </c>
      <c r="B2133" s="17" t="s">
        <v>2129</v>
      </c>
      <c r="C2133" s="14">
        <v>0</v>
      </c>
      <c r="D2133" s="14">
        <v>0</v>
      </c>
      <c r="E2133" s="14">
        <f t="shared" si="33"/>
        <v>0</v>
      </c>
    </row>
    <row r="2134" spans="1:5" x14ac:dyDescent="0.3">
      <c r="A2134" s="7">
        <v>1000270</v>
      </c>
      <c r="B2134" s="16" t="s">
        <v>2130</v>
      </c>
      <c r="C2134" s="14">
        <v>0</v>
      </c>
      <c r="D2134" s="14">
        <v>0</v>
      </c>
      <c r="E2134" s="14">
        <f t="shared" si="33"/>
        <v>0</v>
      </c>
    </row>
    <row r="2135" spans="1:5" x14ac:dyDescent="0.3">
      <c r="A2135" s="7">
        <v>1000273</v>
      </c>
      <c r="B2135" s="16" t="s">
        <v>2131</v>
      </c>
      <c r="C2135" s="14">
        <v>0</v>
      </c>
      <c r="D2135" s="14">
        <v>0</v>
      </c>
      <c r="E2135" s="14">
        <f t="shared" si="33"/>
        <v>0</v>
      </c>
    </row>
    <row r="2136" spans="1:5" x14ac:dyDescent="0.3">
      <c r="A2136" s="7">
        <v>1000281</v>
      </c>
      <c r="B2136" s="17" t="s">
        <v>2132</v>
      </c>
      <c r="C2136" s="14">
        <v>0</v>
      </c>
      <c r="D2136" s="14">
        <v>0</v>
      </c>
      <c r="E2136" s="14">
        <f t="shared" si="33"/>
        <v>0</v>
      </c>
    </row>
    <row r="2137" spans="1:5" x14ac:dyDescent="0.3">
      <c r="A2137" s="7">
        <v>1000283</v>
      </c>
      <c r="B2137" s="17" t="s">
        <v>2133</v>
      </c>
      <c r="C2137" s="14">
        <v>0</v>
      </c>
      <c r="D2137" s="14">
        <v>0</v>
      </c>
      <c r="E2137" s="14">
        <f t="shared" si="33"/>
        <v>0</v>
      </c>
    </row>
    <row r="2138" spans="1:5" x14ac:dyDescent="0.3">
      <c r="A2138" s="7">
        <v>1000284</v>
      </c>
      <c r="B2138" s="17" t="s">
        <v>2134</v>
      </c>
      <c r="C2138" s="14">
        <v>0</v>
      </c>
      <c r="D2138" s="14">
        <v>0</v>
      </c>
      <c r="E2138" s="14">
        <f t="shared" si="33"/>
        <v>0</v>
      </c>
    </row>
    <row r="2139" spans="1:5" x14ac:dyDescent="0.3">
      <c r="A2139" s="7">
        <v>1000285</v>
      </c>
      <c r="B2139" s="16" t="s">
        <v>2135</v>
      </c>
      <c r="C2139" s="14">
        <v>0</v>
      </c>
      <c r="D2139" s="14">
        <v>0</v>
      </c>
      <c r="E2139" s="14">
        <f t="shared" si="33"/>
        <v>0</v>
      </c>
    </row>
    <row r="2140" spans="1:5" x14ac:dyDescent="0.3">
      <c r="A2140" s="7">
        <v>1000287</v>
      </c>
      <c r="B2140" s="17" t="s">
        <v>2136</v>
      </c>
      <c r="C2140" s="14">
        <v>0</v>
      </c>
      <c r="D2140" s="14">
        <v>0</v>
      </c>
      <c r="E2140" s="14">
        <f t="shared" si="33"/>
        <v>0</v>
      </c>
    </row>
    <row r="2141" spans="1:5" x14ac:dyDescent="0.3">
      <c r="A2141" s="7">
        <v>1000290</v>
      </c>
      <c r="B2141" s="17" t="s">
        <v>2137</v>
      </c>
      <c r="C2141" s="14">
        <v>1800.89</v>
      </c>
      <c r="D2141" s="14">
        <v>0</v>
      </c>
      <c r="E2141" s="14">
        <f t="shared" si="33"/>
        <v>1800.89</v>
      </c>
    </row>
    <row r="2142" spans="1:5" x14ac:dyDescent="0.3">
      <c r="A2142" s="7">
        <v>1000292</v>
      </c>
      <c r="B2142" s="17" t="s">
        <v>2138</v>
      </c>
      <c r="C2142" s="14">
        <v>69634.28</v>
      </c>
      <c r="D2142" s="14">
        <v>0</v>
      </c>
      <c r="E2142" s="14">
        <f t="shared" si="33"/>
        <v>69634.28</v>
      </c>
    </row>
    <row r="2143" spans="1:5" x14ac:dyDescent="0.3">
      <c r="A2143" s="7">
        <v>1000297</v>
      </c>
      <c r="B2143" s="17" t="s">
        <v>2139</v>
      </c>
      <c r="C2143" s="14">
        <v>0</v>
      </c>
      <c r="D2143" s="14">
        <v>0</v>
      </c>
      <c r="E2143" s="14">
        <f t="shared" si="33"/>
        <v>0</v>
      </c>
    </row>
    <row r="2144" spans="1:5" x14ac:dyDescent="0.3">
      <c r="A2144" s="7">
        <v>1000301</v>
      </c>
      <c r="B2144" s="16" t="s">
        <v>2140</v>
      </c>
      <c r="C2144" s="14">
        <v>0</v>
      </c>
      <c r="D2144" s="14">
        <v>0</v>
      </c>
      <c r="E2144" s="14">
        <f t="shared" si="33"/>
        <v>0</v>
      </c>
    </row>
    <row r="2145" spans="1:5" x14ac:dyDescent="0.3">
      <c r="A2145" s="7">
        <v>1000302</v>
      </c>
      <c r="B2145" s="16" t="s">
        <v>2141</v>
      </c>
      <c r="C2145" s="14">
        <v>0</v>
      </c>
      <c r="D2145" s="14">
        <v>0</v>
      </c>
      <c r="E2145" s="14">
        <f t="shared" ref="E2145:E2208" si="34">+MAX(C2145, D2145)</f>
        <v>0</v>
      </c>
    </row>
    <row r="2146" spans="1:5" x14ac:dyDescent="0.3">
      <c r="A2146" s="7">
        <v>1000305</v>
      </c>
      <c r="B2146" s="16" t="s">
        <v>2142</v>
      </c>
      <c r="C2146" s="14">
        <v>0</v>
      </c>
      <c r="D2146" s="14">
        <v>0</v>
      </c>
      <c r="E2146" s="14">
        <f t="shared" si="34"/>
        <v>0</v>
      </c>
    </row>
    <row r="2147" spans="1:5" x14ac:dyDescent="0.3">
      <c r="A2147" s="7">
        <v>1000306</v>
      </c>
      <c r="B2147" s="16" t="s">
        <v>2143</v>
      </c>
      <c r="C2147" s="14">
        <v>0</v>
      </c>
      <c r="D2147" s="14">
        <v>0</v>
      </c>
      <c r="E2147" s="14">
        <f t="shared" si="34"/>
        <v>0</v>
      </c>
    </row>
    <row r="2148" spans="1:5" x14ac:dyDescent="0.3">
      <c r="A2148" s="7">
        <v>1000307</v>
      </c>
      <c r="B2148" s="16" t="s">
        <v>2144</v>
      </c>
      <c r="C2148" s="14">
        <v>0</v>
      </c>
      <c r="D2148" s="14">
        <v>0</v>
      </c>
      <c r="E2148" s="14">
        <f t="shared" si="34"/>
        <v>0</v>
      </c>
    </row>
    <row r="2149" spans="1:5" x14ac:dyDescent="0.3">
      <c r="A2149" s="7">
        <v>1000309</v>
      </c>
      <c r="B2149" s="16" t="s">
        <v>2145</v>
      </c>
      <c r="C2149" s="14">
        <v>0</v>
      </c>
      <c r="D2149" s="14">
        <v>0</v>
      </c>
      <c r="E2149" s="14">
        <f t="shared" si="34"/>
        <v>0</v>
      </c>
    </row>
    <row r="2150" spans="1:5" x14ac:dyDescent="0.3">
      <c r="A2150" s="7">
        <v>1000310</v>
      </c>
      <c r="B2150" s="16" t="s">
        <v>2146</v>
      </c>
      <c r="C2150" s="14">
        <v>0</v>
      </c>
      <c r="D2150" s="14">
        <v>0</v>
      </c>
      <c r="E2150" s="14">
        <f t="shared" si="34"/>
        <v>0</v>
      </c>
    </row>
    <row r="2151" spans="1:5" x14ac:dyDescent="0.3">
      <c r="A2151" s="7">
        <v>1000311</v>
      </c>
      <c r="B2151" s="16" t="s">
        <v>2147</v>
      </c>
      <c r="C2151" s="14">
        <v>0</v>
      </c>
      <c r="D2151" s="14">
        <v>0</v>
      </c>
      <c r="E2151" s="14">
        <f t="shared" si="34"/>
        <v>0</v>
      </c>
    </row>
    <row r="2152" spans="1:5" x14ac:dyDescent="0.3">
      <c r="A2152" s="7">
        <v>1000314</v>
      </c>
      <c r="B2152" s="16" t="s">
        <v>2148</v>
      </c>
      <c r="C2152" s="14">
        <v>0</v>
      </c>
      <c r="D2152" s="14">
        <v>0</v>
      </c>
      <c r="E2152" s="14">
        <f t="shared" si="34"/>
        <v>0</v>
      </c>
    </row>
    <row r="2153" spans="1:5" x14ac:dyDescent="0.3">
      <c r="A2153" s="7">
        <v>1000315</v>
      </c>
      <c r="B2153" s="16" t="s">
        <v>2149</v>
      </c>
      <c r="C2153" s="14">
        <v>0</v>
      </c>
      <c r="D2153" s="14">
        <v>0</v>
      </c>
      <c r="E2153" s="14">
        <f t="shared" si="34"/>
        <v>0</v>
      </c>
    </row>
    <row r="2154" spans="1:5" x14ac:dyDescent="0.3">
      <c r="A2154" s="7">
        <v>1000316</v>
      </c>
      <c r="B2154" s="16" t="s">
        <v>2150</v>
      </c>
      <c r="C2154" s="14">
        <v>0</v>
      </c>
      <c r="D2154" s="14">
        <v>0</v>
      </c>
      <c r="E2154" s="14">
        <f t="shared" si="34"/>
        <v>0</v>
      </c>
    </row>
    <row r="2155" spans="1:5" x14ac:dyDescent="0.3">
      <c r="A2155" s="7">
        <v>1000317</v>
      </c>
      <c r="B2155" s="16" t="s">
        <v>2151</v>
      </c>
      <c r="C2155" s="14">
        <v>0</v>
      </c>
      <c r="D2155" s="14">
        <v>0</v>
      </c>
      <c r="E2155" s="14">
        <f t="shared" si="34"/>
        <v>0</v>
      </c>
    </row>
    <row r="2156" spans="1:5" x14ac:dyDescent="0.3">
      <c r="A2156" s="7">
        <v>1000318</v>
      </c>
      <c r="B2156" s="16" t="s">
        <v>2152</v>
      </c>
      <c r="C2156" s="14">
        <v>0</v>
      </c>
      <c r="D2156" s="14">
        <v>0</v>
      </c>
      <c r="E2156" s="14">
        <f t="shared" si="34"/>
        <v>0</v>
      </c>
    </row>
    <row r="2157" spans="1:5" x14ac:dyDescent="0.3">
      <c r="A2157" s="7">
        <v>1000327</v>
      </c>
      <c r="B2157" s="16" t="s">
        <v>2153</v>
      </c>
      <c r="C2157" s="14">
        <v>0</v>
      </c>
      <c r="D2157" s="14">
        <v>0</v>
      </c>
      <c r="E2157" s="14">
        <f t="shared" si="34"/>
        <v>0</v>
      </c>
    </row>
    <row r="2158" spans="1:5" x14ac:dyDescent="0.3">
      <c r="A2158" s="7">
        <v>1000329</v>
      </c>
      <c r="B2158" s="16" t="s">
        <v>2154</v>
      </c>
      <c r="C2158" s="14">
        <v>0</v>
      </c>
      <c r="D2158" s="14">
        <v>0</v>
      </c>
      <c r="E2158" s="14">
        <f t="shared" si="34"/>
        <v>0</v>
      </c>
    </row>
    <row r="2159" spans="1:5" x14ac:dyDescent="0.3">
      <c r="A2159" s="7">
        <v>1000333</v>
      </c>
      <c r="B2159" s="16" t="s">
        <v>2155</v>
      </c>
      <c r="C2159" s="14">
        <v>0</v>
      </c>
      <c r="D2159" s="14">
        <v>0</v>
      </c>
      <c r="E2159" s="14">
        <f t="shared" si="34"/>
        <v>0</v>
      </c>
    </row>
    <row r="2160" spans="1:5" x14ac:dyDescent="0.3">
      <c r="A2160" s="7">
        <v>1000336</v>
      </c>
      <c r="B2160" s="16" t="s">
        <v>2156</v>
      </c>
      <c r="C2160" s="14">
        <v>0</v>
      </c>
      <c r="D2160" s="14">
        <v>0</v>
      </c>
      <c r="E2160" s="14">
        <f t="shared" si="34"/>
        <v>0</v>
      </c>
    </row>
    <row r="2161" spans="1:5" x14ac:dyDescent="0.3">
      <c r="A2161" s="7">
        <v>1000337</v>
      </c>
      <c r="B2161" s="16" t="s">
        <v>2157</v>
      </c>
      <c r="C2161" s="14">
        <v>0</v>
      </c>
      <c r="D2161" s="14">
        <v>0</v>
      </c>
      <c r="E2161" s="14">
        <f t="shared" si="34"/>
        <v>0</v>
      </c>
    </row>
    <row r="2162" spans="1:5" x14ac:dyDescent="0.3">
      <c r="A2162" s="7">
        <v>1000338</v>
      </c>
      <c r="B2162" s="16" t="s">
        <v>2158</v>
      </c>
      <c r="C2162" s="14">
        <v>0</v>
      </c>
      <c r="D2162" s="14">
        <v>0</v>
      </c>
      <c r="E2162" s="14">
        <f t="shared" si="34"/>
        <v>0</v>
      </c>
    </row>
    <row r="2163" spans="1:5" x14ac:dyDescent="0.3">
      <c r="A2163" s="7">
        <v>1000341</v>
      </c>
      <c r="B2163" s="16" t="s">
        <v>2159</v>
      </c>
      <c r="C2163" s="14">
        <v>0</v>
      </c>
      <c r="D2163" s="14">
        <v>0</v>
      </c>
      <c r="E2163" s="14">
        <f t="shared" si="34"/>
        <v>0</v>
      </c>
    </row>
    <row r="2164" spans="1:5" x14ac:dyDescent="0.3">
      <c r="A2164" s="7">
        <v>1000342</v>
      </c>
      <c r="B2164" s="16" t="s">
        <v>2160</v>
      </c>
      <c r="C2164" s="14">
        <v>0</v>
      </c>
      <c r="D2164" s="14">
        <v>0</v>
      </c>
      <c r="E2164" s="14">
        <f t="shared" si="34"/>
        <v>0</v>
      </c>
    </row>
    <row r="2165" spans="1:5" x14ac:dyDescent="0.3">
      <c r="A2165" s="7">
        <v>1000344</v>
      </c>
      <c r="B2165" s="16" t="s">
        <v>2161</v>
      </c>
      <c r="C2165" s="14">
        <v>0</v>
      </c>
      <c r="D2165" s="14">
        <v>0</v>
      </c>
      <c r="E2165" s="14">
        <f t="shared" si="34"/>
        <v>0</v>
      </c>
    </row>
    <row r="2166" spans="1:5" x14ac:dyDescent="0.3">
      <c r="A2166" s="7">
        <v>1000346</v>
      </c>
      <c r="B2166" s="16" t="s">
        <v>2162</v>
      </c>
      <c r="C2166" s="14">
        <v>0</v>
      </c>
      <c r="D2166" s="14">
        <v>0</v>
      </c>
      <c r="E2166" s="14">
        <f t="shared" si="34"/>
        <v>0</v>
      </c>
    </row>
    <row r="2167" spans="1:5" x14ac:dyDescent="0.3">
      <c r="A2167" s="7">
        <v>1000348</v>
      </c>
      <c r="B2167" s="16" t="s">
        <v>2163</v>
      </c>
      <c r="C2167" s="14">
        <v>0</v>
      </c>
      <c r="D2167" s="14">
        <v>0</v>
      </c>
      <c r="E2167" s="14">
        <f t="shared" si="34"/>
        <v>0</v>
      </c>
    </row>
    <row r="2168" spans="1:5" x14ac:dyDescent="0.3">
      <c r="A2168" s="7">
        <v>1000350</v>
      </c>
      <c r="B2168" s="16" t="s">
        <v>2164</v>
      </c>
      <c r="C2168" s="14">
        <v>0</v>
      </c>
      <c r="D2168" s="14">
        <v>0</v>
      </c>
      <c r="E2168" s="14">
        <f t="shared" si="34"/>
        <v>0</v>
      </c>
    </row>
    <row r="2169" spans="1:5" x14ac:dyDescent="0.3">
      <c r="A2169" s="7">
        <v>1000369</v>
      </c>
      <c r="B2169" s="16" t="s">
        <v>2165</v>
      </c>
      <c r="C2169" s="14">
        <v>0</v>
      </c>
      <c r="D2169" s="14">
        <v>0</v>
      </c>
      <c r="E2169" s="14">
        <f t="shared" si="34"/>
        <v>0</v>
      </c>
    </row>
    <row r="2170" spans="1:5" x14ac:dyDescent="0.3">
      <c r="A2170" s="7">
        <v>1000370</v>
      </c>
      <c r="B2170" s="16" t="s">
        <v>2166</v>
      </c>
      <c r="C2170" s="14">
        <v>0</v>
      </c>
      <c r="D2170" s="14">
        <v>0</v>
      </c>
      <c r="E2170" s="14">
        <f t="shared" si="34"/>
        <v>0</v>
      </c>
    </row>
    <row r="2171" spans="1:5" x14ac:dyDescent="0.3">
      <c r="A2171" s="7">
        <v>1000371</v>
      </c>
      <c r="B2171" s="16" t="s">
        <v>2167</v>
      </c>
      <c r="C2171" s="14">
        <v>0</v>
      </c>
      <c r="D2171" s="14">
        <v>0</v>
      </c>
      <c r="E2171" s="14">
        <f t="shared" si="34"/>
        <v>0</v>
      </c>
    </row>
    <row r="2172" spans="1:5" x14ac:dyDescent="0.3">
      <c r="A2172" s="7">
        <v>1000372</v>
      </c>
      <c r="B2172" s="16" t="s">
        <v>2168</v>
      </c>
      <c r="C2172" s="14">
        <v>0</v>
      </c>
      <c r="D2172" s="14">
        <v>0</v>
      </c>
      <c r="E2172" s="14">
        <f t="shared" si="34"/>
        <v>0</v>
      </c>
    </row>
    <row r="2173" spans="1:5" x14ac:dyDescent="0.3">
      <c r="A2173" s="7">
        <v>1000373</v>
      </c>
      <c r="B2173" s="16" t="s">
        <v>2169</v>
      </c>
      <c r="C2173" s="14">
        <v>0</v>
      </c>
      <c r="D2173" s="14">
        <v>0</v>
      </c>
      <c r="E2173" s="14">
        <f t="shared" si="34"/>
        <v>0</v>
      </c>
    </row>
    <row r="2174" spans="1:5" x14ac:dyDescent="0.3">
      <c r="A2174" s="7">
        <v>1000374</v>
      </c>
      <c r="B2174" s="16" t="s">
        <v>2170</v>
      </c>
      <c r="C2174" s="14">
        <v>0</v>
      </c>
      <c r="D2174" s="14">
        <v>0</v>
      </c>
      <c r="E2174" s="14">
        <f t="shared" si="34"/>
        <v>0</v>
      </c>
    </row>
    <row r="2175" spans="1:5" x14ac:dyDescent="0.3">
      <c r="A2175" s="7">
        <v>1000375</v>
      </c>
      <c r="B2175" s="16" t="s">
        <v>2171</v>
      </c>
      <c r="C2175" s="14">
        <v>0</v>
      </c>
      <c r="D2175" s="14">
        <v>0</v>
      </c>
      <c r="E2175" s="14">
        <f t="shared" si="34"/>
        <v>0</v>
      </c>
    </row>
    <row r="2176" spans="1:5" x14ac:dyDescent="0.3">
      <c r="A2176" s="7">
        <v>1000376</v>
      </c>
      <c r="B2176" s="16" t="s">
        <v>2172</v>
      </c>
      <c r="C2176" s="14">
        <v>0</v>
      </c>
      <c r="D2176" s="14">
        <v>0</v>
      </c>
      <c r="E2176" s="14">
        <f t="shared" si="34"/>
        <v>0</v>
      </c>
    </row>
    <row r="2177" spans="1:5" x14ac:dyDescent="0.3">
      <c r="A2177" s="7">
        <v>1000381</v>
      </c>
      <c r="B2177" s="16" t="s">
        <v>2173</v>
      </c>
      <c r="C2177" s="14">
        <v>0</v>
      </c>
      <c r="D2177" s="14">
        <v>0</v>
      </c>
      <c r="E2177" s="14">
        <f t="shared" si="34"/>
        <v>0</v>
      </c>
    </row>
    <row r="2178" spans="1:5" x14ac:dyDescent="0.3">
      <c r="A2178" s="7">
        <v>1000384</v>
      </c>
      <c r="B2178" s="16" t="s">
        <v>2174</v>
      </c>
      <c r="C2178" s="14">
        <v>0</v>
      </c>
      <c r="D2178" s="14">
        <v>0</v>
      </c>
      <c r="E2178" s="14">
        <f t="shared" si="34"/>
        <v>0</v>
      </c>
    </row>
    <row r="2179" spans="1:5" x14ac:dyDescent="0.3">
      <c r="A2179" s="7">
        <v>1000385</v>
      </c>
      <c r="B2179" s="16" t="s">
        <v>2175</v>
      </c>
      <c r="C2179" s="14">
        <v>0</v>
      </c>
      <c r="D2179" s="14">
        <v>0</v>
      </c>
      <c r="E2179" s="14">
        <f t="shared" si="34"/>
        <v>0</v>
      </c>
    </row>
    <row r="2180" spans="1:5" x14ac:dyDescent="0.3">
      <c r="A2180" s="7">
        <v>1000386</v>
      </c>
      <c r="B2180" s="16" t="s">
        <v>2176</v>
      </c>
      <c r="C2180" s="14">
        <v>0</v>
      </c>
      <c r="D2180" s="14">
        <v>0</v>
      </c>
      <c r="E2180" s="14">
        <f t="shared" si="34"/>
        <v>0</v>
      </c>
    </row>
    <row r="2181" spans="1:5" x14ac:dyDescent="0.3">
      <c r="A2181" s="7">
        <v>1000387</v>
      </c>
      <c r="B2181" s="16" t="s">
        <v>2177</v>
      </c>
      <c r="C2181" s="14">
        <v>0</v>
      </c>
      <c r="D2181" s="14">
        <v>0</v>
      </c>
      <c r="E2181" s="14">
        <f t="shared" si="34"/>
        <v>0</v>
      </c>
    </row>
    <row r="2182" spans="1:5" x14ac:dyDescent="0.3">
      <c r="A2182" s="7">
        <v>1000390</v>
      </c>
      <c r="B2182" s="16" t="s">
        <v>2178</v>
      </c>
      <c r="C2182" s="14">
        <v>0</v>
      </c>
      <c r="D2182" s="14">
        <v>0</v>
      </c>
      <c r="E2182" s="14">
        <f t="shared" si="34"/>
        <v>0</v>
      </c>
    </row>
    <row r="2183" spans="1:5" x14ac:dyDescent="0.3">
      <c r="A2183" s="7">
        <v>1000404</v>
      </c>
      <c r="B2183" s="17" t="s">
        <v>2179</v>
      </c>
      <c r="C2183" s="14">
        <v>0</v>
      </c>
      <c r="D2183" s="14">
        <v>0</v>
      </c>
      <c r="E2183" s="14">
        <f t="shared" si="34"/>
        <v>0</v>
      </c>
    </row>
    <row r="2184" spans="1:5" x14ac:dyDescent="0.3">
      <c r="A2184" s="7">
        <v>1000407</v>
      </c>
      <c r="B2184" s="15" t="s">
        <v>2180</v>
      </c>
      <c r="C2184" s="14">
        <v>0</v>
      </c>
      <c r="D2184" s="14">
        <v>0</v>
      </c>
      <c r="E2184" s="14">
        <f t="shared" si="34"/>
        <v>0</v>
      </c>
    </row>
    <row r="2185" spans="1:5" x14ac:dyDescent="0.3">
      <c r="A2185" s="7">
        <v>1000414</v>
      </c>
      <c r="B2185" s="15" t="s">
        <v>2181</v>
      </c>
      <c r="C2185" s="14">
        <v>0</v>
      </c>
      <c r="D2185" s="14">
        <v>0</v>
      </c>
      <c r="E2185" s="14">
        <f t="shared" si="34"/>
        <v>0</v>
      </c>
    </row>
    <row r="2186" spans="1:5" x14ac:dyDescent="0.3">
      <c r="A2186" s="7">
        <v>1000416</v>
      </c>
      <c r="B2186" s="15" t="s">
        <v>2182</v>
      </c>
      <c r="C2186" s="14">
        <v>0</v>
      </c>
      <c r="D2186" s="14">
        <v>0</v>
      </c>
      <c r="E2186" s="14">
        <f t="shared" si="34"/>
        <v>0</v>
      </c>
    </row>
    <row r="2187" spans="1:5" x14ac:dyDescent="0.3">
      <c r="A2187" s="7">
        <v>1000417</v>
      </c>
      <c r="B2187" s="15" t="s">
        <v>2183</v>
      </c>
      <c r="C2187" s="14">
        <v>0</v>
      </c>
      <c r="D2187" s="14">
        <v>0</v>
      </c>
      <c r="E2187" s="14">
        <f t="shared" si="34"/>
        <v>0</v>
      </c>
    </row>
    <row r="2188" spans="1:5" x14ac:dyDescent="0.3">
      <c r="A2188" s="7">
        <v>1000418</v>
      </c>
      <c r="B2188" s="15" t="s">
        <v>2184</v>
      </c>
      <c r="C2188" s="14">
        <v>0</v>
      </c>
      <c r="D2188" s="14">
        <v>0</v>
      </c>
      <c r="E2188" s="14">
        <f t="shared" si="34"/>
        <v>0</v>
      </c>
    </row>
    <row r="2189" spans="1:5" x14ac:dyDescent="0.3">
      <c r="A2189" s="7">
        <v>1000421</v>
      </c>
      <c r="B2189" s="15" t="s">
        <v>2185</v>
      </c>
      <c r="C2189" s="14">
        <v>0</v>
      </c>
      <c r="D2189" s="14">
        <v>0</v>
      </c>
      <c r="E2189" s="14">
        <f t="shared" si="34"/>
        <v>0</v>
      </c>
    </row>
    <row r="2190" spans="1:5" x14ac:dyDescent="0.3">
      <c r="A2190" s="7">
        <v>1000425</v>
      </c>
      <c r="B2190" s="15" t="s">
        <v>2186</v>
      </c>
      <c r="C2190" s="14">
        <v>0</v>
      </c>
      <c r="D2190" s="14">
        <v>0</v>
      </c>
      <c r="E2190" s="14">
        <f t="shared" si="34"/>
        <v>0</v>
      </c>
    </row>
    <row r="2191" spans="1:5" x14ac:dyDescent="0.3">
      <c r="A2191" s="7">
        <v>1000426</v>
      </c>
      <c r="B2191" s="15" t="s">
        <v>2187</v>
      </c>
      <c r="C2191" s="14">
        <v>0</v>
      </c>
      <c r="D2191" s="14">
        <v>0</v>
      </c>
      <c r="E2191" s="14">
        <f t="shared" si="34"/>
        <v>0</v>
      </c>
    </row>
    <row r="2192" spans="1:5" x14ac:dyDescent="0.3">
      <c r="A2192" s="7">
        <v>1000427</v>
      </c>
      <c r="B2192" s="15" t="s">
        <v>2188</v>
      </c>
      <c r="C2192" s="14">
        <v>0</v>
      </c>
      <c r="D2192" s="14">
        <v>0</v>
      </c>
      <c r="E2192" s="14">
        <f t="shared" si="34"/>
        <v>0</v>
      </c>
    </row>
    <row r="2193" spans="1:5" x14ac:dyDescent="0.3">
      <c r="A2193" s="7">
        <v>1000428</v>
      </c>
      <c r="B2193" s="15" t="s">
        <v>2189</v>
      </c>
      <c r="C2193" s="14">
        <v>0</v>
      </c>
      <c r="D2193" s="14">
        <v>0</v>
      </c>
      <c r="E2193" s="14">
        <f t="shared" si="34"/>
        <v>0</v>
      </c>
    </row>
    <row r="2194" spans="1:5" x14ac:dyDescent="0.3">
      <c r="A2194" s="7">
        <v>1000431</v>
      </c>
      <c r="B2194" s="15" t="s">
        <v>2190</v>
      </c>
      <c r="C2194" s="14">
        <v>0</v>
      </c>
      <c r="D2194" s="14">
        <v>0</v>
      </c>
      <c r="E2194" s="14">
        <f t="shared" si="34"/>
        <v>0</v>
      </c>
    </row>
    <row r="2195" spans="1:5" x14ac:dyDescent="0.3">
      <c r="A2195" s="7">
        <v>1000435</v>
      </c>
      <c r="B2195" s="15" t="s">
        <v>2191</v>
      </c>
      <c r="C2195" s="14">
        <v>0</v>
      </c>
      <c r="D2195" s="14">
        <v>0</v>
      </c>
      <c r="E2195" s="14">
        <f t="shared" si="34"/>
        <v>0</v>
      </c>
    </row>
    <row r="2196" spans="1:5" x14ac:dyDescent="0.3">
      <c r="A2196" s="7">
        <v>1000441</v>
      </c>
      <c r="B2196" s="15" t="s">
        <v>2192</v>
      </c>
      <c r="C2196" s="14">
        <v>0</v>
      </c>
      <c r="D2196" s="14">
        <v>0</v>
      </c>
      <c r="E2196" s="14">
        <f t="shared" si="34"/>
        <v>0</v>
      </c>
    </row>
    <row r="2197" spans="1:5" x14ac:dyDescent="0.3">
      <c r="A2197" s="7">
        <v>1000442</v>
      </c>
      <c r="B2197" s="15" t="s">
        <v>2193</v>
      </c>
      <c r="C2197" s="14">
        <v>0</v>
      </c>
      <c r="D2197" s="14">
        <v>0</v>
      </c>
      <c r="E2197" s="14">
        <f t="shared" si="34"/>
        <v>0</v>
      </c>
    </row>
    <row r="2198" spans="1:5" x14ac:dyDescent="0.3">
      <c r="A2198" s="7">
        <v>1000445</v>
      </c>
      <c r="B2198" s="15" t="s">
        <v>2194</v>
      </c>
      <c r="C2198" s="14">
        <v>0</v>
      </c>
      <c r="D2198" s="14">
        <v>0</v>
      </c>
      <c r="E2198" s="14">
        <f t="shared" si="34"/>
        <v>0</v>
      </c>
    </row>
    <row r="2199" spans="1:5" x14ac:dyDescent="0.3">
      <c r="A2199" s="7">
        <v>1000449</v>
      </c>
      <c r="B2199" s="15" t="s">
        <v>2195</v>
      </c>
      <c r="C2199" s="14">
        <v>0</v>
      </c>
      <c r="D2199" s="14">
        <v>0</v>
      </c>
      <c r="E2199" s="14">
        <f t="shared" si="34"/>
        <v>0</v>
      </c>
    </row>
    <row r="2200" spans="1:5" x14ac:dyDescent="0.3">
      <c r="A2200" s="7">
        <v>1000450</v>
      </c>
      <c r="B2200" s="15" t="s">
        <v>2196</v>
      </c>
      <c r="C2200" s="14">
        <v>0</v>
      </c>
      <c r="D2200" s="14">
        <v>0</v>
      </c>
      <c r="E2200" s="14">
        <f t="shared" si="34"/>
        <v>0</v>
      </c>
    </row>
    <row r="2201" spans="1:5" x14ac:dyDescent="0.3">
      <c r="A2201" s="7">
        <v>1000451</v>
      </c>
      <c r="B2201" s="15" t="s">
        <v>2197</v>
      </c>
      <c r="C2201" s="14">
        <v>0</v>
      </c>
      <c r="D2201" s="14">
        <v>0</v>
      </c>
      <c r="E2201" s="14">
        <f t="shared" si="34"/>
        <v>0</v>
      </c>
    </row>
    <row r="2202" spans="1:5" x14ac:dyDescent="0.3">
      <c r="A2202" s="7">
        <v>1000452</v>
      </c>
      <c r="B2202" s="15" t="s">
        <v>2198</v>
      </c>
      <c r="C2202" s="14">
        <v>0</v>
      </c>
      <c r="D2202" s="14">
        <v>0</v>
      </c>
      <c r="E2202" s="14">
        <f t="shared" si="34"/>
        <v>0</v>
      </c>
    </row>
    <row r="2203" spans="1:5" x14ac:dyDescent="0.3">
      <c r="A2203" s="7">
        <v>1000453</v>
      </c>
      <c r="B2203" s="15" t="s">
        <v>2199</v>
      </c>
      <c r="C2203" s="14">
        <v>0</v>
      </c>
      <c r="D2203" s="14">
        <v>0</v>
      </c>
      <c r="E2203" s="14">
        <f t="shared" si="34"/>
        <v>0</v>
      </c>
    </row>
    <row r="2204" spans="1:5" x14ac:dyDescent="0.3">
      <c r="A2204" s="7">
        <v>1000454</v>
      </c>
      <c r="B2204" s="15" t="s">
        <v>2200</v>
      </c>
      <c r="C2204" s="14">
        <v>0</v>
      </c>
      <c r="D2204" s="14">
        <v>0</v>
      </c>
      <c r="E2204" s="14">
        <f t="shared" si="34"/>
        <v>0</v>
      </c>
    </row>
    <row r="2205" spans="1:5" x14ac:dyDescent="0.3">
      <c r="A2205" s="7">
        <v>1000455</v>
      </c>
      <c r="B2205" s="15" t="s">
        <v>2201</v>
      </c>
      <c r="C2205" s="14">
        <v>0</v>
      </c>
      <c r="D2205" s="14">
        <v>0</v>
      </c>
      <c r="E2205" s="14">
        <f t="shared" si="34"/>
        <v>0</v>
      </c>
    </row>
    <row r="2206" spans="1:5" x14ac:dyDescent="0.3">
      <c r="A2206" s="7">
        <v>1000456</v>
      </c>
      <c r="B2206" s="15" t="s">
        <v>2202</v>
      </c>
      <c r="C2206" s="14">
        <v>0</v>
      </c>
      <c r="D2206" s="14">
        <v>0</v>
      </c>
      <c r="E2206" s="14">
        <f t="shared" si="34"/>
        <v>0</v>
      </c>
    </row>
    <row r="2207" spans="1:5" x14ac:dyDescent="0.3">
      <c r="A2207" s="7">
        <v>1000458</v>
      </c>
      <c r="B2207" s="15" t="s">
        <v>2203</v>
      </c>
      <c r="C2207" s="14">
        <v>0</v>
      </c>
      <c r="D2207" s="14">
        <v>0</v>
      </c>
      <c r="E2207" s="14">
        <f t="shared" si="34"/>
        <v>0</v>
      </c>
    </row>
    <row r="2208" spans="1:5" x14ac:dyDescent="0.3">
      <c r="A2208" s="7">
        <v>1000460</v>
      </c>
      <c r="B2208" s="15" t="s">
        <v>2204</v>
      </c>
      <c r="C2208" s="14">
        <v>0</v>
      </c>
      <c r="D2208" s="14">
        <v>0</v>
      </c>
      <c r="E2208" s="14">
        <f t="shared" si="34"/>
        <v>0</v>
      </c>
    </row>
    <row r="2209" spans="1:5" x14ac:dyDescent="0.3">
      <c r="A2209" s="7">
        <v>1000461</v>
      </c>
      <c r="B2209" s="15" t="s">
        <v>2205</v>
      </c>
      <c r="C2209" s="14">
        <v>0</v>
      </c>
      <c r="D2209" s="14">
        <v>0</v>
      </c>
      <c r="E2209" s="14">
        <f t="shared" ref="E2209:E2272" si="35">+MAX(C2209, D2209)</f>
        <v>0</v>
      </c>
    </row>
    <row r="2210" spans="1:5" x14ac:dyDescent="0.3">
      <c r="A2210" s="7">
        <v>1000466</v>
      </c>
      <c r="B2210" s="15" t="s">
        <v>2206</v>
      </c>
      <c r="C2210" s="14">
        <v>0</v>
      </c>
      <c r="D2210" s="14">
        <v>0</v>
      </c>
      <c r="E2210" s="14">
        <f t="shared" si="35"/>
        <v>0</v>
      </c>
    </row>
    <row r="2211" spans="1:5" x14ac:dyDescent="0.3">
      <c r="A2211" s="7">
        <v>1000468</v>
      </c>
      <c r="B2211" s="15" t="s">
        <v>2207</v>
      </c>
      <c r="C2211" s="14">
        <v>0</v>
      </c>
      <c r="D2211" s="14">
        <v>0</v>
      </c>
      <c r="E2211" s="14">
        <f t="shared" si="35"/>
        <v>0</v>
      </c>
    </row>
    <row r="2212" spans="1:5" x14ac:dyDescent="0.3">
      <c r="A2212" s="7">
        <v>1000469</v>
      </c>
      <c r="B2212" s="15" t="s">
        <v>2208</v>
      </c>
      <c r="C2212" s="14">
        <v>0</v>
      </c>
      <c r="D2212" s="14">
        <v>0</v>
      </c>
      <c r="E2212" s="14">
        <f t="shared" si="35"/>
        <v>0</v>
      </c>
    </row>
    <row r="2213" spans="1:5" x14ac:dyDescent="0.3">
      <c r="A2213" s="7">
        <v>1000471</v>
      </c>
      <c r="B2213" s="15" t="s">
        <v>2209</v>
      </c>
      <c r="C2213" s="14">
        <v>0</v>
      </c>
      <c r="D2213" s="14">
        <v>0</v>
      </c>
      <c r="E2213" s="14">
        <f t="shared" si="35"/>
        <v>0</v>
      </c>
    </row>
    <row r="2214" spans="1:5" x14ac:dyDescent="0.3">
      <c r="A2214" s="7">
        <v>1000472</v>
      </c>
      <c r="B2214" s="15" t="s">
        <v>2210</v>
      </c>
      <c r="C2214" s="14">
        <v>0</v>
      </c>
      <c r="D2214" s="14">
        <v>0</v>
      </c>
      <c r="E2214" s="14">
        <f t="shared" si="35"/>
        <v>0</v>
      </c>
    </row>
    <row r="2215" spans="1:5" x14ac:dyDescent="0.3">
      <c r="A2215" s="7">
        <v>1000473</v>
      </c>
      <c r="B2215" s="15" t="s">
        <v>2211</v>
      </c>
      <c r="C2215" s="14">
        <v>0</v>
      </c>
      <c r="D2215" s="14">
        <v>0</v>
      </c>
      <c r="E2215" s="14">
        <f t="shared" si="35"/>
        <v>0</v>
      </c>
    </row>
    <row r="2216" spans="1:5" x14ac:dyDescent="0.3">
      <c r="A2216" s="7">
        <v>1000474</v>
      </c>
      <c r="B2216" s="15" t="s">
        <v>2212</v>
      </c>
      <c r="C2216" s="14">
        <v>0</v>
      </c>
      <c r="D2216" s="14">
        <v>0</v>
      </c>
      <c r="E2216" s="14">
        <f t="shared" si="35"/>
        <v>0</v>
      </c>
    </row>
    <row r="2217" spans="1:5" x14ac:dyDescent="0.3">
      <c r="A2217" s="7">
        <v>1000475</v>
      </c>
      <c r="B2217" s="15" t="s">
        <v>2213</v>
      </c>
      <c r="C2217" s="14">
        <v>0</v>
      </c>
      <c r="D2217" s="14">
        <v>0</v>
      </c>
      <c r="E2217" s="14">
        <f t="shared" si="35"/>
        <v>0</v>
      </c>
    </row>
    <row r="2218" spans="1:5" x14ac:dyDescent="0.3">
      <c r="A2218" s="7">
        <v>1000477</v>
      </c>
      <c r="B2218" s="15" t="s">
        <v>2214</v>
      </c>
      <c r="C2218" s="14">
        <v>0</v>
      </c>
      <c r="D2218" s="14">
        <v>0</v>
      </c>
      <c r="E2218" s="14">
        <f t="shared" si="35"/>
        <v>0</v>
      </c>
    </row>
    <row r="2219" spans="1:5" x14ac:dyDescent="0.3">
      <c r="A2219" s="7">
        <v>1000481</v>
      </c>
      <c r="B2219" s="15" t="s">
        <v>2215</v>
      </c>
      <c r="C2219" s="14">
        <v>0</v>
      </c>
      <c r="D2219" s="14">
        <v>0</v>
      </c>
      <c r="E2219" s="14">
        <f t="shared" si="35"/>
        <v>0</v>
      </c>
    </row>
    <row r="2220" spans="1:5" x14ac:dyDescent="0.3">
      <c r="A2220" s="7">
        <v>1000482</v>
      </c>
      <c r="B2220" s="15" t="s">
        <v>2216</v>
      </c>
      <c r="C2220" s="14">
        <v>0</v>
      </c>
      <c r="D2220" s="14">
        <v>0</v>
      </c>
      <c r="E2220" s="14">
        <f t="shared" si="35"/>
        <v>0</v>
      </c>
    </row>
    <row r="2221" spans="1:5" x14ac:dyDescent="0.3">
      <c r="A2221" s="7">
        <v>1000483</v>
      </c>
      <c r="B2221" s="15" t="s">
        <v>2217</v>
      </c>
      <c r="C2221" s="14">
        <v>0</v>
      </c>
      <c r="D2221" s="14">
        <v>0</v>
      </c>
      <c r="E2221" s="14">
        <f t="shared" si="35"/>
        <v>0</v>
      </c>
    </row>
    <row r="2222" spans="1:5" x14ac:dyDescent="0.3">
      <c r="A2222" s="7">
        <v>1000485</v>
      </c>
      <c r="B2222" s="15" t="s">
        <v>2218</v>
      </c>
      <c r="C2222" s="14">
        <v>0</v>
      </c>
      <c r="D2222" s="14">
        <v>0</v>
      </c>
      <c r="E2222" s="14">
        <f t="shared" si="35"/>
        <v>0</v>
      </c>
    </row>
    <row r="2223" spans="1:5" x14ac:dyDescent="0.3">
      <c r="A2223" s="7">
        <v>1000492</v>
      </c>
      <c r="B2223" s="15" t="s">
        <v>2219</v>
      </c>
      <c r="C2223" s="14">
        <v>0</v>
      </c>
      <c r="D2223" s="14">
        <v>0</v>
      </c>
      <c r="E2223" s="14">
        <f t="shared" si="35"/>
        <v>0</v>
      </c>
    </row>
    <row r="2224" spans="1:5" x14ac:dyDescent="0.3">
      <c r="A2224" s="7">
        <v>1000494</v>
      </c>
      <c r="B2224" s="15" t="s">
        <v>2220</v>
      </c>
      <c r="C2224" s="14">
        <v>0</v>
      </c>
      <c r="D2224" s="14">
        <v>0</v>
      </c>
      <c r="E2224" s="14">
        <f t="shared" si="35"/>
        <v>0</v>
      </c>
    </row>
    <row r="2225" spans="1:5" x14ac:dyDescent="0.3">
      <c r="A2225" s="7">
        <v>1000496</v>
      </c>
      <c r="B2225" s="15" t="s">
        <v>2221</v>
      </c>
      <c r="C2225" s="14">
        <v>0</v>
      </c>
      <c r="D2225" s="14">
        <v>0</v>
      </c>
      <c r="E2225" s="14">
        <f t="shared" si="35"/>
        <v>0</v>
      </c>
    </row>
    <row r="2226" spans="1:5" x14ac:dyDescent="0.3">
      <c r="A2226" s="7">
        <v>1000497</v>
      </c>
      <c r="B2226" s="15" t="s">
        <v>2222</v>
      </c>
      <c r="C2226" s="14">
        <v>0</v>
      </c>
      <c r="D2226" s="14">
        <v>0</v>
      </c>
      <c r="E2226" s="14">
        <f t="shared" si="35"/>
        <v>0</v>
      </c>
    </row>
    <row r="2227" spans="1:5" x14ac:dyDescent="0.3">
      <c r="A2227" s="7">
        <v>1000498</v>
      </c>
      <c r="B2227" s="15" t="s">
        <v>2223</v>
      </c>
      <c r="C2227" s="14">
        <v>0</v>
      </c>
      <c r="D2227" s="14">
        <v>0</v>
      </c>
      <c r="E2227" s="14">
        <f t="shared" si="35"/>
        <v>0</v>
      </c>
    </row>
    <row r="2228" spans="1:5" x14ac:dyDescent="0.3">
      <c r="A2228" s="7">
        <v>1000506</v>
      </c>
      <c r="B2228" s="15" t="s">
        <v>2224</v>
      </c>
      <c r="C2228" s="14">
        <v>0</v>
      </c>
      <c r="D2228" s="14">
        <v>0</v>
      </c>
      <c r="E2228" s="14">
        <f t="shared" si="35"/>
        <v>0</v>
      </c>
    </row>
    <row r="2229" spans="1:5" x14ac:dyDescent="0.3">
      <c r="A2229" s="7">
        <v>1000507</v>
      </c>
      <c r="B2229" s="15" t="s">
        <v>2225</v>
      </c>
      <c r="C2229" s="14">
        <v>0</v>
      </c>
      <c r="D2229" s="14">
        <v>0</v>
      </c>
      <c r="E2229" s="14">
        <f t="shared" si="35"/>
        <v>0</v>
      </c>
    </row>
    <row r="2230" spans="1:5" x14ac:dyDescent="0.3">
      <c r="A2230" s="7">
        <v>1000514</v>
      </c>
      <c r="B2230" s="15" t="s">
        <v>2226</v>
      </c>
      <c r="C2230" s="14">
        <v>0</v>
      </c>
      <c r="D2230" s="14">
        <v>0</v>
      </c>
      <c r="E2230" s="14">
        <f t="shared" si="35"/>
        <v>0</v>
      </c>
    </row>
    <row r="2231" spans="1:5" x14ac:dyDescent="0.3">
      <c r="A2231" s="7">
        <v>1000515</v>
      </c>
      <c r="B2231" s="15" t="s">
        <v>2227</v>
      </c>
      <c r="C2231" s="14">
        <v>0</v>
      </c>
      <c r="D2231" s="14">
        <v>0</v>
      </c>
      <c r="E2231" s="14">
        <f t="shared" si="35"/>
        <v>0</v>
      </c>
    </row>
    <row r="2232" spans="1:5" x14ac:dyDescent="0.3">
      <c r="A2232" s="7">
        <v>1000519</v>
      </c>
      <c r="B2232" s="15" t="s">
        <v>2228</v>
      </c>
      <c r="C2232" s="14">
        <v>0</v>
      </c>
      <c r="D2232" s="14">
        <v>0</v>
      </c>
      <c r="E2232" s="14">
        <f t="shared" si="35"/>
        <v>0</v>
      </c>
    </row>
    <row r="2233" spans="1:5" x14ac:dyDescent="0.3">
      <c r="A2233" s="7">
        <v>1000521</v>
      </c>
      <c r="B2233" s="15" t="s">
        <v>2229</v>
      </c>
      <c r="C2233" s="14">
        <v>0</v>
      </c>
      <c r="D2233" s="14">
        <v>0</v>
      </c>
      <c r="E2233" s="14">
        <f t="shared" si="35"/>
        <v>0</v>
      </c>
    </row>
    <row r="2234" spans="1:5" x14ac:dyDescent="0.3">
      <c r="A2234" s="7">
        <v>1000522</v>
      </c>
      <c r="B2234" s="15" t="s">
        <v>2230</v>
      </c>
      <c r="C2234" s="14">
        <v>0</v>
      </c>
      <c r="D2234" s="14">
        <v>0</v>
      </c>
      <c r="E2234" s="14">
        <f t="shared" si="35"/>
        <v>0</v>
      </c>
    </row>
    <row r="2235" spans="1:5" x14ac:dyDescent="0.3">
      <c r="A2235" s="7">
        <v>1000523</v>
      </c>
      <c r="B2235" s="15" t="s">
        <v>2231</v>
      </c>
      <c r="C2235" s="14">
        <v>0</v>
      </c>
      <c r="D2235" s="14">
        <v>0</v>
      </c>
      <c r="E2235" s="14">
        <f t="shared" si="35"/>
        <v>0</v>
      </c>
    </row>
    <row r="2236" spans="1:5" x14ac:dyDescent="0.3">
      <c r="A2236" s="7">
        <v>1000524</v>
      </c>
      <c r="B2236" s="15" t="s">
        <v>2232</v>
      </c>
      <c r="C2236" s="14">
        <v>0</v>
      </c>
      <c r="D2236" s="14">
        <v>0</v>
      </c>
      <c r="E2236" s="14">
        <f t="shared" si="35"/>
        <v>0</v>
      </c>
    </row>
    <row r="2237" spans="1:5" x14ac:dyDescent="0.3">
      <c r="A2237" s="7">
        <v>1000526</v>
      </c>
      <c r="B2237" s="15" t="s">
        <v>2233</v>
      </c>
      <c r="C2237" s="14">
        <v>0</v>
      </c>
      <c r="D2237" s="14">
        <v>0</v>
      </c>
      <c r="E2237" s="14">
        <f t="shared" si="35"/>
        <v>0</v>
      </c>
    </row>
    <row r="2238" spans="1:5" x14ac:dyDescent="0.3">
      <c r="A2238" s="7">
        <v>1000527</v>
      </c>
      <c r="B2238" s="15" t="s">
        <v>2234</v>
      </c>
      <c r="C2238" s="14">
        <v>0</v>
      </c>
      <c r="D2238" s="14">
        <v>0</v>
      </c>
      <c r="E2238" s="14">
        <f t="shared" si="35"/>
        <v>0</v>
      </c>
    </row>
    <row r="2239" spans="1:5" x14ac:dyDescent="0.3">
      <c r="A2239" s="7">
        <v>1000529</v>
      </c>
      <c r="B2239" s="15" t="s">
        <v>2235</v>
      </c>
      <c r="C2239" s="14">
        <v>0</v>
      </c>
      <c r="D2239" s="14">
        <v>0</v>
      </c>
      <c r="E2239" s="14">
        <f t="shared" si="35"/>
        <v>0</v>
      </c>
    </row>
    <row r="2240" spans="1:5" x14ac:dyDescent="0.3">
      <c r="A2240" s="7">
        <v>1000530</v>
      </c>
      <c r="B2240" s="15" t="s">
        <v>2236</v>
      </c>
      <c r="C2240" s="14">
        <v>0</v>
      </c>
      <c r="D2240" s="14">
        <v>0</v>
      </c>
      <c r="E2240" s="14">
        <f t="shared" si="35"/>
        <v>0</v>
      </c>
    </row>
    <row r="2241" spans="1:5" x14ac:dyDescent="0.3">
      <c r="A2241" s="7">
        <v>1000532</v>
      </c>
      <c r="B2241" s="15" t="s">
        <v>2237</v>
      </c>
      <c r="C2241" s="14">
        <v>0</v>
      </c>
      <c r="D2241" s="14">
        <v>0</v>
      </c>
      <c r="E2241" s="14">
        <f t="shared" si="35"/>
        <v>0</v>
      </c>
    </row>
    <row r="2242" spans="1:5" x14ac:dyDescent="0.3">
      <c r="A2242" s="7">
        <v>1000535</v>
      </c>
      <c r="B2242" s="15" t="s">
        <v>2238</v>
      </c>
      <c r="C2242" s="14">
        <v>0</v>
      </c>
      <c r="D2242" s="14">
        <v>0</v>
      </c>
      <c r="E2242" s="14">
        <f t="shared" si="35"/>
        <v>0</v>
      </c>
    </row>
    <row r="2243" spans="1:5" x14ac:dyDescent="0.3">
      <c r="A2243" s="7">
        <v>1000536</v>
      </c>
      <c r="B2243" s="15" t="s">
        <v>2239</v>
      </c>
      <c r="C2243" s="14">
        <v>0</v>
      </c>
      <c r="D2243" s="14">
        <v>0</v>
      </c>
      <c r="E2243" s="14">
        <f t="shared" si="35"/>
        <v>0</v>
      </c>
    </row>
    <row r="2244" spans="1:5" x14ac:dyDescent="0.3">
      <c r="A2244" s="7">
        <v>1000538</v>
      </c>
      <c r="B2244" s="15" t="s">
        <v>2240</v>
      </c>
      <c r="C2244" s="14">
        <v>0</v>
      </c>
      <c r="D2244" s="14">
        <v>0</v>
      </c>
      <c r="E2244" s="14">
        <f t="shared" si="35"/>
        <v>0</v>
      </c>
    </row>
    <row r="2245" spans="1:5" x14ac:dyDescent="0.3">
      <c r="A2245" s="7">
        <v>1000540</v>
      </c>
      <c r="B2245" s="15" t="s">
        <v>2241</v>
      </c>
      <c r="C2245" s="14">
        <v>0</v>
      </c>
      <c r="D2245" s="14">
        <v>0</v>
      </c>
      <c r="E2245" s="14">
        <f t="shared" si="35"/>
        <v>0</v>
      </c>
    </row>
    <row r="2246" spans="1:5" x14ac:dyDescent="0.3">
      <c r="A2246" s="7">
        <v>1000541</v>
      </c>
      <c r="B2246" s="15" t="s">
        <v>2242</v>
      </c>
      <c r="C2246" s="14">
        <v>0</v>
      </c>
      <c r="D2246" s="14">
        <v>0</v>
      </c>
      <c r="E2246" s="14">
        <f t="shared" si="35"/>
        <v>0</v>
      </c>
    </row>
    <row r="2247" spans="1:5" x14ac:dyDescent="0.3">
      <c r="A2247" s="7">
        <v>1000544</v>
      </c>
      <c r="B2247" s="15" t="s">
        <v>2243</v>
      </c>
      <c r="C2247" s="14">
        <v>0</v>
      </c>
      <c r="D2247" s="14">
        <v>0</v>
      </c>
      <c r="E2247" s="14">
        <f t="shared" si="35"/>
        <v>0</v>
      </c>
    </row>
    <row r="2248" spans="1:5" x14ac:dyDescent="0.3">
      <c r="A2248" s="7">
        <v>1000546</v>
      </c>
      <c r="B2248" s="15" t="s">
        <v>2244</v>
      </c>
      <c r="C2248" s="14">
        <v>0</v>
      </c>
      <c r="D2248" s="14">
        <v>0</v>
      </c>
      <c r="E2248" s="14">
        <f t="shared" si="35"/>
        <v>0</v>
      </c>
    </row>
    <row r="2249" spans="1:5" x14ac:dyDescent="0.3">
      <c r="A2249" s="7">
        <v>1000547</v>
      </c>
      <c r="B2249" s="15" t="s">
        <v>2245</v>
      </c>
      <c r="C2249" s="14">
        <v>0</v>
      </c>
      <c r="D2249" s="14">
        <v>0</v>
      </c>
      <c r="E2249" s="14">
        <f t="shared" si="35"/>
        <v>0</v>
      </c>
    </row>
    <row r="2250" spans="1:5" x14ac:dyDescent="0.3">
      <c r="A2250" s="7">
        <v>1000549</v>
      </c>
      <c r="B2250" s="15" t="s">
        <v>2246</v>
      </c>
      <c r="C2250" s="14">
        <v>0</v>
      </c>
      <c r="D2250" s="14">
        <v>0</v>
      </c>
      <c r="E2250" s="14">
        <f t="shared" si="35"/>
        <v>0</v>
      </c>
    </row>
    <row r="2251" spans="1:5" x14ac:dyDescent="0.3">
      <c r="A2251" s="7">
        <v>1000550</v>
      </c>
      <c r="B2251" s="15" t="s">
        <v>2247</v>
      </c>
      <c r="C2251" s="14">
        <v>0</v>
      </c>
      <c r="D2251" s="14">
        <v>0</v>
      </c>
      <c r="E2251" s="14">
        <f t="shared" si="35"/>
        <v>0</v>
      </c>
    </row>
    <row r="2252" spans="1:5" x14ac:dyDescent="0.3">
      <c r="A2252" s="7">
        <v>1000551</v>
      </c>
      <c r="B2252" s="15" t="s">
        <v>2248</v>
      </c>
      <c r="C2252" s="14">
        <v>0</v>
      </c>
      <c r="D2252" s="14">
        <v>0</v>
      </c>
      <c r="E2252" s="14">
        <f t="shared" si="35"/>
        <v>0</v>
      </c>
    </row>
    <row r="2253" spans="1:5" x14ac:dyDescent="0.3">
      <c r="A2253" s="7">
        <v>1000552</v>
      </c>
      <c r="B2253" s="15" t="s">
        <v>2249</v>
      </c>
      <c r="C2253" s="14">
        <v>0</v>
      </c>
      <c r="D2253" s="14">
        <v>0</v>
      </c>
      <c r="E2253" s="14">
        <f t="shared" si="35"/>
        <v>0</v>
      </c>
    </row>
    <row r="2254" spans="1:5" x14ac:dyDescent="0.3">
      <c r="A2254" s="7">
        <v>1000556</v>
      </c>
      <c r="B2254" s="15" t="s">
        <v>2250</v>
      </c>
      <c r="C2254" s="14">
        <v>0</v>
      </c>
      <c r="D2254" s="14">
        <v>0</v>
      </c>
      <c r="E2254" s="14">
        <f t="shared" si="35"/>
        <v>0</v>
      </c>
    </row>
    <row r="2255" spans="1:5" x14ac:dyDescent="0.3">
      <c r="A2255" s="7">
        <v>1000557</v>
      </c>
      <c r="B2255" s="15" t="s">
        <v>2251</v>
      </c>
      <c r="C2255" s="14">
        <v>0</v>
      </c>
      <c r="D2255" s="14">
        <v>0</v>
      </c>
      <c r="E2255" s="14">
        <f t="shared" si="35"/>
        <v>0</v>
      </c>
    </row>
    <row r="2256" spans="1:5" x14ac:dyDescent="0.3">
      <c r="A2256" s="7">
        <v>1000558</v>
      </c>
      <c r="B2256" s="15" t="s">
        <v>2252</v>
      </c>
      <c r="C2256" s="14">
        <v>0</v>
      </c>
      <c r="D2256" s="14">
        <v>0</v>
      </c>
      <c r="E2256" s="14">
        <f t="shared" si="35"/>
        <v>0</v>
      </c>
    </row>
    <row r="2257" spans="1:5" x14ac:dyDescent="0.3">
      <c r="A2257" s="7">
        <v>1000559</v>
      </c>
      <c r="B2257" s="15" t="s">
        <v>2253</v>
      </c>
      <c r="C2257" s="14">
        <v>0</v>
      </c>
      <c r="D2257" s="14">
        <v>0</v>
      </c>
      <c r="E2257" s="14">
        <f t="shared" si="35"/>
        <v>0</v>
      </c>
    </row>
    <row r="2258" spans="1:5" x14ac:dyDescent="0.3">
      <c r="A2258" s="7">
        <v>1000560</v>
      </c>
      <c r="B2258" s="15" t="s">
        <v>2254</v>
      </c>
      <c r="C2258" s="14">
        <v>0</v>
      </c>
      <c r="D2258" s="14">
        <v>0</v>
      </c>
      <c r="E2258" s="14">
        <f t="shared" si="35"/>
        <v>0</v>
      </c>
    </row>
    <row r="2259" spans="1:5" x14ac:dyDescent="0.3">
      <c r="A2259" s="7">
        <v>1000561</v>
      </c>
      <c r="B2259" s="15" t="s">
        <v>2255</v>
      </c>
      <c r="C2259" s="14">
        <v>0</v>
      </c>
      <c r="D2259" s="14">
        <v>0</v>
      </c>
      <c r="E2259" s="14">
        <f t="shared" si="35"/>
        <v>0</v>
      </c>
    </row>
    <row r="2260" spans="1:5" x14ac:dyDescent="0.3">
      <c r="A2260" s="7">
        <v>1000562</v>
      </c>
      <c r="B2260" s="15" t="s">
        <v>2256</v>
      </c>
      <c r="C2260" s="14">
        <v>0</v>
      </c>
      <c r="D2260" s="14">
        <v>0</v>
      </c>
      <c r="E2260" s="14">
        <f t="shared" si="35"/>
        <v>0</v>
      </c>
    </row>
    <row r="2261" spans="1:5" x14ac:dyDescent="0.3">
      <c r="A2261" s="7">
        <v>1000564</v>
      </c>
      <c r="B2261" s="15" t="s">
        <v>2257</v>
      </c>
      <c r="C2261" s="14">
        <v>0</v>
      </c>
      <c r="D2261" s="14">
        <v>0</v>
      </c>
      <c r="E2261" s="14">
        <f t="shared" si="35"/>
        <v>0</v>
      </c>
    </row>
    <row r="2262" spans="1:5" x14ac:dyDescent="0.3">
      <c r="A2262" s="7">
        <v>1000565</v>
      </c>
      <c r="B2262" s="15" t="s">
        <v>2258</v>
      </c>
      <c r="C2262" s="14">
        <v>0</v>
      </c>
      <c r="D2262" s="14">
        <v>0</v>
      </c>
      <c r="E2262" s="14">
        <f t="shared" si="35"/>
        <v>0</v>
      </c>
    </row>
    <row r="2263" spans="1:5" x14ac:dyDescent="0.3">
      <c r="A2263" s="7">
        <v>1000566</v>
      </c>
      <c r="B2263" s="15" t="s">
        <v>2259</v>
      </c>
      <c r="C2263" s="14">
        <v>0</v>
      </c>
      <c r="D2263" s="14">
        <v>0</v>
      </c>
      <c r="E2263" s="14">
        <f t="shared" si="35"/>
        <v>0</v>
      </c>
    </row>
    <row r="2264" spans="1:5" x14ac:dyDescent="0.3">
      <c r="A2264" s="7">
        <v>1000567</v>
      </c>
      <c r="B2264" s="15" t="s">
        <v>2260</v>
      </c>
      <c r="C2264" s="14">
        <v>0</v>
      </c>
      <c r="D2264" s="14">
        <v>0</v>
      </c>
      <c r="E2264" s="14">
        <f t="shared" si="35"/>
        <v>0</v>
      </c>
    </row>
    <row r="2265" spans="1:5" x14ac:dyDescent="0.3">
      <c r="A2265" s="7">
        <v>1000569</v>
      </c>
      <c r="B2265" s="15" t="s">
        <v>2261</v>
      </c>
      <c r="C2265" s="14">
        <v>0</v>
      </c>
      <c r="D2265" s="14">
        <v>0</v>
      </c>
      <c r="E2265" s="14">
        <f t="shared" si="35"/>
        <v>0</v>
      </c>
    </row>
    <row r="2266" spans="1:5" x14ac:dyDescent="0.3">
      <c r="A2266" s="7">
        <v>1000570</v>
      </c>
      <c r="B2266" s="15" t="s">
        <v>2262</v>
      </c>
      <c r="C2266" s="14">
        <v>0</v>
      </c>
      <c r="D2266" s="14">
        <v>0</v>
      </c>
      <c r="E2266" s="14">
        <f t="shared" si="35"/>
        <v>0</v>
      </c>
    </row>
    <row r="2267" spans="1:5" x14ac:dyDescent="0.3">
      <c r="A2267" s="7">
        <v>1000571</v>
      </c>
      <c r="B2267" s="15" t="s">
        <v>2263</v>
      </c>
      <c r="C2267" s="14">
        <v>0</v>
      </c>
      <c r="D2267" s="14">
        <v>0</v>
      </c>
      <c r="E2267" s="14">
        <f t="shared" si="35"/>
        <v>0</v>
      </c>
    </row>
    <row r="2268" spans="1:5" x14ac:dyDescent="0.3">
      <c r="A2268" s="7">
        <v>1000575</v>
      </c>
      <c r="B2268" s="15" t="s">
        <v>2264</v>
      </c>
      <c r="C2268" s="14">
        <v>0</v>
      </c>
      <c r="D2268" s="14">
        <v>0</v>
      </c>
      <c r="E2268" s="14">
        <f t="shared" si="35"/>
        <v>0</v>
      </c>
    </row>
    <row r="2269" spans="1:5" x14ac:dyDescent="0.3">
      <c r="A2269" s="7">
        <v>1000576</v>
      </c>
      <c r="B2269" s="15" t="s">
        <v>2265</v>
      </c>
      <c r="C2269" s="14">
        <v>0</v>
      </c>
      <c r="D2269" s="14">
        <v>0</v>
      </c>
      <c r="E2269" s="14">
        <f t="shared" si="35"/>
        <v>0</v>
      </c>
    </row>
    <row r="2270" spans="1:5" x14ac:dyDescent="0.3">
      <c r="A2270" s="7">
        <v>1000577</v>
      </c>
      <c r="B2270" s="15" t="s">
        <v>2266</v>
      </c>
      <c r="C2270" s="14">
        <v>0</v>
      </c>
      <c r="D2270" s="14">
        <v>0</v>
      </c>
      <c r="E2270" s="14">
        <f t="shared" si="35"/>
        <v>0</v>
      </c>
    </row>
    <row r="2271" spans="1:5" x14ac:dyDescent="0.3">
      <c r="A2271" s="7">
        <v>1000580</v>
      </c>
      <c r="B2271" s="15" t="s">
        <v>2267</v>
      </c>
      <c r="C2271" s="14">
        <v>0</v>
      </c>
      <c r="D2271" s="14">
        <v>0</v>
      </c>
      <c r="E2271" s="14">
        <f t="shared" si="35"/>
        <v>0</v>
      </c>
    </row>
    <row r="2272" spans="1:5" x14ac:dyDescent="0.3">
      <c r="A2272" s="7">
        <v>1000581</v>
      </c>
      <c r="B2272" s="15" t="s">
        <v>2268</v>
      </c>
      <c r="C2272" s="14">
        <v>0</v>
      </c>
      <c r="D2272" s="14">
        <v>0</v>
      </c>
      <c r="E2272" s="14">
        <f t="shared" si="35"/>
        <v>0</v>
      </c>
    </row>
    <row r="2273" spans="1:5" x14ac:dyDescent="0.3">
      <c r="A2273" s="7">
        <v>1000582</v>
      </c>
      <c r="B2273" s="15" t="s">
        <v>2269</v>
      </c>
      <c r="C2273" s="14">
        <v>0</v>
      </c>
      <c r="D2273" s="14">
        <v>0</v>
      </c>
      <c r="E2273" s="14">
        <f t="shared" ref="E2273:E2336" si="36">+MAX(C2273, D2273)</f>
        <v>0</v>
      </c>
    </row>
    <row r="2274" spans="1:5" x14ac:dyDescent="0.3">
      <c r="A2274" s="7">
        <v>1000583</v>
      </c>
      <c r="B2274" s="15" t="s">
        <v>2270</v>
      </c>
      <c r="C2274" s="14">
        <v>0</v>
      </c>
      <c r="D2274" s="14">
        <v>0</v>
      </c>
      <c r="E2274" s="14">
        <f t="shared" si="36"/>
        <v>0</v>
      </c>
    </row>
    <row r="2275" spans="1:5" x14ac:dyDescent="0.3">
      <c r="A2275" s="7">
        <v>1000589</v>
      </c>
      <c r="B2275" s="15" t="s">
        <v>2271</v>
      </c>
      <c r="C2275" s="14">
        <v>0</v>
      </c>
      <c r="D2275" s="14">
        <v>0</v>
      </c>
      <c r="E2275" s="14">
        <f t="shared" si="36"/>
        <v>0</v>
      </c>
    </row>
    <row r="2276" spans="1:5" x14ac:dyDescent="0.3">
      <c r="A2276" s="7">
        <v>1000590</v>
      </c>
      <c r="B2276" s="15" t="s">
        <v>2272</v>
      </c>
      <c r="C2276" s="14">
        <v>0</v>
      </c>
      <c r="D2276" s="14">
        <v>0</v>
      </c>
      <c r="E2276" s="14">
        <f t="shared" si="36"/>
        <v>0</v>
      </c>
    </row>
    <row r="2277" spans="1:5" x14ac:dyDescent="0.3">
      <c r="A2277" s="7">
        <v>1000591</v>
      </c>
      <c r="B2277" s="15" t="s">
        <v>2273</v>
      </c>
      <c r="C2277" s="14">
        <v>0</v>
      </c>
      <c r="D2277" s="14">
        <v>0</v>
      </c>
      <c r="E2277" s="14">
        <f t="shared" si="36"/>
        <v>0</v>
      </c>
    </row>
    <row r="2278" spans="1:5" x14ac:dyDescent="0.3">
      <c r="A2278" s="7">
        <v>1000592</v>
      </c>
      <c r="B2278" s="15" t="s">
        <v>2274</v>
      </c>
      <c r="C2278" s="14">
        <v>0</v>
      </c>
      <c r="D2278" s="14">
        <v>0</v>
      </c>
      <c r="E2278" s="14">
        <f t="shared" si="36"/>
        <v>0</v>
      </c>
    </row>
    <row r="2279" spans="1:5" x14ac:dyDescent="0.3">
      <c r="A2279" s="7">
        <v>1000593</v>
      </c>
      <c r="B2279" s="15" t="s">
        <v>2275</v>
      </c>
      <c r="C2279" s="14">
        <v>0</v>
      </c>
      <c r="D2279" s="14">
        <v>0</v>
      </c>
      <c r="E2279" s="14">
        <f t="shared" si="36"/>
        <v>0</v>
      </c>
    </row>
    <row r="2280" spans="1:5" x14ac:dyDescent="0.3">
      <c r="A2280" s="7">
        <v>1000594</v>
      </c>
      <c r="B2280" s="15" t="s">
        <v>2276</v>
      </c>
      <c r="C2280" s="14">
        <v>0</v>
      </c>
      <c r="D2280" s="14">
        <v>0</v>
      </c>
      <c r="E2280" s="14">
        <f t="shared" si="36"/>
        <v>0</v>
      </c>
    </row>
    <row r="2281" spans="1:5" x14ac:dyDescent="0.3">
      <c r="A2281" s="7">
        <v>1000596</v>
      </c>
      <c r="B2281" s="15" t="s">
        <v>2277</v>
      </c>
      <c r="C2281" s="14">
        <v>0</v>
      </c>
      <c r="D2281" s="14">
        <v>0</v>
      </c>
      <c r="E2281" s="14">
        <f t="shared" si="36"/>
        <v>0</v>
      </c>
    </row>
    <row r="2282" spans="1:5" x14ac:dyDescent="0.3">
      <c r="A2282" s="7">
        <v>1000597</v>
      </c>
      <c r="B2282" s="15" t="s">
        <v>2278</v>
      </c>
      <c r="C2282" s="14">
        <v>2047.26</v>
      </c>
      <c r="D2282" s="14">
        <v>1108.7988</v>
      </c>
      <c r="E2282" s="14">
        <f t="shared" si="36"/>
        <v>2047.26</v>
      </c>
    </row>
    <row r="2283" spans="1:5" x14ac:dyDescent="0.3">
      <c r="A2283" s="7">
        <v>1000598</v>
      </c>
      <c r="B2283" s="15" t="s">
        <v>2279</v>
      </c>
      <c r="C2283" s="14">
        <v>0</v>
      </c>
      <c r="D2283" s="14">
        <v>0</v>
      </c>
      <c r="E2283" s="14">
        <f t="shared" si="36"/>
        <v>0</v>
      </c>
    </row>
    <row r="2284" spans="1:5" x14ac:dyDescent="0.3">
      <c r="A2284" s="7">
        <v>1000599</v>
      </c>
      <c r="B2284" s="15" t="s">
        <v>2280</v>
      </c>
      <c r="C2284" s="14">
        <v>0</v>
      </c>
      <c r="D2284" s="14">
        <v>0</v>
      </c>
      <c r="E2284" s="14">
        <f t="shared" si="36"/>
        <v>0</v>
      </c>
    </row>
    <row r="2285" spans="1:5" x14ac:dyDescent="0.3">
      <c r="A2285" s="7">
        <v>1000600</v>
      </c>
      <c r="B2285" s="15" t="s">
        <v>2281</v>
      </c>
      <c r="C2285" s="14">
        <v>0</v>
      </c>
      <c r="D2285" s="14">
        <v>0</v>
      </c>
      <c r="E2285" s="14">
        <f t="shared" si="36"/>
        <v>0</v>
      </c>
    </row>
    <row r="2286" spans="1:5" x14ac:dyDescent="0.3">
      <c r="A2286" s="7">
        <v>1000601</v>
      </c>
      <c r="B2286" s="15" t="s">
        <v>2282</v>
      </c>
      <c r="C2286" s="14">
        <v>0</v>
      </c>
      <c r="D2286" s="14">
        <v>0</v>
      </c>
      <c r="E2286" s="14">
        <f t="shared" si="36"/>
        <v>0</v>
      </c>
    </row>
    <row r="2287" spans="1:5" x14ac:dyDescent="0.3">
      <c r="A2287" s="7">
        <v>1000603</v>
      </c>
      <c r="B2287" s="15" t="s">
        <v>2283</v>
      </c>
      <c r="C2287" s="14">
        <v>0</v>
      </c>
      <c r="D2287" s="14">
        <v>0</v>
      </c>
      <c r="E2287" s="14">
        <f t="shared" si="36"/>
        <v>0</v>
      </c>
    </row>
    <row r="2288" spans="1:5" x14ac:dyDescent="0.3">
      <c r="A2288" s="7">
        <v>1000604</v>
      </c>
      <c r="B2288" s="15" t="s">
        <v>2284</v>
      </c>
      <c r="C2288" s="14">
        <v>0</v>
      </c>
      <c r="D2288" s="14">
        <v>0</v>
      </c>
      <c r="E2288" s="14">
        <f t="shared" si="36"/>
        <v>0</v>
      </c>
    </row>
    <row r="2289" spans="1:5" x14ac:dyDescent="0.3">
      <c r="A2289" s="7">
        <v>1000605</v>
      </c>
      <c r="B2289" s="15" t="s">
        <v>2285</v>
      </c>
      <c r="C2289" s="14">
        <v>0</v>
      </c>
      <c r="D2289" s="14">
        <v>0</v>
      </c>
      <c r="E2289" s="14">
        <f t="shared" si="36"/>
        <v>0</v>
      </c>
    </row>
    <row r="2290" spans="1:5" x14ac:dyDescent="0.3">
      <c r="A2290" s="7">
        <v>1000606</v>
      </c>
      <c r="B2290" s="15" t="s">
        <v>2286</v>
      </c>
      <c r="C2290" s="14">
        <v>0</v>
      </c>
      <c r="D2290" s="14">
        <v>0</v>
      </c>
      <c r="E2290" s="14">
        <f t="shared" si="36"/>
        <v>0</v>
      </c>
    </row>
    <row r="2291" spans="1:5" x14ac:dyDescent="0.3">
      <c r="A2291" s="7">
        <v>1000607</v>
      </c>
      <c r="B2291" s="15" t="s">
        <v>2287</v>
      </c>
      <c r="C2291" s="14">
        <v>0</v>
      </c>
      <c r="D2291" s="14">
        <v>0</v>
      </c>
      <c r="E2291" s="14">
        <f t="shared" si="36"/>
        <v>0</v>
      </c>
    </row>
    <row r="2292" spans="1:5" x14ac:dyDescent="0.3">
      <c r="A2292" s="7">
        <v>1000608</v>
      </c>
      <c r="B2292" s="15" t="s">
        <v>2288</v>
      </c>
      <c r="C2292" s="14">
        <v>0</v>
      </c>
      <c r="D2292" s="14">
        <v>0</v>
      </c>
      <c r="E2292" s="14">
        <f t="shared" si="36"/>
        <v>0</v>
      </c>
    </row>
    <row r="2293" spans="1:5" x14ac:dyDescent="0.3">
      <c r="A2293" s="7">
        <v>1000611</v>
      </c>
      <c r="B2293" s="15" t="s">
        <v>2289</v>
      </c>
      <c r="C2293" s="14">
        <v>0</v>
      </c>
      <c r="D2293" s="14">
        <v>0</v>
      </c>
      <c r="E2293" s="14">
        <f t="shared" si="36"/>
        <v>0</v>
      </c>
    </row>
    <row r="2294" spans="1:5" x14ac:dyDescent="0.3">
      <c r="A2294" s="7">
        <v>1000612</v>
      </c>
      <c r="B2294" s="15" t="s">
        <v>2290</v>
      </c>
      <c r="C2294" s="14">
        <v>0</v>
      </c>
      <c r="D2294" s="14">
        <v>0</v>
      </c>
      <c r="E2294" s="14">
        <f t="shared" si="36"/>
        <v>0</v>
      </c>
    </row>
    <row r="2295" spans="1:5" x14ac:dyDescent="0.3">
      <c r="A2295" s="7">
        <v>1000615</v>
      </c>
      <c r="B2295" s="15" t="s">
        <v>2291</v>
      </c>
      <c r="C2295" s="14">
        <v>0</v>
      </c>
      <c r="D2295" s="14">
        <v>0</v>
      </c>
      <c r="E2295" s="14">
        <f t="shared" si="36"/>
        <v>0</v>
      </c>
    </row>
    <row r="2296" spans="1:5" x14ac:dyDescent="0.3">
      <c r="A2296" s="7">
        <v>1000616</v>
      </c>
      <c r="B2296" s="15" t="s">
        <v>2292</v>
      </c>
      <c r="C2296" s="14">
        <v>0</v>
      </c>
      <c r="D2296" s="14">
        <v>0</v>
      </c>
      <c r="E2296" s="14">
        <f t="shared" si="36"/>
        <v>0</v>
      </c>
    </row>
    <row r="2297" spans="1:5" x14ac:dyDescent="0.3">
      <c r="A2297" s="7">
        <v>1000617</v>
      </c>
      <c r="B2297" s="15" t="s">
        <v>2293</v>
      </c>
      <c r="C2297" s="14">
        <v>0</v>
      </c>
      <c r="D2297" s="14">
        <v>0</v>
      </c>
      <c r="E2297" s="14">
        <f t="shared" si="36"/>
        <v>0</v>
      </c>
    </row>
    <row r="2298" spans="1:5" x14ac:dyDescent="0.3">
      <c r="A2298" s="7">
        <v>1000619</v>
      </c>
      <c r="B2298" s="15" t="s">
        <v>2294</v>
      </c>
      <c r="C2298" s="14">
        <v>0</v>
      </c>
      <c r="D2298" s="14">
        <v>0</v>
      </c>
      <c r="E2298" s="14">
        <f t="shared" si="36"/>
        <v>0</v>
      </c>
    </row>
    <row r="2299" spans="1:5" x14ac:dyDescent="0.3">
      <c r="A2299" s="7">
        <v>1000620</v>
      </c>
      <c r="B2299" s="15" t="s">
        <v>2295</v>
      </c>
      <c r="C2299" s="14">
        <v>0</v>
      </c>
      <c r="D2299" s="14">
        <v>0</v>
      </c>
      <c r="E2299" s="14">
        <f t="shared" si="36"/>
        <v>0</v>
      </c>
    </row>
    <row r="2300" spans="1:5" x14ac:dyDescent="0.3">
      <c r="A2300" s="7">
        <v>1000621</v>
      </c>
      <c r="B2300" s="15" t="s">
        <v>2296</v>
      </c>
      <c r="C2300" s="14">
        <v>0</v>
      </c>
      <c r="D2300" s="14">
        <v>0</v>
      </c>
      <c r="E2300" s="14">
        <f t="shared" si="36"/>
        <v>0</v>
      </c>
    </row>
    <row r="2301" spans="1:5" x14ac:dyDescent="0.3">
      <c r="A2301" s="7">
        <v>1000622</v>
      </c>
      <c r="B2301" s="15" t="s">
        <v>2297</v>
      </c>
      <c r="C2301" s="14">
        <v>0</v>
      </c>
      <c r="D2301" s="14">
        <v>0</v>
      </c>
      <c r="E2301" s="14">
        <f t="shared" si="36"/>
        <v>0</v>
      </c>
    </row>
    <row r="2302" spans="1:5" x14ac:dyDescent="0.3">
      <c r="A2302" s="7">
        <v>1000623</v>
      </c>
      <c r="B2302" s="15" t="s">
        <v>2298</v>
      </c>
      <c r="C2302" s="14">
        <v>0</v>
      </c>
      <c r="D2302" s="14">
        <v>0</v>
      </c>
      <c r="E2302" s="14">
        <f t="shared" si="36"/>
        <v>0</v>
      </c>
    </row>
    <row r="2303" spans="1:5" x14ac:dyDescent="0.3">
      <c r="A2303" s="7">
        <v>1000624</v>
      </c>
      <c r="B2303" s="15" t="s">
        <v>2299</v>
      </c>
      <c r="C2303" s="14">
        <v>0</v>
      </c>
      <c r="D2303" s="14">
        <v>0</v>
      </c>
      <c r="E2303" s="14">
        <f t="shared" si="36"/>
        <v>0</v>
      </c>
    </row>
    <row r="2304" spans="1:5" x14ac:dyDescent="0.3">
      <c r="A2304" s="7">
        <v>1000625</v>
      </c>
      <c r="B2304" s="15" t="s">
        <v>2300</v>
      </c>
      <c r="C2304" s="14">
        <v>0</v>
      </c>
      <c r="D2304" s="14">
        <v>0</v>
      </c>
      <c r="E2304" s="14">
        <f t="shared" si="36"/>
        <v>0</v>
      </c>
    </row>
    <row r="2305" spans="1:5" x14ac:dyDescent="0.3">
      <c r="A2305" s="7">
        <v>1000626</v>
      </c>
      <c r="B2305" s="15" t="s">
        <v>2301</v>
      </c>
      <c r="C2305" s="14">
        <v>0</v>
      </c>
      <c r="D2305" s="14">
        <v>0</v>
      </c>
      <c r="E2305" s="14">
        <f t="shared" si="36"/>
        <v>0</v>
      </c>
    </row>
    <row r="2306" spans="1:5" x14ac:dyDescent="0.3">
      <c r="A2306" s="7">
        <v>1000629</v>
      </c>
      <c r="B2306" s="15" t="s">
        <v>2302</v>
      </c>
      <c r="C2306" s="14">
        <v>0</v>
      </c>
      <c r="D2306" s="14">
        <v>0</v>
      </c>
      <c r="E2306" s="14">
        <f t="shared" si="36"/>
        <v>0</v>
      </c>
    </row>
    <row r="2307" spans="1:5" x14ac:dyDescent="0.3">
      <c r="A2307" s="7">
        <v>1000630</v>
      </c>
      <c r="B2307" s="15" t="s">
        <v>2303</v>
      </c>
      <c r="C2307" s="14">
        <v>0</v>
      </c>
      <c r="D2307" s="14">
        <v>0</v>
      </c>
      <c r="E2307" s="14">
        <f t="shared" si="36"/>
        <v>0</v>
      </c>
    </row>
    <row r="2308" spans="1:5" x14ac:dyDescent="0.3">
      <c r="A2308" s="7">
        <v>1000633</v>
      </c>
      <c r="B2308" s="15" t="s">
        <v>2304</v>
      </c>
      <c r="C2308" s="14">
        <v>0</v>
      </c>
      <c r="D2308" s="14">
        <v>0</v>
      </c>
      <c r="E2308" s="14">
        <f t="shared" si="36"/>
        <v>0</v>
      </c>
    </row>
    <row r="2309" spans="1:5" x14ac:dyDescent="0.3">
      <c r="A2309" s="7">
        <v>1000636</v>
      </c>
      <c r="B2309" s="15" t="s">
        <v>2305</v>
      </c>
      <c r="C2309" s="14">
        <v>0</v>
      </c>
      <c r="D2309" s="14">
        <v>0</v>
      </c>
      <c r="E2309" s="14">
        <f t="shared" si="36"/>
        <v>0</v>
      </c>
    </row>
    <row r="2310" spans="1:5" x14ac:dyDescent="0.3">
      <c r="A2310" s="7">
        <v>1000638</v>
      </c>
      <c r="B2310" s="15" t="s">
        <v>2306</v>
      </c>
      <c r="C2310" s="14">
        <v>0</v>
      </c>
      <c r="D2310" s="14">
        <v>0</v>
      </c>
      <c r="E2310" s="14">
        <f t="shared" si="36"/>
        <v>0</v>
      </c>
    </row>
    <row r="2311" spans="1:5" x14ac:dyDescent="0.3">
      <c r="A2311" s="7">
        <v>1000642</v>
      </c>
      <c r="B2311" s="15" t="s">
        <v>2307</v>
      </c>
      <c r="C2311" s="14">
        <v>0</v>
      </c>
      <c r="D2311" s="14">
        <v>0</v>
      </c>
      <c r="E2311" s="14">
        <f t="shared" si="36"/>
        <v>0</v>
      </c>
    </row>
    <row r="2312" spans="1:5" x14ac:dyDescent="0.3">
      <c r="A2312" s="7">
        <v>1000643</v>
      </c>
      <c r="B2312" s="15" t="s">
        <v>2308</v>
      </c>
      <c r="C2312" s="14">
        <v>0</v>
      </c>
      <c r="D2312" s="14">
        <v>0</v>
      </c>
      <c r="E2312" s="14">
        <f t="shared" si="36"/>
        <v>0</v>
      </c>
    </row>
    <row r="2313" spans="1:5" x14ac:dyDescent="0.3">
      <c r="A2313" s="7">
        <v>1000644</v>
      </c>
      <c r="B2313" s="15" t="s">
        <v>2309</v>
      </c>
      <c r="C2313" s="14">
        <v>0</v>
      </c>
      <c r="D2313" s="14">
        <v>0</v>
      </c>
      <c r="E2313" s="14">
        <f t="shared" si="36"/>
        <v>0</v>
      </c>
    </row>
    <row r="2314" spans="1:5" x14ac:dyDescent="0.3">
      <c r="A2314" s="7">
        <v>1000646</v>
      </c>
      <c r="B2314" s="15" t="s">
        <v>2310</v>
      </c>
      <c r="C2314" s="14">
        <v>0</v>
      </c>
      <c r="D2314" s="14">
        <v>0</v>
      </c>
      <c r="E2314" s="14">
        <f t="shared" si="36"/>
        <v>0</v>
      </c>
    </row>
    <row r="2315" spans="1:5" x14ac:dyDescent="0.3">
      <c r="A2315" s="7">
        <v>1000647</v>
      </c>
      <c r="B2315" s="15" t="s">
        <v>2311</v>
      </c>
      <c r="C2315" s="14">
        <v>0</v>
      </c>
      <c r="D2315" s="14">
        <v>0</v>
      </c>
      <c r="E2315" s="14">
        <f t="shared" si="36"/>
        <v>0</v>
      </c>
    </row>
    <row r="2316" spans="1:5" x14ac:dyDescent="0.3">
      <c r="A2316" s="7">
        <v>1000651</v>
      </c>
      <c r="B2316" s="15" t="s">
        <v>2312</v>
      </c>
      <c r="C2316" s="14">
        <v>0</v>
      </c>
      <c r="D2316" s="14">
        <v>0</v>
      </c>
      <c r="E2316" s="14">
        <f t="shared" si="36"/>
        <v>0</v>
      </c>
    </row>
    <row r="2317" spans="1:5" x14ac:dyDescent="0.3">
      <c r="A2317" s="7">
        <v>1000652</v>
      </c>
      <c r="B2317" s="15" t="s">
        <v>2313</v>
      </c>
      <c r="C2317" s="14">
        <v>0</v>
      </c>
      <c r="D2317" s="14">
        <v>0</v>
      </c>
      <c r="E2317" s="14">
        <f t="shared" si="36"/>
        <v>0</v>
      </c>
    </row>
    <row r="2318" spans="1:5" x14ac:dyDescent="0.3">
      <c r="A2318" s="7">
        <v>1000657</v>
      </c>
      <c r="B2318" s="15" t="s">
        <v>2314</v>
      </c>
      <c r="C2318" s="14">
        <v>0</v>
      </c>
      <c r="D2318" s="14">
        <v>0</v>
      </c>
      <c r="E2318" s="14">
        <f t="shared" si="36"/>
        <v>0</v>
      </c>
    </row>
    <row r="2319" spans="1:5" x14ac:dyDescent="0.3">
      <c r="A2319" s="7">
        <v>1000659</v>
      </c>
      <c r="B2319" s="15" t="s">
        <v>2315</v>
      </c>
      <c r="C2319" s="14">
        <v>0</v>
      </c>
      <c r="D2319" s="14">
        <v>0</v>
      </c>
      <c r="E2319" s="14">
        <f t="shared" si="36"/>
        <v>0</v>
      </c>
    </row>
    <row r="2320" spans="1:5" x14ac:dyDescent="0.3">
      <c r="A2320" s="7">
        <v>1000661</v>
      </c>
      <c r="B2320" s="15" t="s">
        <v>2316</v>
      </c>
      <c r="C2320" s="14">
        <v>0</v>
      </c>
      <c r="D2320" s="14">
        <v>0</v>
      </c>
      <c r="E2320" s="14">
        <f t="shared" si="36"/>
        <v>0</v>
      </c>
    </row>
    <row r="2321" spans="1:5" x14ac:dyDescent="0.3">
      <c r="A2321" s="7">
        <v>1000665</v>
      </c>
      <c r="B2321" s="15" t="s">
        <v>2317</v>
      </c>
      <c r="C2321" s="14">
        <v>0</v>
      </c>
      <c r="D2321" s="14">
        <v>0</v>
      </c>
      <c r="E2321" s="14">
        <f t="shared" si="36"/>
        <v>0</v>
      </c>
    </row>
    <row r="2322" spans="1:5" x14ac:dyDescent="0.3">
      <c r="A2322" s="7">
        <v>1000666</v>
      </c>
      <c r="B2322" s="15" t="s">
        <v>2318</v>
      </c>
      <c r="C2322" s="14">
        <v>0</v>
      </c>
      <c r="D2322" s="14">
        <v>0</v>
      </c>
      <c r="E2322" s="14">
        <f t="shared" si="36"/>
        <v>0</v>
      </c>
    </row>
    <row r="2323" spans="1:5" x14ac:dyDescent="0.3">
      <c r="A2323" s="7">
        <v>1000668</v>
      </c>
      <c r="B2323" s="15" t="s">
        <v>2319</v>
      </c>
      <c r="C2323" s="14">
        <v>0</v>
      </c>
      <c r="D2323" s="14">
        <v>0</v>
      </c>
      <c r="E2323" s="14">
        <f t="shared" si="36"/>
        <v>0</v>
      </c>
    </row>
    <row r="2324" spans="1:5" x14ac:dyDescent="0.3">
      <c r="A2324" s="7">
        <v>1000669</v>
      </c>
      <c r="B2324" s="15" t="s">
        <v>2320</v>
      </c>
      <c r="C2324" s="14">
        <v>0</v>
      </c>
      <c r="D2324" s="14">
        <v>30.68</v>
      </c>
      <c r="E2324" s="14">
        <f t="shared" si="36"/>
        <v>30.68</v>
      </c>
    </row>
    <row r="2325" spans="1:5" x14ac:dyDescent="0.3">
      <c r="A2325" s="7">
        <v>1000691</v>
      </c>
      <c r="B2325" s="15" t="s">
        <v>2321</v>
      </c>
      <c r="C2325" s="14">
        <v>0</v>
      </c>
      <c r="D2325" s="14">
        <v>0</v>
      </c>
      <c r="E2325" s="14">
        <f t="shared" si="36"/>
        <v>0</v>
      </c>
    </row>
    <row r="2326" spans="1:5" x14ac:dyDescent="0.3">
      <c r="A2326" s="7">
        <v>1000692</v>
      </c>
      <c r="B2326" s="15" t="s">
        <v>2322</v>
      </c>
      <c r="C2326" s="14">
        <v>0</v>
      </c>
      <c r="D2326" s="14">
        <v>0</v>
      </c>
      <c r="E2326" s="14">
        <f t="shared" si="36"/>
        <v>0</v>
      </c>
    </row>
    <row r="2327" spans="1:5" x14ac:dyDescent="0.3">
      <c r="A2327" s="7">
        <v>1000693</v>
      </c>
      <c r="B2327" s="15" t="s">
        <v>2323</v>
      </c>
      <c r="C2327" s="14">
        <v>0</v>
      </c>
      <c r="D2327" s="14">
        <v>0</v>
      </c>
      <c r="E2327" s="14">
        <f t="shared" si="36"/>
        <v>0</v>
      </c>
    </row>
    <row r="2328" spans="1:5" x14ac:dyDescent="0.3">
      <c r="A2328" s="7">
        <v>1000694</v>
      </c>
      <c r="B2328" s="15" t="s">
        <v>2324</v>
      </c>
      <c r="C2328" s="14">
        <v>0</v>
      </c>
      <c r="D2328" s="14">
        <v>0</v>
      </c>
      <c r="E2328" s="14">
        <f t="shared" si="36"/>
        <v>0</v>
      </c>
    </row>
    <row r="2329" spans="1:5" x14ac:dyDescent="0.3">
      <c r="A2329" s="7">
        <v>1000695</v>
      </c>
      <c r="B2329" s="15" t="s">
        <v>2325</v>
      </c>
      <c r="C2329" s="14">
        <v>0</v>
      </c>
      <c r="D2329" s="14">
        <v>0</v>
      </c>
      <c r="E2329" s="14">
        <f t="shared" si="36"/>
        <v>0</v>
      </c>
    </row>
    <row r="2330" spans="1:5" x14ac:dyDescent="0.3">
      <c r="A2330" s="7">
        <v>1000696</v>
      </c>
      <c r="B2330" s="15" t="s">
        <v>2326</v>
      </c>
      <c r="C2330" s="14">
        <v>0</v>
      </c>
      <c r="D2330" s="14">
        <v>0</v>
      </c>
      <c r="E2330" s="14">
        <f t="shared" si="36"/>
        <v>0</v>
      </c>
    </row>
    <row r="2331" spans="1:5" x14ac:dyDescent="0.3">
      <c r="A2331" s="7">
        <v>1000697</v>
      </c>
      <c r="B2331" s="15" t="s">
        <v>2327</v>
      </c>
      <c r="C2331" s="14">
        <v>0</v>
      </c>
      <c r="D2331" s="14">
        <v>0</v>
      </c>
      <c r="E2331" s="14">
        <f t="shared" si="36"/>
        <v>0</v>
      </c>
    </row>
    <row r="2332" spans="1:5" x14ac:dyDescent="0.3">
      <c r="A2332" s="7">
        <v>1000698</v>
      </c>
      <c r="B2332" s="15" t="s">
        <v>2328</v>
      </c>
      <c r="C2332" s="14">
        <v>0</v>
      </c>
      <c r="D2332" s="14">
        <v>0</v>
      </c>
      <c r="E2332" s="14">
        <f t="shared" si="36"/>
        <v>0</v>
      </c>
    </row>
    <row r="2333" spans="1:5" x14ac:dyDescent="0.3">
      <c r="A2333" s="7">
        <v>1000707</v>
      </c>
      <c r="B2333" s="15" t="s">
        <v>2329</v>
      </c>
      <c r="C2333" s="14">
        <v>0</v>
      </c>
      <c r="D2333" s="14">
        <v>0</v>
      </c>
      <c r="E2333" s="14">
        <f t="shared" si="36"/>
        <v>0</v>
      </c>
    </row>
    <row r="2334" spans="1:5" x14ac:dyDescent="0.3">
      <c r="A2334" s="7">
        <v>1000708</v>
      </c>
      <c r="B2334" s="15" t="s">
        <v>2330</v>
      </c>
      <c r="C2334" s="14">
        <v>0</v>
      </c>
      <c r="D2334" s="14">
        <v>0</v>
      </c>
      <c r="E2334" s="14">
        <f t="shared" si="36"/>
        <v>0</v>
      </c>
    </row>
    <row r="2335" spans="1:5" x14ac:dyDescent="0.3">
      <c r="A2335" s="7">
        <v>1000710</v>
      </c>
      <c r="B2335" s="15" t="s">
        <v>2331</v>
      </c>
      <c r="C2335" s="14">
        <v>0</v>
      </c>
      <c r="D2335" s="14">
        <v>0</v>
      </c>
      <c r="E2335" s="14">
        <f t="shared" si="36"/>
        <v>0</v>
      </c>
    </row>
    <row r="2336" spans="1:5" x14ac:dyDescent="0.3">
      <c r="A2336" s="7">
        <v>1000711</v>
      </c>
      <c r="B2336" s="15" t="s">
        <v>2332</v>
      </c>
      <c r="C2336" s="14">
        <v>0</v>
      </c>
      <c r="D2336" s="14">
        <v>0</v>
      </c>
      <c r="E2336" s="14">
        <f t="shared" si="36"/>
        <v>0</v>
      </c>
    </row>
    <row r="2337" spans="1:5" x14ac:dyDescent="0.3">
      <c r="A2337" s="7">
        <v>1000713</v>
      </c>
      <c r="B2337" s="15" t="s">
        <v>2333</v>
      </c>
      <c r="C2337" s="14">
        <v>0</v>
      </c>
      <c r="D2337" s="14">
        <v>0</v>
      </c>
      <c r="E2337" s="14">
        <f t="shared" ref="E2337:E2400" si="37">+MAX(C2337, D2337)</f>
        <v>0</v>
      </c>
    </row>
    <row r="2338" spans="1:5" x14ac:dyDescent="0.3">
      <c r="A2338" s="7">
        <v>1000714</v>
      </c>
      <c r="B2338" s="15" t="s">
        <v>2334</v>
      </c>
      <c r="C2338" s="14">
        <v>0</v>
      </c>
      <c r="D2338" s="14">
        <v>0</v>
      </c>
      <c r="E2338" s="14">
        <f t="shared" si="37"/>
        <v>0</v>
      </c>
    </row>
    <row r="2339" spans="1:5" x14ac:dyDescent="0.3">
      <c r="A2339" s="7">
        <v>1000716</v>
      </c>
      <c r="B2339" s="15" t="s">
        <v>2335</v>
      </c>
      <c r="C2339" s="14">
        <v>0</v>
      </c>
      <c r="D2339" s="14">
        <v>0</v>
      </c>
      <c r="E2339" s="14">
        <f t="shared" si="37"/>
        <v>0</v>
      </c>
    </row>
    <row r="2340" spans="1:5" x14ac:dyDescent="0.3">
      <c r="A2340" s="7">
        <v>1000717</v>
      </c>
      <c r="B2340" s="15" t="s">
        <v>2336</v>
      </c>
      <c r="C2340" s="14">
        <v>0</v>
      </c>
      <c r="D2340" s="14">
        <v>0</v>
      </c>
      <c r="E2340" s="14">
        <f t="shared" si="37"/>
        <v>0</v>
      </c>
    </row>
    <row r="2341" spans="1:5" x14ac:dyDescent="0.3">
      <c r="A2341" s="7">
        <v>1000718</v>
      </c>
      <c r="B2341" s="15" t="s">
        <v>2337</v>
      </c>
      <c r="C2341" s="14">
        <v>0</v>
      </c>
      <c r="D2341" s="14">
        <v>0</v>
      </c>
      <c r="E2341" s="14">
        <f t="shared" si="37"/>
        <v>0</v>
      </c>
    </row>
    <row r="2342" spans="1:5" x14ac:dyDescent="0.3">
      <c r="A2342" s="7">
        <v>1000719</v>
      </c>
      <c r="B2342" s="15" t="s">
        <v>2338</v>
      </c>
      <c r="C2342" s="14">
        <v>0</v>
      </c>
      <c r="D2342" s="14">
        <v>0</v>
      </c>
      <c r="E2342" s="14">
        <f t="shared" si="37"/>
        <v>0</v>
      </c>
    </row>
    <row r="2343" spans="1:5" x14ac:dyDescent="0.3">
      <c r="A2343" s="7">
        <v>1000722</v>
      </c>
      <c r="B2343" s="15" t="s">
        <v>2339</v>
      </c>
      <c r="C2343" s="14">
        <v>0</v>
      </c>
      <c r="D2343" s="14">
        <v>0</v>
      </c>
      <c r="E2343" s="14">
        <f t="shared" si="37"/>
        <v>0</v>
      </c>
    </row>
    <row r="2344" spans="1:5" x14ac:dyDescent="0.3">
      <c r="A2344" s="7">
        <v>1000727</v>
      </c>
      <c r="B2344" s="15" t="s">
        <v>2340</v>
      </c>
      <c r="C2344" s="14">
        <v>0</v>
      </c>
      <c r="D2344" s="14">
        <v>0</v>
      </c>
      <c r="E2344" s="14">
        <f t="shared" si="37"/>
        <v>0</v>
      </c>
    </row>
    <row r="2345" spans="1:5" x14ac:dyDescent="0.3">
      <c r="A2345" s="7">
        <v>1000728</v>
      </c>
      <c r="B2345" s="15" t="s">
        <v>2341</v>
      </c>
      <c r="C2345" s="14">
        <v>0</v>
      </c>
      <c r="D2345" s="14">
        <v>0</v>
      </c>
      <c r="E2345" s="14">
        <f t="shared" si="37"/>
        <v>0</v>
      </c>
    </row>
    <row r="2346" spans="1:5" x14ac:dyDescent="0.3">
      <c r="A2346" s="7">
        <v>1000730</v>
      </c>
      <c r="B2346" s="15" t="s">
        <v>2342</v>
      </c>
      <c r="C2346" s="14">
        <v>0</v>
      </c>
      <c r="D2346" s="14">
        <v>0</v>
      </c>
      <c r="E2346" s="14">
        <f t="shared" si="37"/>
        <v>0</v>
      </c>
    </row>
    <row r="2347" spans="1:5" x14ac:dyDescent="0.3">
      <c r="A2347" s="7">
        <v>1000731</v>
      </c>
      <c r="B2347" s="15" t="s">
        <v>2343</v>
      </c>
      <c r="C2347" s="14">
        <v>0</v>
      </c>
      <c r="D2347" s="14">
        <v>0</v>
      </c>
      <c r="E2347" s="14">
        <f t="shared" si="37"/>
        <v>0</v>
      </c>
    </row>
    <row r="2348" spans="1:5" x14ac:dyDescent="0.3">
      <c r="A2348" s="7">
        <v>1000732</v>
      </c>
      <c r="B2348" s="15" t="s">
        <v>2344</v>
      </c>
      <c r="C2348" s="14">
        <v>0</v>
      </c>
      <c r="D2348" s="14">
        <v>0</v>
      </c>
      <c r="E2348" s="14">
        <f t="shared" si="37"/>
        <v>0</v>
      </c>
    </row>
    <row r="2349" spans="1:5" x14ac:dyDescent="0.3">
      <c r="A2349" s="7">
        <v>1000733</v>
      </c>
      <c r="B2349" s="15" t="s">
        <v>2345</v>
      </c>
      <c r="C2349" s="14">
        <v>0</v>
      </c>
      <c r="D2349" s="14">
        <v>0</v>
      </c>
      <c r="E2349" s="14">
        <f t="shared" si="37"/>
        <v>0</v>
      </c>
    </row>
    <row r="2350" spans="1:5" x14ac:dyDescent="0.3">
      <c r="A2350" s="7">
        <v>1000736</v>
      </c>
      <c r="B2350" s="15" t="s">
        <v>2346</v>
      </c>
      <c r="C2350" s="14">
        <v>0</v>
      </c>
      <c r="D2350" s="14">
        <v>0</v>
      </c>
      <c r="E2350" s="14">
        <f t="shared" si="37"/>
        <v>0</v>
      </c>
    </row>
    <row r="2351" spans="1:5" x14ac:dyDescent="0.3">
      <c r="A2351" s="7">
        <v>1000747</v>
      </c>
      <c r="B2351" s="15" t="s">
        <v>2347</v>
      </c>
      <c r="C2351" s="14">
        <v>0</v>
      </c>
      <c r="D2351" s="14">
        <v>0</v>
      </c>
      <c r="E2351" s="14">
        <f t="shared" si="37"/>
        <v>0</v>
      </c>
    </row>
    <row r="2352" spans="1:5" x14ac:dyDescent="0.3">
      <c r="A2352" s="7">
        <v>1000748</v>
      </c>
      <c r="B2352" s="15" t="s">
        <v>2348</v>
      </c>
      <c r="C2352" s="14">
        <v>0</v>
      </c>
      <c r="D2352" s="14">
        <v>0</v>
      </c>
      <c r="E2352" s="14">
        <f t="shared" si="37"/>
        <v>0</v>
      </c>
    </row>
    <row r="2353" spans="1:5" x14ac:dyDescent="0.3">
      <c r="A2353" s="7">
        <v>1000749</v>
      </c>
      <c r="B2353" s="15" t="s">
        <v>2349</v>
      </c>
      <c r="C2353" s="14">
        <v>0</v>
      </c>
      <c r="D2353" s="14">
        <v>0</v>
      </c>
      <c r="E2353" s="14">
        <f t="shared" si="37"/>
        <v>0</v>
      </c>
    </row>
    <row r="2354" spans="1:5" x14ac:dyDescent="0.3">
      <c r="A2354" s="7">
        <v>1000753</v>
      </c>
      <c r="B2354" s="15" t="s">
        <v>2350</v>
      </c>
      <c r="C2354" s="14">
        <v>0</v>
      </c>
      <c r="D2354" s="14">
        <v>0</v>
      </c>
      <c r="E2354" s="14">
        <f t="shared" si="37"/>
        <v>0</v>
      </c>
    </row>
    <row r="2355" spans="1:5" x14ac:dyDescent="0.3">
      <c r="A2355" s="7">
        <v>1000754</v>
      </c>
      <c r="B2355" s="15" t="s">
        <v>2351</v>
      </c>
      <c r="C2355" s="14">
        <v>0</v>
      </c>
      <c r="D2355" s="14">
        <v>0</v>
      </c>
      <c r="E2355" s="14">
        <f t="shared" si="37"/>
        <v>0</v>
      </c>
    </row>
    <row r="2356" spans="1:5" x14ac:dyDescent="0.3">
      <c r="A2356" s="7">
        <v>1000757</v>
      </c>
      <c r="B2356" s="15" t="s">
        <v>2352</v>
      </c>
      <c r="C2356" s="14">
        <v>0</v>
      </c>
      <c r="D2356" s="14">
        <v>0</v>
      </c>
      <c r="E2356" s="14">
        <f t="shared" si="37"/>
        <v>0</v>
      </c>
    </row>
    <row r="2357" spans="1:5" x14ac:dyDescent="0.3">
      <c r="A2357" s="7">
        <v>1000759</v>
      </c>
      <c r="B2357" s="15" t="s">
        <v>2353</v>
      </c>
      <c r="C2357" s="14">
        <v>0</v>
      </c>
      <c r="D2357" s="14">
        <v>0</v>
      </c>
      <c r="E2357" s="14">
        <f t="shared" si="37"/>
        <v>0</v>
      </c>
    </row>
    <row r="2358" spans="1:5" x14ac:dyDescent="0.3">
      <c r="A2358" s="7">
        <v>1000760</v>
      </c>
      <c r="B2358" s="15" t="s">
        <v>2354</v>
      </c>
      <c r="C2358" s="14">
        <v>0</v>
      </c>
      <c r="D2358" s="14">
        <v>0</v>
      </c>
      <c r="E2358" s="14">
        <f t="shared" si="37"/>
        <v>0</v>
      </c>
    </row>
    <row r="2359" spans="1:5" x14ac:dyDescent="0.3">
      <c r="A2359" s="7">
        <v>1000761</v>
      </c>
      <c r="B2359" s="15" t="s">
        <v>2355</v>
      </c>
      <c r="C2359" s="14">
        <v>0</v>
      </c>
      <c r="D2359" s="14">
        <v>0</v>
      </c>
      <c r="E2359" s="14">
        <f t="shared" si="37"/>
        <v>0</v>
      </c>
    </row>
    <row r="2360" spans="1:5" x14ac:dyDescent="0.3">
      <c r="A2360" s="7">
        <v>1000762</v>
      </c>
      <c r="B2360" s="15" t="s">
        <v>2356</v>
      </c>
      <c r="C2360" s="14">
        <v>0</v>
      </c>
      <c r="D2360" s="14">
        <v>0</v>
      </c>
      <c r="E2360" s="14">
        <f t="shared" si="37"/>
        <v>0</v>
      </c>
    </row>
    <row r="2361" spans="1:5" x14ac:dyDescent="0.3">
      <c r="A2361" s="7">
        <v>1000763</v>
      </c>
      <c r="B2361" s="15" t="s">
        <v>2357</v>
      </c>
      <c r="C2361" s="14">
        <v>0</v>
      </c>
      <c r="D2361" s="14">
        <v>0</v>
      </c>
      <c r="E2361" s="14">
        <f t="shared" si="37"/>
        <v>0</v>
      </c>
    </row>
    <row r="2362" spans="1:5" x14ac:dyDescent="0.3">
      <c r="A2362" s="7">
        <v>1000766</v>
      </c>
      <c r="B2362" s="15" t="s">
        <v>2358</v>
      </c>
      <c r="C2362" s="14">
        <v>0</v>
      </c>
      <c r="D2362" s="14">
        <v>0</v>
      </c>
      <c r="E2362" s="14">
        <f t="shared" si="37"/>
        <v>0</v>
      </c>
    </row>
    <row r="2363" spans="1:5" x14ac:dyDescent="0.3">
      <c r="A2363" s="7">
        <v>1000769</v>
      </c>
      <c r="B2363" s="15" t="s">
        <v>2359</v>
      </c>
      <c r="C2363" s="14">
        <v>0</v>
      </c>
      <c r="D2363" s="14">
        <v>0</v>
      </c>
      <c r="E2363" s="14">
        <f t="shared" si="37"/>
        <v>0</v>
      </c>
    </row>
    <row r="2364" spans="1:5" x14ac:dyDescent="0.3">
      <c r="A2364" s="7">
        <v>1000770</v>
      </c>
      <c r="B2364" s="15" t="s">
        <v>2360</v>
      </c>
      <c r="C2364" s="14">
        <v>0</v>
      </c>
      <c r="D2364" s="14">
        <v>0</v>
      </c>
      <c r="E2364" s="14">
        <f t="shared" si="37"/>
        <v>0</v>
      </c>
    </row>
    <row r="2365" spans="1:5" x14ac:dyDescent="0.3">
      <c r="A2365" s="7">
        <v>1000771</v>
      </c>
      <c r="B2365" s="15" t="s">
        <v>2361</v>
      </c>
      <c r="C2365" s="14">
        <v>0</v>
      </c>
      <c r="D2365" s="14">
        <v>0</v>
      </c>
      <c r="E2365" s="14">
        <f t="shared" si="37"/>
        <v>0</v>
      </c>
    </row>
    <row r="2366" spans="1:5" x14ac:dyDescent="0.3">
      <c r="A2366" s="7">
        <v>1000772</v>
      </c>
      <c r="B2366" s="15" t="s">
        <v>2362</v>
      </c>
      <c r="C2366" s="14">
        <v>0</v>
      </c>
      <c r="D2366" s="14">
        <v>0</v>
      </c>
      <c r="E2366" s="14">
        <f t="shared" si="37"/>
        <v>0</v>
      </c>
    </row>
    <row r="2367" spans="1:5" x14ac:dyDescent="0.3">
      <c r="A2367" s="7">
        <v>1000773</v>
      </c>
      <c r="B2367" s="15" t="s">
        <v>2363</v>
      </c>
      <c r="C2367" s="14">
        <v>0</v>
      </c>
      <c r="D2367" s="14">
        <v>0</v>
      </c>
      <c r="E2367" s="14">
        <f t="shared" si="37"/>
        <v>0</v>
      </c>
    </row>
    <row r="2368" spans="1:5" x14ac:dyDescent="0.3">
      <c r="A2368" s="7">
        <v>1000776</v>
      </c>
      <c r="B2368" s="15" t="s">
        <v>2364</v>
      </c>
      <c r="C2368" s="14">
        <v>0</v>
      </c>
      <c r="D2368" s="14">
        <v>0</v>
      </c>
      <c r="E2368" s="14">
        <f t="shared" si="37"/>
        <v>0</v>
      </c>
    </row>
    <row r="2369" spans="1:5" x14ac:dyDescent="0.3">
      <c r="A2369" s="7">
        <v>1000784</v>
      </c>
      <c r="B2369" s="15" t="s">
        <v>2365</v>
      </c>
      <c r="C2369" s="14">
        <v>0</v>
      </c>
      <c r="D2369" s="14">
        <v>0</v>
      </c>
      <c r="E2369" s="14">
        <f t="shared" si="37"/>
        <v>0</v>
      </c>
    </row>
    <row r="2370" spans="1:5" x14ac:dyDescent="0.3">
      <c r="A2370" s="7">
        <v>1000787</v>
      </c>
      <c r="B2370" s="15" t="s">
        <v>2366</v>
      </c>
      <c r="C2370" s="14">
        <v>0</v>
      </c>
      <c r="D2370" s="14">
        <v>0</v>
      </c>
      <c r="E2370" s="14">
        <f t="shared" si="37"/>
        <v>0</v>
      </c>
    </row>
    <row r="2371" spans="1:5" x14ac:dyDescent="0.3">
      <c r="A2371" s="7">
        <v>1000789</v>
      </c>
      <c r="B2371" s="15" t="s">
        <v>2367</v>
      </c>
      <c r="C2371" s="14">
        <v>0</v>
      </c>
      <c r="D2371" s="14">
        <v>0</v>
      </c>
      <c r="E2371" s="14">
        <f t="shared" si="37"/>
        <v>0</v>
      </c>
    </row>
    <row r="2372" spans="1:5" x14ac:dyDescent="0.3">
      <c r="A2372" s="7">
        <v>1000790</v>
      </c>
      <c r="B2372" s="15" t="s">
        <v>2368</v>
      </c>
      <c r="C2372" s="14">
        <v>0</v>
      </c>
      <c r="D2372" s="14">
        <v>0</v>
      </c>
      <c r="E2372" s="14">
        <f t="shared" si="37"/>
        <v>0</v>
      </c>
    </row>
    <row r="2373" spans="1:5" x14ac:dyDescent="0.3">
      <c r="A2373" s="7">
        <v>1000791</v>
      </c>
      <c r="B2373" s="15" t="s">
        <v>2369</v>
      </c>
      <c r="C2373" s="14">
        <v>0</v>
      </c>
      <c r="D2373" s="14">
        <v>0</v>
      </c>
      <c r="E2373" s="14">
        <f t="shared" si="37"/>
        <v>0</v>
      </c>
    </row>
    <row r="2374" spans="1:5" x14ac:dyDescent="0.3">
      <c r="A2374" s="7">
        <v>1000792</v>
      </c>
      <c r="B2374" s="15" t="s">
        <v>2370</v>
      </c>
      <c r="C2374" s="14">
        <v>0</v>
      </c>
      <c r="D2374" s="14">
        <v>0</v>
      </c>
      <c r="E2374" s="14">
        <f t="shared" si="37"/>
        <v>0</v>
      </c>
    </row>
    <row r="2375" spans="1:5" x14ac:dyDescent="0.3">
      <c r="A2375" s="7">
        <v>1000793</v>
      </c>
      <c r="B2375" s="15" t="s">
        <v>2371</v>
      </c>
      <c r="C2375" s="14">
        <v>0</v>
      </c>
      <c r="D2375" s="14">
        <v>0</v>
      </c>
      <c r="E2375" s="14">
        <f t="shared" si="37"/>
        <v>0</v>
      </c>
    </row>
    <row r="2376" spans="1:5" x14ac:dyDescent="0.3">
      <c r="A2376" s="7">
        <v>1000797</v>
      </c>
      <c r="B2376" s="15" t="s">
        <v>2372</v>
      </c>
      <c r="C2376" s="14">
        <v>0</v>
      </c>
      <c r="D2376" s="14">
        <v>0</v>
      </c>
      <c r="E2376" s="14">
        <f t="shared" si="37"/>
        <v>0</v>
      </c>
    </row>
    <row r="2377" spans="1:5" x14ac:dyDescent="0.3">
      <c r="A2377" s="7">
        <v>1000798</v>
      </c>
      <c r="B2377" s="15" t="s">
        <v>2373</v>
      </c>
      <c r="C2377" s="14">
        <v>0</v>
      </c>
      <c r="D2377" s="14">
        <v>0</v>
      </c>
      <c r="E2377" s="14">
        <f t="shared" si="37"/>
        <v>0</v>
      </c>
    </row>
    <row r="2378" spans="1:5" x14ac:dyDescent="0.3">
      <c r="A2378" s="7">
        <v>1000801</v>
      </c>
      <c r="B2378" s="15" t="s">
        <v>2374</v>
      </c>
      <c r="C2378" s="14">
        <v>0</v>
      </c>
      <c r="D2378" s="14">
        <v>0</v>
      </c>
      <c r="E2378" s="14">
        <f t="shared" si="37"/>
        <v>0</v>
      </c>
    </row>
    <row r="2379" spans="1:5" x14ac:dyDescent="0.3">
      <c r="A2379" s="7">
        <v>1000803</v>
      </c>
      <c r="B2379" s="15" t="s">
        <v>2375</v>
      </c>
      <c r="C2379" s="14">
        <v>0</v>
      </c>
      <c r="D2379" s="14">
        <v>0</v>
      </c>
      <c r="E2379" s="14">
        <f t="shared" si="37"/>
        <v>0</v>
      </c>
    </row>
    <row r="2380" spans="1:5" x14ac:dyDescent="0.3">
      <c r="A2380" s="7">
        <v>1000804</v>
      </c>
      <c r="B2380" s="15" t="s">
        <v>2376</v>
      </c>
      <c r="C2380" s="14">
        <v>0</v>
      </c>
      <c r="D2380" s="14">
        <v>0</v>
      </c>
      <c r="E2380" s="14">
        <f t="shared" si="37"/>
        <v>0</v>
      </c>
    </row>
    <row r="2381" spans="1:5" x14ac:dyDescent="0.3">
      <c r="A2381" s="7">
        <v>1000810</v>
      </c>
      <c r="B2381" s="15" t="s">
        <v>2377</v>
      </c>
      <c r="C2381" s="14">
        <v>0</v>
      </c>
      <c r="D2381" s="14">
        <v>0</v>
      </c>
      <c r="E2381" s="14">
        <f t="shared" si="37"/>
        <v>0</v>
      </c>
    </row>
    <row r="2382" spans="1:5" x14ac:dyDescent="0.3">
      <c r="A2382" s="7">
        <v>1000811</v>
      </c>
      <c r="B2382" s="15" t="s">
        <v>2378</v>
      </c>
      <c r="C2382" s="14">
        <v>0</v>
      </c>
      <c r="D2382" s="14">
        <v>0</v>
      </c>
      <c r="E2382" s="14">
        <f t="shared" si="37"/>
        <v>0</v>
      </c>
    </row>
    <row r="2383" spans="1:5" x14ac:dyDescent="0.3">
      <c r="A2383" s="7">
        <v>1000812</v>
      </c>
      <c r="B2383" s="15" t="s">
        <v>2379</v>
      </c>
      <c r="C2383" s="14">
        <v>0</v>
      </c>
      <c r="D2383" s="14">
        <v>0</v>
      </c>
      <c r="E2383" s="14">
        <f t="shared" si="37"/>
        <v>0</v>
      </c>
    </row>
    <row r="2384" spans="1:5" x14ac:dyDescent="0.3">
      <c r="A2384" s="7">
        <v>1000818</v>
      </c>
      <c r="B2384" s="15" t="s">
        <v>2380</v>
      </c>
      <c r="C2384" s="14">
        <v>0</v>
      </c>
      <c r="D2384" s="14">
        <v>0</v>
      </c>
      <c r="E2384" s="14">
        <f t="shared" si="37"/>
        <v>0</v>
      </c>
    </row>
    <row r="2385" spans="1:5" x14ac:dyDescent="0.3">
      <c r="A2385" s="7">
        <v>1000821</v>
      </c>
      <c r="B2385" s="15" t="s">
        <v>2381</v>
      </c>
      <c r="C2385" s="14">
        <v>0</v>
      </c>
      <c r="D2385" s="14">
        <v>0</v>
      </c>
      <c r="E2385" s="14">
        <f t="shared" si="37"/>
        <v>0</v>
      </c>
    </row>
    <row r="2386" spans="1:5" x14ac:dyDescent="0.3">
      <c r="A2386" s="7">
        <v>1000822</v>
      </c>
      <c r="B2386" s="15" t="s">
        <v>2382</v>
      </c>
      <c r="C2386" s="14">
        <v>0</v>
      </c>
      <c r="D2386" s="14">
        <v>0</v>
      </c>
      <c r="E2386" s="14">
        <f t="shared" si="37"/>
        <v>0</v>
      </c>
    </row>
    <row r="2387" spans="1:5" x14ac:dyDescent="0.3">
      <c r="A2387" s="7">
        <v>1000823</v>
      </c>
      <c r="B2387" s="15" t="s">
        <v>2383</v>
      </c>
      <c r="C2387" s="14">
        <v>0</v>
      </c>
      <c r="D2387" s="14">
        <v>0</v>
      </c>
      <c r="E2387" s="14">
        <f t="shared" si="37"/>
        <v>0</v>
      </c>
    </row>
    <row r="2388" spans="1:5" x14ac:dyDescent="0.3">
      <c r="A2388" s="7">
        <v>1000824</v>
      </c>
      <c r="B2388" s="15" t="s">
        <v>2384</v>
      </c>
      <c r="C2388" s="14">
        <v>0</v>
      </c>
      <c r="D2388" s="14">
        <v>0</v>
      </c>
      <c r="E2388" s="14">
        <f t="shared" si="37"/>
        <v>0</v>
      </c>
    </row>
    <row r="2389" spans="1:5" x14ac:dyDescent="0.3">
      <c r="A2389" s="7">
        <v>1000825</v>
      </c>
      <c r="B2389" s="15" t="s">
        <v>2385</v>
      </c>
      <c r="C2389" s="14">
        <v>0</v>
      </c>
      <c r="D2389" s="14">
        <v>0</v>
      </c>
      <c r="E2389" s="14">
        <f t="shared" si="37"/>
        <v>0</v>
      </c>
    </row>
    <row r="2390" spans="1:5" x14ac:dyDescent="0.3">
      <c r="A2390" s="7">
        <v>1000827</v>
      </c>
      <c r="B2390" s="15" t="s">
        <v>2386</v>
      </c>
      <c r="C2390" s="14">
        <v>0</v>
      </c>
      <c r="D2390" s="14">
        <v>0</v>
      </c>
      <c r="E2390" s="14">
        <f t="shared" si="37"/>
        <v>0</v>
      </c>
    </row>
    <row r="2391" spans="1:5" x14ac:dyDescent="0.3">
      <c r="A2391" s="7">
        <v>1000828</v>
      </c>
      <c r="B2391" s="15" t="s">
        <v>2387</v>
      </c>
      <c r="C2391" s="14">
        <v>0</v>
      </c>
      <c r="D2391" s="14">
        <v>0</v>
      </c>
      <c r="E2391" s="14">
        <f t="shared" si="37"/>
        <v>0</v>
      </c>
    </row>
    <row r="2392" spans="1:5" x14ac:dyDescent="0.3">
      <c r="A2392" s="7">
        <v>1000829</v>
      </c>
      <c r="B2392" s="15" t="s">
        <v>2388</v>
      </c>
      <c r="C2392" s="14">
        <v>0</v>
      </c>
      <c r="D2392" s="14">
        <v>0</v>
      </c>
      <c r="E2392" s="14">
        <f t="shared" si="37"/>
        <v>0</v>
      </c>
    </row>
    <row r="2393" spans="1:5" x14ac:dyDescent="0.3">
      <c r="A2393" s="7">
        <v>1000830</v>
      </c>
      <c r="B2393" s="15" t="s">
        <v>2389</v>
      </c>
      <c r="C2393" s="14">
        <v>0</v>
      </c>
      <c r="D2393" s="14">
        <v>0</v>
      </c>
      <c r="E2393" s="14">
        <f t="shared" si="37"/>
        <v>0</v>
      </c>
    </row>
    <row r="2394" spans="1:5" x14ac:dyDescent="0.3">
      <c r="A2394" s="7">
        <v>1000831</v>
      </c>
      <c r="B2394" s="15" t="s">
        <v>2390</v>
      </c>
      <c r="C2394" s="14">
        <v>0</v>
      </c>
      <c r="D2394" s="14">
        <v>0</v>
      </c>
      <c r="E2394" s="14">
        <f t="shared" si="37"/>
        <v>0</v>
      </c>
    </row>
    <row r="2395" spans="1:5" x14ac:dyDescent="0.3">
      <c r="A2395" s="7">
        <v>1000832</v>
      </c>
      <c r="B2395" s="15" t="s">
        <v>2391</v>
      </c>
      <c r="C2395" s="14">
        <v>0</v>
      </c>
      <c r="D2395" s="14">
        <v>0</v>
      </c>
      <c r="E2395" s="14">
        <f t="shared" si="37"/>
        <v>0</v>
      </c>
    </row>
    <row r="2396" spans="1:5" x14ac:dyDescent="0.3">
      <c r="A2396" s="7">
        <v>1000833</v>
      </c>
      <c r="B2396" s="15" t="s">
        <v>2392</v>
      </c>
      <c r="C2396" s="14">
        <v>0</v>
      </c>
      <c r="D2396" s="14">
        <v>0</v>
      </c>
      <c r="E2396" s="14">
        <f t="shared" si="37"/>
        <v>0</v>
      </c>
    </row>
    <row r="2397" spans="1:5" x14ac:dyDescent="0.3">
      <c r="A2397" s="7">
        <v>1000834</v>
      </c>
      <c r="B2397" s="15" t="s">
        <v>2393</v>
      </c>
      <c r="C2397" s="14">
        <v>0</v>
      </c>
      <c r="D2397" s="14">
        <v>0</v>
      </c>
      <c r="E2397" s="14">
        <f t="shared" si="37"/>
        <v>0</v>
      </c>
    </row>
    <row r="2398" spans="1:5" x14ac:dyDescent="0.3">
      <c r="A2398" s="7">
        <v>1000835</v>
      </c>
      <c r="B2398" s="15" t="s">
        <v>2394</v>
      </c>
      <c r="C2398" s="14">
        <v>0</v>
      </c>
      <c r="D2398" s="14">
        <v>0</v>
      </c>
      <c r="E2398" s="14">
        <f t="shared" si="37"/>
        <v>0</v>
      </c>
    </row>
    <row r="2399" spans="1:5" x14ac:dyDescent="0.3">
      <c r="A2399" s="7">
        <v>1000836</v>
      </c>
      <c r="B2399" s="15" t="s">
        <v>2395</v>
      </c>
      <c r="C2399" s="14">
        <v>0</v>
      </c>
      <c r="D2399" s="14">
        <v>0</v>
      </c>
      <c r="E2399" s="14">
        <f t="shared" si="37"/>
        <v>0</v>
      </c>
    </row>
    <row r="2400" spans="1:5" x14ac:dyDescent="0.3">
      <c r="A2400" s="7">
        <v>1000837</v>
      </c>
      <c r="B2400" s="15" t="s">
        <v>2396</v>
      </c>
      <c r="C2400" s="14">
        <v>0</v>
      </c>
      <c r="D2400" s="14">
        <v>0</v>
      </c>
      <c r="E2400" s="14">
        <f t="shared" si="37"/>
        <v>0</v>
      </c>
    </row>
    <row r="2401" spans="1:5" x14ac:dyDescent="0.3">
      <c r="A2401" s="7">
        <v>1000838</v>
      </c>
      <c r="B2401" s="15" t="s">
        <v>2397</v>
      </c>
      <c r="C2401" s="14">
        <v>0</v>
      </c>
      <c r="D2401" s="14">
        <v>0</v>
      </c>
      <c r="E2401" s="14">
        <f t="shared" ref="E2401:E2464" si="38">+MAX(C2401, D2401)</f>
        <v>0</v>
      </c>
    </row>
    <row r="2402" spans="1:5" x14ac:dyDescent="0.3">
      <c r="A2402" s="7">
        <v>1000839</v>
      </c>
      <c r="B2402" s="15" t="s">
        <v>2398</v>
      </c>
      <c r="C2402" s="14">
        <v>0</v>
      </c>
      <c r="D2402" s="14">
        <v>0</v>
      </c>
      <c r="E2402" s="14">
        <f t="shared" si="38"/>
        <v>0</v>
      </c>
    </row>
    <row r="2403" spans="1:5" x14ac:dyDescent="0.3">
      <c r="A2403" s="7">
        <v>1000840</v>
      </c>
      <c r="B2403" s="15" t="s">
        <v>2399</v>
      </c>
      <c r="C2403" s="14">
        <v>0</v>
      </c>
      <c r="D2403" s="14">
        <v>0</v>
      </c>
      <c r="E2403" s="14">
        <f t="shared" si="38"/>
        <v>0</v>
      </c>
    </row>
    <row r="2404" spans="1:5" x14ac:dyDescent="0.3">
      <c r="A2404" s="7">
        <v>1000841</v>
      </c>
      <c r="B2404" s="15" t="s">
        <v>2400</v>
      </c>
      <c r="C2404" s="14">
        <v>0</v>
      </c>
      <c r="D2404" s="14">
        <v>0</v>
      </c>
      <c r="E2404" s="14">
        <f t="shared" si="38"/>
        <v>0</v>
      </c>
    </row>
    <row r="2405" spans="1:5" x14ac:dyDescent="0.3">
      <c r="A2405" s="7">
        <v>1000842</v>
      </c>
      <c r="B2405" s="15" t="s">
        <v>2401</v>
      </c>
      <c r="C2405" s="14">
        <v>0</v>
      </c>
      <c r="D2405" s="14">
        <v>0</v>
      </c>
      <c r="E2405" s="14">
        <f t="shared" si="38"/>
        <v>0</v>
      </c>
    </row>
    <row r="2406" spans="1:5" x14ac:dyDescent="0.3">
      <c r="A2406" s="7">
        <v>1000844</v>
      </c>
      <c r="B2406" s="15" t="s">
        <v>2402</v>
      </c>
      <c r="C2406" s="14">
        <v>0</v>
      </c>
      <c r="D2406" s="14">
        <v>0</v>
      </c>
      <c r="E2406" s="14">
        <f t="shared" si="38"/>
        <v>0</v>
      </c>
    </row>
    <row r="2407" spans="1:5" x14ac:dyDescent="0.3">
      <c r="A2407" s="7">
        <v>1000845</v>
      </c>
      <c r="B2407" s="15" t="s">
        <v>2403</v>
      </c>
      <c r="C2407" s="14">
        <v>0</v>
      </c>
      <c r="D2407" s="14">
        <v>0</v>
      </c>
      <c r="E2407" s="14">
        <f t="shared" si="38"/>
        <v>0</v>
      </c>
    </row>
    <row r="2408" spans="1:5" x14ac:dyDescent="0.3">
      <c r="A2408" s="7">
        <v>1000847</v>
      </c>
      <c r="B2408" s="15" t="s">
        <v>2404</v>
      </c>
      <c r="C2408" s="14">
        <v>0</v>
      </c>
      <c r="D2408" s="14">
        <v>0</v>
      </c>
      <c r="E2408" s="14">
        <f t="shared" si="38"/>
        <v>0</v>
      </c>
    </row>
    <row r="2409" spans="1:5" x14ac:dyDescent="0.3">
      <c r="A2409" s="7">
        <v>1000849</v>
      </c>
      <c r="B2409" s="15" t="s">
        <v>2405</v>
      </c>
      <c r="C2409" s="14">
        <v>0</v>
      </c>
      <c r="D2409" s="14">
        <v>0</v>
      </c>
      <c r="E2409" s="14">
        <f t="shared" si="38"/>
        <v>0</v>
      </c>
    </row>
    <row r="2410" spans="1:5" x14ac:dyDescent="0.3">
      <c r="A2410" s="7">
        <v>1000850</v>
      </c>
      <c r="B2410" s="15" t="s">
        <v>2406</v>
      </c>
      <c r="C2410" s="14">
        <v>0</v>
      </c>
      <c r="D2410" s="14">
        <v>0</v>
      </c>
      <c r="E2410" s="14">
        <f t="shared" si="38"/>
        <v>0</v>
      </c>
    </row>
    <row r="2411" spans="1:5" x14ac:dyDescent="0.3">
      <c r="A2411" s="7">
        <v>1000851</v>
      </c>
      <c r="B2411" s="15" t="s">
        <v>2407</v>
      </c>
      <c r="C2411" s="14">
        <v>0</v>
      </c>
      <c r="D2411" s="14">
        <v>0</v>
      </c>
      <c r="E2411" s="14">
        <f t="shared" si="38"/>
        <v>0</v>
      </c>
    </row>
    <row r="2412" spans="1:5" x14ac:dyDescent="0.3">
      <c r="A2412" s="7">
        <v>1000852</v>
      </c>
      <c r="B2412" s="15" t="s">
        <v>2408</v>
      </c>
      <c r="C2412" s="14">
        <v>0</v>
      </c>
      <c r="D2412" s="14">
        <v>0</v>
      </c>
      <c r="E2412" s="14">
        <f t="shared" si="38"/>
        <v>0</v>
      </c>
    </row>
    <row r="2413" spans="1:5" x14ac:dyDescent="0.3">
      <c r="A2413" s="7">
        <v>1000853</v>
      </c>
      <c r="B2413" s="15" t="s">
        <v>2409</v>
      </c>
      <c r="C2413" s="14">
        <v>0</v>
      </c>
      <c r="D2413" s="14">
        <v>0</v>
      </c>
      <c r="E2413" s="14">
        <f t="shared" si="38"/>
        <v>0</v>
      </c>
    </row>
    <row r="2414" spans="1:5" x14ac:dyDescent="0.3">
      <c r="A2414" s="7">
        <v>1000854</v>
      </c>
      <c r="B2414" s="15" t="s">
        <v>2410</v>
      </c>
      <c r="C2414" s="14">
        <v>0</v>
      </c>
      <c r="D2414" s="14">
        <v>0</v>
      </c>
      <c r="E2414" s="14">
        <f t="shared" si="38"/>
        <v>0</v>
      </c>
    </row>
    <row r="2415" spans="1:5" x14ac:dyDescent="0.3">
      <c r="A2415" s="7">
        <v>1000855</v>
      </c>
      <c r="B2415" s="15" t="s">
        <v>2411</v>
      </c>
      <c r="C2415" s="14">
        <v>0</v>
      </c>
      <c r="D2415" s="14">
        <v>0</v>
      </c>
      <c r="E2415" s="14">
        <f t="shared" si="38"/>
        <v>0</v>
      </c>
    </row>
    <row r="2416" spans="1:5" x14ac:dyDescent="0.3">
      <c r="A2416" s="7">
        <v>1000856</v>
      </c>
      <c r="B2416" s="15" t="s">
        <v>2412</v>
      </c>
      <c r="C2416" s="14">
        <v>0</v>
      </c>
      <c r="D2416" s="14">
        <v>0</v>
      </c>
      <c r="E2416" s="14">
        <f t="shared" si="38"/>
        <v>0</v>
      </c>
    </row>
    <row r="2417" spans="1:5" x14ac:dyDescent="0.3">
      <c r="A2417" s="7">
        <v>1000857</v>
      </c>
      <c r="B2417" s="15" t="s">
        <v>2413</v>
      </c>
      <c r="C2417" s="14">
        <v>0</v>
      </c>
      <c r="D2417" s="14">
        <v>0</v>
      </c>
      <c r="E2417" s="14">
        <f t="shared" si="38"/>
        <v>0</v>
      </c>
    </row>
    <row r="2418" spans="1:5" x14ac:dyDescent="0.3">
      <c r="A2418" s="7">
        <v>1000858</v>
      </c>
      <c r="B2418" s="15" t="s">
        <v>2414</v>
      </c>
      <c r="C2418" s="14">
        <v>0</v>
      </c>
      <c r="D2418" s="14">
        <v>0</v>
      </c>
      <c r="E2418" s="14">
        <f t="shared" si="38"/>
        <v>0</v>
      </c>
    </row>
    <row r="2419" spans="1:5" x14ac:dyDescent="0.3">
      <c r="A2419" s="7">
        <v>1000861</v>
      </c>
      <c r="B2419" s="15" t="s">
        <v>2415</v>
      </c>
      <c r="C2419" s="14">
        <v>0</v>
      </c>
      <c r="D2419" s="14">
        <v>0</v>
      </c>
      <c r="E2419" s="14">
        <f t="shared" si="38"/>
        <v>0</v>
      </c>
    </row>
    <row r="2420" spans="1:5" x14ac:dyDescent="0.3">
      <c r="A2420" s="7">
        <v>1000862</v>
      </c>
      <c r="B2420" s="15" t="s">
        <v>2416</v>
      </c>
      <c r="C2420" s="14">
        <v>0</v>
      </c>
      <c r="D2420" s="14">
        <v>0</v>
      </c>
      <c r="E2420" s="14">
        <f t="shared" si="38"/>
        <v>0</v>
      </c>
    </row>
    <row r="2421" spans="1:5" x14ac:dyDescent="0.3">
      <c r="A2421" s="7">
        <v>1000864</v>
      </c>
      <c r="B2421" s="15" t="s">
        <v>2417</v>
      </c>
      <c r="C2421" s="14">
        <v>0</v>
      </c>
      <c r="D2421" s="14">
        <v>0</v>
      </c>
      <c r="E2421" s="14">
        <f t="shared" si="38"/>
        <v>0</v>
      </c>
    </row>
    <row r="2422" spans="1:5" x14ac:dyDescent="0.3">
      <c r="A2422" s="7">
        <v>1000865</v>
      </c>
      <c r="B2422" s="15" t="s">
        <v>2418</v>
      </c>
      <c r="C2422" s="14">
        <v>0</v>
      </c>
      <c r="D2422" s="14">
        <v>0</v>
      </c>
      <c r="E2422" s="14">
        <f t="shared" si="38"/>
        <v>0</v>
      </c>
    </row>
    <row r="2423" spans="1:5" x14ac:dyDescent="0.3">
      <c r="A2423" s="7">
        <v>1000871</v>
      </c>
      <c r="B2423" s="15" t="s">
        <v>2419</v>
      </c>
      <c r="C2423" s="14">
        <v>0</v>
      </c>
      <c r="D2423" s="14">
        <v>0</v>
      </c>
      <c r="E2423" s="14">
        <f t="shared" si="38"/>
        <v>0</v>
      </c>
    </row>
    <row r="2424" spans="1:5" x14ac:dyDescent="0.3">
      <c r="A2424" s="7">
        <v>1000873</v>
      </c>
      <c r="B2424" s="15" t="s">
        <v>2420</v>
      </c>
      <c r="C2424" s="14">
        <v>0</v>
      </c>
      <c r="D2424" s="14">
        <v>0</v>
      </c>
      <c r="E2424" s="14">
        <f t="shared" si="38"/>
        <v>0</v>
      </c>
    </row>
    <row r="2425" spans="1:5" x14ac:dyDescent="0.3">
      <c r="A2425" s="7">
        <v>1000886</v>
      </c>
      <c r="B2425" s="15" t="s">
        <v>2421</v>
      </c>
      <c r="C2425" s="14">
        <v>0</v>
      </c>
      <c r="D2425" s="14">
        <v>0</v>
      </c>
      <c r="E2425" s="14">
        <f t="shared" si="38"/>
        <v>0</v>
      </c>
    </row>
    <row r="2426" spans="1:5" x14ac:dyDescent="0.3">
      <c r="A2426" s="7">
        <v>1000891</v>
      </c>
      <c r="B2426" s="15" t="s">
        <v>2422</v>
      </c>
      <c r="C2426" s="14">
        <v>0</v>
      </c>
      <c r="D2426" s="14">
        <v>0</v>
      </c>
      <c r="E2426" s="14">
        <f t="shared" si="38"/>
        <v>0</v>
      </c>
    </row>
    <row r="2427" spans="1:5" x14ac:dyDescent="0.3">
      <c r="A2427" s="7">
        <v>1000892</v>
      </c>
      <c r="B2427" s="15" t="s">
        <v>2423</v>
      </c>
      <c r="C2427" s="14">
        <v>0</v>
      </c>
      <c r="D2427" s="14">
        <v>0</v>
      </c>
      <c r="E2427" s="14">
        <f t="shared" si="38"/>
        <v>0</v>
      </c>
    </row>
    <row r="2428" spans="1:5" x14ac:dyDescent="0.3">
      <c r="A2428" s="7">
        <v>1000893</v>
      </c>
      <c r="B2428" s="15" t="s">
        <v>2424</v>
      </c>
      <c r="C2428" s="14">
        <v>0</v>
      </c>
      <c r="D2428" s="14">
        <v>0</v>
      </c>
      <c r="E2428" s="14">
        <f t="shared" si="38"/>
        <v>0</v>
      </c>
    </row>
    <row r="2429" spans="1:5" x14ac:dyDescent="0.3">
      <c r="A2429" s="7">
        <v>1000894</v>
      </c>
      <c r="B2429" s="15" t="s">
        <v>2425</v>
      </c>
      <c r="C2429" s="14">
        <v>0</v>
      </c>
      <c r="D2429" s="14">
        <v>0</v>
      </c>
      <c r="E2429" s="14">
        <f t="shared" si="38"/>
        <v>0</v>
      </c>
    </row>
    <row r="2430" spans="1:5" x14ac:dyDescent="0.3">
      <c r="A2430" s="7">
        <v>1000895</v>
      </c>
      <c r="B2430" s="15" t="s">
        <v>2426</v>
      </c>
      <c r="C2430" s="14">
        <v>0</v>
      </c>
      <c r="D2430" s="14">
        <v>0</v>
      </c>
      <c r="E2430" s="14">
        <f t="shared" si="38"/>
        <v>0</v>
      </c>
    </row>
    <row r="2431" spans="1:5" x14ac:dyDescent="0.3">
      <c r="A2431" s="7">
        <v>1000899</v>
      </c>
      <c r="B2431" s="15" t="s">
        <v>2427</v>
      </c>
      <c r="C2431" s="14">
        <v>0</v>
      </c>
      <c r="D2431" s="14">
        <v>0</v>
      </c>
      <c r="E2431" s="14">
        <f t="shared" si="38"/>
        <v>0</v>
      </c>
    </row>
    <row r="2432" spans="1:5" x14ac:dyDescent="0.3">
      <c r="A2432" s="7">
        <v>1000901</v>
      </c>
      <c r="B2432" s="15" t="s">
        <v>2428</v>
      </c>
      <c r="C2432" s="14">
        <v>0</v>
      </c>
      <c r="D2432" s="14">
        <v>0</v>
      </c>
      <c r="E2432" s="14">
        <f t="shared" si="38"/>
        <v>0</v>
      </c>
    </row>
    <row r="2433" spans="1:5" x14ac:dyDescent="0.3">
      <c r="A2433" s="7">
        <v>1000902</v>
      </c>
      <c r="B2433" s="15" t="s">
        <v>2429</v>
      </c>
      <c r="C2433" s="14">
        <v>0</v>
      </c>
      <c r="D2433" s="14">
        <v>0</v>
      </c>
      <c r="E2433" s="14">
        <f t="shared" si="38"/>
        <v>0</v>
      </c>
    </row>
    <row r="2434" spans="1:5" x14ac:dyDescent="0.3">
      <c r="A2434" s="7">
        <v>1000906</v>
      </c>
      <c r="B2434" s="15" t="s">
        <v>2430</v>
      </c>
      <c r="C2434" s="14">
        <v>0</v>
      </c>
      <c r="D2434" s="14">
        <v>0</v>
      </c>
      <c r="E2434" s="14">
        <f t="shared" si="38"/>
        <v>0</v>
      </c>
    </row>
    <row r="2435" spans="1:5" x14ac:dyDescent="0.3">
      <c r="A2435" s="7">
        <v>1000907</v>
      </c>
      <c r="B2435" s="15" t="s">
        <v>2431</v>
      </c>
      <c r="C2435" s="14">
        <v>0</v>
      </c>
      <c r="D2435" s="14">
        <v>0</v>
      </c>
      <c r="E2435" s="14">
        <f t="shared" si="38"/>
        <v>0</v>
      </c>
    </row>
    <row r="2436" spans="1:5" x14ac:dyDescent="0.3">
      <c r="A2436" s="7">
        <v>1000910</v>
      </c>
      <c r="B2436" s="15" t="s">
        <v>2432</v>
      </c>
      <c r="C2436" s="14">
        <v>0</v>
      </c>
      <c r="D2436" s="14">
        <v>0</v>
      </c>
      <c r="E2436" s="14">
        <f t="shared" si="38"/>
        <v>0</v>
      </c>
    </row>
    <row r="2437" spans="1:5" x14ac:dyDescent="0.3">
      <c r="A2437" s="7">
        <v>1000912</v>
      </c>
      <c r="B2437" s="15" t="s">
        <v>2433</v>
      </c>
      <c r="C2437" s="14">
        <v>0</v>
      </c>
      <c r="D2437" s="14">
        <v>0</v>
      </c>
      <c r="E2437" s="14">
        <f t="shared" si="38"/>
        <v>0</v>
      </c>
    </row>
    <row r="2438" spans="1:5" x14ac:dyDescent="0.3">
      <c r="A2438" s="7">
        <v>1000913</v>
      </c>
      <c r="B2438" s="15" t="s">
        <v>2434</v>
      </c>
      <c r="C2438" s="14">
        <v>0</v>
      </c>
      <c r="D2438" s="14">
        <v>0</v>
      </c>
      <c r="E2438" s="14">
        <f t="shared" si="38"/>
        <v>0</v>
      </c>
    </row>
    <row r="2439" spans="1:5" x14ac:dyDescent="0.3">
      <c r="A2439" s="7">
        <v>1000914</v>
      </c>
      <c r="B2439" s="15" t="s">
        <v>2435</v>
      </c>
      <c r="C2439" s="14">
        <v>0</v>
      </c>
      <c r="D2439" s="14">
        <v>0</v>
      </c>
      <c r="E2439" s="14">
        <f t="shared" si="38"/>
        <v>0</v>
      </c>
    </row>
    <row r="2440" spans="1:5" x14ac:dyDescent="0.3">
      <c r="A2440" s="7">
        <v>1000915</v>
      </c>
      <c r="B2440" s="15" t="s">
        <v>2436</v>
      </c>
      <c r="C2440" s="14">
        <v>0</v>
      </c>
      <c r="D2440" s="14">
        <v>0</v>
      </c>
      <c r="E2440" s="14">
        <f t="shared" si="38"/>
        <v>0</v>
      </c>
    </row>
    <row r="2441" spans="1:5" x14ac:dyDescent="0.3">
      <c r="A2441" s="7">
        <v>1000918</v>
      </c>
      <c r="B2441" s="15" t="s">
        <v>2437</v>
      </c>
      <c r="C2441" s="14">
        <v>0</v>
      </c>
      <c r="D2441" s="14">
        <v>0</v>
      </c>
      <c r="E2441" s="14">
        <f t="shared" si="38"/>
        <v>0</v>
      </c>
    </row>
    <row r="2442" spans="1:5" x14ac:dyDescent="0.3">
      <c r="A2442" s="7">
        <v>1000920</v>
      </c>
      <c r="B2442" s="15" t="s">
        <v>2438</v>
      </c>
      <c r="C2442" s="14">
        <v>0</v>
      </c>
      <c r="D2442" s="14">
        <v>0</v>
      </c>
      <c r="E2442" s="14">
        <f t="shared" si="38"/>
        <v>0</v>
      </c>
    </row>
    <row r="2443" spans="1:5" x14ac:dyDescent="0.3">
      <c r="A2443" s="7">
        <v>1000924</v>
      </c>
      <c r="B2443" s="15" t="s">
        <v>2439</v>
      </c>
      <c r="C2443" s="14">
        <v>0</v>
      </c>
      <c r="D2443" s="14">
        <v>0</v>
      </c>
      <c r="E2443" s="14">
        <f t="shared" si="38"/>
        <v>0</v>
      </c>
    </row>
    <row r="2444" spans="1:5" x14ac:dyDescent="0.3">
      <c r="A2444" s="7">
        <v>1000926</v>
      </c>
      <c r="B2444" s="15" t="s">
        <v>2440</v>
      </c>
      <c r="C2444" s="14">
        <v>0</v>
      </c>
      <c r="D2444" s="14">
        <v>0</v>
      </c>
      <c r="E2444" s="14">
        <f t="shared" si="38"/>
        <v>0</v>
      </c>
    </row>
    <row r="2445" spans="1:5" x14ac:dyDescent="0.3">
      <c r="A2445" s="7">
        <v>1000929</v>
      </c>
      <c r="B2445" s="15" t="s">
        <v>2441</v>
      </c>
      <c r="C2445" s="14">
        <v>0</v>
      </c>
      <c r="D2445" s="14">
        <v>0</v>
      </c>
      <c r="E2445" s="14">
        <f t="shared" si="38"/>
        <v>0</v>
      </c>
    </row>
    <row r="2446" spans="1:5" x14ac:dyDescent="0.3">
      <c r="A2446" s="7">
        <v>1000931</v>
      </c>
      <c r="B2446" s="15" t="s">
        <v>2442</v>
      </c>
      <c r="C2446" s="14">
        <v>0</v>
      </c>
      <c r="D2446" s="14">
        <v>0</v>
      </c>
      <c r="E2446" s="14">
        <f t="shared" si="38"/>
        <v>0</v>
      </c>
    </row>
    <row r="2447" spans="1:5" x14ac:dyDescent="0.3">
      <c r="A2447" s="7">
        <v>1000932</v>
      </c>
      <c r="B2447" s="15" t="s">
        <v>2443</v>
      </c>
      <c r="C2447" s="14">
        <v>0</v>
      </c>
      <c r="D2447" s="14">
        <v>0</v>
      </c>
      <c r="E2447" s="14">
        <f t="shared" si="38"/>
        <v>0</v>
      </c>
    </row>
    <row r="2448" spans="1:5" x14ac:dyDescent="0.3">
      <c r="A2448" s="7">
        <v>1000934</v>
      </c>
      <c r="B2448" s="15" t="s">
        <v>2444</v>
      </c>
      <c r="C2448" s="14">
        <v>0</v>
      </c>
      <c r="D2448" s="14">
        <v>0</v>
      </c>
      <c r="E2448" s="14">
        <f t="shared" si="38"/>
        <v>0</v>
      </c>
    </row>
    <row r="2449" spans="1:5" x14ac:dyDescent="0.3">
      <c r="A2449" s="7">
        <v>1000935</v>
      </c>
      <c r="B2449" s="15" t="s">
        <v>2445</v>
      </c>
      <c r="C2449" s="14">
        <v>0</v>
      </c>
      <c r="D2449" s="14">
        <v>0</v>
      </c>
      <c r="E2449" s="14">
        <f t="shared" si="38"/>
        <v>0</v>
      </c>
    </row>
    <row r="2450" spans="1:5" x14ac:dyDescent="0.3">
      <c r="A2450" s="7">
        <v>1000937</v>
      </c>
      <c r="B2450" s="15" t="s">
        <v>2446</v>
      </c>
      <c r="C2450" s="14">
        <v>0</v>
      </c>
      <c r="D2450" s="14">
        <v>0</v>
      </c>
      <c r="E2450" s="14">
        <f t="shared" si="38"/>
        <v>0</v>
      </c>
    </row>
    <row r="2451" spans="1:5" x14ac:dyDescent="0.3">
      <c r="A2451" s="7">
        <v>1000938</v>
      </c>
      <c r="B2451" s="15" t="s">
        <v>2447</v>
      </c>
      <c r="C2451" s="14">
        <v>0</v>
      </c>
      <c r="D2451" s="14">
        <v>0</v>
      </c>
      <c r="E2451" s="14">
        <f t="shared" si="38"/>
        <v>0</v>
      </c>
    </row>
    <row r="2452" spans="1:5" x14ac:dyDescent="0.3">
      <c r="A2452" s="7">
        <v>1000939</v>
      </c>
      <c r="B2452" s="15" t="s">
        <v>2448</v>
      </c>
      <c r="C2452" s="14">
        <v>0</v>
      </c>
      <c r="D2452" s="14">
        <v>0</v>
      </c>
      <c r="E2452" s="14">
        <f t="shared" si="38"/>
        <v>0</v>
      </c>
    </row>
    <row r="2453" spans="1:5" x14ac:dyDescent="0.3">
      <c r="A2453" s="7">
        <v>1000940</v>
      </c>
      <c r="B2453" s="15" t="s">
        <v>2449</v>
      </c>
      <c r="C2453" s="14">
        <v>0</v>
      </c>
      <c r="D2453" s="14">
        <v>0</v>
      </c>
      <c r="E2453" s="14">
        <f t="shared" si="38"/>
        <v>0</v>
      </c>
    </row>
    <row r="2454" spans="1:5" x14ac:dyDescent="0.3">
      <c r="A2454" s="7">
        <v>1000943</v>
      </c>
      <c r="B2454" s="15" t="s">
        <v>2450</v>
      </c>
      <c r="C2454" s="14">
        <v>0</v>
      </c>
      <c r="D2454" s="14">
        <v>0</v>
      </c>
      <c r="E2454" s="14">
        <f t="shared" si="38"/>
        <v>0</v>
      </c>
    </row>
    <row r="2455" spans="1:5" x14ac:dyDescent="0.3">
      <c r="A2455" s="7">
        <v>1000946</v>
      </c>
      <c r="B2455" s="15" t="s">
        <v>2451</v>
      </c>
      <c r="C2455" s="14">
        <v>0</v>
      </c>
      <c r="D2455" s="14">
        <v>0</v>
      </c>
      <c r="E2455" s="14">
        <f t="shared" si="38"/>
        <v>0</v>
      </c>
    </row>
    <row r="2456" spans="1:5" x14ac:dyDescent="0.3">
      <c r="A2456" s="7">
        <v>1000950</v>
      </c>
      <c r="B2456" s="15" t="s">
        <v>2452</v>
      </c>
      <c r="C2456" s="14">
        <v>0</v>
      </c>
      <c r="D2456" s="14">
        <v>0</v>
      </c>
      <c r="E2456" s="14">
        <f t="shared" si="38"/>
        <v>0</v>
      </c>
    </row>
    <row r="2457" spans="1:5" x14ac:dyDescent="0.3">
      <c r="A2457" s="7">
        <v>1000951</v>
      </c>
      <c r="B2457" s="15" t="s">
        <v>2453</v>
      </c>
      <c r="C2457" s="14">
        <v>0</v>
      </c>
      <c r="D2457" s="14">
        <v>0</v>
      </c>
      <c r="E2457" s="14">
        <f t="shared" si="38"/>
        <v>0</v>
      </c>
    </row>
    <row r="2458" spans="1:5" x14ac:dyDescent="0.3">
      <c r="A2458" s="7">
        <v>1000952</v>
      </c>
      <c r="B2458" s="15" t="s">
        <v>2454</v>
      </c>
      <c r="C2458" s="14">
        <v>0</v>
      </c>
      <c r="D2458" s="14">
        <v>0</v>
      </c>
      <c r="E2458" s="14">
        <f t="shared" si="38"/>
        <v>0</v>
      </c>
    </row>
    <row r="2459" spans="1:5" x14ac:dyDescent="0.3">
      <c r="A2459" s="7">
        <v>1000953</v>
      </c>
      <c r="B2459" s="15" t="s">
        <v>2455</v>
      </c>
      <c r="C2459" s="14">
        <v>0</v>
      </c>
      <c r="D2459" s="14">
        <v>0</v>
      </c>
      <c r="E2459" s="14">
        <f t="shared" si="38"/>
        <v>0</v>
      </c>
    </row>
    <row r="2460" spans="1:5" x14ac:dyDescent="0.3">
      <c r="A2460" s="7">
        <v>1000954</v>
      </c>
      <c r="B2460" s="15" t="s">
        <v>2456</v>
      </c>
      <c r="C2460" s="14">
        <v>0</v>
      </c>
      <c r="D2460" s="14">
        <v>0</v>
      </c>
      <c r="E2460" s="14">
        <f t="shared" si="38"/>
        <v>0</v>
      </c>
    </row>
    <row r="2461" spans="1:5" x14ac:dyDescent="0.3">
      <c r="A2461" s="7">
        <v>1000955</v>
      </c>
      <c r="B2461" s="15" t="s">
        <v>2457</v>
      </c>
      <c r="C2461" s="14">
        <v>0</v>
      </c>
      <c r="D2461" s="14">
        <v>0</v>
      </c>
      <c r="E2461" s="14">
        <f t="shared" si="38"/>
        <v>0</v>
      </c>
    </row>
    <row r="2462" spans="1:5" x14ac:dyDescent="0.3">
      <c r="A2462" s="7">
        <v>1000956</v>
      </c>
      <c r="B2462" s="15" t="s">
        <v>2458</v>
      </c>
      <c r="C2462" s="14">
        <v>0</v>
      </c>
      <c r="D2462" s="14">
        <v>0</v>
      </c>
      <c r="E2462" s="14">
        <f t="shared" si="38"/>
        <v>0</v>
      </c>
    </row>
    <row r="2463" spans="1:5" x14ac:dyDescent="0.3">
      <c r="A2463" s="7">
        <v>1000957</v>
      </c>
      <c r="B2463" s="15" t="s">
        <v>2459</v>
      </c>
      <c r="C2463" s="14">
        <v>0</v>
      </c>
      <c r="D2463" s="14">
        <v>0</v>
      </c>
      <c r="E2463" s="14">
        <f t="shared" si="38"/>
        <v>0</v>
      </c>
    </row>
    <row r="2464" spans="1:5" x14ac:dyDescent="0.3">
      <c r="A2464" s="7">
        <v>1000958</v>
      </c>
      <c r="B2464" s="15" t="s">
        <v>2460</v>
      </c>
      <c r="C2464" s="14">
        <v>0</v>
      </c>
      <c r="D2464" s="14">
        <v>0</v>
      </c>
      <c r="E2464" s="14">
        <f t="shared" si="38"/>
        <v>0</v>
      </c>
    </row>
    <row r="2465" spans="1:5" x14ac:dyDescent="0.3">
      <c r="A2465" s="7">
        <v>1000959</v>
      </c>
      <c r="B2465" s="15" t="s">
        <v>2461</v>
      </c>
      <c r="C2465" s="14">
        <v>0</v>
      </c>
      <c r="D2465" s="14">
        <v>0</v>
      </c>
      <c r="E2465" s="14">
        <f t="shared" ref="E2465:E2528" si="39">+MAX(C2465, D2465)</f>
        <v>0</v>
      </c>
    </row>
    <row r="2466" spans="1:5" x14ac:dyDescent="0.3">
      <c r="A2466" s="7">
        <v>1000960</v>
      </c>
      <c r="B2466" s="15" t="s">
        <v>2462</v>
      </c>
      <c r="C2466" s="14">
        <v>0</v>
      </c>
      <c r="D2466" s="14">
        <v>0</v>
      </c>
      <c r="E2466" s="14">
        <f t="shared" si="39"/>
        <v>0</v>
      </c>
    </row>
    <row r="2467" spans="1:5" x14ac:dyDescent="0.3">
      <c r="A2467" s="7">
        <v>1000961</v>
      </c>
      <c r="B2467" s="15" t="s">
        <v>2463</v>
      </c>
      <c r="C2467" s="14">
        <v>0</v>
      </c>
      <c r="D2467" s="14">
        <v>0</v>
      </c>
      <c r="E2467" s="14">
        <f t="shared" si="39"/>
        <v>0</v>
      </c>
    </row>
    <row r="2468" spans="1:5" x14ac:dyDescent="0.3">
      <c r="A2468" s="7">
        <v>1000963</v>
      </c>
      <c r="B2468" s="15" t="s">
        <v>2464</v>
      </c>
      <c r="C2468" s="14">
        <v>0</v>
      </c>
      <c r="D2468" s="14">
        <v>0</v>
      </c>
      <c r="E2468" s="14">
        <f t="shared" si="39"/>
        <v>0</v>
      </c>
    </row>
    <row r="2469" spans="1:5" x14ac:dyDescent="0.3">
      <c r="A2469" s="7">
        <v>1000964</v>
      </c>
      <c r="B2469" s="15" t="s">
        <v>2465</v>
      </c>
      <c r="C2469" s="14">
        <v>0</v>
      </c>
      <c r="D2469" s="14">
        <v>0</v>
      </c>
      <c r="E2469" s="14">
        <f t="shared" si="39"/>
        <v>0</v>
      </c>
    </row>
    <row r="2470" spans="1:5" x14ac:dyDescent="0.3">
      <c r="A2470" s="7">
        <v>1000965</v>
      </c>
      <c r="B2470" s="15" t="s">
        <v>2466</v>
      </c>
      <c r="C2470" s="14">
        <v>0</v>
      </c>
      <c r="D2470" s="14">
        <v>0</v>
      </c>
      <c r="E2470" s="14">
        <f t="shared" si="39"/>
        <v>0</v>
      </c>
    </row>
    <row r="2471" spans="1:5" x14ac:dyDescent="0.3">
      <c r="A2471" s="7">
        <v>1000967</v>
      </c>
      <c r="B2471" s="15" t="s">
        <v>2467</v>
      </c>
      <c r="C2471" s="14">
        <v>0</v>
      </c>
      <c r="D2471" s="14">
        <v>0</v>
      </c>
      <c r="E2471" s="14">
        <f t="shared" si="39"/>
        <v>0</v>
      </c>
    </row>
    <row r="2472" spans="1:5" x14ac:dyDescent="0.3">
      <c r="A2472" s="7">
        <v>1000968</v>
      </c>
      <c r="B2472" s="15" t="s">
        <v>2468</v>
      </c>
      <c r="C2472" s="14">
        <v>0</v>
      </c>
      <c r="D2472" s="14">
        <v>0</v>
      </c>
      <c r="E2472" s="14">
        <f t="shared" si="39"/>
        <v>0</v>
      </c>
    </row>
    <row r="2473" spans="1:5" x14ac:dyDescent="0.3">
      <c r="A2473" s="7">
        <v>1000970</v>
      </c>
      <c r="B2473" s="15" t="s">
        <v>2469</v>
      </c>
      <c r="C2473" s="14">
        <v>0</v>
      </c>
      <c r="D2473" s="14">
        <v>0</v>
      </c>
      <c r="E2473" s="14">
        <f t="shared" si="39"/>
        <v>0</v>
      </c>
    </row>
    <row r="2474" spans="1:5" x14ac:dyDescent="0.3">
      <c r="A2474" s="7">
        <v>1000971</v>
      </c>
      <c r="B2474" s="15" t="s">
        <v>2470</v>
      </c>
      <c r="C2474" s="14">
        <v>0</v>
      </c>
      <c r="D2474" s="14">
        <v>0</v>
      </c>
      <c r="E2474" s="14">
        <f t="shared" si="39"/>
        <v>0</v>
      </c>
    </row>
    <row r="2475" spans="1:5" x14ac:dyDescent="0.3">
      <c r="A2475" s="7">
        <v>1000975</v>
      </c>
      <c r="B2475" s="15" t="s">
        <v>2471</v>
      </c>
      <c r="C2475" s="14">
        <v>0</v>
      </c>
      <c r="D2475" s="14">
        <v>0</v>
      </c>
      <c r="E2475" s="14">
        <f t="shared" si="39"/>
        <v>0</v>
      </c>
    </row>
    <row r="2476" spans="1:5" x14ac:dyDescent="0.3">
      <c r="A2476" s="7">
        <v>1000976</v>
      </c>
      <c r="B2476" s="15" t="s">
        <v>2472</v>
      </c>
      <c r="C2476" s="14">
        <v>0</v>
      </c>
      <c r="D2476" s="14">
        <v>0</v>
      </c>
      <c r="E2476" s="14">
        <f t="shared" si="39"/>
        <v>0</v>
      </c>
    </row>
    <row r="2477" spans="1:5" x14ac:dyDescent="0.3">
      <c r="A2477" s="7">
        <v>1000978</v>
      </c>
      <c r="B2477" s="15" t="s">
        <v>2473</v>
      </c>
      <c r="C2477" s="14">
        <v>0</v>
      </c>
      <c r="D2477" s="14">
        <v>0</v>
      </c>
      <c r="E2477" s="14">
        <f t="shared" si="39"/>
        <v>0</v>
      </c>
    </row>
    <row r="2478" spans="1:5" x14ac:dyDescent="0.3">
      <c r="A2478" s="7">
        <v>1000979</v>
      </c>
      <c r="B2478" s="15" t="s">
        <v>2474</v>
      </c>
      <c r="C2478" s="14">
        <v>0</v>
      </c>
      <c r="D2478" s="14">
        <v>0</v>
      </c>
      <c r="E2478" s="14">
        <f t="shared" si="39"/>
        <v>0</v>
      </c>
    </row>
    <row r="2479" spans="1:5" x14ac:dyDescent="0.3">
      <c r="A2479" s="7">
        <v>1000980</v>
      </c>
      <c r="B2479" s="15" t="s">
        <v>2475</v>
      </c>
      <c r="C2479" s="14">
        <v>0</v>
      </c>
      <c r="D2479" s="14">
        <v>0</v>
      </c>
      <c r="E2479" s="14">
        <f t="shared" si="39"/>
        <v>0</v>
      </c>
    </row>
    <row r="2480" spans="1:5" x14ac:dyDescent="0.3">
      <c r="A2480" s="7">
        <v>1000981</v>
      </c>
      <c r="B2480" s="15" t="s">
        <v>2476</v>
      </c>
      <c r="C2480" s="14">
        <v>0</v>
      </c>
      <c r="D2480" s="14">
        <v>0</v>
      </c>
      <c r="E2480" s="14">
        <f t="shared" si="39"/>
        <v>0</v>
      </c>
    </row>
    <row r="2481" spans="1:5" x14ac:dyDescent="0.3">
      <c r="A2481" s="7">
        <v>1000982</v>
      </c>
      <c r="B2481" s="15" t="s">
        <v>2477</v>
      </c>
      <c r="C2481" s="14">
        <v>0</v>
      </c>
      <c r="D2481" s="14">
        <v>0</v>
      </c>
      <c r="E2481" s="14">
        <f t="shared" si="39"/>
        <v>0</v>
      </c>
    </row>
    <row r="2482" spans="1:5" x14ac:dyDescent="0.3">
      <c r="A2482" s="7">
        <v>1000983</v>
      </c>
      <c r="B2482" s="15" t="s">
        <v>2478</v>
      </c>
      <c r="C2482" s="14">
        <v>0</v>
      </c>
      <c r="D2482" s="14">
        <v>0</v>
      </c>
      <c r="E2482" s="14">
        <f t="shared" si="39"/>
        <v>0</v>
      </c>
    </row>
    <row r="2483" spans="1:5" x14ac:dyDescent="0.3">
      <c r="A2483" s="7">
        <v>1000984</v>
      </c>
      <c r="B2483" s="15" t="s">
        <v>2479</v>
      </c>
      <c r="C2483" s="14">
        <v>0</v>
      </c>
      <c r="D2483" s="14">
        <v>0</v>
      </c>
      <c r="E2483" s="14">
        <f t="shared" si="39"/>
        <v>0</v>
      </c>
    </row>
    <row r="2484" spans="1:5" x14ac:dyDescent="0.3">
      <c r="A2484" s="7">
        <v>1000985</v>
      </c>
      <c r="B2484" s="15" t="s">
        <v>2480</v>
      </c>
      <c r="C2484" s="14">
        <v>0</v>
      </c>
      <c r="D2484" s="14">
        <v>0</v>
      </c>
      <c r="E2484" s="14">
        <f t="shared" si="39"/>
        <v>0</v>
      </c>
    </row>
    <row r="2485" spans="1:5" x14ac:dyDescent="0.3">
      <c r="A2485" s="7">
        <v>1000986</v>
      </c>
      <c r="B2485" s="15" t="s">
        <v>2481</v>
      </c>
      <c r="C2485" s="14">
        <v>0</v>
      </c>
      <c r="D2485" s="14">
        <v>0</v>
      </c>
      <c r="E2485" s="14">
        <f t="shared" si="39"/>
        <v>0</v>
      </c>
    </row>
    <row r="2486" spans="1:5" x14ac:dyDescent="0.3">
      <c r="A2486" s="7">
        <v>1000987</v>
      </c>
      <c r="B2486" s="15" t="s">
        <v>2482</v>
      </c>
      <c r="C2486" s="14">
        <v>0</v>
      </c>
      <c r="D2486" s="14">
        <v>0</v>
      </c>
      <c r="E2486" s="14">
        <f t="shared" si="39"/>
        <v>0</v>
      </c>
    </row>
    <row r="2487" spans="1:5" x14ac:dyDescent="0.3">
      <c r="A2487" s="7">
        <v>1000988</v>
      </c>
      <c r="B2487" s="15" t="s">
        <v>2483</v>
      </c>
      <c r="C2487" s="14">
        <v>0</v>
      </c>
      <c r="D2487" s="14">
        <v>0</v>
      </c>
      <c r="E2487" s="14">
        <f t="shared" si="39"/>
        <v>0</v>
      </c>
    </row>
    <row r="2488" spans="1:5" x14ac:dyDescent="0.3">
      <c r="A2488" s="7">
        <v>1000989</v>
      </c>
      <c r="B2488" s="15" t="s">
        <v>2484</v>
      </c>
      <c r="C2488" s="14">
        <v>0</v>
      </c>
      <c r="D2488" s="14">
        <v>0</v>
      </c>
      <c r="E2488" s="14">
        <f t="shared" si="39"/>
        <v>0</v>
      </c>
    </row>
    <row r="2489" spans="1:5" x14ac:dyDescent="0.3">
      <c r="A2489" s="7">
        <v>1000991</v>
      </c>
      <c r="B2489" s="15" t="s">
        <v>2485</v>
      </c>
      <c r="C2489" s="14">
        <v>0</v>
      </c>
      <c r="D2489" s="14">
        <v>0</v>
      </c>
      <c r="E2489" s="14">
        <f t="shared" si="39"/>
        <v>0</v>
      </c>
    </row>
    <row r="2490" spans="1:5" x14ac:dyDescent="0.3">
      <c r="A2490" s="7">
        <v>1000993</v>
      </c>
      <c r="B2490" s="15" t="s">
        <v>2486</v>
      </c>
      <c r="C2490" s="14">
        <v>0</v>
      </c>
      <c r="D2490" s="14">
        <v>0</v>
      </c>
      <c r="E2490" s="14">
        <f t="shared" si="39"/>
        <v>0</v>
      </c>
    </row>
    <row r="2491" spans="1:5" x14ac:dyDescent="0.3">
      <c r="A2491" s="7">
        <v>1000996</v>
      </c>
      <c r="B2491" s="15" t="s">
        <v>2487</v>
      </c>
      <c r="C2491" s="14">
        <v>0</v>
      </c>
      <c r="D2491" s="14">
        <v>0</v>
      </c>
      <c r="E2491" s="14">
        <f t="shared" si="39"/>
        <v>0</v>
      </c>
    </row>
    <row r="2492" spans="1:5" x14ac:dyDescent="0.3">
      <c r="A2492" s="7">
        <v>1000997</v>
      </c>
      <c r="B2492" s="15" t="s">
        <v>2488</v>
      </c>
      <c r="C2492" s="14">
        <v>0</v>
      </c>
      <c r="D2492" s="14">
        <v>0</v>
      </c>
      <c r="E2492" s="14">
        <f t="shared" si="39"/>
        <v>0</v>
      </c>
    </row>
    <row r="2493" spans="1:5" x14ac:dyDescent="0.3">
      <c r="A2493" s="7">
        <v>1000998</v>
      </c>
      <c r="B2493" s="15" t="s">
        <v>2489</v>
      </c>
      <c r="C2493" s="14">
        <v>0</v>
      </c>
      <c r="D2493" s="14">
        <v>0</v>
      </c>
      <c r="E2493" s="14">
        <f t="shared" si="39"/>
        <v>0</v>
      </c>
    </row>
    <row r="2494" spans="1:5" x14ac:dyDescent="0.3">
      <c r="A2494" s="7">
        <v>1000999</v>
      </c>
      <c r="B2494" s="15" t="s">
        <v>2490</v>
      </c>
      <c r="C2494" s="14">
        <v>0</v>
      </c>
      <c r="D2494" s="14">
        <v>0</v>
      </c>
      <c r="E2494" s="14">
        <f t="shared" si="39"/>
        <v>0</v>
      </c>
    </row>
    <row r="2495" spans="1:5" x14ac:dyDescent="0.3">
      <c r="A2495" s="7">
        <v>1001000</v>
      </c>
      <c r="B2495" s="15" t="s">
        <v>2491</v>
      </c>
      <c r="C2495" s="14">
        <v>0</v>
      </c>
      <c r="D2495" s="14">
        <v>0</v>
      </c>
      <c r="E2495" s="14">
        <f t="shared" si="39"/>
        <v>0</v>
      </c>
    </row>
    <row r="2496" spans="1:5" x14ac:dyDescent="0.3">
      <c r="A2496" s="7">
        <v>1001001</v>
      </c>
      <c r="B2496" s="15" t="s">
        <v>2492</v>
      </c>
      <c r="C2496" s="14">
        <v>0</v>
      </c>
      <c r="D2496" s="14">
        <v>0</v>
      </c>
      <c r="E2496" s="14">
        <f t="shared" si="39"/>
        <v>0</v>
      </c>
    </row>
    <row r="2497" spans="1:5" x14ac:dyDescent="0.3">
      <c r="A2497" s="7">
        <v>1001002</v>
      </c>
      <c r="B2497" s="15" t="s">
        <v>2493</v>
      </c>
      <c r="C2497" s="14">
        <v>0</v>
      </c>
      <c r="D2497" s="14">
        <v>0</v>
      </c>
      <c r="E2497" s="14">
        <f t="shared" si="39"/>
        <v>0</v>
      </c>
    </row>
    <row r="2498" spans="1:5" x14ac:dyDescent="0.3">
      <c r="A2498" s="7">
        <v>1001004</v>
      </c>
      <c r="B2498" s="15" t="s">
        <v>2494</v>
      </c>
      <c r="C2498" s="14">
        <v>0</v>
      </c>
      <c r="D2498" s="14">
        <v>0</v>
      </c>
      <c r="E2498" s="14">
        <f t="shared" si="39"/>
        <v>0</v>
      </c>
    </row>
    <row r="2499" spans="1:5" x14ac:dyDescent="0.3">
      <c r="A2499" s="7">
        <v>1001005</v>
      </c>
      <c r="B2499" s="15" t="s">
        <v>2495</v>
      </c>
      <c r="C2499" s="14">
        <v>0</v>
      </c>
      <c r="D2499" s="14">
        <v>0</v>
      </c>
      <c r="E2499" s="14">
        <f t="shared" si="39"/>
        <v>0</v>
      </c>
    </row>
    <row r="2500" spans="1:5" x14ac:dyDescent="0.3">
      <c r="A2500" s="7">
        <v>1001006</v>
      </c>
      <c r="B2500" s="15" t="s">
        <v>2496</v>
      </c>
      <c r="C2500" s="14">
        <v>0</v>
      </c>
      <c r="D2500" s="14">
        <v>0</v>
      </c>
      <c r="E2500" s="14">
        <f t="shared" si="39"/>
        <v>0</v>
      </c>
    </row>
    <row r="2501" spans="1:5" x14ac:dyDescent="0.3">
      <c r="A2501" s="7">
        <v>1001011</v>
      </c>
      <c r="B2501" s="15" t="s">
        <v>2497</v>
      </c>
      <c r="C2501" s="14">
        <v>0</v>
      </c>
      <c r="D2501" s="14">
        <v>0</v>
      </c>
      <c r="E2501" s="14">
        <f t="shared" si="39"/>
        <v>0</v>
      </c>
    </row>
    <row r="2502" spans="1:5" x14ac:dyDescent="0.3">
      <c r="A2502" s="7">
        <v>1001012</v>
      </c>
      <c r="B2502" s="15" t="s">
        <v>2498</v>
      </c>
      <c r="C2502" s="14">
        <v>0</v>
      </c>
      <c r="D2502" s="14">
        <v>0</v>
      </c>
      <c r="E2502" s="14">
        <f t="shared" si="39"/>
        <v>0</v>
      </c>
    </row>
    <row r="2503" spans="1:5" x14ac:dyDescent="0.3">
      <c r="A2503" s="7">
        <v>1001016</v>
      </c>
      <c r="B2503" s="15" t="s">
        <v>2499</v>
      </c>
      <c r="C2503" s="14">
        <v>0</v>
      </c>
      <c r="D2503" s="14">
        <v>0</v>
      </c>
      <c r="E2503" s="14">
        <f t="shared" si="39"/>
        <v>0</v>
      </c>
    </row>
    <row r="2504" spans="1:5" x14ac:dyDescent="0.3">
      <c r="A2504" s="7">
        <v>1001017</v>
      </c>
      <c r="B2504" s="15" t="s">
        <v>2500</v>
      </c>
      <c r="C2504" s="14">
        <v>0</v>
      </c>
      <c r="D2504" s="14">
        <v>0</v>
      </c>
      <c r="E2504" s="14">
        <f t="shared" si="39"/>
        <v>0</v>
      </c>
    </row>
    <row r="2505" spans="1:5" x14ac:dyDescent="0.3">
      <c r="A2505" s="7">
        <v>1001018</v>
      </c>
      <c r="B2505" s="15" t="s">
        <v>2501</v>
      </c>
      <c r="C2505" s="14">
        <v>0</v>
      </c>
      <c r="D2505" s="14">
        <v>0</v>
      </c>
      <c r="E2505" s="14">
        <f t="shared" si="39"/>
        <v>0</v>
      </c>
    </row>
    <row r="2506" spans="1:5" x14ac:dyDescent="0.3">
      <c r="A2506" s="7">
        <v>1001019</v>
      </c>
      <c r="B2506" s="15" t="s">
        <v>2502</v>
      </c>
      <c r="C2506" s="14">
        <v>0</v>
      </c>
      <c r="D2506" s="14">
        <v>0</v>
      </c>
      <c r="E2506" s="14">
        <f t="shared" si="39"/>
        <v>0</v>
      </c>
    </row>
    <row r="2507" spans="1:5" x14ac:dyDescent="0.3">
      <c r="A2507" s="7">
        <v>1001020</v>
      </c>
      <c r="B2507" s="15" t="s">
        <v>2503</v>
      </c>
      <c r="C2507" s="14">
        <v>0</v>
      </c>
      <c r="D2507" s="14">
        <v>0</v>
      </c>
      <c r="E2507" s="14">
        <f t="shared" si="39"/>
        <v>0</v>
      </c>
    </row>
    <row r="2508" spans="1:5" x14ac:dyDescent="0.3">
      <c r="A2508" s="7">
        <v>1001022</v>
      </c>
      <c r="B2508" s="15" t="s">
        <v>2504</v>
      </c>
      <c r="C2508" s="14">
        <v>0</v>
      </c>
      <c r="D2508" s="14">
        <v>0</v>
      </c>
      <c r="E2508" s="14">
        <f t="shared" si="39"/>
        <v>0</v>
      </c>
    </row>
    <row r="2509" spans="1:5" x14ac:dyDescent="0.3">
      <c r="A2509" s="7">
        <v>1001023</v>
      </c>
      <c r="B2509" s="15" t="s">
        <v>2505</v>
      </c>
      <c r="C2509" s="14">
        <v>0</v>
      </c>
      <c r="D2509" s="14">
        <v>0</v>
      </c>
      <c r="E2509" s="14">
        <f t="shared" si="39"/>
        <v>0</v>
      </c>
    </row>
    <row r="2510" spans="1:5" x14ac:dyDescent="0.3">
      <c r="A2510" s="7">
        <v>1001025</v>
      </c>
      <c r="B2510" s="15" t="s">
        <v>2506</v>
      </c>
      <c r="C2510" s="14">
        <v>0</v>
      </c>
      <c r="D2510" s="14">
        <v>0</v>
      </c>
      <c r="E2510" s="14">
        <f t="shared" si="39"/>
        <v>0</v>
      </c>
    </row>
    <row r="2511" spans="1:5" x14ac:dyDescent="0.3">
      <c r="A2511" s="7">
        <v>1001028</v>
      </c>
      <c r="B2511" s="15" t="s">
        <v>2507</v>
      </c>
      <c r="C2511" s="14">
        <v>0</v>
      </c>
      <c r="D2511" s="14">
        <v>0</v>
      </c>
      <c r="E2511" s="14">
        <f t="shared" si="39"/>
        <v>0</v>
      </c>
    </row>
    <row r="2512" spans="1:5" x14ac:dyDescent="0.3">
      <c r="A2512" s="7">
        <v>1001029</v>
      </c>
      <c r="B2512" s="15" t="s">
        <v>2508</v>
      </c>
      <c r="C2512" s="14">
        <v>0</v>
      </c>
      <c r="D2512" s="14">
        <v>0</v>
      </c>
      <c r="E2512" s="14">
        <f t="shared" si="39"/>
        <v>0</v>
      </c>
    </row>
    <row r="2513" spans="1:5" x14ac:dyDescent="0.3">
      <c r="A2513" s="7">
        <v>1001030</v>
      </c>
      <c r="B2513" s="15" t="s">
        <v>2509</v>
      </c>
      <c r="C2513" s="14">
        <v>0</v>
      </c>
      <c r="D2513" s="14">
        <v>0</v>
      </c>
      <c r="E2513" s="14">
        <f t="shared" si="39"/>
        <v>0</v>
      </c>
    </row>
    <row r="2514" spans="1:5" x14ac:dyDescent="0.3">
      <c r="A2514" s="7">
        <v>1001031</v>
      </c>
      <c r="B2514" s="15" t="s">
        <v>2510</v>
      </c>
      <c r="C2514" s="14">
        <v>0</v>
      </c>
      <c r="D2514" s="14">
        <v>0</v>
      </c>
      <c r="E2514" s="14">
        <f t="shared" si="39"/>
        <v>0</v>
      </c>
    </row>
    <row r="2515" spans="1:5" x14ac:dyDescent="0.3">
      <c r="A2515" s="7">
        <v>1001032</v>
      </c>
      <c r="B2515" s="15" t="s">
        <v>2511</v>
      </c>
      <c r="C2515" s="14">
        <v>0</v>
      </c>
      <c r="D2515" s="14">
        <v>0</v>
      </c>
      <c r="E2515" s="14">
        <f t="shared" si="39"/>
        <v>0</v>
      </c>
    </row>
    <row r="2516" spans="1:5" x14ac:dyDescent="0.3">
      <c r="A2516" s="7">
        <v>1001033</v>
      </c>
      <c r="B2516" s="15" t="s">
        <v>2512</v>
      </c>
      <c r="C2516" s="14">
        <v>0</v>
      </c>
      <c r="D2516" s="14">
        <v>0</v>
      </c>
      <c r="E2516" s="14">
        <f t="shared" si="39"/>
        <v>0</v>
      </c>
    </row>
    <row r="2517" spans="1:5" x14ac:dyDescent="0.3">
      <c r="A2517" s="7">
        <v>1001034</v>
      </c>
      <c r="B2517" s="15" t="s">
        <v>2513</v>
      </c>
      <c r="C2517" s="14">
        <v>0</v>
      </c>
      <c r="D2517" s="14">
        <v>0</v>
      </c>
      <c r="E2517" s="14">
        <f t="shared" si="39"/>
        <v>0</v>
      </c>
    </row>
    <row r="2518" spans="1:5" x14ac:dyDescent="0.3">
      <c r="A2518" s="7">
        <v>1001037</v>
      </c>
      <c r="B2518" s="15" t="s">
        <v>2514</v>
      </c>
      <c r="C2518" s="14">
        <v>0</v>
      </c>
      <c r="D2518" s="14">
        <v>0</v>
      </c>
      <c r="E2518" s="14">
        <f t="shared" si="39"/>
        <v>0</v>
      </c>
    </row>
    <row r="2519" spans="1:5" x14ac:dyDescent="0.3">
      <c r="A2519" s="7">
        <v>1001038</v>
      </c>
      <c r="B2519" s="15" t="s">
        <v>2515</v>
      </c>
      <c r="C2519" s="14">
        <v>0</v>
      </c>
      <c r="D2519" s="14">
        <v>0</v>
      </c>
      <c r="E2519" s="14">
        <f t="shared" si="39"/>
        <v>0</v>
      </c>
    </row>
    <row r="2520" spans="1:5" x14ac:dyDescent="0.3">
      <c r="A2520" s="7">
        <v>1001039</v>
      </c>
      <c r="B2520" s="15" t="s">
        <v>2516</v>
      </c>
      <c r="C2520" s="14">
        <v>0</v>
      </c>
      <c r="D2520" s="14">
        <v>0</v>
      </c>
      <c r="E2520" s="14">
        <f t="shared" si="39"/>
        <v>0</v>
      </c>
    </row>
    <row r="2521" spans="1:5" x14ac:dyDescent="0.3">
      <c r="A2521" s="7">
        <v>1001040</v>
      </c>
      <c r="B2521" s="15" t="s">
        <v>2517</v>
      </c>
      <c r="C2521" s="14">
        <v>0</v>
      </c>
      <c r="D2521" s="14">
        <v>0</v>
      </c>
      <c r="E2521" s="14">
        <f t="shared" si="39"/>
        <v>0</v>
      </c>
    </row>
    <row r="2522" spans="1:5" x14ac:dyDescent="0.3">
      <c r="A2522" s="7">
        <v>1001042</v>
      </c>
      <c r="B2522" s="15" t="s">
        <v>2518</v>
      </c>
      <c r="C2522" s="14">
        <v>0</v>
      </c>
      <c r="D2522" s="14">
        <v>0</v>
      </c>
      <c r="E2522" s="14">
        <f t="shared" si="39"/>
        <v>0</v>
      </c>
    </row>
    <row r="2523" spans="1:5" x14ac:dyDescent="0.3">
      <c r="A2523" s="7">
        <v>1001043</v>
      </c>
      <c r="B2523" s="15" t="s">
        <v>2519</v>
      </c>
      <c r="C2523" s="14">
        <v>0</v>
      </c>
      <c r="D2523" s="14">
        <v>0</v>
      </c>
      <c r="E2523" s="14">
        <f t="shared" si="39"/>
        <v>0</v>
      </c>
    </row>
    <row r="2524" spans="1:5" x14ac:dyDescent="0.3">
      <c r="A2524" s="7">
        <v>1001044</v>
      </c>
      <c r="B2524" s="15" t="s">
        <v>2520</v>
      </c>
      <c r="C2524" s="14">
        <v>0</v>
      </c>
      <c r="D2524" s="14">
        <v>0</v>
      </c>
      <c r="E2524" s="14">
        <f t="shared" si="39"/>
        <v>0</v>
      </c>
    </row>
    <row r="2525" spans="1:5" x14ac:dyDescent="0.3">
      <c r="A2525" s="7">
        <v>1001045</v>
      </c>
      <c r="B2525" s="15" t="s">
        <v>2521</v>
      </c>
      <c r="C2525" s="14">
        <v>0</v>
      </c>
      <c r="D2525" s="14">
        <v>0</v>
      </c>
      <c r="E2525" s="14">
        <f t="shared" si="39"/>
        <v>0</v>
      </c>
    </row>
    <row r="2526" spans="1:5" x14ac:dyDescent="0.3">
      <c r="A2526" s="7">
        <v>1001046</v>
      </c>
      <c r="B2526" s="15" t="s">
        <v>2522</v>
      </c>
      <c r="C2526" s="14">
        <v>0</v>
      </c>
      <c r="D2526" s="14">
        <v>0</v>
      </c>
      <c r="E2526" s="14">
        <f t="shared" si="39"/>
        <v>0</v>
      </c>
    </row>
    <row r="2527" spans="1:5" x14ac:dyDescent="0.3">
      <c r="A2527" s="7">
        <v>1001047</v>
      </c>
      <c r="B2527" s="15" t="s">
        <v>2523</v>
      </c>
      <c r="C2527" s="14">
        <v>0</v>
      </c>
      <c r="D2527" s="14">
        <v>0</v>
      </c>
      <c r="E2527" s="14">
        <f t="shared" si="39"/>
        <v>0</v>
      </c>
    </row>
    <row r="2528" spans="1:5" x14ac:dyDescent="0.3">
      <c r="A2528" s="7">
        <v>1001048</v>
      </c>
      <c r="B2528" s="15" t="s">
        <v>2524</v>
      </c>
      <c r="C2528" s="14">
        <v>0</v>
      </c>
      <c r="D2528" s="14">
        <v>0</v>
      </c>
      <c r="E2528" s="14">
        <f t="shared" si="39"/>
        <v>0</v>
      </c>
    </row>
    <row r="2529" spans="1:5" x14ac:dyDescent="0.3">
      <c r="A2529" s="7">
        <v>1001049</v>
      </c>
      <c r="B2529" s="15" t="s">
        <v>2525</v>
      </c>
      <c r="C2529" s="14">
        <v>0</v>
      </c>
      <c r="D2529" s="14">
        <v>0</v>
      </c>
      <c r="E2529" s="14">
        <f t="shared" ref="E2529:E2592" si="40">+MAX(C2529, D2529)</f>
        <v>0</v>
      </c>
    </row>
    <row r="2530" spans="1:5" x14ac:dyDescent="0.3">
      <c r="A2530" s="7">
        <v>1001051</v>
      </c>
      <c r="B2530" s="15" t="s">
        <v>2526</v>
      </c>
      <c r="C2530" s="14">
        <v>0</v>
      </c>
      <c r="D2530" s="14">
        <v>0</v>
      </c>
      <c r="E2530" s="14">
        <f t="shared" si="40"/>
        <v>0</v>
      </c>
    </row>
    <row r="2531" spans="1:5" x14ac:dyDescent="0.3">
      <c r="A2531" s="7">
        <v>1001052</v>
      </c>
      <c r="B2531" s="15" t="s">
        <v>2527</v>
      </c>
      <c r="C2531" s="14">
        <v>0</v>
      </c>
      <c r="D2531" s="14">
        <v>0</v>
      </c>
      <c r="E2531" s="14">
        <f t="shared" si="40"/>
        <v>0</v>
      </c>
    </row>
    <row r="2532" spans="1:5" x14ac:dyDescent="0.3">
      <c r="A2532" s="7">
        <v>1001053</v>
      </c>
      <c r="B2532" s="15" t="s">
        <v>2528</v>
      </c>
      <c r="C2532" s="14">
        <v>0</v>
      </c>
      <c r="D2532" s="14">
        <v>0</v>
      </c>
      <c r="E2532" s="14">
        <f t="shared" si="40"/>
        <v>0</v>
      </c>
    </row>
    <row r="2533" spans="1:5" x14ac:dyDescent="0.3">
      <c r="A2533" s="7">
        <v>1001054</v>
      </c>
      <c r="B2533" s="15" t="s">
        <v>2529</v>
      </c>
      <c r="C2533" s="14">
        <v>0</v>
      </c>
      <c r="D2533" s="14">
        <v>0</v>
      </c>
      <c r="E2533" s="14">
        <f t="shared" si="40"/>
        <v>0</v>
      </c>
    </row>
    <row r="2534" spans="1:5" x14ac:dyDescent="0.3">
      <c r="A2534" s="7">
        <v>1001055</v>
      </c>
      <c r="B2534" s="15" t="s">
        <v>2530</v>
      </c>
      <c r="C2534" s="14">
        <v>0</v>
      </c>
      <c r="D2534" s="14">
        <v>0</v>
      </c>
      <c r="E2534" s="14">
        <f t="shared" si="40"/>
        <v>0</v>
      </c>
    </row>
    <row r="2535" spans="1:5" x14ac:dyDescent="0.3">
      <c r="A2535" s="7">
        <v>1001056</v>
      </c>
      <c r="B2535" s="15" t="s">
        <v>2531</v>
      </c>
      <c r="C2535" s="14">
        <v>0</v>
      </c>
      <c r="D2535" s="14">
        <v>0</v>
      </c>
      <c r="E2535" s="14">
        <f t="shared" si="40"/>
        <v>0</v>
      </c>
    </row>
    <row r="2536" spans="1:5" x14ac:dyDescent="0.3">
      <c r="A2536" s="7">
        <v>1001057</v>
      </c>
      <c r="B2536" s="15" t="s">
        <v>2532</v>
      </c>
      <c r="C2536" s="14">
        <v>0</v>
      </c>
      <c r="D2536" s="14">
        <v>0</v>
      </c>
      <c r="E2536" s="14">
        <f t="shared" si="40"/>
        <v>0</v>
      </c>
    </row>
    <row r="2537" spans="1:5" x14ac:dyDescent="0.3">
      <c r="A2537" s="7">
        <v>1001058</v>
      </c>
      <c r="B2537" s="15" t="s">
        <v>2533</v>
      </c>
      <c r="C2537" s="14">
        <v>0</v>
      </c>
      <c r="D2537" s="14">
        <v>0</v>
      </c>
      <c r="E2537" s="14">
        <f t="shared" si="40"/>
        <v>0</v>
      </c>
    </row>
    <row r="2538" spans="1:5" x14ac:dyDescent="0.3">
      <c r="A2538" s="7">
        <v>1001059</v>
      </c>
      <c r="B2538" s="15" t="s">
        <v>2534</v>
      </c>
      <c r="C2538" s="14">
        <v>0</v>
      </c>
      <c r="D2538" s="14">
        <v>0</v>
      </c>
      <c r="E2538" s="14">
        <f t="shared" si="40"/>
        <v>0</v>
      </c>
    </row>
    <row r="2539" spans="1:5" x14ac:dyDescent="0.3">
      <c r="A2539" s="7">
        <v>1001060</v>
      </c>
      <c r="B2539" s="15" t="s">
        <v>2535</v>
      </c>
      <c r="C2539" s="14">
        <v>0</v>
      </c>
      <c r="D2539" s="14">
        <v>0</v>
      </c>
      <c r="E2539" s="14">
        <f t="shared" si="40"/>
        <v>0</v>
      </c>
    </row>
    <row r="2540" spans="1:5" x14ac:dyDescent="0.3">
      <c r="A2540" s="7">
        <v>1001061</v>
      </c>
      <c r="B2540" s="15" t="s">
        <v>2536</v>
      </c>
      <c r="C2540" s="14">
        <v>0</v>
      </c>
      <c r="D2540" s="14">
        <v>0</v>
      </c>
      <c r="E2540" s="14">
        <f t="shared" si="40"/>
        <v>0</v>
      </c>
    </row>
    <row r="2541" spans="1:5" x14ac:dyDescent="0.3">
      <c r="A2541" s="7">
        <v>1001062</v>
      </c>
      <c r="B2541" s="15" t="s">
        <v>2537</v>
      </c>
      <c r="C2541" s="14">
        <v>0</v>
      </c>
      <c r="D2541" s="14">
        <v>0</v>
      </c>
      <c r="E2541" s="14">
        <f t="shared" si="40"/>
        <v>0</v>
      </c>
    </row>
    <row r="2542" spans="1:5" x14ac:dyDescent="0.3">
      <c r="A2542" s="7">
        <v>1001063</v>
      </c>
      <c r="B2542" s="15" t="s">
        <v>2538</v>
      </c>
      <c r="C2542" s="14">
        <v>0</v>
      </c>
      <c r="D2542" s="14">
        <v>0</v>
      </c>
      <c r="E2542" s="14">
        <f t="shared" si="40"/>
        <v>0</v>
      </c>
    </row>
    <row r="2543" spans="1:5" x14ac:dyDescent="0.3">
      <c r="A2543" s="7">
        <v>1001064</v>
      </c>
      <c r="B2543" s="15" t="s">
        <v>2539</v>
      </c>
      <c r="C2543" s="14">
        <v>0</v>
      </c>
      <c r="D2543" s="14">
        <v>0</v>
      </c>
      <c r="E2543" s="14">
        <f t="shared" si="40"/>
        <v>0</v>
      </c>
    </row>
    <row r="2544" spans="1:5" x14ac:dyDescent="0.3">
      <c r="A2544" s="7">
        <v>1001065</v>
      </c>
      <c r="B2544" s="15" t="s">
        <v>2540</v>
      </c>
      <c r="C2544" s="14">
        <v>0</v>
      </c>
      <c r="D2544" s="14">
        <v>0</v>
      </c>
      <c r="E2544" s="14">
        <f t="shared" si="40"/>
        <v>0</v>
      </c>
    </row>
    <row r="2545" spans="1:5" x14ac:dyDescent="0.3">
      <c r="A2545" s="7">
        <v>1001066</v>
      </c>
      <c r="B2545" s="15" t="s">
        <v>2541</v>
      </c>
      <c r="C2545" s="14">
        <v>0</v>
      </c>
      <c r="D2545" s="14">
        <v>0</v>
      </c>
      <c r="E2545" s="14">
        <f t="shared" si="40"/>
        <v>0</v>
      </c>
    </row>
    <row r="2546" spans="1:5" x14ac:dyDescent="0.3">
      <c r="A2546" s="7">
        <v>1001067</v>
      </c>
      <c r="B2546" s="15" t="s">
        <v>2542</v>
      </c>
      <c r="C2546" s="14">
        <v>0</v>
      </c>
      <c r="D2546" s="14">
        <v>0</v>
      </c>
      <c r="E2546" s="14">
        <f t="shared" si="40"/>
        <v>0</v>
      </c>
    </row>
    <row r="2547" spans="1:5" x14ac:dyDescent="0.3">
      <c r="A2547" s="7">
        <v>1001068</v>
      </c>
      <c r="B2547" s="15" t="s">
        <v>2543</v>
      </c>
      <c r="C2547" s="14">
        <v>0</v>
      </c>
      <c r="D2547" s="14">
        <v>0</v>
      </c>
      <c r="E2547" s="14">
        <f t="shared" si="40"/>
        <v>0</v>
      </c>
    </row>
    <row r="2548" spans="1:5" x14ac:dyDescent="0.3">
      <c r="A2548" s="7">
        <v>1001069</v>
      </c>
      <c r="B2548" s="15" t="s">
        <v>2544</v>
      </c>
      <c r="C2548" s="14">
        <v>0</v>
      </c>
      <c r="D2548" s="14">
        <v>0</v>
      </c>
      <c r="E2548" s="14">
        <f t="shared" si="40"/>
        <v>0</v>
      </c>
    </row>
    <row r="2549" spans="1:5" x14ac:dyDescent="0.3">
      <c r="A2549" s="7">
        <v>1001070</v>
      </c>
      <c r="B2549" s="15" t="s">
        <v>2545</v>
      </c>
      <c r="C2549" s="14">
        <v>0</v>
      </c>
      <c r="D2549" s="14">
        <v>0</v>
      </c>
      <c r="E2549" s="14">
        <f t="shared" si="40"/>
        <v>0</v>
      </c>
    </row>
    <row r="2550" spans="1:5" x14ac:dyDescent="0.3">
      <c r="A2550" s="7">
        <v>1001071</v>
      </c>
      <c r="B2550" s="15" t="s">
        <v>2546</v>
      </c>
      <c r="C2550" s="14">
        <v>0</v>
      </c>
      <c r="D2550" s="14">
        <v>0</v>
      </c>
      <c r="E2550" s="14">
        <f t="shared" si="40"/>
        <v>0</v>
      </c>
    </row>
    <row r="2551" spans="1:5" x14ac:dyDescent="0.3">
      <c r="A2551" s="7">
        <v>1001072</v>
      </c>
      <c r="B2551" s="15" t="s">
        <v>2547</v>
      </c>
      <c r="C2551" s="14">
        <v>0</v>
      </c>
      <c r="D2551" s="14">
        <v>0</v>
      </c>
      <c r="E2551" s="14">
        <f t="shared" si="40"/>
        <v>0</v>
      </c>
    </row>
    <row r="2552" spans="1:5" x14ac:dyDescent="0.3">
      <c r="A2552" s="7">
        <v>1001073</v>
      </c>
      <c r="B2552" s="15" t="s">
        <v>2548</v>
      </c>
      <c r="C2552" s="14">
        <v>0</v>
      </c>
      <c r="D2552" s="14">
        <v>0</v>
      </c>
      <c r="E2552" s="14">
        <f t="shared" si="40"/>
        <v>0</v>
      </c>
    </row>
    <row r="2553" spans="1:5" x14ac:dyDescent="0.3">
      <c r="A2553" s="7">
        <v>1001074</v>
      </c>
      <c r="B2553" s="15" t="s">
        <v>2549</v>
      </c>
      <c r="C2553" s="14">
        <v>0</v>
      </c>
      <c r="D2553" s="14">
        <v>0</v>
      </c>
      <c r="E2553" s="14">
        <f t="shared" si="40"/>
        <v>0</v>
      </c>
    </row>
    <row r="2554" spans="1:5" x14ac:dyDescent="0.3">
      <c r="A2554" s="7">
        <v>1001076</v>
      </c>
      <c r="B2554" s="15" t="s">
        <v>2550</v>
      </c>
      <c r="C2554" s="14">
        <v>0</v>
      </c>
      <c r="D2554" s="14">
        <v>0</v>
      </c>
      <c r="E2554" s="14">
        <f t="shared" si="40"/>
        <v>0</v>
      </c>
    </row>
    <row r="2555" spans="1:5" x14ac:dyDescent="0.3">
      <c r="A2555" s="7">
        <v>1001077</v>
      </c>
      <c r="B2555" s="15" t="s">
        <v>2551</v>
      </c>
      <c r="C2555" s="14">
        <v>0</v>
      </c>
      <c r="D2555" s="14">
        <v>0</v>
      </c>
      <c r="E2555" s="14">
        <f t="shared" si="40"/>
        <v>0</v>
      </c>
    </row>
    <row r="2556" spans="1:5" x14ac:dyDescent="0.3">
      <c r="A2556" s="7">
        <v>1001078</v>
      </c>
      <c r="B2556" s="15" t="s">
        <v>2552</v>
      </c>
      <c r="C2556" s="14">
        <v>0</v>
      </c>
      <c r="D2556" s="14">
        <v>0</v>
      </c>
      <c r="E2556" s="14">
        <f t="shared" si="40"/>
        <v>0</v>
      </c>
    </row>
    <row r="2557" spans="1:5" x14ac:dyDescent="0.3">
      <c r="A2557" s="7">
        <v>1001079</v>
      </c>
      <c r="B2557" s="15" t="s">
        <v>2553</v>
      </c>
      <c r="C2557" s="14">
        <v>0</v>
      </c>
      <c r="D2557" s="14">
        <v>0</v>
      </c>
      <c r="E2557" s="14">
        <f t="shared" si="40"/>
        <v>0</v>
      </c>
    </row>
    <row r="2558" spans="1:5" x14ac:dyDescent="0.3">
      <c r="A2558" s="7">
        <v>1001080</v>
      </c>
      <c r="B2558" s="15" t="s">
        <v>2554</v>
      </c>
      <c r="C2558" s="14">
        <v>0</v>
      </c>
      <c r="D2558" s="14">
        <v>0</v>
      </c>
      <c r="E2558" s="14">
        <f t="shared" si="40"/>
        <v>0</v>
      </c>
    </row>
    <row r="2559" spans="1:5" x14ac:dyDescent="0.3">
      <c r="A2559" s="7">
        <v>1001085</v>
      </c>
      <c r="B2559" s="18" t="s">
        <v>2555</v>
      </c>
      <c r="C2559" s="14">
        <v>0</v>
      </c>
      <c r="D2559" s="14">
        <v>0</v>
      </c>
      <c r="E2559" s="14">
        <f t="shared" si="40"/>
        <v>0</v>
      </c>
    </row>
    <row r="2560" spans="1:5" x14ac:dyDescent="0.3">
      <c r="A2560" s="7">
        <v>1001082</v>
      </c>
      <c r="B2560" s="15" t="s">
        <v>2556</v>
      </c>
      <c r="C2560" s="14">
        <v>0</v>
      </c>
      <c r="D2560" s="14">
        <v>0</v>
      </c>
      <c r="E2560" s="14">
        <f t="shared" si="40"/>
        <v>0</v>
      </c>
    </row>
    <row r="2561" spans="1:5" x14ac:dyDescent="0.3">
      <c r="A2561" s="7">
        <v>1001083</v>
      </c>
      <c r="B2561" s="15" t="s">
        <v>2557</v>
      </c>
      <c r="C2561" s="14">
        <v>0</v>
      </c>
      <c r="D2561" s="14">
        <v>0</v>
      </c>
      <c r="E2561" s="14">
        <f t="shared" si="40"/>
        <v>0</v>
      </c>
    </row>
    <row r="2562" spans="1:5" x14ac:dyDescent="0.3">
      <c r="A2562" s="7">
        <v>1001084</v>
      </c>
      <c r="B2562" s="15" t="s">
        <v>2558</v>
      </c>
      <c r="C2562" s="14">
        <v>0</v>
      </c>
      <c r="D2562" s="14">
        <v>0</v>
      </c>
      <c r="E2562" s="14">
        <f t="shared" si="40"/>
        <v>0</v>
      </c>
    </row>
    <row r="2563" spans="1:5" x14ac:dyDescent="0.3">
      <c r="A2563" s="7">
        <v>1001086</v>
      </c>
      <c r="B2563" s="19" t="s">
        <v>2559</v>
      </c>
      <c r="C2563" s="14">
        <v>0</v>
      </c>
      <c r="D2563" s="14">
        <v>0</v>
      </c>
      <c r="E2563" s="14">
        <f t="shared" si="40"/>
        <v>0</v>
      </c>
    </row>
    <row r="2564" spans="1:5" x14ac:dyDescent="0.3">
      <c r="A2564" s="7">
        <v>1001087</v>
      </c>
      <c r="B2564" s="15" t="s">
        <v>2560</v>
      </c>
      <c r="C2564" s="14">
        <v>0</v>
      </c>
      <c r="D2564" s="14">
        <v>0</v>
      </c>
      <c r="E2564" s="14">
        <f t="shared" si="40"/>
        <v>0</v>
      </c>
    </row>
    <row r="2565" spans="1:5" x14ac:dyDescent="0.3">
      <c r="A2565" s="7">
        <v>1001088</v>
      </c>
      <c r="B2565" s="15" t="s">
        <v>2561</v>
      </c>
      <c r="C2565" s="14">
        <v>0</v>
      </c>
      <c r="D2565" s="14">
        <v>0</v>
      </c>
      <c r="E2565" s="14">
        <f t="shared" si="40"/>
        <v>0</v>
      </c>
    </row>
    <row r="2566" spans="1:5" x14ac:dyDescent="0.3">
      <c r="A2566" s="7">
        <v>1001089</v>
      </c>
      <c r="B2566" s="15" t="s">
        <v>2562</v>
      </c>
      <c r="C2566" s="14">
        <v>0</v>
      </c>
      <c r="D2566" s="14">
        <v>0</v>
      </c>
      <c r="E2566" s="14">
        <f t="shared" si="40"/>
        <v>0</v>
      </c>
    </row>
    <row r="2567" spans="1:5" x14ac:dyDescent="0.3">
      <c r="A2567" s="7">
        <v>1001090</v>
      </c>
      <c r="B2567" s="15" t="s">
        <v>2563</v>
      </c>
      <c r="C2567" s="14">
        <v>0</v>
      </c>
      <c r="D2567" s="14">
        <v>0</v>
      </c>
      <c r="E2567" s="14">
        <f t="shared" si="40"/>
        <v>0</v>
      </c>
    </row>
    <row r="2568" spans="1:5" x14ac:dyDescent="0.3">
      <c r="A2568" s="7">
        <v>1001091</v>
      </c>
      <c r="B2568" s="15" t="s">
        <v>2564</v>
      </c>
      <c r="C2568" s="14">
        <v>0</v>
      </c>
      <c r="D2568" s="14">
        <v>0</v>
      </c>
      <c r="E2568" s="14">
        <f t="shared" si="40"/>
        <v>0</v>
      </c>
    </row>
    <row r="2569" spans="1:5" x14ac:dyDescent="0.3">
      <c r="A2569" s="7">
        <v>1001092</v>
      </c>
      <c r="B2569" s="15" t="s">
        <v>2565</v>
      </c>
      <c r="C2569" s="14">
        <v>0</v>
      </c>
      <c r="D2569" s="14">
        <v>0</v>
      </c>
      <c r="E2569" s="14">
        <f t="shared" si="40"/>
        <v>0</v>
      </c>
    </row>
    <row r="2570" spans="1:5" x14ac:dyDescent="0.3">
      <c r="A2570" s="7">
        <v>1001093</v>
      </c>
      <c r="B2570" s="15" t="s">
        <v>2566</v>
      </c>
      <c r="C2570" s="14">
        <v>0</v>
      </c>
      <c r="D2570" s="14">
        <v>0</v>
      </c>
      <c r="E2570" s="14">
        <f t="shared" si="40"/>
        <v>0</v>
      </c>
    </row>
    <row r="2571" spans="1:5" x14ac:dyDescent="0.3">
      <c r="A2571" s="7">
        <v>1001094</v>
      </c>
      <c r="B2571" s="15" t="s">
        <v>2567</v>
      </c>
      <c r="C2571" s="14">
        <v>0</v>
      </c>
      <c r="D2571" s="14">
        <v>0</v>
      </c>
      <c r="E2571" s="14">
        <f t="shared" si="40"/>
        <v>0</v>
      </c>
    </row>
    <row r="2572" spans="1:5" x14ac:dyDescent="0.3">
      <c r="A2572" s="7">
        <v>1001095</v>
      </c>
      <c r="B2572" s="15" t="s">
        <v>2568</v>
      </c>
      <c r="C2572" s="14">
        <v>0</v>
      </c>
      <c r="D2572" s="14">
        <v>0</v>
      </c>
      <c r="E2572" s="14">
        <f t="shared" si="40"/>
        <v>0</v>
      </c>
    </row>
    <row r="2573" spans="1:5" x14ac:dyDescent="0.3">
      <c r="A2573" s="7">
        <v>1001096</v>
      </c>
      <c r="B2573" s="15" t="s">
        <v>2569</v>
      </c>
      <c r="C2573" s="14">
        <v>0</v>
      </c>
      <c r="D2573" s="14">
        <v>0</v>
      </c>
      <c r="E2573" s="14">
        <f t="shared" si="40"/>
        <v>0</v>
      </c>
    </row>
    <row r="2574" spans="1:5" x14ac:dyDescent="0.3">
      <c r="A2574" s="7">
        <v>1001097</v>
      </c>
      <c r="B2574" s="15" t="s">
        <v>2570</v>
      </c>
      <c r="C2574" s="14">
        <v>0</v>
      </c>
      <c r="D2574" s="14">
        <v>0</v>
      </c>
      <c r="E2574" s="14">
        <f t="shared" si="40"/>
        <v>0</v>
      </c>
    </row>
    <row r="2575" spans="1:5" x14ac:dyDescent="0.3">
      <c r="A2575" s="7">
        <v>1001098</v>
      </c>
      <c r="B2575" s="15" t="s">
        <v>2571</v>
      </c>
      <c r="C2575" s="14">
        <v>0</v>
      </c>
      <c r="D2575" s="14">
        <v>0</v>
      </c>
      <c r="E2575" s="14">
        <f t="shared" si="40"/>
        <v>0</v>
      </c>
    </row>
    <row r="2576" spans="1:5" x14ac:dyDescent="0.3">
      <c r="A2576" s="7">
        <v>1001099</v>
      </c>
      <c r="B2576" s="15" t="s">
        <v>2572</v>
      </c>
      <c r="C2576" s="14">
        <v>0</v>
      </c>
      <c r="D2576" s="14">
        <v>0</v>
      </c>
      <c r="E2576" s="14">
        <f t="shared" si="40"/>
        <v>0</v>
      </c>
    </row>
    <row r="2577" spans="1:5" x14ac:dyDescent="0.3">
      <c r="A2577" s="7">
        <v>1001100</v>
      </c>
      <c r="B2577" s="15" t="s">
        <v>2573</v>
      </c>
      <c r="C2577" s="14">
        <v>0</v>
      </c>
      <c r="D2577" s="14">
        <v>0</v>
      </c>
      <c r="E2577" s="14">
        <f t="shared" si="40"/>
        <v>0</v>
      </c>
    </row>
    <row r="2578" spans="1:5" x14ac:dyDescent="0.3">
      <c r="A2578" s="7">
        <v>1001101</v>
      </c>
      <c r="B2578" s="15" t="s">
        <v>2574</v>
      </c>
      <c r="C2578" s="14">
        <v>0</v>
      </c>
      <c r="D2578" s="14">
        <v>0</v>
      </c>
      <c r="E2578" s="14">
        <f t="shared" si="40"/>
        <v>0</v>
      </c>
    </row>
    <row r="2579" spans="1:5" x14ac:dyDescent="0.3">
      <c r="A2579" s="7">
        <v>1001102</v>
      </c>
      <c r="B2579" s="15" t="s">
        <v>2575</v>
      </c>
      <c r="C2579" s="14">
        <v>0</v>
      </c>
      <c r="D2579" s="14">
        <v>0</v>
      </c>
      <c r="E2579" s="14">
        <f t="shared" si="40"/>
        <v>0</v>
      </c>
    </row>
    <row r="2580" spans="1:5" x14ac:dyDescent="0.3">
      <c r="A2580" s="7">
        <v>1001103</v>
      </c>
      <c r="B2580" s="15" t="s">
        <v>2576</v>
      </c>
      <c r="C2580" s="14">
        <v>0</v>
      </c>
      <c r="D2580" s="14">
        <v>0</v>
      </c>
      <c r="E2580" s="14">
        <f t="shared" si="40"/>
        <v>0</v>
      </c>
    </row>
    <row r="2581" spans="1:5" x14ac:dyDescent="0.3">
      <c r="A2581" s="7">
        <v>1001104</v>
      </c>
      <c r="B2581" s="15" t="s">
        <v>2577</v>
      </c>
      <c r="C2581" s="14">
        <v>0</v>
      </c>
      <c r="D2581" s="14">
        <v>0</v>
      </c>
      <c r="E2581" s="14">
        <f t="shared" si="40"/>
        <v>0</v>
      </c>
    </row>
    <row r="2582" spans="1:5" x14ac:dyDescent="0.3">
      <c r="A2582" s="7">
        <v>1001105</v>
      </c>
      <c r="B2582" s="15" t="s">
        <v>2578</v>
      </c>
      <c r="C2582" s="14">
        <v>0</v>
      </c>
      <c r="D2582" s="14">
        <v>0</v>
      </c>
      <c r="E2582" s="14">
        <f t="shared" si="40"/>
        <v>0</v>
      </c>
    </row>
    <row r="2583" spans="1:5" x14ac:dyDescent="0.3">
      <c r="A2583" s="7">
        <v>1001107</v>
      </c>
      <c r="B2583" s="15" t="s">
        <v>2579</v>
      </c>
      <c r="C2583" s="14">
        <v>0</v>
      </c>
      <c r="D2583" s="14">
        <v>0</v>
      </c>
      <c r="E2583" s="14">
        <f t="shared" si="40"/>
        <v>0</v>
      </c>
    </row>
    <row r="2584" spans="1:5" x14ac:dyDescent="0.3">
      <c r="A2584" s="7">
        <v>1001108</v>
      </c>
      <c r="B2584" s="15" t="s">
        <v>2580</v>
      </c>
      <c r="C2584" s="14">
        <v>0</v>
      </c>
      <c r="D2584" s="14">
        <v>0</v>
      </c>
      <c r="E2584" s="14">
        <f t="shared" si="40"/>
        <v>0</v>
      </c>
    </row>
    <row r="2585" spans="1:5" x14ac:dyDescent="0.3">
      <c r="A2585" s="7">
        <v>1001109</v>
      </c>
      <c r="B2585" s="15" t="s">
        <v>2581</v>
      </c>
      <c r="C2585" s="14">
        <v>0</v>
      </c>
      <c r="D2585" s="14">
        <v>0</v>
      </c>
      <c r="E2585" s="14">
        <f t="shared" si="40"/>
        <v>0</v>
      </c>
    </row>
    <row r="2586" spans="1:5" x14ac:dyDescent="0.3">
      <c r="A2586" s="7">
        <v>1001110</v>
      </c>
      <c r="B2586" s="15" t="s">
        <v>2582</v>
      </c>
      <c r="C2586" s="14">
        <v>0</v>
      </c>
      <c r="D2586" s="14">
        <v>0</v>
      </c>
      <c r="E2586" s="14">
        <f t="shared" si="40"/>
        <v>0</v>
      </c>
    </row>
    <row r="2587" spans="1:5" x14ac:dyDescent="0.3">
      <c r="A2587" s="7">
        <v>1001112</v>
      </c>
      <c r="B2587" s="15" t="s">
        <v>2583</v>
      </c>
      <c r="C2587" s="14">
        <v>0</v>
      </c>
      <c r="D2587" s="14">
        <v>0</v>
      </c>
      <c r="E2587" s="14">
        <f t="shared" si="40"/>
        <v>0</v>
      </c>
    </row>
    <row r="2588" spans="1:5" x14ac:dyDescent="0.3">
      <c r="A2588" s="7">
        <v>1001115</v>
      </c>
      <c r="B2588" s="15" t="s">
        <v>2584</v>
      </c>
      <c r="C2588" s="14">
        <v>0</v>
      </c>
      <c r="D2588" s="14">
        <v>0</v>
      </c>
      <c r="E2588" s="14">
        <f t="shared" si="40"/>
        <v>0</v>
      </c>
    </row>
    <row r="2589" spans="1:5" x14ac:dyDescent="0.3">
      <c r="A2589" s="7">
        <v>1001116</v>
      </c>
      <c r="B2589" s="15" t="s">
        <v>2585</v>
      </c>
      <c r="C2589" s="14">
        <v>0</v>
      </c>
      <c r="D2589" s="14">
        <v>0</v>
      </c>
      <c r="E2589" s="14">
        <f t="shared" si="40"/>
        <v>0</v>
      </c>
    </row>
    <row r="2590" spans="1:5" x14ac:dyDescent="0.3">
      <c r="A2590" s="7">
        <v>1001117</v>
      </c>
      <c r="B2590" s="15" t="s">
        <v>2586</v>
      </c>
      <c r="C2590" s="14">
        <v>0</v>
      </c>
      <c r="D2590" s="14">
        <v>0</v>
      </c>
      <c r="E2590" s="14">
        <f t="shared" si="40"/>
        <v>0</v>
      </c>
    </row>
    <row r="2591" spans="1:5" x14ac:dyDescent="0.3">
      <c r="A2591" s="7">
        <v>1001118</v>
      </c>
      <c r="B2591" s="15" t="s">
        <v>2587</v>
      </c>
      <c r="C2591" s="14">
        <v>0</v>
      </c>
      <c r="D2591" s="14">
        <v>0</v>
      </c>
      <c r="E2591" s="14">
        <f t="shared" si="40"/>
        <v>0</v>
      </c>
    </row>
    <row r="2592" spans="1:5" x14ac:dyDescent="0.3">
      <c r="A2592" s="7">
        <v>1001119</v>
      </c>
      <c r="B2592" s="15" t="s">
        <v>2588</v>
      </c>
      <c r="C2592" s="14">
        <v>0</v>
      </c>
      <c r="D2592" s="14">
        <v>0</v>
      </c>
      <c r="E2592" s="14">
        <f t="shared" si="40"/>
        <v>0</v>
      </c>
    </row>
    <row r="2593" spans="1:5" x14ac:dyDescent="0.3">
      <c r="A2593" s="7">
        <v>1001120</v>
      </c>
      <c r="B2593" s="15" t="s">
        <v>2589</v>
      </c>
      <c r="C2593" s="14">
        <v>0</v>
      </c>
      <c r="D2593" s="14">
        <v>0</v>
      </c>
      <c r="E2593" s="14">
        <f t="shared" ref="E2593:E2656" si="41">+MAX(C2593, D2593)</f>
        <v>0</v>
      </c>
    </row>
    <row r="2594" spans="1:5" x14ac:dyDescent="0.3">
      <c r="A2594" s="7">
        <v>1001121</v>
      </c>
      <c r="B2594" s="15" t="s">
        <v>2590</v>
      </c>
      <c r="C2594" s="14">
        <v>0</v>
      </c>
      <c r="D2594" s="14">
        <v>0</v>
      </c>
      <c r="E2594" s="14">
        <f t="shared" si="41"/>
        <v>0</v>
      </c>
    </row>
    <row r="2595" spans="1:5" x14ac:dyDescent="0.3">
      <c r="A2595" s="7">
        <v>1001122</v>
      </c>
      <c r="B2595" s="15" t="s">
        <v>2591</v>
      </c>
      <c r="C2595" s="14">
        <v>0</v>
      </c>
      <c r="D2595" s="14">
        <v>0</v>
      </c>
      <c r="E2595" s="14">
        <f t="shared" si="41"/>
        <v>0</v>
      </c>
    </row>
    <row r="2596" spans="1:5" x14ac:dyDescent="0.3">
      <c r="A2596" s="7">
        <v>1001123</v>
      </c>
      <c r="B2596" s="15" t="s">
        <v>2592</v>
      </c>
      <c r="C2596" s="14">
        <v>0</v>
      </c>
      <c r="D2596" s="14">
        <v>0</v>
      </c>
      <c r="E2596" s="14">
        <f t="shared" si="41"/>
        <v>0</v>
      </c>
    </row>
    <row r="2597" spans="1:5" x14ac:dyDescent="0.3">
      <c r="A2597" s="7">
        <v>1001124</v>
      </c>
      <c r="B2597" s="15" t="s">
        <v>2593</v>
      </c>
      <c r="C2597" s="14">
        <v>0</v>
      </c>
      <c r="D2597" s="14">
        <v>0</v>
      </c>
      <c r="E2597" s="14">
        <f t="shared" si="41"/>
        <v>0</v>
      </c>
    </row>
    <row r="2598" spans="1:5" x14ac:dyDescent="0.3">
      <c r="A2598" s="7">
        <v>1001125</v>
      </c>
      <c r="B2598" s="15" t="s">
        <v>2594</v>
      </c>
      <c r="C2598" s="14">
        <v>0</v>
      </c>
      <c r="D2598" s="14">
        <v>0</v>
      </c>
      <c r="E2598" s="14">
        <f t="shared" si="41"/>
        <v>0</v>
      </c>
    </row>
    <row r="2599" spans="1:5" x14ac:dyDescent="0.3">
      <c r="A2599" s="7">
        <v>1001127</v>
      </c>
      <c r="B2599" s="15" t="s">
        <v>2595</v>
      </c>
      <c r="C2599" s="14">
        <v>0</v>
      </c>
      <c r="D2599" s="14">
        <v>0</v>
      </c>
      <c r="E2599" s="14">
        <f t="shared" si="41"/>
        <v>0</v>
      </c>
    </row>
    <row r="2600" spans="1:5" x14ac:dyDescent="0.3">
      <c r="A2600" s="7">
        <v>1001128</v>
      </c>
      <c r="B2600" s="15" t="s">
        <v>2596</v>
      </c>
      <c r="C2600" s="14">
        <v>0</v>
      </c>
      <c r="D2600" s="14">
        <v>0</v>
      </c>
      <c r="E2600" s="14">
        <f t="shared" si="41"/>
        <v>0</v>
      </c>
    </row>
    <row r="2601" spans="1:5" x14ac:dyDescent="0.3">
      <c r="A2601" s="7">
        <v>1001130</v>
      </c>
      <c r="B2601" s="15" t="s">
        <v>2597</v>
      </c>
      <c r="C2601" s="14">
        <v>0</v>
      </c>
      <c r="D2601" s="14">
        <v>0</v>
      </c>
      <c r="E2601" s="14">
        <f t="shared" si="41"/>
        <v>0</v>
      </c>
    </row>
    <row r="2602" spans="1:5" x14ac:dyDescent="0.3">
      <c r="A2602" s="7">
        <v>1001131</v>
      </c>
      <c r="B2602" s="15" t="s">
        <v>2598</v>
      </c>
      <c r="C2602" s="14">
        <v>0</v>
      </c>
      <c r="D2602" s="14">
        <v>0</v>
      </c>
      <c r="E2602" s="14">
        <f t="shared" si="41"/>
        <v>0</v>
      </c>
    </row>
    <row r="2603" spans="1:5" x14ac:dyDescent="0.3">
      <c r="A2603" s="7">
        <v>1001132</v>
      </c>
      <c r="B2603" s="15" t="s">
        <v>2599</v>
      </c>
      <c r="C2603" s="14">
        <v>0</v>
      </c>
      <c r="D2603" s="14">
        <v>0</v>
      </c>
      <c r="E2603" s="14">
        <f t="shared" si="41"/>
        <v>0</v>
      </c>
    </row>
    <row r="2604" spans="1:5" x14ac:dyDescent="0.3">
      <c r="A2604" s="7">
        <v>1001134</v>
      </c>
      <c r="B2604" s="15" t="s">
        <v>2600</v>
      </c>
      <c r="C2604" s="14">
        <v>0</v>
      </c>
      <c r="D2604" s="14">
        <v>0</v>
      </c>
      <c r="E2604" s="14">
        <f t="shared" si="41"/>
        <v>0</v>
      </c>
    </row>
    <row r="2605" spans="1:5" x14ac:dyDescent="0.3">
      <c r="A2605" s="7">
        <v>1001135</v>
      </c>
      <c r="B2605" s="15" t="s">
        <v>2601</v>
      </c>
      <c r="C2605" s="14">
        <v>0</v>
      </c>
      <c r="D2605" s="14">
        <v>0</v>
      </c>
      <c r="E2605" s="14">
        <f t="shared" si="41"/>
        <v>0</v>
      </c>
    </row>
    <row r="2606" spans="1:5" x14ac:dyDescent="0.3">
      <c r="A2606" s="7">
        <v>1001136</v>
      </c>
      <c r="B2606" s="15" t="s">
        <v>2602</v>
      </c>
      <c r="C2606" s="14">
        <v>0</v>
      </c>
      <c r="D2606" s="14">
        <v>0</v>
      </c>
      <c r="E2606" s="14">
        <f t="shared" si="41"/>
        <v>0</v>
      </c>
    </row>
    <row r="2607" spans="1:5" x14ac:dyDescent="0.3">
      <c r="A2607" s="7">
        <v>1001137</v>
      </c>
      <c r="B2607" s="15" t="s">
        <v>2603</v>
      </c>
      <c r="C2607" s="14">
        <v>0</v>
      </c>
      <c r="D2607" s="14">
        <v>0</v>
      </c>
      <c r="E2607" s="14">
        <f t="shared" si="41"/>
        <v>0</v>
      </c>
    </row>
    <row r="2608" spans="1:5" x14ac:dyDescent="0.3">
      <c r="A2608" s="7">
        <v>1001138</v>
      </c>
      <c r="B2608" s="15" t="s">
        <v>2604</v>
      </c>
      <c r="C2608" s="14">
        <v>0</v>
      </c>
      <c r="D2608" s="14">
        <v>0</v>
      </c>
      <c r="E2608" s="14">
        <f t="shared" si="41"/>
        <v>0</v>
      </c>
    </row>
    <row r="2609" spans="1:5" x14ac:dyDescent="0.3">
      <c r="A2609" s="7">
        <v>1001139</v>
      </c>
      <c r="B2609" s="15" t="s">
        <v>2605</v>
      </c>
      <c r="C2609" s="14">
        <v>0</v>
      </c>
      <c r="D2609" s="14">
        <v>0</v>
      </c>
      <c r="E2609" s="14">
        <f t="shared" si="41"/>
        <v>0</v>
      </c>
    </row>
    <row r="2610" spans="1:5" x14ac:dyDescent="0.3">
      <c r="A2610" s="7">
        <v>1001140</v>
      </c>
      <c r="B2610" s="15" t="s">
        <v>2606</v>
      </c>
      <c r="C2610" s="14">
        <v>0</v>
      </c>
      <c r="D2610" s="14">
        <v>0</v>
      </c>
      <c r="E2610" s="14">
        <f t="shared" si="41"/>
        <v>0</v>
      </c>
    </row>
    <row r="2611" spans="1:5" x14ac:dyDescent="0.3">
      <c r="A2611" s="7">
        <v>1001142</v>
      </c>
      <c r="B2611" s="15" t="s">
        <v>2607</v>
      </c>
      <c r="C2611" s="14">
        <v>0</v>
      </c>
      <c r="D2611" s="14">
        <v>0</v>
      </c>
      <c r="E2611" s="14">
        <f t="shared" si="41"/>
        <v>0</v>
      </c>
    </row>
    <row r="2612" spans="1:5" x14ac:dyDescent="0.3">
      <c r="A2612" s="7">
        <v>1001143</v>
      </c>
      <c r="B2612" s="15" t="s">
        <v>2608</v>
      </c>
      <c r="C2612" s="14">
        <v>0</v>
      </c>
      <c r="D2612" s="14">
        <v>0</v>
      </c>
      <c r="E2612" s="14">
        <f t="shared" si="41"/>
        <v>0</v>
      </c>
    </row>
    <row r="2613" spans="1:5" x14ac:dyDescent="0.3">
      <c r="A2613" s="7">
        <v>1001144</v>
      </c>
      <c r="B2613" s="15" t="s">
        <v>2609</v>
      </c>
      <c r="C2613" s="14">
        <v>0</v>
      </c>
      <c r="D2613" s="14">
        <v>0</v>
      </c>
      <c r="E2613" s="14">
        <f t="shared" si="41"/>
        <v>0</v>
      </c>
    </row>
    <row r="2614" spans="1:5" x14ac:dyDescent="0.3">
      <c r="A2614" s="7">
        <v>1001145</v>
      </c>
      <c r="B2614" s="15" t="s">
        <v>2610</v>
      </c>
      <c r="C2614" s="14">
        <v>0</v>
      </c>
      <c r="D2614" s="14">
        <v>0</v>
      </c>
      <c r="E2614" s="14">
        <f t="shared" si="41"/>
        <v>0</v>
      </c>
    </row>
    <row r="2615" spans="1:5" x14ac:dyDescent="0.3">
      <c r="A2615" s="7">
        <v>1001146</v>
      </c>
      <c r="B2615" s="15" t="s">
        <v>2611</v>
      </c>
      <c r="C2615" s="14">
        <v>0</v>
      </c>
      <c r="D2615" s="14">
        <v>0</v>
      </c>
      <c r="E2615" s="14">
        <f t="shared" si="41"/>
        <v>0</v>
      </c>
    </row>
    <row r="2616" spans="1:5" x14ac:dyDescent="0.3">
      <c r="A2616" s="7">
        <v>1001147</v>
      </c>
      <c r="B2616" s="15" t="s">
        <v>2612</v>
      </c>
      <c r="C2616" s="14">
        <v>0</v>
      </c>
      <c r="D2616" s="14">
        <v>0</v>
      </c>
      <c r="E2616" s="14">
        <f t="shared" si="41"/>
        <v>0</v>
      </c>
    </row>
    <row r="2617" spans="1:5" x14ac:dyDescent="0.3">
      <c r="A2617" s="7">
        <v>1001148</v>
      </c>
      <c r="B2617" s="15" t="s">
        <v>2613</v>
      </c>
      <c r="C2617" s="14">
        <v>0</v>
      </c>
      <c r="D2617" s="14">
        <v>0</v>
      </c>
      <c r="E2617" s="14">
        <f t="shared" si="41"/>
        <v>0</v>
      </c>
    </row>
    <row r="2618" spans="1:5" x14ac:dyDescent="0.3">
      <c r="A2618" s="7">
        <v>1001150</v>
      </c>
      <c r="B2618" s="15" t="s">
        <v>2614</v>
      </c>
      <c r="C2618" s="14">
        <v>0</v>
      </c>
      <c r="D2618" s="14">
        <v>0</v>
      </c>
      <c r="E2618" s="14">
        <f t="shared" si="41"/>
        <v>0</v>
      </c>
    </row>
    <row r="2619" spans="1:5" x14ac:dyDescent="0.3">
      <c r="A2619" s="7">
        <v>1001151</v>
      </c>
      <c r="B2619" s="15" t="s">
        <v>2615</v>
      </c>
      <c r="C2619" s="14">
        <v>0</v>
      </c>
      <c r="D2619" s="14">
        <v>0</v>
      </c>
      <c r="E2619" s="14">
        <f t="shared" si="41"/>
        <v>0</v>
      </c>
    </row>
    <row r="2620" spans="1:5" x14ac:dyDescent="0.3">
      <c r="A2620" s="7">
        <v>1001152</v>
      </c>
      <c r="B2620" s="15" t="s">
        <v>2616</v>
      </c>
      <c r="C2620" s="14">
        <v>0</v>
      </c>
      <c r="D2620" s="14">
        <v>0</v>
      </c>
      <c r="E2620" s="14">
        <f t="shared" si="41"/>
        <v>0</v>
      </c>
    </row>
    <row r="2621" spans="1:5" x14ac:dyDescent="0.3">
      <c r="A2621" s="7">
        <v>1001154</v>
      </c>
      <c r="B2621" s="15" t="s">
        <v>2617</v>
      </c>
      <c r="C2621" s="14">
        <v>0</v>
      </c>
      <c r="D2621" s="14">
        <v>0</v>
      </c>
      <c r="E2621" s="14">
        <f t="shared" si="41"/>
        <v>0</v>
      </c>
    </row>
    <row r="2622" spans="1:5" x14ac:dyDescent="0.3">
      <c r="A2622" s="7">
        <v>1001155</v>
      </c>
      <c r="B2622" s="15" t="s">
        <v>2618</v>
      </c>
      <c r="C2622" s="14">
        <v>0</v>
      </c>
      <c r="D2622" s="14">
        <v>0</v>
      </c>
      <c r="E2622" s="14">
        <f t="shared" si="41"/>
        <v>0</v>
      </c>
    </row>
    <row r="2623" spans="1:5" x14ac:dyDescent="0.3">
      <c r="A2623" s="7">
        <v>1001156</v>
      </c>
      <c r="B2623" s="15" t="s">
        <v>2619</v>
      </c>
      <c r="C2623" s="14">
        <v>0</v>
      </c>
      <c r="D2623" s="14">
        <v>0</v>
      </c>
      <c r="E2623" s="14">
        <f t="shared" si="41"/>
        <v>0</v>
      </c>
    </row>
    <row r="2624" spans="1:5" x14ac:dyDescent="0.3">
      <c r="A2624" s="7">
        <v>1001157</v>
      </c>
      <c r="B2624" s="15" t="s">
        <v>2620</v>
      </c>
      <c r="C2624" s="14">
        <v>0</v>
      </c>
      <c r="D2624" s="14">
        <v>0</v>
      </c>
      <c r="E2624" s="14">
        <f t="shared" si="41"/>
        <v>0</v>
      </c>
    </row>
    <row r="2625" spans="1:25" x14ac:dyDescent="0.3">
      <c r="A2625" s="7">
        <v>1001158</v>
      </c>
      <c r="B2625" s="15" t="s">
        <v>2621</v>
      </c>
      <c r="C2625" s="14">
        <v>0</v>
      </c>
      <c r="D2625" s="14">
        <v>0</v>
      </c>
      <c r="E2625" s="14">
        <f t="shared" si="41"/>
        <v>0</v>
      </c>
    </row>
    <row r="2626" spans="1:25" x14ac:dyDescent="0.3">
      <c r="A2626" s="7">
        <v>1001159</v>
      </c>
      <c r="B2626" s="15" t="s">
        <v>2622</v>
      </c>
      <c r="C2626" s="14">
        <v>0</v>
      </c>
      <c r="D2626" s="14">
        <v>0</v>
      </c>
      <c r="E2626" s="14">
        <f t="shared" si="41"/>
        <v>0</v>
      </c>
    </row>
    <row r="2627" spans="1:25" x14ac:dyDescent="0.3">
      <c r="A2627" s="7">
        <v>1001160</v>
      </c>
      <c r="B2627" s="15" t="s">
        <v>2623</v>
      </c>
      <c r="C2627" s="14">
        <v>0</v>
      </c>
      <c r="D2627" s="14">
        <v>0</v>
      </c>
      <c r="E2627" s="14">
        <f t="shared" si="41"/>
        <v>0</v>
      </c>
    </row>
    <row r="2628" spans="1:25" x14ac:dyDescent="0.3">
      <c r="A2628" s="7">
        <v>1001161</v>
      </c>
      <c r="B2628" s="15" t="s">
        <v>2624</v>
      </c>
      <c r="C2628" s="14">
        <v>0</v>
      </c>
      <c r="D2628" s="14">
        <v>0</v>
      </c>
      <c r="E2628" s="14">
        <f t="shared" si="41"/>
        <v>0</v>
      </c>
    </row>
    <row r="2629" spans="1:25" x14ac:dyDescent="0.3">
      <c r="A2629" s="7">
        <v>1001162</v>
      </c>
      <c r="B2629" s="15" t="s">
        <v>2625</v>
      </c>
      <c r="C2629" s="14">
        <v>0</v>
      </c>
      <c r="D2629" s="14">
        <v>0</v>
      </c>
      <c r="E2629" s="14">
        <f t="shared" si="41"/>
        <v>0</v>
      </c>
    </row>
    <row r="2630" spans="1:25" x14ac:dyDescent="0.3">
      <c r="A2630" s="7">
        <v>1001163</v>
      </c>
      <c r="B2630" s="15" t="s">
        <v>2626</v>
      </c>
      <c r="C2630" s="14">
        <v>0</v>
      </c>
      <c r="D2630" s="14">
        <v>0</v>
      </c>
      <c r="E2630" s="14">
        <f t="shared" si="41"/>
        <v>0</v>
      </c>
    </row>
    <row r="2631" spans="1:25" x14ac:dyDescent="0.3">
      <c r="A2631" s="7">
        <v>1001164</v>
      </c>
      <c r="B2631" s="15" t="s">
        <v>2627</v>
      </c>
      <c r="C2631" s="14">
        <v>0</v>
      </c>
      <c r="D2631" s="14">
        <v>0</v>
      </c>
      <c r="E2631" s="14">
        <f t="shared" si="41"/>
        <v>0</v>
      </c>
      <c r="F2631" t="s">
        <v>1689</v>
      </c>
      <c r="G2631">
        <v>281</v>
      </c>
      <c r="H2631">
        <v>1000</v>
      </c>
      <c r="I2631">
        <v>2001</v>
      </c>
      <c r="J2631">
        <v>3</v>
      </c>
      <c r="L2631" s="10">
        <v>5734800</v>
      </c>
      <c r="M2631">
        <v>419743</v>
      </c>
      <c r="N2631" t="s">
        <v>3640</v>
      </c>
      <c r="O2631">
        <v>4900686012</v>
      </c>
      <c r="P2631" t="s">
        <v>3641</v>
      </c>
      <c r="R2631" t="s">
        <v>3642</v>
      </c>
      <c r="U2631" t="s">
        <v>3643</v>
      </c>
      <c r="V2631" t="s">
        <v>3640</v>
      </c>
      <c r="W2631" t="s">
        <v>3640</v>
      </c>
      <c r="X2631" s="52">
        <v>0.44538194444444446</v>
      </c>
      <c r="Y2631" t="s">
        <v>3644</v>
      </c>
    </row>
    <row r="2632" spans="1:25" x14ac:dyDescent="0.3">
      <c r="A2632" s="7">
        <v>1001165</v>
      </c>
      <c r="B2632" s="15" t="s">
        <v>2628</v>
      </c>
      <c r="C2632" s="14">
        <v>0</v>
      </c>
      <c r="D2632" s="14">
        <v>0</v>
      </c>
      <c r="E2632" s="14">
        <f t="shared" si="41"/>
        <v>0</v>
      </c>
    </row>
    <row r="2633" spans="1:25" x14ac:dyDescent="0.3">
      <c r="A2633" s="7">
        <v>1001166</v>
      </c>
      <c r="B2633" s="15" t="s">
        <v>2629</v>
      </c>
      <c r="C2633" s="14">
        <v>0</v>
      </c>
      <c r="D2633" s="14">
        <v>0</v>
      </c>
      <c r="E2633" s="14">
        <f t="shared" si="41"/>
        <v>0</v>
      </c>
    </row>
    <row r="2634" spans="1:25" x14ac:dyDescent="0.3">
      <c r="A2634" s="7">
        <v>1001167</v>
      </c>
      <c r="B2634" s="15" t="s">
        <v>2630</v>
      </c>
      <c r="C2634" s="14">
        <v>0</v>
      </c>
      <c r="D2634" s="14">
        <v>0</v>
      </c>
      <c r="E2634" s="14">
        <f t="shared" si="41"/>
        <v>0</v>
      </c>
    </row>
    <row r="2635" spans="1:25" x14ac:dyDescent="0.3">
      <c r="A2635" s="7">
        <v>1001168</v>
      </c>
      <c r="B2635" s="15" t="s">
        <v>2631</v>
      </c>
      <c r="C2635" s="14">
        <v>0</v>
      </c>
      <c r="D2635" s="14">
        <v>0</v>
      </c>
      <c r="E2635" s="14">
        <f t="shared" si="41"/>
        <v>0</v>
      </c>
    </row>
    <row r="2636" spans="1:25" x14ac:dyDescent="0.3">
      <c r="A2636" s="7">
        <v>1001169</v>
      </c>
      <c r="B2636" s="15" t="s">
        <v>2632</v>
      </c>
      <c r="C2636" s="14">
        <v>0</v>
      </c>
      <c r="D2636" s="14">
        <v>0</v>
      </c>
      <c r="E2636" s="14">
        <f t="shared" si="41"/>
        <v>0</v>
      </c>
    </row>
    <row r="2637" spans="1:25" x14ac:dyDescent="0.3">
      <c r="A2637" s="7">
        <v>1001170</v>
      </c>
      <c r="B2637" s="15" t="s">
        <v>2633</v>
      </c>
      <c r="C2637" s="14">
        <v>0</v>
      </c>
      <c r="D2637" s="14">
        <v>0</v>
      </c>
      <c r="E2637" s="14">
        <f t="shared" si="41"/>
        <v>0</v>
      </c>
    </row>
    <row r="2638" spans="1:25" x14ac:dyDescent="0.3">
      <c r="A2638" s="7">
        <v>1001172</v>
      </c>
      <c r="B2638" s="15" t="s">
        <v>2634</v>
      </c>
      <c r="C2638" s="14">
        <v>0</v>
      </c>
      <c r="D2638" s="14">
        <v>0</v>
      </c>
      <c r="E2638" s="14">
        <f t="shared" si="41"/>
        <v>0</v>
      </c>
    </row>
    <row r="2639" spans="1:25" x14ac:dyDescent="0.3">
      <c r="A2639" s="7">
        <v>1001173</v>
      </c>
      <c r="B2639" s="15" t="s">
        <v>2635</v>
      </c>
      <c r="C2639" s="14">
        <v>0</v>
      </c>
      <c r="D2639" s="14">
        <v>0</v>
      </c>
      <c r="E2639" s="14">
        <f t="shared" si="41"/>
        <v>0</v>
      </c>
    </row>
    <row r="2640" spans="1:25" x14ac:dyDescent="0.3">
      <c r="A2640" s="7">
        <v>1001174</v>
      </c>
      <c r="B2640" s="15" t="s">
        <v>2636</v>
      </c>
      <c r="C2640" s="14">
        <v>0</v>
      </c>
      <c r="D2640" s="14">
        <v>0</v>
      </c>
      <c r="E2640" s="14">
        <f t="shared" si="41"/>
        <v>0</v>
      </c>
    </row>
    <row r="2641" spans="1:5" x14ac:dyDescent="0.3">
      <c r="A2641" s="7">
        <v>1001176</v>
      </c>
      <c r="B2641" s="15" t="s">
        <v>2637</v>
      </c>
      <c r="C2641" s="14">
        <v>0</v>
      </c>
      <c r="D2641" s="14">
        <v>0</v>
      </c>
      <c r="E2641" s="14">
        <f t="shared" si="41"/>
        <v>0</v>
      </c>
    </row>
    <row r="2642" spans="1:5" x14ac:dyDescent="0.3">
      <c r="A2642" s="7">
        <v>1001177</v>
      </c>
      <c r="B2642" s="15" t="s">
        <v>2638</v>
      </c>
      <c r="C2642" s="14">
        <v>0</v>
      </c>
      <c r="D2642" s="14">
        <v>0</v>
      </c>
      <c r="E2642" s="14">
        <f t="shared" si="41"/>
        <v>0</v>
      </c>
    </row>
    <row r="2643" spans="1:5" x14ac:dyDescent="0.3">
      <c r="A2643" s="7">
        <v>1001179</v>
      </c>
      <c r="B2643" s="15" t="s">
        <v>2639</v>
      </c>
      <c r="C2643" s="14">
        <v>0</v>
      </c>
      <c r="D2643" s="14">
        <v>0</v>
      </c>
      <c r="E2643" s="14">
        <f t="shared" si="41"/>
        <v>0</v>
      </c>
    </row>
    <row r="2644" spans="1:5" x14ac:dyDescent="0.3">
      <c r="A2644" s="7">
        <v>1001180</v>
      </c>
      <c r="B2644" s="15" t="s">
        <v>2640</v>
      </c>
      <c r="C2644" s="14">
        <v>0</v>
      </c>
      <c r="D2644" s="14">
        <v>0</v>
      </c>
      <c r="E2644" s="14">
        <f t="shared" si="41"/>
        <v>0</v>
      </c>
    </row>
    <row r="2645" spans="1:5" x14ac:dyDescent="0.3">
      <c r="A2645" s="7">
        <v>1001181</v>
      </c>
      <c r="B2645" s="15" t="s">
        <v>2641</v>
      </c>
      <c r="C2645" s="14">
        <v>0</v>
      </c>
      <c r="D2645" s="14">
        <v>0</v>
      </c>
      <c r="E2645" s="14">
        <f t="shared" si="41"/>
        <v>0</v>
      </c>
    </row>
    <row r="2646" spans="1:5" x14ac:dyDescent="0.3">
      <c r="A2646" s="7">
        <v>1001185</v>
      </c>
      <c r="B2646" s="15" t="s">
        <v>2642</v>
      </c>
      <c r="C2646" s="14">
        <v>0</v>
      </c>
      <c r="D2646" s="14">
        <v>0</v>
      </c>
      <c r="E2646" s="14">
        <f t="shared" si="41"/>
        <v>0</v>
      </c>
    </row>
    <row r="2647" spans="1:5" x14ac:dyDescent="0.3">
      <c r="A2647" s="7">
        <v>1001186</v>
      </c>
      <c r="B2647" s="15" t="s">
        <v>2643</v>
      </c>
      <c r="C2647" s="14">
        <v>0</v>
      </c>
      <c r="D2647" s="14">
        <v>0</v>
      </c>
      <c r="E2647" s="14">
        <f t="shared" si="41"/>
        <v>0</v>
      </c>
    </row>
    <row r="2648" spans="1:5" x14ac:dyDescent="0.3">
      <c r="A2648" s="7">
        <v>1001189</v>
      </c>
      <c r="B2648" s="15" t="s">
        <v>2644</v>
      </c>
      <c r="C2648" s="14">
        <v>0</v>
      </c>
      <c r="D2648" s="14">
        <v>0</v>
      </c>
      <c r="E2648" s="14">
        <f t="shared" si="41"/>
        <v>0</v>
      </c>
    </row>
    <row r="2649" spans="1:5" x14ac:dyDescent="0.3">
      <c r="A2649" s="7">
        <v>1001192</v>
      </c>
      <c r="B2649" s="15" t="s">
        <v>2645</v>
      </c>
      <c r="C2649" s="14">
        <v>0</v>
      </c>
      <c r="D2649" s="14">
        <v>0</v>
      </c>
      <c r="E2649" s="14">
        <f t="shared" si="41"/>
        <v>0</v>
      </c>
    </row>
    <row r="2650" spans="1:5" x14ac:dyDescent="0.3">
      <c r="A2650" s="7">
        <v>1001193</v>
      </c>
      <c r="B2650" s="15" t="s">
        <v>2646</v>
      </c>
      <c r="C2650" s="14">
        <v>0</v>
      </c>
      <c r="D2650" s="14">
        <v>0</v>
      </c>
      <c r="E2650" s="14">
        <f t="shared" si="41"/>
        <v>0</v>
      </c>
    </row>
    <row r="2651" spans="1:5" x14ac:dyDescent="0.3">
      <c r="A2651" s="7">
        <v>1001195</v>
      </c>
      <c r="B2651" s="15" t="s">
        <v>2647</v>
      </c>
      <c r="C2651" s="14">
        <v>0</v>
      </c>
      <c r="D2651" s="14">
        <v>0</v>
      </c>
      <c r="E2651" s="14">
        <f t="shared" si="41"/>
        <v>0</v>
      </c>
    </row>
    <row r="2652" spans="1:5" x14ac:dyDescent="0.3">
      <c r="A2652" s="7">
        <v>1001200</v>
      </c>
      <c r="B2652" s="15" t="s">
        <v>2648</v>
      </c>
      <c r="C2652" s="14">
        <v>0</v>
      </c>
      <c r="D2652" s="14">
        <v>0</v>
      </c>
      <c r="E2652" s="14">
        <f t="shared" si="41"/>
        <v>0</v>
      </c>
    </row>
    <row r="2653" spans="1:5" x14ac:dyDescent="0.3">
      <c r="A2653" s="7">
        <v>1001202</v>
      </c>
      <c r="B2653" s="15" t="s">
        <v>2649</v>
      </c>
      <c r="C2653" s="14">
        <v>0</v>
      </c>
      <c r="D2653" s="14">
        <v>0</v>
      </c>
      <c r="E2653" s="14">
        <f t="shared" si="41"/>
        <v>0</v>
      </c>
    </row>
    <row r="2654" spans="1:5" x14ac:dyDescent="0.3">
      <c r="A2654" s="7">
        <v>1001207</v>
      </c>
      <c r="B2654" s="15" t="s">
        <v>2650</v>
      </c>
      <c r="C2654" s="14">
        <v>0</v>
      </c>
      <c r="D2654" s="14">
        <v>0</v>
      </c>
      <c r="E2654" s="14">
        <f t="shared" si="41"/>
        <v>0</v>
      </c>
    </row>
    <row r="2655" spans="1:5" x14ac:dyDescent="0.3">
      <c r="A2655" s="7">
        <v>1001208</v>
      </c>
      <c r="B2655" s="15" t="s">
        <v>2651</v>
      </c>
      <c r="C2655" s="14">
        <v>0</v>
      </c>
      <c r="D2655" s="14">
        <v>0</v>
      </c>
      <c r="E2655" s="14">
        <f t="shared" si="41"/>
        <v>0</v>
      </c>
    </row>
    <row r="2656" spans="1:5" x14ac:dyDescent="0.3">
      <c r="A2656" s="7">
        <v>1001209</v>
      </c>
      <c r="B2656" s="15" t="s">
        <v>2652</v>
      </c>
      <c r="C2656" s="14">
        <v>0</v>
      </c>
      <c r="D2656" s="14">
        <v>0</v>
      </c>
      <c r="E2656" s="14">
        <f t="shared" si="41"/>
        <v>0</v>
      </c>
    </row>
    <row r="2657" spans="1:5" x14ac:dyDescent="0.3">
      <c r="A2657" s="7">
        <v>1001210</v>
      </c>
      <c r="B2657" s="15" t="s">
        <v>2653</v>
      </c>
      <c r="C2657" s="14">
        <v>0</v>
      </c>
      <c r="D2657" s="14">
        <v>0</v>
      </c>
      <c r="E2657" s="14">
        <f t="shared" ref="E2657:E2720" si="42">+MAX(C2657, D2657)</f>
        <v>0</v>
      </c>
    </row>
    <row r="2658" spans="1:5" x14ac:dyDescent="0.3">
      <c r="A2658" s="7">
        <v>1001211</v>
      </c>
      <c r="B2658" s="15" t="s">
        <v>2654</v>
      </c>
      <c r="C2658" s="14">
        <v>0</v>
      </c>
      <c r="D2658" s="14">
        <v>0</v>
      </c>
      <c r="E2658" s="14">
        <f t="shared" si="42"/>
        <v>0</v>
      </c>
    </row>
    <row r="2659" spans="1:5" x14ac:dyDescent="0.3">
      <c r="A2659" s="7">
        <v>1001213</v>
      </c>
      <c r="B2659" s="15" t="s">
        <v>2655</v>
      </c>
      <c r="C2659" s="14">
        <v>0</v>
      </c>
      <c r="D2659" s="14">
        <v>0</v>
      </c>
      <c r="E2659" s="14">
        <f t="shared" si="42"/>
        <v>0</v>
      </c>
    </row>
    <row r="2660" spans="1:5" x14ac:dyDescent="0.3">
      <c r="A2660" s="7">
        <v>1001214</v>
      </c>
      <c r="B2660" s="15" t="s">
        <v>2656</v>
      </c>
      <c r="C2660" s="14">
        <v>0</v>
      </c>
      <c r="D2660" s="14">
        <v>0</v>
      </c>
      <c r="E2660" s="14">
        <f t="shared" si="42"/>
        <v>0</v>
      </c>
    </row>
    <row r="2661" spans="1:5" x14ac:dyDescent="0.3">
      <c r="A2661" s="7">
        <v>1001215</v>
      </c>
      <c r="B2661" s="15" t="s">
        <v>2657</v>
      </c>
      <c r="C2661" s="14">
        <v>0</v>
      </c>
      <c r="D2661" s="14">
        <v>0</v>
      </c>
      <c r="E2661" s="14">
        <f t="shared" si="42"/>
        <v>0</v>
      </c>
    </row>
    <row r="2662" spans="1:5" x14ac:dyDescent="0.3">
      <c r="A2662" s="7">
        <v>1001216</v>
      </c>
      <c r="B2662" s="15" t="s">
        <v>2658</v>
      </c>
      <c r="C2662" s="14">
        <v>0</v>
      </c>
      <c r="D2662" s="14">
        <v>0</v>
      </c>
      <c r="E2662" s="14">
        <f t="shared" si="42"/>
        <v>0</v>
      </c>
    </row>
    <row r="2663" spans="1:5" x14ac:dyDescent="0.3">
      <c r="A2663" s="7">
        <v>1001218</v>
      </c>
      <c r="B2663" s="15" t="s">
        <v>2659</v>
      </c>
      <c r="C2663" s="14">
        <v>0</v>
      </c>
      <c r="D2663" s="14">
        <v>0</v>
      </c>
      <c r="E2663" s="14">
        <f t="shared" si="42"/>
        <v>0</v>
      </c>
    </row>
    <row r="2664" spans="1:5" x14ac:dyDescent="0.3">
      <c r="A2664" s="7">
        <v>1001237</v>
      </c>
      <c r="B2664" s="15" t="s">
        <v>2660</v>
      </c>
      <c r="C2664" s="14">
        <v>0</v>
      </c>
      <c r="D2664" s="14">
        <v>0</v>
      </c>
      <c r="E2664" s="14">
        <f t="shared" si="42"/>
        <v>0</v>
      </c>
    </row>
    <row r="2665" spans="1:5" x14ac:dyDescent="0.3">
      <c r="A2665" s="7">
        <v>1001239</v>
      </c>
      <c r="B2665" s="15" t="s">
        <v>2661</v>
      </c>
      <c r="C2665" s="14">
        <v>0</v>
      </c>
      <c r="D2665" s="14">
        <v>0</v>
      </c>
      <c r="E2665" s="14">
        <f t="shared" si="42"/>
        <v>0</v>
      </c>
    </row>
    <row r="2666" spans="1:5" x14ac:dyDescent="0.3">
      <c r="A2666" s="7">
        <v>1001240</v>
      </c>
      <c r="B2666" s="15" t="s">
        <v>2662</v>
      </c>
      <c r="C2666" s="14">
        <v>0</v>
      </c>
      <c r="D2666" s="14">
        <v>0</v>
      </c>
      <c r="E2666" s="14">
        <f t="shared" si="42"/>
        <v>0</v>
      </c>
    </row>
    <row r="2667" spans="1:5" x14ac:dyDescent="0.3">
      <c r="A2667" s="7">
        <v>1001247</v>
      </c>
      <c r="B2667" s="15" t="s">
        <v>2663</v>
      </c>
      <c r="C2667" s="14">
        <v>0</v>
      </c>
      <c r="D2667" s="14">
        <v>0</v>
      </c>
      <c r="E2667" s="14">
        <f t="shared" si="42"/>
        <v>0</v>
      </c>
    </row>
    <row r="2668" spans="1:5" x14ac:dyDescent="0.3">
      <c r="A2668" s="7">
        <v>1001248</v>
      </c>
      <c r="B2668" s="15" t="s">
        <v>2664</v>
      </c>
      <c r="C2668" s="14">
        <v>0</v>
      </c>
      <c r="D2668" s="14">
        <v>0</v>
      </c>
      <c r="E2668" s="14">
        <f t="shared" si="42"/>
        <v>0</v>
      </c>
    </row>
    <row r="2669" spans="1:5" x14ac:dyDescent="0.3">
      <c r="A2669" s="7">
        <v>1001249</v>
      </c>
      <c r="B2669" s="15" t="s">
        <v>2665</v>
      </c>
      <c r="C2669" s="14">
        <v>0</v>
      </c>
      <c r="D2669" s="14">
        <v>0</v>
      </c>
      <c r="E2669" s="14">
        <f t="shared" si="42"/>
        <v>0</v>
      </c>
    </row>
    <row r="2670" spans="1:5" x14ac:dyDescent="0.3">
      <c r="A2670" s="7">
        <v>1001250</v>
      </c>
      <c r="B2670" s="15" t="s">
        <v>2666</v>
      </c>
      <c r="C2670" s="14">
        <v>0</v>
      </c>
      <c r="D2670" s="14">
        <v>0</v>
      </c>
      <c r="E2670" s="14">
        <f t="shared" si="42"/>
        <v>0</v>
      </c>
    </row>
    <row r="2671" spans="1:5" x14ac:dyDescent="0.3">
      <c r="A2671" s="7">
        <v>1001251</v>
      </c>
      <c r="B2671" s="15" t="s">
        <v>2667</v>
      </c>
      <c r="C2671" s="14">
        <v>0</v>
      </c>
      <c r="D2671" s="14">
        <v>0</v>
      </c>
      <c r="E2671" s="14">
        <f t="shared" si="42"/>
        <v>0</v>
      </c>
    </row>
    <row r="2672" spans="1:5" x14ac:dyDescent="0.3">
      <c r="A2672" s="7">
        <v>1001252</v>
      </c>
      <c r="B2672" s="15" t="s">
        <v>2668</v>
      </c>
      <c r="C2672" s="14">
        <v>0</v>
      </c>
      <c r="D2672" s="14">
        <v>0</v>
      </c>
      <c r="E2672" s="14">
        <f t="shared" si="42"/>
        <v>0</v>
      </c>
    </row>
    <row r="2673" spans="1:5" x14ac:dyDescent="0.3">
      <c r="A2673" s="7">
        <v>1001255</v>
      </c>
      <c r="B2673" s="15" t="s">
        <v>2669</v>
      </c>
      <c r="C2673" s="14">
        <v>0</v>
      </c>
      <c r="D2673" s="14">
        <v>0</v>
      </c>
      <c r="E2673" s="14">
        <f t="shared" si="42"/>
        <v>0</v>
      </c>
    </row>
    <row r="2674" spans="1:5" x14ac:dyDescent="0.3">
      <c r="A2674" s="7">
        <v>1001258</v>
      </c>
      <c r="B2674" s="15" t="s">
        <v>2670</v>
      </c>
      <c r="C2674" s="14">
        <v>0</v>
      </c>
      <c r="D2674" s="14">
        <v>0</v>
      </c>
      <c r="E2674" s="14">
        <f t="shared" si="42"/>
        <v>0</v>
      </c>
    </row>
    <row r="2675" spans="1:5" x14ac:dyDescent="0.3">
      <c r="A2675" s="7">
        <v>1001260</v>
      </c>
      <c r="B2675" s="15" t="s">
        <v>2671</v>
      </c>
      <c r="C2675" s="14">
        <v>0</v>
      </c>
      <c r="D2675" s="14">
        <v>0</v>
      </c>
      <c r="E2675" s="14">
        <f t="shared" si="42"/>
        <v>0</v>
      </c>
    </row>
    <row r="2676" spans="1:5" x14ac:dyDescent="0.3">
      <c r="A2676" s="7">
        <v>1001272</v>
      </c>
      <c r="B2676" s="15" t="s">
        <v>2672</v>
      </c>
      <c r="C2676" s="14">
        <v>0</v>
      </c>
      <c r="D2676" s="14">
        <v>0</v>
      </c>
      <c r="E2676" s="14">
        <f t="shared" si="42"/>
        <v>0</v>
      </c>
    </row>
    <row r="2677" spans="1:5" x14ac:dyDescent="0.3">
      <c r="A2677" s="7">
        <v>1001273</v>
      </c>
      <c r="B2677" s="15" t="s">
        <v>2673</v>
      </c>
      <c r="C2677" s="14">
        <v>0</v>
      </c>
      <c r="D2677" s="14">
        <v>0</v>
      </c>
      <c r="E2677" s="14">
        <f t="shared" si="42"/>
        <v>0</v>
      </c>
    </row>
    <row r="2678" spans="1:5" x14ac:dyDescent="0.3">
      <c r="A2678" s="7">
        <v>1001274</v>
      </c>
      <c r="B2678" s="15" t="s">
        <v>2674</v>
      </c>
      <c r="C2678" s="14">
        <v>0</v>
      </c>
      <c r="D2678" s="14">
        <v>0</v>
      </c>
      <c r="E2678" s="14">
        <f t="shared" si="42"/>
        <v>0</v>
      </c>
    </row>
    <row r="2679" spans="1:5" x14ac:dyDescent="0.3">
      <c r="A2679" s="7">
        <v>1001279</v>
      </c>
      <c r="B2679" s="15" t="s">
        <v>2675</v>
      </c>
      <c r="C2679" s="14">
        <v>0</v>
      </c>
      <c r="D2679" s="14">
        <v>0</v>
      </c>
      <c r="E2679" s="14">
        <f t="shared" si="42"/>
        <v>0</v>
      </c>
    </row>
    <row r="2680" spans="1:5" x14ac:dyDescent="0.3">
      <c r="A2680" s="7">
        <v>1001281</v>
      </c>
      <c r="B2680" s="15" t="s">
        <v>2676</v>
      </c>
      <c r="C2680" s="14">
        <v>0</v>
      </c>
      <c r="D2680" s="14">
        <v>0</v>
      </c>
      <c r="E2680" s="14">
        <f t="shared" si="42"/>
        <v>0</v>
      </c>
    </row>
    <row r="2681" spans="1:5" x14ac:dyDescent="0.3">
      <c r="A2681" s="7">
        <v>1001283</v>
      </c>
      <c r="B2681" s="15" t="s">
        <v>2677</v>
      </c>
      <c r="C2681" s="14">
        <v>0</v>
      </c>
      <c r="D2681" s="14">
        <v>0</v>
      </c>
      <c r="E2681" s="14">
        <f t="shared" si="42"/>
        <v>0</v>
      </c>
    </row>
    <row r="2682" spans="1:5" x14ac:dyDescent="0.3">
      <c r="A2682" s="7">
        <v>1001284</v>
      </c>
      <c r="B2682" s="15" t="s">
        <v>2678</v>
      </c>
      <c r="C2682" s="14">
        <v>0</v>
      </c>
      <c r="D2682" s="14">
        <v>0</v>
      </c>
      <c r="E2682" s="14">
        <f t="shared" si="42"/>
        <v>0</v>
      </c>
    </row>
    <row r="2683" spans="1:5" x14ac:dyDescent="0.3">
      <c r="A2683" s="7">
        <v>1001288</v>
      </c>
      <c r="B2683" s="15" t="s">
        <v>2679</v>
      </c>
      <c r="C2683" s="14">
        <v>0</v>
      </c>
      <c r="D2683" s="14">
        <v>0</v>
      </c>
      <c r="E2683" s="14">
        <f t="shared" si="42"/>
        <v>0</v>
      </c>
    </row>
    <row r="2684" spans="1:5" x14ac:dyDescent="0.3">
      <c r="A2684" s="7">
        <v>1001289</v>
      </c>
      <c r="B2684" s="15" t="s">
        <v>2680</v>
      </c>
      <c r="C2684" s="14">
        <v>0</v>
      </c>
      <c r="D2684" s="14">
        <v>0</v>
      </c>
      <c r="E2684" s="14">
        <f t="shared" si="42"/>
        <v>0</v>
      </c>
    </row>
    <row r="2685" spans="1:5" x14ac:dyDescent="0.3">
      <c r="A2685" s="7">
        <v>1001290</v>
      </c>
      <c r="B2685" s="15" t="s">
        <v>2681</v>
      </c>
      <c r="C2685" s="14">
        <v>0</v>
      </c>
      <c r="D2685" s="14">
        <v>0</v>
      </c>
      <c r="E2685" s="14">
        <f t="shared" si="42"/>
        <v>0</v>
      </c>
    </row>
    <row r="2686" spans="1:5" x14ac:dyDescent="0.3">
      <c r="A2686" s="7">
        <v>1001296</v>
      </c>
      <c r="B2686" s="15" t="s">
        <v>2682</v>
      </c>
      <c r="C2686" s="14">
        <v>0</v>
      </c>
      <c r="D2686" s="14">
        <v>0</v>
      </c>
      <c r="E2686" s="14">
        <f t="shared" si="42"/>
        <v>0</v>
      </c>
    </row>
    <row r="2687" spans="1:5" x14ac:dyDescent="0.3">
      <c r="A2687" s="7">
        <v>1001297</v>
      </c>
      <c r="B2687" s="15" t="s">
        <v>2683</v>
      </c>
      <c r="C2687" s="14">
        <v>0</v>
      </c>
      <c r="D2687" s="14">
        <v>0</v>
      </c>
      <c r="E2687" s="14">
        <f t="shared" si="42"/>
        <v>0</v>
      </c>
    </row>
    <row r="2688" spans="1:5" x14ac:dyDescent="0.3">
      <c r="A2688" s="7">
        <v>1001299</v>
      </c>
      <c r="B2688" s="15" t="s">
        <v>2684</v>
      </c>
      <c r="C2688" s="14">
        <v>0</v>
      </c>
      <c r="D2688" s="14">
        <v>0</v>
      </c>
      <c r="E2688" s="14">
        <f t="shared" si="42"/>
        <v>0</v>
      </c>
    </row>
    <row r="2689" spans="1:5" x14ac:dyDescent="0.3">
      <c r="A2689" s="7">
        <v>1001310</v>
      </c>
      <c r="B2689" s="15" t="s">
        <v>2685</v>
      </c>
      <c r="C2689" s="14">
        <v>0</v>
      </c>
      <c r="D2689" s="14">
        <v>0</v>
      </c>
      <c r="E2689" s="14">
        <f t="shared" si="42"/>
        <v>0</v>
      </c>
    </row>
    <row r="2690" spans="1:5" x14ac:dyDescent="0.3">
      <c r="A2690" s="7">
        <v>1001316</v>
      </c>
      <c r="B2690" s="15" t="s">
        <v>2686</v>
      </c>
      <c r="C2690" s="14">
        <v>0</v>
      </c>
      <c r="D2690" s="14">
        <v>0</v>
      </c>
      <c r="E2690" s="14">
        <f t="shared" si="42"/>
        <v>0</v>
      </c>
    </row>
    <row r="2691" spans="1:5" x14ac:dyDescent="0.3">
      <c r="A2691" s="7">
        <v>1001317</v>
      </c>
      <c r="B2691" s="15" t="s">
        <v>2687</v>
      </c>
      <c r="C2691" s="14">
        <v>0</v>
      </c>
      <c r="D2691" s="14">
        <v>0</v>
      </c>
      <c r="E2691" s="14">
        <f t="shared" si="42"/>
        <v>0</v>
      </c>
    </row>
    <row r="2692" spans="1:5" x14ac:dyDescent="0.3">
      <c r="A2692" s="7">
        <v>1001321</v>
      </c>
      <c r="B2692" s="15" t="s">
        <v>2688</v>
      </c>
      <c r="C2692" s="14">
        <v>0</v>
      </c>
      <c r="D2692" s="14">
        <v>0</v>
      </c>
      <c r="E2692" s="14">
        <f t="shared" si="42"/>
        <v>0</v>
      </c>
    </row>
    <row r="2693" spans="1:5" x14ac:dyDescent="0.3">
      <c r="A2693" s="7">
        <v>1001325</v>
      </c>
      <c r="B2693" s="15" t="s">
        <v>2689</v>
      </c>
      <c r="C2693" s="14">
        <v>0</v>
      </c>
      <c r="D2693" s="14">
        <v>0</v>
      </c>
      <c r="E2693" s="14">
        <f t="shared" si="42"/>
        <v>0</v>
      </c>
    </row>
    <row r="2694" spans="1:5" x14ac:dyDescent="0.3">
      <c r="A2694" s="7">
        <v>1001327</v>
      </c>
      <c r="B2694" s="15" t="s">
        <v>2690</v>
      </c>
      <c r="C2694" s="14">
        <v>0</v>
      </c>
      <c r="D2694" s="14">
        <v>0</v>
      </c>
      <c r="E2694" s="14">
        <f t="shared" si="42"/>
        <v>0</v>
      </c>
    </row>
    <row r="2695" spans="1:5" x14ac:dyDescent="0.3">
      <c r="A2695" s="7">
        <v>1001328</v>
      </c>
      <c r="B2695" s="15" t="s">
        <v>2691</v>
      </c>
      <c r="C2695" s="14">
        <v>0</v>
      </c>
      <c r="D2695" s="14">
        <v>0</v>
      </c>
      <c r="E2695" s="14">
        <f t="shared" si="42"/>
        <v>0</v>
      </c>
    </row>
    <row r="2696" spans="1:5" x14ac:dyDescent="0.3">
      <c r="A2696" s="7">
        <v>1001331</v>
      </c>
      <c r="B2696" s="15" t="s">
        <v>2692</v>
      </c>
      <c r="C2696" s="14">
        <v>0</v>
      </c>
      <c r="D2696" s="14">
        <v>0</v>
      </c>
      <c r="E2696" s="14">
        <f t="shared" si="42"/>
        <v>0</v>
      </c>
    </row>
    <row r="2697" spans="1:5" x14ac:dyDescent="0.3">
      <c r="A2697" s="7">
        <v>1001332</v>
      </c>
      <c r="B2697" s="15" t="s">
        <v>2693</v>
      </c>
      <c r="C2697" s="14">
        <v>0</v>
      </c>
      <c r="D2697" s="14">
        <v>0</v>
      </c>
      <c r="E2697" s="14">
        <f t="shared" si="42"/>
        <v>0</v>
      </c>
    </row>
    <row r="2698" spans="1:5" x14ac:dyDescent="0.3">
      <c r="A2698" s="7">
        <v>1001334</v>
      </c>
      <c r="B2698" s="15" t="s">
        <v>2694</v>
      </c>
      <c r="C2698" s="14">
        <v>0</v>
      </c>
      <c r="D2698" s="14">
        <v>0</v>
      </c>
      <c r="E2698" s="14">
        <f t="shared" si="42"/>
        <v>0</v>
      </c>
    </row>
    <row r="2699" spans="1:5" x14ac:dyDescent="0.3">
      <c r="A2699" s="7">
        <v>1001335</v>
      </c>
      <c r="B2699" s="15" t="s">
        <v>2695</v>
      </c>
      <c r="C2699" s="14">
        <v>0</v>
      </c>
      <c r="D2699" s="14">
        <v>0</v>
      </c>
      <c r="E2699" s="14">
        <f t="shared" si="42"/>
        <v>0</v>
      </c>
    </row>
    <row r="2700" spans="1:5" x14ac:dyDescent="0.3">
      <c r="A2700" s="7">
        <v>1001336</v>
      </c>
      <c r="B2700" s="15" t="s">
        <v>2696</v>
      </c>
      <c r="C2700" s="14">
        <v>0</v>
      </c>
      <c r="D2700" s="14">
        <v>0</v>
      </c>
      <c r="E2700" s="14">
        <f t="shared" si="42"/>
        <v>0</v>
      </c>
    </row>
    <row r="2701" spans="1:5" x14ac:dyDescent="0.3">
      <c r="A2701" s="7">
        <v>1001337</v>
      </c>
      <c r="B2701" s="15" t="s">
        <v>2697</v>
      </c>
      <c r="C2701" s="14">
        <v>0</v>
      </c>
      <c r="D2701" s="14">
        <v>0</v>
      </c>
      <c r="E2701" s="14">
        <f t="shared" si="42"/>
        <v>0</v>
      </c>
    </row>
    <row r="2702" spans="1:5" x14ac:dyDescent="0.3">
      <c r="A2702" s="7">
        <v>1001338</v>
      </c>
      <c r="B2702" s="15" t="s">
        <v>2698</v>
      </c>
      <c r="C2702" s="14">
        <v>0</v>
      </c>
      <c r="D2702" s="14">
        <v>0</v>
      </c>
      <c r="E2702" s="14">
        <f t="shared" si="42"/>
        <v>0</v>
      </c>
    </row>
    <row r="2703" spans="1:5" x14ac:dyDescent="0.3">
      <c r="A2703" s="7">
        <v>1001339</v>
      </c>
      <c r="B2703" s="15" t="s">
        <v>2699</v>
      </c>
      <c r="C2703" s="14">
        <v>0</v>
      </c>
      <c r="D2703" s="14">
        <v>0</v>
      </c>
      <c r="E2703" s="14">
        <f t="shared" si="42"/>
        <v>0</v>
      </c>
    </row>
    <row r="2704" spans="1:5" x14ac:dyDescent="0.3">
      <c r="A2704" s="7">
        <v>1001340</v>
      </c>
      <c r="B2704" s="15" t="s">
        <v>2700</v>
      </c>
      <c r="C2704" s="14">
        <v>0</v>
      </c>
      <c r="D2704" s="14">
        <v>0</v>
      </c>
      <c r="E2704" s="14">
        <f t="shared" si="42"/>
        <v>0</v>
      </c>
    </row>
    <row r="2705" spans="1:5" x14ac:dyDescent="0.3">
      <c r="A2705" s="7">
        <v>1001342</v>
      </c>
      <c r="B2705" s="15" t="s">
        <v>2701</v>
      </c>
      <c r="C2705" s="14">
        <v>0</v>
      </c>
      <c r="D2705" s="14">
        <v>0</v>
      </c>
      <c r="E2705" s="14">
        <f t="shared" si="42"/>
        <v>0</v>
      </c>
    </row>
    <row r="2706" spans="1:5" x14ac:dyDescent="0.3">
      <c r="A2706" s="7">
        <v>1001343</v>
      </c>
      <c r="B2706" s="15" t="s">
        <v>2702</v>
      </c>
      <c r="C2706" s="14">
        <v>0</v>
      </c>
      <c r="D2706" s="14">
        <v>0</v>
      </c>
      <c r="E2706" s="14">
        <f t="shared" si="42"/>
        <v>0</v>
      </c>
    </row>
    <row r="2707" spans="1:5" x14ac:dyDescent="0.3">
      <c r="A2707" s="7">
        <v>1001345</v>
      </c>
      <c r="B2707" s="15" t="s">
        <v>2703</v>
      </c>
      <c r="C2707" s="14">
        <v>0</v>
      </c>
      <c r="D2707" s="14">
        <v>0</v>
      </c>
      <c r="E2707" s="14">
        <f t="shared" si="42"/>
        <v>0</v>
      </c>
    </row>
    <row r="2708" spans="1:5" x14ac:dyDescent="0.3">
      <c r="A2708" s="7">
        <v>1001346</v>
      </c>
      <c r="B2708" s="15" t="s">
        <v>2704</v>
      </c>
      <c r="C2708" s="14">
        <v>0</v>
      </c>
      <c r="D2708" s="14">
        <v>0</v>
      </c>
      <c r="E2708" s="14">
        <f t="shared" si="42"/>
        <v>0</v>
      </c>
    </row>
    <row r="2709" spans="1:5" x14ac:dyDescent="0.3">
      <c r="A2709" s="7">
        <v>1001347</v>
      </c>
      <c r="B2709" s="15" t="s">
        <v>2705</v>
      </c>
      <c r="C2709" s="14">
        <v>0</v>
      </c>
      <c r="D2709" s="14">
        <v>0</v>
      </c>
      <c r="E2709" s="14">
        <f t="shared" si="42"/>
        <v>0</v>
      </c>
    </row>
    <row r="2710" spans="1:5" x14ac:dyDescent="0.3">
      <c r="A2710" s="7">
        <v>1001348</v>
      </c>
      <c r="B2710" s="15" t="s">
        <v>2706</v>
      </c>
      <c r="C2710" s="14">
        <v>0</v>
      </c>
      <c r="D2710" s="14">
        <v>0</v>
      </c>
      <c r="E2710" s="14">
        <f t="shared" si="42"/>
        <v>0</v>
      </c>
    </row>
    <row r="2711" spans="1:5" x14ac:dyDescent="0.3">
      <c r="A2711" s="7">
        <v>1001350</v>
      </c>
      <c r="B2711" s="15" t="s">
        <v>2707</v>
      </c>
      <c r="C2711" s="14">
        <v>0</v>
      </c>
      <c r="D2711" s="14">
        <v>0</v>
      </c>
      <c r="E2711" s="14">
        <f t="shared" si="42"/>
        <v>0</v>
      </c>
    </row>
    <row r="2712" spans="1:5" x14ac:dyDescent="0.3">
      <c r="A2712" s="7">
        <v>1001351</v>
      </c>
      <c r="B2712" s="15" t="s">
        <v>2708</v>
      </c>
      <c r="C2712" s="14">
        <v>0</v>
      </c>
      <c r="D2712" s="14">
        <v>0</v>
      </c>
      <c r="E2712" s="14">
        <f t="shared" si="42"/>
        <v>0</v>
      </c>
    </row>
    <row r="2713" spans="1:5" x14ac:dyDescent="0.3">
      <c r="A2713" s="7">
        <v>1001352</v>
      </c>
      <c r="B2713" s="15" t="s">
        <v>2709</v>
      </c>
      <c r="C2713" s="14">
        <v>0</v>
      </c>
      <c r="D2713" s="14">
        <v>0</v>
      </c>
      <c r="E2713" s="14">
        <f t="shared" si="42"/>
        <v>0</v>
      </c>
    </row>
    <row r="2714" spans="1:5" x14ac:dyDescent="0.3">
      <c r="A2714" s="7">
        <v>1001353</v>
      </c>
      <c r="B2714" s="15" t="s">
        <v>2710</v>
      </c>
      <c r="C2714" s="14">
        <v>0</v>
      </c>
      <c r="D2714" s="14">
        <v>0</v>
      </c>
      <c r="E2714" s="14">
        <f t="shared" si="42"/>
        <v>0</v>
      </c>
    </row>
    <row r="2715" spans="1:5" x14ac:dyDescent="0.3">
      <c r="A2715" s="7">
        <v>1001354</v>
      </c>
      <c r="B2715" s="15" t="s">
        <v>2711</v>
      </c>
      <c r="C2715" s="14">
        <v>0</v>
      </c>
      <c r="D2715" s="14">
        <v>0</v>
      </c>
      <c r="E2715" s="14">
        <f t="shared" si="42"/>
        <v>0</v>
      </c>
    </row>
    <row r="2716" spans="1:5" x14ac:dyDescent="0.3">
      <c r="A2716" s="7">
        <v>1001355</v>
      </c>
      <c r="B2716" s="15" t="s">
        <v>2712</v>
      </c>
      <c r="C2716" s="14">
        <v>0</v>
      </c>
      <c r="D2716" s="14">
        <v>0</v>
      </c>
      <c r="E2716" s="14">
        <f t="shared" si="42"/>
        <v>0</v>
      </c>
    </row>
    <row r="2717" spans="1:5" x14ac:dyDescent="0.3">
      <c r="A2717" s="7">
        <v>1001356</v>
      </c>
      <c r="B2717" s="15" t="s">
        <v>2713</v>
      </c>
      <c r="C2717" s="14">
        <v>0</v>
      </c>
      <c r="D2717" s="14">
        <v>0</v>
      </c>
      <c r="E2717" s="14">
        <f t="shared" si="42"/>
        <v>0</v>
      </c>
    </row>
    <row r="2718" spans="1:5" x14ac:dyDescent="0.3">
      <c r="A2718" s="7">
        <v>1001357</v>
      </c>
      <c r="B2718" s="15" t="s">
        <v>2714</v>
      </c>
      <c r="C2718" s="14">
        <v>0</v>
      </c>
      <c r="D2718" s="14">
        <v>0</v>
      </c>
      <c r="E2718" s="14">
        <f t="shared" si="42"/>
        <v>0</v>
      </c>
    </row>
    <row r="2719" spans="1:5" x14ac:dyDescent="0.3">
      <c r="A2719" s="7">
        <v>1001359</v>
      </c>
      <c r="B2719" s="15" t="s">
        <v>2715</v>
      </c>
      <c r="C2719" s="14">
        <v>0</v>
      </c>
      <c r="D2719" s="14">
        <v>0</v>
      </c>
      <c r="E2719" s="14">
        <f t="shared" si="42"/>
        <v>0</v>
      </c>
    </row>
    <row r="2720" spans="1:5" x14ac:dyDescent="0.3">
      <c r="A2720" s="7">
        <v>1001360</v>
      </c>
      <c r="B2720" s="15" t="s">
        <v>2716</v>
      </c>
      <c r="C2720" s="14">
        <v>0</v>
      </c>
      <c r="D2720" s="14">
        <v>0</v>
      </c>
      <c r="E2720" s="14">
        <f t="shared" si="42"/>
        <v>0</v>
      </c>
    </row>
    <row r="2721" spans="1:5" x14ac:dyDescent="0.3">
      <c r="A2721" s="7">
        <v>1001361</v>
      </c>
      <c r="B2721" s="15" t="s">
        <v>2717</v>
      </c>
      <c r="C2721" s="14">
        <v>0</v>
      </c>
      <c r="D2721" s="14">
        <v>0</v>
      </c>
      <c r="E2721" s="14">
        <f t="shared" ref="E2721:E2784" si="43">+MAX(C2721, D2721)</f>
        <v>0</v>
      </c>
    </row>
    <row r="2722" spans="1:5" x14ac:dyDescent="0.3">
      <c r="A2722" s="7">
        <v>1001362</v>
      </c>
      <c r="B2722" s="15" t="s">
        <v>2718</v>
      </c>
      <c r="C2722" s="14">
        <v>0</v>
      </c>
      <c r="D2722" s="14">
        <v>0</v>
      </c>
      <c r="E2722" s="14">
        <f t="shared" si="43"/>
        <v>0</v>
      </c>
    </row>
    <row r="2723" spans="1:5" x14ac:dyDescent="0.3">
      <c r="A2723" s="7">
        <v>1001364</v>
      </c>
      <c r="B2723" s="15" t="s">
        <v>2719</v>
      </c>
      <c r="C2723" s="14">
        <v>0</v>
      </c>
      <c r="D2723" s="14">
        <v>0</v>
      </c>
      <c r="E2723" s="14">
        <f t="shared" si="43"/>
        <v>0</v>
      </c>
    </row>
    <row r="2724" spans="1:5" x14ac:dyDescent="0.3">
      <c r="A2724" s="7">
        <v>1001365</v>
      </c>
      <c r="B2724" s="15" t="s">
        <v>2720</v>
      </c>
      <c r="C2724" s="14">
        <v>0</v>
      </c>
      <c r="D2724" s="14">
        <v>0</v>
      </c>
      <c r="E2724" s="14">
        <f t="shared" si="43"/>
        <v>0</v>
      </c>
    </row>
    <row r="2725" spans="1:5" x14ac:dyDescent="0.3">
      <c r="A2725" s="7">
        <v>1001367</v>
      </c>
      <c r="B2725" s="15" t="s">
        <v>2721</v>
      </c>
      <c r="C2725" s="14">
        <v>0</v>
      </c>
      <c r="D2725" s="14">
        <v>0</v>
      </c>
      <c r="E2725" s="14">
        <f t="shared" si="43"/>
        <v>0</v>
      </c>
    </row>
    <row r="2726" spans="1:5" x14ac:dyDescent="0.3">
      <c r="A2726" s="7">
        <v>1001368</v>
      </c>
      <c r="B2726" s="15" t="s">
        <v>2722</v>
      </c>
      <c r="C2726" s="14">
        <v>0</v>
      </c>
      <c r="D2726" s="14">
        <v>0</v>
      </c>
      <c r="E2726" s="14">
        <f t="shared" si="43"/>
        <v>0</v>
      </c>
    </row>
    <row r="2727" spans="1:5" x14ac:dyDescent="0.3">
      <c r="A2727" s="7">
        <v>1001369</v>
      </c>
      <c r="B2727" s="15" t="s">
        <v>2723</v>
      </c>
      <c r="C2727" s="14">
        <v>0</v>
      </c>
      <c r="D2727" s="14">
        <v>0</v>
      </c>
      <c r="E2727" s="14">
        <f t="shared" si="43"/>
        <v>0</v>
      </c>
    </row>
    <row r="2728" spans="1:5" x14ac:dyDescent="0.3">
      <c r="A2728" s="7">
        <v>1001370</v>
      </c>
      <c r="B2728" s="15" t="s">
        <v>2724</v>
      </c>
      <c r="C2728" s="14">
        <v>0</v>
      </c>
      <c r="D2728" s="14">
        <v>0</v>
      </c>
      <c r="E2728" s="14">
        <f t="shared" si="43"/>
        <v>0</v>
      </c>
    </row>
    <row r="2729" spans="1:5" x14ac:dyDescent="0.3">
      <c r="A2729" s="7">
        <v>1001371</v>
      </c>
      <c r="B2729" s="15" t="s">
        <v>2725</v>
      </c>
      <c r="C2729" s="14">
        <v>0</v>
      </c>
      <c r="D2729" s="14">
        <v>0</v>
      </c>
      <c r="E2729" s="14">
        <f t="shared" si="43"/>
        <v>0</v>
      </c>
    </row>
    <row r="2730" spans="1:5" x14ac:dyDescent="0.3">
      <c r="A2730" s="7">
        <v>1001372</v>
      </c>
      <c r="B2730" s="15" t="s">
        <v>2726</v>
      </c>
      <c r="C2730" s="14">
        <v>0</v>
      </c>
      <c r="D2730" s="14">
        <v>0</v>
      </c>
      <c r="E2730" s="14">
        <f t="shared" si="43"/>
        <v>0</v>
      </c>
    </row>
    <row r="2731" spans="1:5" x14ac:dyDescent="0.3">
      <c r="A2731" s="7">
        <v>1001373</v>
      </c>
      <c r="B2731" s="15" t="s">
        <v>2727</v>
      </c>
      <c r="C2731" s="14">
        <v>0</v>
      </c>
      <c r="D2731" s="14">
        <v>0</v>
      </c>
      <c r="E2731" s="14">
        <f t="shared" si="43"/>
        <v>0</v>
      </c>
    </row>
    <row r="2732" spans="1:5" x14ac:dyDescent="0.3">
      <c r="A2732" s="7">
        <v>1001375</v>
      </c>
      <c r="B2732" s="15" t="s">
        <v>2728</v>
      </c>
      <c r="C2732" s="14">
        <v>0</v>
      </c>
      <c r="D2732" s="14">
        <v>0</v>
      </c>
      <c r="E2732" s="14">
        <f t="shared" si="43"/>
        <v>0</v>
      </c>
    </row>
    <row r="2733" spans="1:5" x14ac:dyDescent="0.3">
      <c r="A2733" s="7">
        <v>1001376</v>
      </c>
      <c r="B2733" s="15" t="s">
        <v>2729</v>
      </c>
      <c r="C2733" s="14">
        <v>0</v>
      </c>
      <c r="D2733" s="14">
        <v>0</v>
      </c>
      <c r="E2733" s="14">
        <f t="shared" si="43"/>
        <v>0</v>
      </c>
    </row>
    <row r="2734" spans="1:5" x14ac:dyDescent="0.3">
      <c r="A2734" s="7">
        <v>1001377</v>
      </c>
      <c r="B2734" s="15" t="s">
        <v>2730</v>
      </c>
      <c r="C2734" s="14">
        <v>0</v>
      </c>
      <c r="D2734" s="14">
        <v>0</v>
      </c>
      <c r="E2734" s="14">
        <f t="shared" si="43"/>
        <v>0</v>
      </c>
    </row>
    <row r="2735" spans="1:5" x14ac:dyDescent="0.3">
      <c r="A2735" s="7">
        <v>1001379</v>
      </c>
      <c r="B2735" s="15" t="s">
        <v>2731</v>
      </c>
      <c r="C2735" s="14">
        <v>0</v>
      </c>
      <c r="D2735" s="14">
        <v>0</v>
      </c>
      <c r="E2735" s="14">
        <f t="shared" si="43"/>
        <v>0</v>
      </c>
    </row>
    <row r="2736" spans="1:5" x14ac:dyDescent="0.3">
      <c r="A2736" s="7">
        <v>1001380</v>
      </c>
      <c r="B2736" s="15" t="s">
        <v>2732</v>
      </c>
      <c r="C2736" s="14">
        <v>0</v>
      </c>
      <c r="D2736" s="14">
        <v>0</v>
      </c>
      <c r="E2736" s="14">
        <f t="shared" si="43"/>
        <v>0</v>
      </c>
    </row>
    <row r="2737" spans="1:5" x14ac:dyDescent="0.3">
      <c r="A2737" s="7">
        <v>1001381</v>
      </c>
      <c r="B2737" s="15" t="s">
        <v>2733</v>
      </c>
      <c r="C2737" s="14">
        <v>0</v>
      </c>
      <c r="D2737" s="14">
        <v>0</v>
      </c>
      <c r="E2737" s="14">
        <f t="shared" si="43"/>
        <v>0</v>
      </c>
    </row>
    <row r="2738" spans="1:5" x14ac:dyDescent="0.3">
      <c r="A2738" s="7">
        <v>1001382</v>
      </c>
      <c r="B2738" s="15" t="s">
        <v>2734</v>
      </c>
      <c r="C2738" s="14">
        <v>0</v>
      </c>
      <c r="D2738" s="14">
        <v>0</v>
      </c>
      <c r="E2738" s="14">
        <f t="shared" si="43"/>
        <v>0</v>
      </c>
    </row>
    <row r="2739" spans="1:5" x14ac:dyDescent="0.3">
      <c r="A2739" s="7">
        <v>1001384</v>
      </c>
      <c r="B2739" s="15" t="s">
        <v>2735</v>
      </c>
      <c r="C2739" s="14">
        <v>0</v>
      </c>
      <c r="D2739" s="14">
        <v>0</v>
      </c>
      <c r="E2739" s="14">
        <f t="shared" si="43"/>
        <v>0</v>
      </c>
    </row>
    <row r="2740" spans="1:5" x14ac:dyDescent="0.3">
      <c r="A2740" s="7">
        <v>1001385</v>
      </c>
      <c r="B2740" s="15" t="s">
        <v>2736</v>
      </c>
      <c r="C2740" s="14">
        <v>0</v>
      </c>
      <c r="D2740" s="14">
        <v>0</v>
      </c>
      <c r="E2740" s="14">
        <f t="shared" si="43"/>
        <v>0</v>
      </c>
    </row>
    <row r="2741" spans="1:5" x14ac:dyDescent="0.3">
      <c r="A2741" s="7">
        <v>1001388</v>
      </c>
      <c r="B2741" s="15" t="s">
        <v>2737</v>
      </c>
      <c r="C2741" s="14">
        <v>0</v>
      </c>
      <c r="D2741" s="14">
        <v>0</v>
      </c>
      <c r="E2741" s="14">
        <f t="shared" si="43"/>
        <v>0</v>
      </c>
    </row>
    <row r="2742" spans="1:5" x14ac:dyDescent="0.3">
      <c r="A2742" s="7">
        <v>1001391</v>
      </c>
      <c r="B2742" s="15" t="s">
        <v>2738</v>
      </c>
      <c r="C2742" s="14">
        <v>0</v>
      </c>
      <c r="D2742" s="14">
        <v>0</v>
      </c>
      <c r="E2742" s="14">
        <f t="shared" si="43"/>
        <v>0</v>
      </c>
    </row>
    <row r="2743" spans="1:5" x14ac:dyDescent="0.3">
      <c r="A2743" s="7">
        <v>1001392</v>
      </c>
      <c r="B2743" s="15" t="s">
        <v>2739</v>
      </c>
      <c r="C2743" s="14">
        <v>0</v>
      </c>
      <c r="D2743" s="14">
        <v>0</v>
      </c>
      <c r="E2743" s="14">
        <f t="shared" si="43"/>
        <v>0</v>
      </c>
    </row>
    <row r="2744" spans="1:5" x14ac:dyDescent="0.3">
      <c r="A2744" s="7">
        <v>1001394</v>
      </c>
      <c r="B2744" s="15" t="s">
        <v>2740</v>
      </c>
      <c r="C2744" s="14">
        <v>0</v>
      </c>
      <c r="D2744" s="14">
        <v>0</v>
      </c>
      <c r="E2744" s="14">
        <f t="shared" si="43"/>
        <v>0</v>
      </c>
    </row>
    <row r="2745" spans="1:5" x14ac:dyDescent="0.3">
      <c r="A2745" s="7">
        <v>1001398</v>
      </c>
      <c r="B2745" s="15" t="s">
        <v>2741</v>
      </c>
      <c r="C2745" s="14">
        <v>0</v>
      </c>
      <c r="D2745" s="14">
        <v>0</v>
      </c>
      <c r="E2745" s="14">
        <f t="shared" si="43"/>
        <v>0</v>
      </c>
    </row>
    <row r="2746" spans="1:5" x14ac:dyDescent="0.3">
      <c r="A2746" s="7">
        <v>1001399</v>
      </c>
      <c r="B2746" s="15" t="s">
        <v>2742</v>
      </c>
      <c r="C2746" s="14">
        <v>0</v>
      </c>
      <c r="D2746" s="14">
        <v>0</v>
      </c>
      <c r="E2746" s="14">
        <f t="shared" si="43"/>
        <v>0</v>
      </c>
    </row>
    <row r="2747" spans="1:5" x14ac:dyDescent="0.3">
      <c r="A2747" s="7">
        <v>1001400</v>
      </c>
      <c r="B2747" s="15" t="s">
        <v>2743</v>
      </c>
      <c r="C2747" s="14">
        <v>0</v>
      </c>
      <c r="D2747" s="14">
        <v>0</v>
      </c>
      <c r="E2747" s="14">
        <f t="shared" si="43"/>
        <v>0</v>
      </c>
    </row>
    <row r="2748" spans="1:5" x14ac:dyDescent="0.3">
      <c r="A2748" s="7">
        <v>1001401</v>
      </c>
      <c r="B2748" s="15" t="s">
        <v>2744</v>
      </c>
      <c r="C2748" s="14">
        <v>0</v>
      </c>
      <c r="D2748" s="14">
        <v>0</v>
      </c>
      <c r="E2748" s="14">
        <f t="shared" si="43"/>
        <v>0</v>
      </c>
    </row>
    <row r="2749" spans="1:5" x14ac:dyDescent="0.3">
      <c r="A2749" s="7">
        <v>1001402</v>
      </c>
      <c r="B2749" s="15" t="s">
        <v>2745</v>
      </c>
      <c r="C2749" s="14">
        <v>0</v>
      </c>
      <c r="D2749" s="14">
        <v>0</v>
      </c>
      <c r="E2749" s="14">
        <f t="shared" si="43"/>
        <v>0</v>
      </c>
    </row>
    <row r="2750" spans="1:5" x14ac:dyDescent="0.3">
      <c r="A2750" s="7">
        <v>1001405</v>
      </c>
      <c r="B2750" s="15" t="s">
        <v>2746</v>
      </c>
      <c r="C2750" s="14">
        <v>0</v>
      </c>
      <c r="D2750" s="14">
        <v>0</v>
      </c>
      <c r="E2750" s="14">
        <f t="shared" si="43"/>
        <v>0</v>
      </c>
    </row>
    <row r="2751" spans="1:5" x14ac:dyDescent="0.3">
      <c r="A2751" s="7">
        <v>1001407</v>
      </c>
      <c r="B2751" s="15" t="s">
        <v>2747</v>
      </c>
      <c r="C2751" s="14">
        <v>0</v>
      </c>
      <c r="D2751" s="14">
        <v>0</v>
      </c>
      <c r="E2751" s="14">
        <f t="shared" si="43"/>
        <v>0</v>
      </c>
    </row>
    <row r="2752" spans="1:5" x14ac:dyDescent="0.3">
      <c r="A2752" s="7">
        <v>1001408</v>
      </c>
      <c r="B2752" s="15" t="s">
        <v>2748</v>
      </c>
      <c r="C2752" s="14">
        <v>0</v>
      </c>
      <c r="D2752" s="14">
        <v>0</v>
      </c>
      <c r="E2752" s="14">
        <f t="shared" si="43"/>
        <v>0</v>
      </c>
    </row>
    <row r="2753" spans="1:5" x14ac:dyDescent="0.3">
      <c r="A2753" s="7">
        <v>1001409</v>
      </c>
      <c r="B2753" s="15" t="s">
        <v>2749</v>
      </c>
      <c r="C2753" s="14">
        <v>0</v>
      </c>
      <c r="D2753" s="14">
        <v>0</v>
      </c>
      <c r="E2753" s="14">
        <f t="shared" si="43"/>
        <v>0</v>
      </c>
    </row>
    <row r="2754" spans="1:5" x14ac:dyDescent="0.3">
      <c r="A2754" s="7">
        <v>1001410</v>
      </c>
      <c r="B2754" s="15" t="s">
        <v>2750</v>
      </c>
      <c r="C2754" s="14">
        <v>0</v>
      </c>
      <c r="D2754" s="14">
        <v>0</v>
      </c>
      <c r="E2754" s="14">
        <f t="shared" si="43"/>
        <v>0</v>
      </c>
    </row>
    <row r="2755" spans="1:5" x14ac:dyDescent="0.3">
      <c r="A2755" s="7">
        <v>1001412</v>
      </c>
      <c r="B2755" s="15" t="s">
        <v>2751</v>
      </c>
      <c r="C2755" s="14">
        <v>0</v>
      </c>
      <c r="D2755" s="14">
        <v>0</v>
      </c>
      <c r="E2755" s="14">
        <f t="shared" si="43"/>
        <v>0</v>
      </c>
    </row>
    <row r="2756" spans="1:5" x14ac:dyDescent="0.3">
      <c r="A2756" s="7">
        <v>1001414</v>
      </c>
      <c r="B2756" s="15" t="s">
        <v>2752</v>
      </c>
      <c r="C2756" s="14">
        <v>0</v>
      </c>
      <c r="D2756" s="14">
        <v>0</v>
      </c>
      <c r="E2756" s="14">
        <f t="shared" si="43"/>
        <v>0</v>
      </c>
    </row>
    <row r="2757" spans="1:5" x14ac:dyDescent="0.3">
      <c r="A2757" s="7">
        <v>1001415</v>
      </c>
      <c r="B2757" s="15" t="s">
        <v>2753</v>
      </c>
      <c r="C2757" s="14">
        <v>0</v>
      </c>
      <c r="D2757" s="14">
        <v>0</v>
      </c>
      <c r="E2757" s="14">
        <f t="shared" si="43"/>
        <v>0</v>
      </c>
    </row>
    <row r="2758" spans="1:5" x14ac:dyDescent="0.3">
      <c r="A2758" s="7">
        <v>1001416</v>
      </c>
      <c r="B2758" s="15" t="s">
        <v>2754</v>
      </c>
      <c r="C2758" s="14">
        <v>0</v>
      </c>
      <c r="D2758" s="14">
        <v>0</v>
      </c>
      <c r="E2758" s="14">
        <f t="shared" si="43"/>
        <v>0</v>
      </c>
    </row>
    <row r="2759" spans="1:5" x14ac:dyDescent="0.3">
      <c r="A2759" s="7">
        <v>1001417</v>
      </c>
      <c r="B2759" s="15" t="s">
        <v>2755</v>
      </c>
      <c r="C2759" s="14">
        <v>0</v>
      </c>
      <c r="D2759" s="14">
        <v>0</v>
      </c>
      <c r="E2759" s="14">
        <f t="shared" si="43"/>
        <v>0</v>
      </c>
    </row>
    <row r="2760" spans="1:5" x14ac:dyDescent="0.3">
      <c r="A2760" s="7">
        <v>1001418</v>
      </c>
      <c r="B2760" s="15" t="s">
        <v>2756</v>
      </c>
      <c r="C2760" s="14">
        <v>0</v>
      </c>
      <c r="D2760" s="14">
        <v>0</v>
      </c>
      <c r="E2760" s="14">
        <f t="shared" si="43"/>
        <v>0</v>
      </c>
    </row>
    <row r="2761" spans="1:5" x14ac:dyDescent="0.3">
      <c r="A2761" s="7">
        <v>1001421</v>
      </c>
      <c r="B2761" s="15" t="s">
        <v>2757</v>
      </c>
      <c r="C2761" s="14">
        <v>0</v>
      </c>
      <c r="D2761" s="14">
        <v>0</v>
      </c>
      <c r="E2761" s="14">
        <f t="shared" si="43"/>
        <v>0</v>
      </c>
    </row>
    <row r="2762" spans="1:5" x14ac:dyDescent="0.3">
      <c r="A2762" s="7">
        <v>1001424</v>
      </c>
      <c r="B2762" s="15" t="s">
        <v>2758</v>
      </c>
      <c r="C2762" s="14">
        <v>0</v>
      </c>
      <c r="D2762" s="14">
        <v>0</v>
      </c>
      <c r="E2762" s="14">
        <f t="shared" si="43"/>
        <v>0</v>
      </c>
    </row>
    <row r="2763" spans="1:5" x14ac:dyDescent="0.3">
      <c r="A2763" s="7">
        <v>1001426</v>
      </c>
      <c r="B2763" s="15" t="s">
        <v>2759</v>
      </c>
      <c r="C2763" s="14">
        <v>0</v>
      </c>
      <c r="D2763" s="14">
        <v>0</v>
      </c>
      <c r="E2763" s="14">
        <f t="shared" si="43"/>
        <v>0</v>
      </c>
    </row>
    <row r="2764" spans="1:5" x14ac:dyDescent="0.3">
      <c r="A2764" s="7">
        <v>1001427</v>
      </c>
      <c r="B2764" s="15" t="s">
        <v>2760</v>
      </c>
      <c r="C2764" s="14">
        <v>0</v>
      </c>
      <c r="D2764" s="14">
        <v>0</v>
      </c>
      <c r="E2764" s="14">
        <f t="shared" si="43"/>
        <v>0</v>
      </c>
    </row>
    <row r="2765" spans="1:5" x14ac:dyDescent="0.3">
      <c r="A2765" s="7">
        <v>1001428</v>
      </c>
      <c r="B2765" s="15" t="s">
        <v>2761</v>
      </c>
      <c r="C2765" s="14">
        <v>0</v>
      </c>
      <c r="D2765" s="14">
        <v>0</v>
      </c>
      <c r="E2765" s="14">
        <f t="shared" si="43"/>
        <v>0</v>
      </c>
    </row>
    <row r="2766" spans="1:5" x14ac:dyDescent="0.3">
      <c r="A2766" s="7">
        <v>1001429</v>
      </c>
      <c r="B2766" s="15" t="s">
        <v>2762</v>
      </c>
      <c r="C2766" s="14">
        <v>0</v>
      </c>
      <c r="D2766" s="14">
        <v>0</v>
      </c>
      <c r="E2766" s="14">
        <f t="shared" si="43"/>
        <v>0</v>
      </c>
    </row>
    <row r="2767" spans="1:5" x14ac:dyDescent="0.3">
      <c r="A2767" s="7">
        <v>1001432</v>
      </c>
      <c r="B2767" s="15" t="s">
        <v>2763</v>
      </c>
      <c r="C2767" s="14">
        <v>0</v>
      </c>
      <c r="D2767" s="14">
        <v>0</v>
      </c>
      <c r="E2767" s="14">
        <f t="shared" si="43"/>
        <v>0</v>
      </c>
    </row>
    <row r="2768" spans="1:5" x14ac:dyDescent="0.3">
      <c r="A2768" s="7">
        <v>1001433</v>
      </c>
      <c r="B2768" s="15" t="s">
        <v>2764</v>
      </c>
      <c r="C2768" s="14">
        <v>0</v>
      </c>
      <c r="D2768" s="14">
        <v>0</v>
      </c>
      <c r="E2768" s="14">
        <f t="shared" si="43"/>
        <v>0</v>
      </c>
    </row>
    <row r="2769" spans="1:5" x14ac:dyDescent="0.3">
      <c r="A2769" s="7">
        <v>1001434</v>
      </c>
      <c r="B2769" s="15" t="s">
        <v>2765</v>
      </c>
      <c r="C2769" s="14">
        <v>0</v>
      </c>
      <c r="D2769" s="14">
        <v>0</v>
      </c>
      <c r="E2769" s="14">
        <f t="shared" si="43"/>
        <v>0</v>
      </c>
    </row>
    <row r="2770" spans="1:5" x14ac:dyDescent="0.3">
      <c r="A2770" s="7">
        <v>1001435</v>
      </c>
      <c r="B2770" s="15" t="s">
        <v>2766</v>
      </c>
      <c r="C2770" s="14">
        <v>0</v>
      </c>
      <c r="D2770" s="14">
        <v>0</v>
      </c>
      <c r="E2770" s="14">
        <f t="shared" si="43"/>
        <v>0</v>
      </c>
    </row>
    <row r="2771" spans="1:5" x14ac:dyDescent="0.3">
      <c r="A2771" s="7">
        <v>1001436</v>
      </c>
      <c r="B2771" s="15" t="s">
        <v>2767</v>
      </c>
      <c r="C2771" s="14">
        <v>0</v>
      </c>
      <c r="D2771" s="14">
        <v>0</v>
      </c>
      <c r="E2771" s="14">
        <f t="shared" si="43"/>
        <v>0</v>
      </c>
    </row>
    <row r="2772" spans="1:5" x14ac:dyDescent="0.3">
      <c r="A2772" s="7">
        <v>1001437</v>
      </c>
      <c r="B2772" s="15" t="s">
        <v>2768</v>
      </c>
      <c r="C2772" s="14">
        <v>0</v>
      </c>
      <c r="D2772" s="14">
        <v>0</v>
      </c>
      <c r="E2772" s="14">
        <f t="shared" si="43"/>
        <v>0</v>
      </c>
    </row>
    <row r="2773" spans="1:5" x14ac:dyDescent="0.3">
      <c r="A2773" s="7">
        <v>1001439</v>
      </c>
      <c r="B2773" s="15" t="s">
        <v>2769</v>
      </c>
      <c r="C2773" s="14">
        <v>0</v>
      </c>
      <c r="D2773" s="14">
        <v>0</v>
      </c>
      <c r="E2773" s="14">
        <f t="shared" si="43"/>
        <v>0</v>
      </c>
    </row>
    <row r="2774" spans="1:5" x14ac:dyDescent="0.3">
      <c r="A2774" s="7">
        <v>1001440</v>
      </c>
      <c r="B2774" s="15" t="s">
        <v>2770</v>
      </c>
      <c r="C2774" s="14">
        <v>0</v>
      </c>
      <c r="D2774" s="14">
        <v>0</v>
      </c>
      <c r="E2774" s="14">
        <f t="shared" si="43"/>
        <v>0</v>
      </c>
    </row>
    <row r="2775" spans="1:5" x14ac:dyDescent="0.3">
      <c r="A2775" s="7">
        <v>1001441</v>
      </c>
      <c r="B2775" s="15" t="s">
        <v>2771</v>
      </c>
      <c r="C2775" s="14">
        <v>0</v>
      </c>
      <c r="D2775" s="14">
        <v>0</v>
      </c>
      <c r="E2775" s="14">
        <f t="shared" si="43"/>
        <v>0</v>
      </c>
    </row>
    <row r="2776" spans="1:5" x14ac:dyDescent="0.3">
      <c r="A2776" s="7">
        <v>1001442</v>
      </c>
      <c r="B2776" s="15" t="s">
        <v>2772</v>
      </c>
      <c r="C2776" s="14">
        <v>0</v>
      </c>
      <c r="D2776" s="14">
        <v>0</v>
      </c>
      <c r="E2776" s="14">
        <f t="shared" si="43"/>
        <v>0</v>
      </c>
    </row>
    <row r="2777" spans="1:5" x14ac:dyDescent="0.3">
      <c r="A2777" s="7">
        <v>1001444</v>
      </c>
      <c r="B2777" s="15" t="s">
        <v>2773</v>
      </c>
      <c r="C2777" s="14">
        <v>0</v>
      </c>
      <c r="D2777" s="14">
        <v>0</v>
      </c>
      <c r="E2777" s="14">
        <f t="shared" si="43"/>
        <v>0</v>
      </c>
    </row>
    <row r="2778" spans="1:5" x14ac:dyDescent="0.3">
      <c r="A2778" s="7">
        <v>1001448</v>
      </c>
      <c r="B2778" s="15" t="s">
        <v>2774</v>
      </c>
      <c r="C2778" s="14">
        <v>0</v>
      </c>
      <c r="D2778" s="14">
        <v>0</v>
      </c>
      <c r="E2778" s="14">
        <f t="shared" si="43"/>
        <v>0</v>
      </c>
    </row>
    <row r="2779" spans="1:5" x14ac:dyDescent="0.3">
      <c r="A2779" s="7">
        <v>1001449</v>
      </c>
      <c r="B2779" s="15" t="s">
        <v>2775</v>
      </c>
      <c r="C2779" s="14">
        <v>0</v>
      </c>
      <c r="D2779" s="14">
        <v>0</v>
      </c>
      <c r="E2779" s="14">
        <f t="shared" si="43"/>
        <v>0</v>
      </c>
    </row>
    <row r="2780" spans="1:5" x14ac:dyDescent="0.3">
      <c r="A2780" s="7">
        <v>1001450</v>
      </c>
      <c r="B2780" s="15" t="s">
        <v>2776</v>
      </c>
      <c r="C2780" s="14">
        <v>0</v>
      </c>
      <c r="D2780" s="14">
        <v>0</v>
      </c>
      <c r="E2780" s="14">
        <f t="shared" si="43"/>
        <v>0</v>
      </c>
    </row>
    <row r="2781" spans="1:5" x14ac:dyDescent="0.3">
      <c r="A2781" s="7">
        <v>1001453</v>
      </c>
      <c r="B2781" s="15" t="s">
        <v>2777</v>
      </c>
      <c r="C2781" s="14">
        <v>0</v>
      </c>
      <c r="D2781" s="14">
        <v>0</v>
      </c>
      <c r="E2781" s="14">
        <f t="shared" si="43"/>
        <v>0</v>
      </c>
    </row>
    <row r="2782" spans="1:5" x14ac:dyDescent="0.3">
      <c r="A2782" s="7">
        <v>1001455</v>
      </c>
      <c r="B2782" s="15" t="s">
        <v>2778</v>
      </c>
      <c r="C2782" s="14">
        <v>0</v>
      </c>
      <c r="D2782" s="14">
        <v>0</v>
      </c>
      <c r="E2782" s="14">
        <f t="shared" si="43"/>
        <v>0</v>
      </c>
    </row>
    <row r="2783" spans="1:5" x14ac:dyDescent="0.3">
      <c r="A2783" s="7">
        <v>1001456</v>
      </c>
      <c r="B2783" s="15" t="s">
        <v>2779</v>
      </c>
      <c r="C2783" s="14">
        <v>0</v>
      </c>
      <c r="D2783" s="14">
        <v>0</v>
      </c>
      <c r="E2783" s="14">
        <f t="shared" si="43"/>
        <v>0</v>
      </c>
    </row>
    <row r="2784" spans="1:5" x14ac:dyDescent="0.3">
      <c r="A2784" s="7">
        <v>1001460</v>
      </c>
      <c r="B2784" s="15" t="s">
        <v>2780</v>
      </c>
      <c r="C2784" s="14">
        <v>0</v>
      </c>
      <c r="D2784" s="14">
        <v>0</v>
      </c>
      <c r="E2784" s="14">
        <f t="shared" si="43"/>
        <v>0</v>
      </c>
    </row>
    <row r="2785" spans="1:5" x14ac:dyDescent="0.3">
      <c r="A2785" s="7">
        <v>1001463</v>
      </c>
      <c r="B2785" s="15" t="s">
        <v>2781</v>
      </c>
      <c r="C2785" s="14">
        <v>0</v>
      </c>
      <c r="D2785" s="14">
        <v>0</v>
      </c>
      <c r="E2785" s="14">
        <f t="shared" ref="E2785:E2848" si="44">+MAX(C2785, D2785)</f>
        <v>0</v>
      </c>
    </row>
    <row r="2786" spans="1:5" x14ac:dyDescent="0.3">
      <c r="A2786" s="7">
        <v>1001464</v>
      </c>
      <c r="B2786" s="15" t="s">
        <v>2782</v>
      </c>
      <c r="C2786" s="14">
        <v>0</v>
      </c>
      <c r="D2786" s="14">
        <v>0</v>
      </c>
      <c r="E2786" s="14">
        <f t="shared" si="44"/>
        <v>0</v>
      </c>
    </row>
    <row r="2787" spans="1:5" x14ac:dyDescent="0.3">
      <c r="A2787" s="7">
        <v>1001466</v>
      </c>
      <c r="B2787" s="15" t="s">
        <v>2783</v>
      </c>
      <c r="C2787" s="14">
        <v>0</v>
      </c>
      <c r="D2787" s="14">
        <v>0</v>
      </c>
      <c r="E2787" s="14">
        <f t="shared" si="44"/>
        <v>0</v>
      </c>
    </row>
    <row r="2788" spans="1:5" x14ac:dyDescent="0.3">
      <c r="A2788" s="7">
        <v>1001467</v>
      </c>
      <c r="B2788" s="15" t="s">
        <v>2784</v>
      </c>
      <c r="C2788" s="14">
        <v>0</v>
      </c>
      <c r="D2788" s="14">
        <v>0</v>
      </c>
      <c r="E2788" s="14">
        <f t="shared" si="44"/>
        <v>0</v>
      </c>
    </row>
    <row r="2789" spans="1:5" x14ac:dyDescent="0.3">
      <c r="A2789" s="7">
        <v>1001468</v>
      </c>
      <c r="B2789" s="15" t="s">
        <v>2785</v>
      </c>
      <c r="C2789" s="14">
        <v>0</v>
      </c>
      <c r="D2789" s="14">
        <v>0</v>
      </c>
      <c r="E2789" s="14">
        <f t="shared" si="44"/>
        <v>0</v>
      </c>
    </row>
    <row r="2790" spans="1:5" x14ac:dyDescent="0.3">
      <c r="A2790" s="7">
        <v>1001469</v>
      </c>
      <c r="B2790" s="15" t="s">
        <v>2786</v>
      </c>
      <c r="C2790" s="14">
        <v>0</v>
      </c>
      <c r="D2790" s="14">
        <v>0</v>
      </c>
      <c r="E2790" s="14">
        <f t="shared" si="44"/>
        <v>0</v>
      </c>
    </row>
    <row r="2791" spans="1:5" x14ac:dyDescent="0.3">
      <c r="A2791" s="7">
        <v>1001470</v>
      </c>
      <c r="B2791" s="15" t="s">
        <v>2787</v>
      </c>
      <c r="C2791" s="14">
        <v>0</v>
      </c>
      <c r="D2791" s="14">
        <v>0</v>
      </c>
      <c r="E2791" s="14">
        <f t="shared" si="44"/>
        <v>0</v>
      </c>
    </row>
    <row r="2792" spans="1:5" x14ac:dyDescent="0.3">
      <c r="A2792" s="7">
        <v>1001471</v>
      </c>
      <c r="B2792" s="15" t="s">
        <v>2788</v>
      </c>
      <c r="C2792" s="14">
        <v>0</v>
      </c>
      <c r="D2792" s="14">
        <v>0</v>
      </c>
      <c r="E2792" s="14">
        <f t="shared" si="44"/>
        <v>0</v>
      </c>
    </row>
    <row r="2793" spans="1:5" x14ac:dyDescent="0.3">
      <c r="A2793" s="7">
        <v>1001472</v>
      </c>
      <c r="B2793" s="15" t="s">
        <v>2789</v>
      </c>
      <c r="C2793" s="14">
        <v>0</v>
      </c>
      <c r="D2793" s="14">
        <v>0</v>
      </c>
      <c r="E2793" s="14">
        <f t="shared" si="44"/>
        <v>0</v>
      </c>
    </row>
    <row r="2794" spans="1:5" x14ac:dyDescent="0.3">
      <c r="A2794" s="7">
        <v>1001473</v>
      </c>
      <c r="B2794" s="15" t="s">
        <v>2790</v>
      </c>
      <c r="C2794" s="14">
        <v>0</v>
      </c>
      <c r="D2794" s="14">
        <v>0</v>
      </c>
      <c r="E2794" s="14">
        <f t="shared" si="44"/>
        <v>0</v>
      </c>
    </row>
    <row r="2795" spans="1:5" x14ac:dyDescent="0.3">
      <c r="A2795" s="7">
        <v>1001474</v>
      </c>
      <c r="B2795" s="15" t="s">
        <v>2791</v>
      </c>
      <c r="C2795" s="14">
        <v>0</v>
      </c>
      <c r="D2795" s="14">
        <v>0</v>
      </c>
      <c r="E2795" s="14">
        <f t="shared" si="44"/>
        <v>0</v>
      </c>
    </row>
    <row r="2796" spans="1:5" x14ac:dyDescent="0.3">
      <c r="A2796" s="7">
        <v>1001475</v>
      </c>
      <c r="B2796" s="15" t="s">
        <v>2792</v>
      </c>
      <c r="C2796" s="14">
        <v>0</v>
      </c>
      <c r="D2796" s="14">
        <v>0</v>
      </c>
      <c r="E2796" s="14">
        <f t="shared" si="44"/>
        <v>0</v>
      </c>
    </row>
    <row r="2797" spans="1:5" x14ac:dyDescent="0.3">
      <c r="A2797" s="7">
        <v>1001476</v>
      </c>
      <c r="B2797" s="15" t="s">
        <v>2793</v>
      </c>
      <c r="C2797" s="14">
        <v>0</v>
      </c>
      <c r="D2797" s="14">
        <v>0</v>
      </c>
      <c r="E2797" s="14">
        <f t="shared" si="44"/>
        <v>0</v>
      </c>
    </row>
    <row r="2798" spans="1:5" x14ac:dyDescent="0.3">
      <c r="A2798" s="7">
        <v>1001477</v>
      </c>
      <c r="B2798" s="15" t="s">
        <v>2794</v>
      </c>
      <c r="C2798" s="14">
        <v>0</v>
      </c>
      <c r="D2798" s="14">
        <v>0</v>
      </c>
      <c r="E2798" s="14">
        <f t="shared" si="44"/>
        <v>0</v>
      </c>
    </row>
    <row r="2799" spans="1:5" x14ac:dyDescent="0.3">
      <c r="A2799" s="7">
        <v>1001478</v>
      </c>
      <c r="B2799" s="15" t="s">
        <v>2795</v>
      </c>
      <c r="C2799" s="14">
        <v>0</v>
      </c>
      <c r="D2799" s="14">
        <v>0</v>
      </c>
      <c r="E2799" s="14">
        <f t="shared" si="44"/>
        <v>0</v>
      </c>
    </row>
    <row r="2800" spans="1:5" x14ac:dyDescent="0.3">
      <c r="A2800" s="7">
        <v>1001479</v>
      </c>
      <c r="B2800" s="15" t="s">
        <v>2796</v>
      </c>
      <c r="C2800" s="14">
        <v>0</v>
      </c>
      <c r="D2800" s="14">
        <v>0</v>
      </c>
      <c r="E2800" s="14">
        <f t="shared" si="44"/>
        <v>0</v>
      </c>
    </row>
    <row r="2801" spans="1:5" x14ac:dyDescent="0.3">
      <c r="A2801" s="7">
        <v>1001487</v>
      </c>
      <c r="B2801" s="15" t="s">
        <v>2797</v>
      </c>
      <c r="C2801" s="14">
        <v>0</v>
      </c>
      <c r="D2801" s="14">
        <v>0</v>
      </c>
      <c r="E2801" s="14">
        <f t="shared" si="44"/>
        <v>0</v>
      </c>
    </row>
    <row r="2802" spans="1:5" x14ac:dyDescent="0.3">
      <c r="A2802" s="7">
        <v>1001488</v>
      </c>
      <c r="B2802" s="15" t="s">
        <v>2798</v>
      </c>
      <c r="C2802" s="14">
        <v>0</v>
      </c>
      <c r="D2802" s="14">
        <v>0</v>
      </c>
      <c r="E2802" s="14">
        <f t="shared" si="44"/>
        <v>0</v>
      </c>
    </row>
    <row r="2803" spans="1:5" x14ac:dyDescent="0.3">
      <c r="A2803" s="7">
        <v>1001489</v>
      </c>
      <c r="B2803" s="15" t="s">
        <v>2799</v>
      </c>
      <c r="C2803" s="14">
        <v>0</v>
      </c>
      <c r="D2803" s="14">
        <v>0</v>
      </c>
      <c r="E2803" s="14">
        <f t="shared" si="44"/>
        <v>0</v>
      </c>
    </row>
    <row r="2804" spans="1:5" x14ac:dyDescent="0.3">
      <c r="A2804" s="7">
        <v>1001490</v>
      </c>
      <c r="B2804" s="15" t="s">
        <v>2800</v>
      </c>
      <c r="C2804" s="14">
        <v>0</v>
      </c>
      <c r="D2804" s="14">
        <v>0</v>
      </c>
      <c r="E2804" s="14">
        <f t="shared" si="44"/>
        <v>0</v>
      </c>
    </row>
    <row r="2805" spans="1:5" x14ac:dyDescent="0.3">
      <c r="A2805" s="7">
        <v>1001492</v>
      </c>
      <c r="B2805" s="15" t="s">
        <v>2801</v>
      </c>
      <c r="C2805" s="14">
        <v>0</v>
      </c>
      <c r="D2805" s="14">
        <v>0</v>
      </c>
      <c r="E2805" s="14">
        <f t="shared" si="44"/>
        <v>0</v>
      </c>
    </row>
    <row r="2806" spans="1:5" x14ac:dyDescent="0.3">
      <c r="A2806" s="7">
        <v>1001493</v>
      </c>
      <c r="B2806" s="15" t="s">
        <v>2802</v>
      </c>
      <c r="C2806" s="14">
        <v>0</v>
      </c>
      <c r="D2806" s="14">
        <v>0</v>
      </c>
      <c r="E2806" s="14">
        <f t="shared" si="44"/>
        <v>0</v>
      </c>
    </row>
    <row r="2807" spans="1:5" x14ac:dyDescent="0.3">
      <c r="A2807" s="7">
        <v>1001494</v>
      </c>
      <c r="B2807" s="15" t="s">
        <v>2803</v>
      </c>
      <c r="C2807" s="14">
        <v>0</v>
      </c>
      <c r="D2807" s="14">
        <v>0</v>
      </c>
      <c r="E2807" s="14">
        <f t="shared" si="44"/>
        <v>0</v>
      </c>
    </row>
    <row r="2808" spans="1:5" x14ac:dyDescent="0.3">
      <c r="A2808" s="7">
        <v>1001495</v>
      </c>
      <c r="B2808" s="15" t="s">
        <v>2804</v>
      </c>
      <c r="C2808" s="14">
        <v>0</v>
      </c>
      <c r="D2808" s="14">
        <v>0</v>
      </c>
      <c r="E2808" s="14">
        <f t="shared" si="44"/>
        <v>0</v>
      </c>
    </row>
    <row r="2809" spans="1:5" x14ac:dyDescent="0.3">
      <c r="A2809" s="7">
        <v>1001496</v>
      </c>
      <c r="B2809" s="15" t="s">
        <v>2805</v>
      </c>
      <c r="C2809" s="14">
        <v>0</v>
      </c>
      <c r="D2809" s="14">
        <v>0</v>
      </c>
      <c r="E2809" s="14">
        <f t="shared" si="44"/>
        <v>0</v>
      </c>
    </row>
    <row r="2810" spans="1:5" x14ac:dyDescent="0.3">
      <c r="A2810" s="7">
        <v>1001497</v>
      </c>
      <c r="B2810" s="15" t="s">
        <v>2806</v>
      </c>
      <c r="C2810" s="14">
        <v>0</v>
      </c>
      <c r="D2810" s="14">
        <v>0</v>
      </c>
      <c r="E2810" s="14">
        <f t="shared" si="44"/>
        <v>0</v>
      </c>
    </row>
    <row r="2811" spans="1:5" x14ac:dyDescent="0.3">
      <c r="A2811" s="7">
        <v>1001498</v>
      </c>
      <c r="B2811" s="15" t="s">
        <v>2807</v>
      </c>
      <c r="C2811" s="14">
        <v>0</v>
      </c>
      <c r="D2811" s="14">
        <v>0</v>
      </c>
      <c r="E2811" s="14">
        <f t="shared" si="44"/>
        <v>0</v>
      </c>
    </row>
    <row r="2812" spans="1:5" x14ac:dyDescent="0.3">
      <c r="A2812" s="7">
        <v>1001500</v>
      </c>
      <c r="B2812" s="15" t="s">
        <v>2808</v>
      </c>
      <c r="C2812" s="14">
        <v>0</v>
      </c>
      <c r="D2812" s="14">
        <v>0</v>
      </c>
      <c r="E2812" s="14">
        <f t="shared" si="44"/>
        <v>0</v>
      </c>
    </row>
    <row r="2813" spans="1:5" x14ac:dyDescent="0.3">
      <c r="A2813" s="7">
        <v>1001502</v>
      </c>
      <c r="B2813" s="15" t="s">
        <v>2809</v>
      </c>
      <c r="C2813" s="14">
        <v>0</v>
      </c>
      <c r="D2813" s="14">
        <v>0</v>
      </c>
      <c r="E2813" s="14">
        <f t="shared" si="44"/>
        <v>0</v>
      </c>
    </row>
    <row r="2814" spans="1:5" x14ac:dyDescent="0.3">
      <c r="A2814" s="7">
        <v>1001510</v>
      </c>
      <c r="B2814" s="15" t="s">
        <v>2810</v>
      </c>
      <c r="C2814" s="14">
        <v>0</v>
      </c>
      <c r="D2814" s="14">
        <v>0</v>
      </c>
      <c r="E2814" s="14">
        <f t="shared" si="44"/>
        <v>0</v>
      </c>
    </row>
    <row r="2815" spans="1:5" x14ac:dyDescent="0.3">
      <c r="A2815" s="7">
        <v>1001515</v>
      </c>
      <c r="B2815" s="15" t="s">
        <v>2811</v>
      </c>
      <c r="C2815" s="14">
        <v>0</v>
      </c>
      <c r="D2815" s="14">
        <v>0</v>
      </c>
      <c r="E2815" s="14">
        <f t="shared" si="44"/>
        <v>0</v>
      </c>
    </row>
    <row r="2816" spans="1:5" x14ac:dyDescent="0.3">
      <c r="A2816" s="7">
        <v>1001519</v>
      </c>
      <c r="B2816" s="15" t="s">
        <v>2812</v>
      </c>
      <c r="C2816" s="14">
        <v>0</v>
      </c>
      <c r="D2816" s="14">
        <v>0</v>
      </c>
      <c r="E2816" s="14">
        <f t="shared" si="44"/>
        <v>0</v>
      </c>
    </row>
    <row r="2817" spans="1:5" x14ac:dyDescent="0.3">
      <c r="A2817" s="7">
        <v>1001520</v>
      </c>
      <c r="B2817" s="15" t="s">
        <v>2813</v>
      </c>
      <c r="C2817" s="14">
        <v>0</v>
      </c>
      <c r="D2817" s="14">
        <v>0</v>
      </c>
      <c r="E2817" s="14">
        <f t="shared" si="44"/>
        <v>0</v>
      </c>
    </row>
    <row r="2818" spans="1:5" x14ac:dyDescent="0.3">
      <c r="A2818" s="7">
        <v>1001521</v>
      </c>
      <c r="B2818" s="15" t="s">
        <v>2814</v>
      </c>
      <c r="C2818" s="14">
        <v>0</v>
      </c>
      <c r="D2818" s="14">
        <v>0</v>
      </c>
      <c r="E2818" s="14">
        <f t="shared" si="44"/>
        <v>0</v>
      </c>
    </row>
    <row r="2819" spans="1:5" x14ac:dyDescent="0.3">
      <c r="A2819" s="7">
        <v>1001522</v>
      </c>
      <c r="B2819" s="15" t="s">
        <v>2815</v>
      </c>
      <c r="C2819" s="14">
        <v>0</v>
      </c>
      <c r="D2819" s="14">
        <v>0</v>
      </c>
      <c r="E2819" s="14">
        <f t="shared" si="44"/>
        <v>0</v>
      </c>
    </row>
    <row r="2820" spans="1:5" x14ac:dyDescent="0.3">
      <c r="A2820" s="7">
        <v>1001525</v>
      </c>
      <c r="B2820" s="15" t="s">
        <v>2816</v>
      </c>
      <c r="C2820" s="14">
        <v>0</v>
      </c>
      <c r="D2820" s="14">
        <v>0</v>
      </c>
      <c r="E2820" s="14">
        <f t="shared" si="44"/>
        <v>0</v>
      </c>
    </row>
    <row r="2821" spans="1:5" x14ac:dyDescent="0.3">
      <c r="A2821" s="7">
        <v>1001530</v>
      </c>
      <c r="B2821" s="15" t="s">
        <v>2817</v>
      </c>
      <c r="C2821" s="14">
        <v>0</v>
      </c>
      <c r="D2821" s="14">
        <v>0</v>
      </c>
      <c r="E2821" s="14">
        <f t="shared" si="44"/>
        <v>0</v>
      </c>
    </row>
    <row r="2822" spans="1:5" x14ac:dyDescent="0.3">
      <c r="A2822" s="7">
        <v>1001532</v>
      </c>
      <c r="B2822" s="15" t="s">
        <v>2818</v>
      </c>
      <c r="C2822" s="14">
        <v>0</v>
      </c>
      <c r="D2822" s="14">
        <v>0</v>
      </c>
      <c r="E2822" s="14">
        <f t="shared" si="44"/>
        <v>0</v>
      </c>
    </row>
    <row r="2823" spans="1:5" x14ac:dyDescent="0.3">
      <c r="A2823" s="7">
        <v>1001533</v>
      </c>
      <c r="B2823" s="15" t="s">
        <v>2819</v>
      </c>
      <c r="C2823" s="14">
        <v>0</v>
      </c>
      <c r="D2823" s="14">
        <v>0</v>
      </c>
      <c r="E2823" s="14">
        <f t="shared" si="44"/>
        <v>0</v>
      </c>
    </row>
    <row r="2824" spans="1:5" x14ac:dyDescent="0.3">
      <c r="A2824" s="7">
        <v>1001534</v>
      </c>
      <c r="B2824" s="15" t="s">
        <v>2820</v>
      </c>
      <c r="C2824" s="14">
        <v>0</v>
      </c>
      <c r="D2824" s="14">
        <v>0</v>
      </c>
      <c r="E2824" s="14">
        <f t="shared" si="44"/>
        <v>0</v>
      </c>
    </row>
    <row r="2825" spans="1:5" x14ac:dyDescent="0.3">
      <c r="A2825" s="7">
        <v>1001535</v>
      </c>
      <c r="B2825" s="15" t="s">
        <v>2821</v>
      </c>
      <c r="C2825" s="14">
        <v>0</v>
      </c>
      <c r="D2825" s="14">
        <v>0</v>
      </c>
      <c r="E2825" s="14">
        <f t="shared" si="44"/>
        <v>0</v>
      </c>
    </row>
    <row r="2826" spans="1:5" x14ac:dyDescent="0.3">
      <c r="A2826" s="7">
        <v>1001538</v>
      </c>
      <c r="B2826" s="15" t="s">
        <v>2822</v>
      </c>
      <c r="C2826" s="14">
        <v>0</v>
      </c>
      <c r="D2826" s="14">
        <v>0</v>
      </c>
      <c r="E2826" s="14">
        <f t="shared" si="44"/>
        <v>0</v>
      </c>
    </row>
    <row r="2827" spans="1:5" x14ac:dyDescent="0.3">
      <c r="A2827" s="7">
        <v>1001539</v>
      </c>
      <c r="B2827" s="15" t="s">
        <v>2823</v>
      </c>
      <c r="C2827" s="14">
        <v>0</v>
      </c>
      <c r="D2827" s="14">
        <v>0</v>
      </c>
      <c r="E2827" s="14">
        <f t="shared" si="44"/>
        <v>0</v>
      </c>
    </row>
    <row r="2828" spans="1:5" x14ac:dyDescent="0.3">
      <c r="A2828" s="7">
        <v>1001540</v>
      </c>
      <c r="B2828" s="15" t="s">
        <v>2824</v>
      </c>
      <c r="C2828" s="14">
        <v>0</v>
      </c>
      <c r="D2828" s="14">
        <v>0</v>
      </c>
      <c r="E2828" s="14">
        <f t="shared" si="44"/>
        <v>0</v>
      </c>
    </row>
    <row r="2829" spans="1:5" x14ac:dyDescent="0.3">
      <c r="A2829" s="7">
        <v>1001541</v>
      </c>
      <c r="B2829" s="15" t="s">
        <v>2825</v>
      </c>
      <c r="C2829" s="14">
        <v>0</v>
      </c>
      <c r="D2829" s="14">
        <v>0</v>
      </c>
      <c r="E2829" s="14">
        <f t="shared" si="44"/>
        <v>0</v>
      </c>
    </row>
    <row r="2830" spans="1:5" x14ac:dyDescent="0.3">
      <c r="A2830" s="7">
        <v>1001542</v>
      </c>
      <c r="B2830" s="15" t="s">
        <v>2826</v>
      </c>
      <c r="C2830" s="14">
        <v>0</v>
      </c>
      <c r="D2830" s="14">
        <v>0</v>
      </c>
      <c r="E2830" s="14">
        <f t="shared" si="44"/>
        <v>0</v>
      </c>
    </row>
    <row r="2831" spans="1:5" x14ac:dyDescent="0.3">
      <c r="A2831" s="7">
        <v>1001545</v>
      </c>
      <c r="B2831" s="15" t="s">
        <v>2827</v>
      </c>
      <c r="C2831" s="14">
        <v>0</v>
      </c>
      <c r="D2831" s="14">
        <v>0</v>
      </c>
      <c r="E2831" s="14">
        <f t="shared" si="44"/>
        <v>0</v>
      </c>
    </row>
    <row r="2832" spans="1:5" x14ac:dyDescent="0.3">
      <c r="A2832" s="7">
        <v>1001547</v>
      </c>
      <c r="B2832" s="15" t="s">
        <v>2828</v>
      </c>
      <c r="C2832" s="14">
        <v>0</v>
      </c>
      <c r="D2832" s="14">
        <v>0</v>
      </c>
      <c r="E2832" s="14">
        <f t="shared" si="44"/>
        <v>0</v>
      </c>
    </row>
    <row r="2833" spans="1:5" x14ac:dyDescent="0.3">
      <c r="A2833" s="7">
        <v>1001548</v>
      </c>
      <c r="B2833" s="15" t="s">
        <v>2829</v>
      </c>
      <c r="C2833" s="14">
        <v>0</v>
      </c>
      <c r="D2833" s="14">
        <v>0</v>
      </c>
      <c r="E2833" s="14">
        <f t="shared" si="44"/>
        <v>0</v>
      </c>
    </row>
    <row r="2834" spans="1:5" x14ac:dyDescent="0.3">
      <c r="A2834" s="7">
        <v>1001549</v>
      </c>
      <c r="B2834" s="15" t="s">
        <v>2830</v>
      </c>
      <c r="C2834" s="14">
        <v>0</v>
      </c>
      <c r="D2834" s="14">
        <v>0</v>
      </c>
      <c r="E2834" s="14">
        <f t="shared" si="44"/>
        <v>0</v>
      </c>
    </row>
    <row r="2835" spans="1:5" x14ac:dyDescent="0.3">
      <c r="A2835" s="7">
        <v>1001550</v>
      </c>
      <c r="B2835" s="15" t="s">
        <v>2831</v>
      </c>
      <c r="C2835" s="14">
        <v>0</v>
      </c>
      <c r="D2835" s="14">
        <v>0</v>
      </c>
      <c r="E2835" s="14">
        <f t="shared" si="44"/>
        <v>0</v>
      </c>
    </row>
    <row r="2836" spans="1:5" x14ac:dyDescent="0.3">
      <c r="A2836" s="7">
        <v>1001551</v>
      </c>
      <c r="B2836" s="15" t="s">
        <v>2832</v>
      </c>
      <c r="C2836" s="14">
        <v>0</v>
      </c>
      <c r="D2836" s="14">
        <v>0</v>
      </c>
      <c r="E2836" s="14">
        <f t="shared" si="44"/>
        <v>0</v>
      </c>
    </row>
    <row r="2837" spans="1:5" x14ac:dyDescent="0.3">
      <c r="A2837" s="7">
        <v>1001553</v>
      </c>
      <c r="B2837" s="15" t="s">
        <v>2833</v>
      </c>
      <c r="C2837" s="14">
        <v>0</v>
      </c>
      <c r="D2837" s="14">
        <v>0</v>
      </c>
      <c r="E2837" s="14">
        <f t="shared" si="44"/>
        <v>0</v>
      </c>
    </row>
    <row r="2838" spans="1:5" x14ac:dyDescent="0.3">
      <c r="A2838" s="7">
        <v>1001555</v>
      </c>
      <c r="B2838" s="15" t="s">
        <v>2834</v>
      </c>
      <c r="C2838" s="14">
        <v>0</v>
      </c>
      <c r="D2838" s="14">
        <v>0</v>
      </c>
      <c r="E2838" s="14">
        <f t="shared" si="44"/>
        <v>0</v>
      </c>
    </row>
    <row r="2839" spans="1:5" x14ac:dyDescent="0.3">
      <c r="A2839" s="7">
        <v>1001557</v>
      </c>
      <c r="B2839" s="15" t="s">
        <v>2835</v>
      </c>
      <c r="C2839" s="14">
        <v>0</v>
      </c>
      <c r="D2839" s="14">
        <v>0</v>
      </c>
      <c r="E2839" s="14">
        <f t="shared" si="44"/>
        <v>0</v>
      </c>
    </row>
    <row r="2840" spans="1:5" x14ac:dyDescent="0.3">
      <c r="A2840" s="7">
        <v>1001559</v>
      </c>
      <c r="B2840" s="15" t="s">
        <v>2836</v>
      </c>
      <c r="C2840" s="14">
        <v>0</v>
      </c>
      <c r="D2840" s="14">
        <v>0</v>
      </c>
      <c r="E2840" s="14">
        <f t="shared" si="44"/>
        <v>0</v>
      </c>
    </row>
    <row r="2841" spans="1:5" x14ac:dyDescent="0.3">
      <c r="A2841" s="7">
        <v>1001560</v>
      </c>
      <c r="B2841" s="15" t="s">
        <v>2837</v>
      </c>
      <c r="C2841" s="14">
        <v>0</v>
      </c>
      <c r="D2841" s="14">
        <v>0</v>
      </c>
      <c r="E2841" s="14">
        <f t="shared" si="44"/>
        <v>0</v>
      </c>
    </row>
    <row r="2842" spans="1:5" x14ac:dyDescent="0.3">
      <c r="A2842" s="7">
        <v>1001561</v>
      </c>
      <c r="B2842" s="15" t="s">
        <v>2838</v>
      </c>
      <c r="C2842" s="14">
        <v>0</v>
      </c>
      <c r="D2842" s="14">
        <v>0</v>
      </c>
      <c r="E2842" s="14">
        <f t="shared" si="44"/>
        <v>0</v>
      </c>
    </row>
    <row r="2843" spans="1:5" x14ac:dyDescent="0.3">
      <c r="A2843" s="7">
        <v>1001564</v>
      </c>
      <c r="B2843" s="15" t="s">
        <v>2839</v>
      </c>
      <c r="C2843" s="14">
        <v>0</v>
      </c>
      <c r="D2843" s="14">
        <v>0</v>
      </c>
      <c r="E2843" s="14">
        <f t="shared" si="44"/>
        <v>0</v>
      </c>
    </row>
    <row r="2844" spans="1:5" x14ac:dyDescent="0.3">
      <c r="A2844" s="7">
        <v>1001565</v>
      </c>
      <c r="B2844" s="15" t="s">
        <v>2840</v>
      </c>
      <c r="C2844" s="14">
        <v>0</v>
      </c>
      <c r="D2844" s="14">
        <v>0</v>
      </c>
      <c r="E2844" s="14">
        <f t="shared" si="44"/>
        <v>0</v>
      </c>
    </row>
    <row r="2845" spans="1:5" x14ac:dyDescent="0.3">
      <c r="A2845" s="7">
        <v>1001568</v>
      </c>
      <c r="B2845" s="15" t="s">
        <v>2841</v>
      </c>
      <c r="C2845" s="14">
        <v>0</v>
      </c>
      <c r="D2845" s="14">
        <v>0</v>
      </c>
      <c r="E2845" s="14">
        <f t="shared" si="44"/>
        <v>0</v>
      </c>
    </row>
    <row r="2846" spans="1:5" x14ac:dyDescent="0.3">
      <c r="A2846" s="7">
        <v>1001569</v>
      </c>
      <c r="B2846" s="15" t="s">
        <v>2842</v>
      </c>
      <c r="C2846" s="14">
        <v>0</v>
      </c>
      <c r="D2846" s="14">
        <v>0</v>
      </c>
      <c r="E2846" s="14">
        <f t="shared" si="44"/>
        <v>0</v>
      </c>
    </row>
    <row r="2847" spans="1:5" x14ac:dyDescent="0.3">
      <c r="A2847" s="7">
        <v>1001577</v>
      </c>
      <c r="B2847" s="15" t="s">
        <v>2843</v>
      </c>
      <c r="C2847" s="14">
        <v>0</v>
      </c>
      <c r="D2847" s="14">
        <v>0</v>
      </c>
      <c r="E2847" s="14">
        <f t="shared" si="44"/>
        <v>0</v>
      </c>
    </row>
    <row r="2848" spans="1:5" x14ac:dyDescent="0.3">
      <c r="A2848" s="7">
        <v>1001578</v>
      </c>
      <c r="B2848" s="15" t="s">
        <v>2844</v>
      </c>
      <c r="C2848" s="14">
        <v>0</v>
      </c>
      <c r="D2848" s="14">
        <v>0</v>
      </c>
      <c r="E2848" s="14">
        <f t="shared" si="44"/>
        <v>0</v>
      </c>
    </row>
    <row r="2849" spans="1:5" x14ac:dyDescent="0.3">
      <c r="A2849" s="7">
        <v>1001579</v>
      </c>
      <c r="B2849" s="15" t="s">
        <v>2845</v>
      </c>
      <c r="C2849" s="14">
        <v>0</v>
      </c>
      <c r="D2849" s="14">
        <v>0</v>
      </c>
      <c r="E2849" s="14">
        <f t="shared" ref="E2849:E2912" si="45">+MAX(C2849, D2849)</f>
        <v>0</v>
      </c>
    </row>
    <row r="2850" spans="1:5" x14ac:dyDescent="0.3">
      <c r="A2850" s="7">
        <v>1001580</v>
      </c>
      <c r="B2850" s="15" t="s">
        <v>2846</v>
      </c>
      <c r="C2850" s="14">
        <v>0</v>
      </c>
      <c r="D2850" s="14">
        <v>0</v>
      </c>
      <c r="E2850" s="14">
        <f t="shared" si="45"/>
        <v>0</v>
      </c>
    </row>
    <row r="2851" spans="1:5" x14ac:dyDescent="0.3">
      <c r="A2851" s="7">
        <v>1001581</v>
      </c>
      <c r="B2851" s="15" t="s">
        <v>2847</v>
      </c>
      <c r="C2851" s="14">
        <v>0</v>
      </c>
      <c r="D2851" s="14">
        <v>0</v>
      </c>
      <c r="E2851" s="14">
        <f t="shared" si="45"/>
        <v>0</v>
      </c>
    </row>
    <row r="2852" spans="1:5" x14ac:dyDescent="0.3">
      <c r="A2852" s="7">
        <v>1001582</v>
      </c>
      <c r="B2852" s="15" t="s">
        <v>2848</v>
      </c>
      <c r="C2852" s="14">
        <v>0</v>
      </c>
      <c r="D2852" s="14">
        <v>0</v>
      </c>
      <c r="E2852" s="14">
        <f t="shared" si="45"/>
        <v>0</v>
      </c>
    </row>
    <row r="2853" spans="1:5" x14ac:dyDescent="0.3">
      <c r="A2853" s="7">
        <v>1001583</v>
      </c>
      <c r="B2853" s="15" t="s">
        <v>2849</v>
      </c>
      <c r="C2853" s="14">
        <v>0</v>
      </c>
      <c r="D2853" s="14">
        <v>0</v>
      </c>
      <c r="E2853" s="14">
        <f t="shared" si="45"/>
        <v>0</v>
      </c>
    </row>
    <row r="2854" spans="1:5" x14ac:dyDescent="0.3">
      <c r="A2854" s="7">
        <v>1001584</v>
      </c>
      <c r="B2854" s="15" t="s">
        <v>2850</v>
      </c>
      <c r="C2854" s="14">
        <v>0</v>
      </c>
      <c r="D2854" s="14">
        <v>0</v>
      </c>
      <c r="E2854" s="14">
        <f t="shared" si="45"/>
        <v>0</v>
      </c>
    </row>
    <row r="2855" spans="1:5" x14ac:dyDescent="0.3">
      <c r="A2855" s="7">
        <v>1001591</v>
      </c>
      <c r="B2855" s="15" t="s">
        <v>2851</v>
      </c>
      <c r="C2855" s="14">
        <v>0</v>
      </c>
      <c r="D2855" s="14">
        <v>0</v>
      </c>
      <c r="E2855" s="14">
        <f t="shared" si="45"/>
        <v>0</v>
      </c>
    </row>
    <row r="2856" spans="1:5" x14ac:dyDescent="0.3">
      <c r="A2856" s="7">
        <v>1001595</v>
      </c>
      <c r="B2856" s="15" t="s">
        <v>2852</v>
      </c>
      <c r="C2856" s="14">
        <v>0</v>
      </c>
      <c r="D2856" s="14">
        <v>0</v>
      </c>
      <c r="E2856" s="14">
        <f t="shared" si="45"/>
        <v>0</v>
      </c>
    </row>
    <row r="2857" spans="1:5" x14ac:dyDescent="0.3">
      <c r="A2857" s="7">
        <v>1001596</v>
      </c>
      <c r="B2857" s="15" t="s">
        <v>2853</v>
      </c>
      <c r="C2857" s="14">
        <v>0</v>
      </c>
      <c r="D2857" s="14">
        <v>0</v>
      </c>
      <c r="E2857" s="14">
        <f t="shared" si="45"/>
        <v>0</v>
      </c>
    </row>
    <row r="2858" spans="1:5" x14ac:dyDescent="0.3">
      <c r="A2858" s="7">
        <v>1001597</v>
      </c>
      <c r="B2858" s="15" t="s">
        <v>2854</v>
      </c>
      <c r="C2858" s="14">
        <v>0</v>
      </c>
      <c r="D2858" s="14">
        <v>0</v>
      </c>
      <c r="E2858" s="14">
        <f t="shared" si="45"/>
        <v>0</v>
      </c>
    </row>
    <row r="2859" spans="1:5" x14ac:dyDescent="0.3">
      <c r="A2859" s="7">
        <v>1001602</v>
      </c>
      <c r="B2859" s="15" t="s">
        <v>2855</v>
      </c>
      <c r="C2859" s="14">
        <v>0</v>
      </c>
      <c r="D2859" s="14">
        <v>0</v>
      </c>
      <c r="E2859" s="14">
        <f t="shared" si="45"/>
        <v>0</v>
      </c>
    </row>
    <row r="2860" spans="1:5" x14ac:dyDescent="0.3">
      <c r="A2860" s="7">
        <v>1001603</v>
      </c>
      <c r="B2860" s="15" t="s">
        <v>2856</v>
      </c>
      <c r="C2860" s="14">
        <v>0</v>
      </c>
      <c r="D2860" s="14">
        <v>0</v>
      </c>
      <c r="E2860" s="14">
        <f t="shared" si="45"/>
        <v>0</v>
      </c>
    </row>
    <row r="2861" spans="1:5" x14ac:dyDescent="0.3">
      <c r="A2861" s="7">
        <v>1001604</v>
      </c>
      <c r="B2861" s="15" t="s">
        <v>2857</v>
      </c>
      <c r="C2861" s="14">
        <v>0</v>
      </c>
      <c r="D2861" s="14">
        <v>0</v>
      </c>
      <c r="E2861" s="14">
        <f t="shared" si="45"/>
        <v>0</v>
      </c>
    </row>
    <row r="2862" spans="1:5" x14ac:dyDescent="0.3">
      <c r="A2862" s="7">
        <v>1001605</v>
      </c>
      <c r="B2862" s="15" t="s">
        <v>2858</v>
      </c>
      <c r="C2862" s="14">
        <v>0</v>
      </c>
      <c r="D2862" s="14">
        <v>0</v>
      </c>
      <c r="E2862" s="14">
        <f t="shared" si="45"/>
        <v>0</v>
      </c>
    </row>
    <row r="2863" spans="1:5" x14ac:dyDescent="0.3">
      <c r="A2863" s="7">
        <v>1001608</v>
      </c>
      <c r="B2863" s="15" t="s">
        <v>2859</v>
      </c>
      <c r="C2863" s="14">
        <v>0</v>
      </c>
      <c r="D2863" s="14">
        <v>0</v>
      </c>
      <c r="E2863" s="14">
        <f t="shared" si="45"/>
        <v>0</v>
      </c>
    </row>
    <row r="2864" spans="1:5" x14ac:dyDescent="0.3">
      <c r="A2864" s="7">
        <v>1001610</v>
      </c>
      <c r="B2864" s="15" t="s">
        <v>2860</v>
      </c>
      <c r="C2864" s="14">
        <v>0</v>
      </c>
      <c r="D2864" s="14">
        <v>0</v>
      </c>
      <c r="E2864" s="14">
        <f t="shared" si="45"/>
        <v>0</v>
      </c>
    </row>
    <row r="2865" spans="1:5" x14ac:dyDescent="0.3">
      <c r="A2865" s="7">
        <v>1001611</v>
      </c>
      <c r="B2865" s="15" t="s">
        <v>2861</v>
      </c>
      <c r="C2865" s="14">
        <v>0</v>
      </c>
      <c r="D2865" s="14">
        <v>0</v>
      </c>
      <c r="E2865" s="14">
        <f t="shared" si="45"/>
        <v>0</v>
      </c>
    </row>
    <row r="2866" spans="1:5" x14ac:dyDescent="0.3">
      <c r="A2866" s="7">
        <v>1001613</v>
      </c>
      <c r="B2866" s="15" t="s">
        <v>2862</v>
      </c>
      <c r="C2866" s="14">
        <v>0</v>
      </c>
      <c r="D2866" s="14">
        <v>0</v>
      </c>
      <c r="E2866" s="14">
        <f t="shared" si="45"/>
        <v>0</v>
      </c>
    </row>
    <row r="2867" spans="1:5" x14ac:dyDescent="0.3">
      <c r="A2867" s="7">
        <v>1001614</v>
      </c>
      <c r="B2867" s="15" t="s">
        <v>2863</v>
      </c>
      <c r="C2867" s="14">
        <v>0</v>
      </c>
      <c r="D2867" s="14">
        <v>0</v>
      </c>
      <c r="E2867" s="14">
        <f t="shared" si="45"/>
        <v>0</v>
      </c>
    </row>
    <row r="2868" spans="1:5" x14ac:dyDescent="0.3">
      <c r="A2868" s="7">
        <v>1001615</v>
      </c>
      <c r="B2868" s="15" t="s">
        <v>2864</v>
      </c>
      <c r="C2868" s="14">
        <v>0</v>
      </c>
      <c r="D2868" s="14">
        <v>0</v>
      </c>
      <c r="E2868" s="14">
        <f t="shared" si="45"/>
        <v>0</v>
      </c>
    </row>
    <row r="2869" spans="1:5" x14ac:dyDescent="0.3">
      <c r="A2869" s="7">
        <v>1001616</v>
      </c>
      <c r="B2869" s="15" t="s">
        <v>2865</v>
      </c>
      <c r="C2869" s="14">
        <v>0</v>
      </c>
      <c r="D2869" s="14">
        <v>0</v>
      </c>
      <c r="E2869" s="14">
        <f t="shared" si="45"/>
        <v>0</v>
      </c>
    </row>
    <row r="2870" spans="1:5" x14ac:dyDescent="0.3">
      <c r="A2870" s="7">
        <v>1001617</v>
      </c>
      <c r="B2870" s="15" t="s">
        <v>2866</v>
      </c>
      <c r="C2870" s="14">
        <v>0</v>
      </c>
      <c r="D2870" s="14">
        <v>0</v>
      </c>
      <c r="E2870" s="14">
        <f t="shared" si="45"/>
        <v>0</v>
      </c>
    </row>
    <row r="2871" spans="1:5" x14ac:dyDescent="0.3">
      <c r="A2871" s="7">
        <v>1001618</v>
      </c>
      <c r="B2871" s="15" t="s">
        <v>2867</v>
      </c>
      <c r="C2871" s="14">
        <v>0</v>
      </c>
      <c r="D2871" s="14">
        <v>0</v>
      </c>
      <c r="E2871" s="14">
        <f t="shared" si="45"/>
        <v>0</v>
      </c>
    </row>
    <row r="2872" spans="1:5" x14ac:dyDescent="0.3">
      <c r="A2872" s="7">
        <v>1001619</v>
      </c>
      <c r="B2872" s="15" t="s">
        <v>2868</v>
      </c>
      <c r="C2872" s="14">
        <v>0</v>
      </c>
      <c r="D2872" s="14">
        <v>0</v>
      </c>
      <c r="E2872" s="14">
        <f t="shared" si="45"/>
        <v>0</v>
      </c>
    </row>
    <row r="2873" spans="1:5" x14ac:dyDescent="0.3">
      <c r="A2873" s="7">
        <v>1001621</v>
      </c>
      <c r="B2873" s="15" t="s">
        <v>2869</v>
      </c>
      <c r="C2873" s="14">
        <v>0</v>
      </c>
      <c r="D2873" s="14">
        <v>0</v>
      </c>
      <c r="E2873" s="14">
        <f t="shared" si="45"/>
        <v>0</v>
      </c>
    </row>
    <row r="2874" spans="1:5" x14ac:dyDescent="0.3">
      <c r="A2874" s="7">
        <v>1001622</v>
      </c>
      <c r="B2874" s="15" t="s">
        <v>2870</v>
      </c>
      <c r="C2874" s="14">
        <v>0</v>
      </c>
      <c r="D2874" s="14">
        <v>0</v>
      </c>
      <c r="E2874" s="14">
        <f t="shared" si="45"/>
        <v>0</v>
      </c>
    </row>
    <row r="2875" spans="1:5" x14ac:dyDescent="0.3">
      <c r="A2875" s="7">
        <v>1001623</v>
      </c>
      <c r="B2875" s="15" t="s">
        <v>2871</v>
      </c>
      <c r="C2875" s="14">
        <v>0</v>
      </c>
      <c r="D2875" s="14">
        <v>0</v>
      </c>
      <c r="E2875" s="14">
        <f t="shared" si="45"/>
        <v>0</v>
      </c>
    </row>
    <row r="2876" spans="1:5" x14ac:dyDescent="0.3">
      <c r="A2876" s="7">
        <v>1001624</v>
      </c>
      <c r="B2876" s="15" t="s">
        <v>2872</v>
      </c>
      <c r="C2876" s="14">
        <v>0</v>
      </c>
      <c r="D2876" s="14">
        <v>0</v>
      </c>
      <c r="E2876" s="14">
        <f t="shared" si="45"/>
        <v>0</v>
      </c>
    </row>
    <row r="2877" spans="1:5" x14ac:dyDescent="0.3">
      <c r="A2877" s="7">
        <v>1001625</v>
      </c>
      <c r="B2877" s="15" t="s">
        <v>2873</v>
      </c>
      <c r="C2877" s="14">
        <v>0</v>
      </c>
      <c r="D2877" s="14">
        <v>0</v>
      </c>
      <c r="E2877" s="14">
        <f t="shared" si="45"/>
        <v>0</v>
      </c>
    </row>
    <row r="2878" spans="1:5" x14ac:dyDescent="0.3">
      <c r="A2878" s="7">
        <v>1001626</v>
      </c>
      <c r="B2878" s="15" t="s">
        <v>2874</v>
      </c>
      <c r="C2878" s="14">
        <v>0</v>
      </c>
      <c r="D2878" s="14">
        <v>0</v>
      </c>
      <c r="E2878" s="14">
        <f t="shared" si="45"/>
        <v>0</v>
      </c>
    </row>
    <row r="2879" spans="1:5" x14ac:dyDescent="0.3">
      <c r="A2879" s="7">
        <v>1001627</v>
      </c>
      <c r="B2879" s="15" t="s">
        <v>2875</v>
      </c>
      <c r="C2879" s="14">
        <v>0</v>
      </c>
      <c r="D2879" s="14">
        <v>0</v>
      </c>
      <c r="E2879" s="14">
        <f t="shared" si="45"/>
        <v>0</v>
      </c>
    </row>
    <row r="2880" spans="1:5" x14ac:dyDescent="0.3">
      <c r="A2880" s="7">
        <v>1001628</v>
      </c>
      <c r="B2880" s="15" t="s">
        <v>2876</v>
      </c>
      <c r="C2880" s="14">
        <v>0</v>
      </c>
      <c r="D2880" s="14">
        <v>0</v>
      </c>
      <c r="E2880" s="14">
        <f t="shared" si="45"/>
        <v>0</v>
      </c>
    </row>
    <row r="2881" spans="1:5" x14ac:dyDescent="0.3">
      <c r="A2881" s="7">
        <v>1001629</v>
      </c>
      <c r="B2881" s="15" t="s">
        <v>2877</v>
      </c>
      <c r="C2881" s="14">
        <v>0</v>
      </c>
      <c r="D2881" s="14">
        <v>0</v>
      </c>
      <c r="E2881" s="14">
        <f t="shared" si="45"/>
        <v>0</v>
      </c>
    </row>
    <row r="2882" spans="1:5" x14ac:dyDescent="0.3">
      <c r="A2882" s="7">
        <v>1001630</v>
      </c>
      <c r="B2882" s="15" t="s">
        <v>2878</v>
      </c>
      <c r="C2882" s="14">
        <v>0</v>
      </c>
      <c r="D2882" s="14">
        <v>0</v>
      </c>
      <c r="E2882" s="14">
        <f t="shared" si="45"/>
        <v>0</v>
      </c>
    </row>
    <row r="2883" spans="1:5" x14ac:dyDescent="0.3">
      <c r="A2883" s="7">
        <v>1001631</v>
      </c>
      <c r="B2883" s="15" t="s">
        <v>2879</v>
      </c>
      <c r="C2883" s="14">
        <v>0</v>
      </c>
      <c r="D2883" s="14">
        <v>0</v>
      </c>
      <c r="E2883" s="14">
        <f t="shared" si="45"/>
        <v>0</v>
      </c>
    </row>
    <row r="2884" spans="1:5" x14ac:dyDescent="0.3">
      <c r="A2884" s="7">
        <v>1001632</v>
      </c>
      <c r="B2884" s="15" t="s">
        <v>2880</v>
      </c>
      <c r="C2884" s="14">
        <v>0</v>
      </c>
      <c r="D2884" s="14">
        <v>0</v>
      </c>
      <c r="E2884" s="14">
        <f t="shared" si="45"/>
        <v>0</v>
      </c>
    </row>
    <row r="2885" spans="1:5" x14ac:dyDescent="0.3">
      <c r="A2885" s="7">
        <v>1001633</v>
      </c>
      <c r="B2885" s="15" t="s">
        <v>2881</v>
      </c>
      <c r="C2885" s="14">
        <v>0</v>
      </c>
      <c r="D2885" s="14">
        <v>0</v>
      </c>
      <c r="E2885" s="14">
        <f t="shared" si="45"/>
        <v>0</v>
      </c>
    </row>
    <row r="2886" spans="1:5" x14ac:dyDescent="0.3">
      <c r="A2886" s="7">
        <v>1001635</v>
      </c>
      <c r="B2886" s="15" t="s">
        <v>2882</v>
      </c>
      <c r="C2886" s="14">
        <v>0</v>
      </c>
      <c r="D2886" s="14">
        <v>0</v>
      </c>
      <c r="E2886" s="14">
        <f t="shared" si="45"/>
        <v>0</v>
      </c>
    </row>
    <row r="2887" spans="1:5" x14ac:dyDescent="0.3">
      <c r="A2887" s="7">
        <v>1001636</v>
      </c>
      <c r="B2887" s="15" t="s">
        <v>2883</v>
      </c>
      <c r="C2887" s="14">
        <v>0</v>
      </c>
      <c r="D2887" s="14">
        <v>0</v>
      </c>
      <c r="E2887" s="14">
        <f t="shared" si="45"/>
        <v>0</v>
      </c>
    </row>
    <row r="2888" spans="1:5" x14ac:dyDescent="0.3">
      <c r="A2888" s="7">
        <v>1001638</v>
      </c>
      <c r="B2888" s="15" t="s">
        <v>2884</v>
      </c>
      <c r="C2888" s="14">
        <v>0</v>
      </c>
      <c r="D2888" s="14">
        <v>0</v>
      </c>
      <c r="E2888" s="14">
        <f t="shared" si="45"/>
        <v>0</v>
      </c>
    </row>
    <row r="2889" spans="1:5" x14ac:dyDescent="0.3">
      <c r="A2889" s="7">
        <v>1001640</v>
      </c>
      <c r="B2889" s="15" t="s">
        <v>2885</v>
      </c>
      <c r="C2889" s="14">
        <v>0</v>
      </c>
      <c r="D2889" s="14">
        <v>0</v>
      </c>
      <c r="E2889" s="14">
        <f t="shared" si="45"/>
        <v>0</v>
      </c>
    </row>
    <row r="2890" spans="1:5" x14ac:dyDescent="0.3">
      <c r="A2890" s="7">
        <v>1001641</v>
      </c>
      <c r="B2890" s="15" t="s">
        <v>2886</v>
      </c>
      <c r="C2890" s="14">
        <v>0</v>
      </c>
      <c r="D2890" s="14">
        <v>0</v>
      </c>
      <c r="E2890" s="14">
        <f t="shared" si="45"/>
        <v>0</v>
      </c>
    </row>
    <row r="2891" spans="1:5" x14ac:dyDescent="0.3">
      <c r="A2891" s="7">
        <v>1001642</v>
      </c>
      <c r="B2891" s="15" t="s">
        <v>2887</v>
      </c>
      <c r="C2891" s="14">
        <v>0</v>
      </c>
      <c r="D2891" s="14">
        <v>0</v>
      </c>
      <c r="E2891" s="14">
        <f t="shared" si="45"/>
        <v>0</v>
      </c>
    </row>
    <row r="2892" spans="1:5" x14ac:dyDescent="0.3">
      <c r="A2892" s="7">
        <v>1001643</v>
      </c>
      <c r="B2892" s="15" t="s">
        <v>2888</v>
      </c>
      <c r="C2892" s="14">
        <v>0</v>
      </c>
      <c r="D2892" s="14">
        <v>0</v>
      </c>
      <c r="E2892" s="14">
        <f t="shared" si="45"/>
        <v>0</v>
      </c>
    </row>
    <row r="2893" spans="1:5" x14ac:dyDescent="0.3">
      <c r="A2893" s="7">
        <v>1001644</v>
      </c>
      <c r="B2893" s="15" t="s">
        <v>2889</v>
      </c>
      <c r="C2893" s="14">
        <v>0</v>
      </c>
      <c r="D2893" s="14">
        <v>0</v>
      </c>
      <c r="E2893" s="14">
        <f t="shared" si="45"/>
        <v>0</v>
      </c>
    </row>
    <row r="2894" spans="1:5" x14ac:dyDescent="0.3">
      <c r="A2894" s="7">
        <v>1001645</v>
      </c>
      <c r="B2894" s="15" t="s">
        <v>2890</v>
      </c>
      <c r="C2894" s="14">
        <v>0</v>
      </c>
      <c r="D2894" s="14">
        <v>0</v>
      </c>
      <c r="E2894" s="14">
        <f t="shared" si="45"/>
        <v>0</v>
      </c>
    </row>
    <row r="2895" spans="1:5" x14ac:dyDescent="0.3">
      <c r="A2895" s="7">
        <v>1001646</v>
      </c>
      <c r="B2895" s="15" t="s">
        <v>2891</v>
      </c>
      <c r="C2895" s="14">
        <v>0</v>
      </c>
      <c r="D2895" s="14">
        <v>0</v>
      </c>
      <c r="E2895" s="14">
        <f t="shared" si="45"/>
        <v>0</v>
      </c>
    </row>
    <row r="2896" spans="1:5" x14ac:dyDescent="0.3">
      <c r="A2896" s="7">
        <v>1001647</v>
      </c>
      <c r="B2896" s="15" t="s">
        <v>2892</v>
      </c>
      <c r="C2896" s="14">
        <v>0</v>
      </c>
      <c r="D2896" s="14">
        <v>0</v>
      </c>
      <c r="E2896" s="14">
        <f t="shared" si="45"/>
        <v>0</v>
      </c>
    </row>
    <row r="2897" spans="1:5" x14ac:dyDescent="0.3">
      <c r="A2897" s="7">
        <v>1001648</v>
      </c>
      <c r="B2897" s="15" t="s">
        <v>2893</v>
      </c>
      <c r="C2897" s="14">
        <v>0</v>
      </c>
      <c r="D2897" s="14">
        <v>0</v>
      </c>
      <c r="E2897" s="14">
        <f t="shared" si="45"/>
        <v>0</v>
      </c>
    </row>
    <row r="2898" spans="1:5" x14ac:dyDescent="0.3">
      <c r="A2898" s="7">
        <v>1001649</v>
      </c>
      <c r="B2898" s="15" t="s">
        <v>2894</v>
      </c>
      <c r="C2898" s="14">
        <v>0</v>
      </c>
      <c r="D2898" s="14">
        <v>0</v>
      </c>
      <c r="E2898" s="14">
        <f t="shared" si="45"/>
        <v>0</v>
      </c>
    </row>
    <row r="2899" spans="1:5" x14ac:dyDescent="0.3">
      <c r="A2899" s="7">
        <v>1001650</v>
      </c>
      <c r="B2899" s="15" t="s">
        <v>2895</v>
      </c>
      <c r="C2899" s="14">
        <v>0</v>
      </c>
      <c r="D2899" s="14">
        <v>0</v>
      </c>
      <c r="E2899" s="14">
        <f t="shared" si="45"/>
        <v>0</v>
      </c>
    </row>
    <row r="2900" spans="1:5" x14ac:dyDescent="0.3">
      <c r="A2900" s="7">
        <v>1001655</v>
      </c>
      <c r="B2900" s="15" t="s">
        <v>2896</v>
      </c>
      <c r="C2900" s="14">
        <v>0</v>
      </c>
      <c r="D2900" s="14">
        <v>0</v>
      </c>
      <c r="E2900" s="14">
        <f t="shared" si="45"/>
        <v>0</v>
      </c>
    </row>
    <row r="2901" spans="1:5" x14ac:dyDescent="0.3">
      <c r="A2901" s="7">
        <v>1001656</v>
      </c>
      <c r="B2901" s="15" t="s">
        <v>2897</v>
      </c>
      <c r="C2901" s="14">
        <v>0</v>
      </c>
      <c r="D2901" s="14">
        <v>0</v>
      </c>
      <c r="E2901" s="14">
        <f t="shared" si="45"/>
        <v>0</v>
      </c>
    </row>
    <row r="2902" spans="1:5" x14ac:dyDescent="0.3">
      <c r="A2902" s="7">
        <v>1001657</v>
      </c>
      <c r="B2902" s="15" t="s">
        <v>2898</v>
      </c>
      <c r="C2902" s="14">
        <v>0</v>
      </c>
      <c r="D2902" s="14">
        <v>0</v>
      </c>
      <c r="E2902" s="14">
        <f t="shared" si="45"/>
        <v>0</v>
      </c>
    </row>
    <row r="2903" spans="1:5" x14ac:dyDescent="0.3">
      <c r="A2903" s="7">
        <v>1001658</v>
      </c>
      <c r="B2903" s="15" t="s">
        <v>2899</v>
      </c>
      <c r="C2903" s="14">
        <v>0</v>
      </c>
      <c r="D2903" s="14">
        <v>0</v>
      </c>
      <c r="E2903" s="14">
        <f t="shared" si="45"/>
        <v>0</v>
      </c>
    </row>
    <row r="2904" spans="1:5" x14ac:dyDescent="0.3">
      <c r="A2904" s="7">
        <v>1001659</v>
      </c>
      <c r="B2904" s="15" t="s">
        <v>2900</v>
      </c>
      <c r="C2904" s="14">
        <v>0</v>
      </c>
      <c r="D2904" s="14">
        <v>0</v>
      </c>
      <c r="E2904" s="14">
        <f t="shared" si="45"/>
        <v>0</v>
      </c>
    </row>
    <row r="2905" spans="1:5" x14ac:dyDescent="0.3">
      <c r="A2905" s="7">
        <v>1001660</v>
      </c>
      <c r="B2905" s="15" t="s">
        <v>2901</v>
      </c>
      <c r="C2905" s="14">
        <v>0</v>
      </c>
      <c r="D2905" s="14">
        <v>0</v>
      </c>
      <c r="E2905" s="14">
        <f t="shared" si="45"/>
        <v>0</v>
      </c>
    </row>
    <row r="2906" spans="1:5" x14ac:dyDescent="0.3">
      <c r="A2906" s="7">
        <v>1001661</v>
      </c>
      <c r="B2906" s="15" t="s">
        <v>2902</v>
      </c>
      <c r="C2906" s="14">
        <v>0</v>
      </c>
      <c r="D2906" s="14">
        <v>0</v>
      </c>
      <c r="E2906" s="14">
        <f t="shared" si="45"/>
        <v>0</v>
      </c>
    </row>
    <row r="2907" spans="1:5" x14ac:dyDescent="0.3">
      <c r="A2907" s="7">
        <v>1001662</v>
      </c>
      <c r="B2907" s="15" t="s">
        <v>2903</v>
      </c>
      <c r="C2907" s="14">
        <v>0</v>
      </c>
      <c r="D2907" s="14">
        <v>0</v>
      </c>
      <c r="E2907" s="14">
        <f t="shared" si="45"/>
        <v>0</v>
      </c>
    </row>
    <row r="2908" spans="1:5" x14ac:dyDescent="0.3">
      <c r="A2908" s="7">
        <v>1001663</v>
      </c>
      <c r="B2908" s="15" t="s">
        <v>2904</v>
      </c>
      <c r="C2908" s="14">
        <v>0</v>
      </c>
      <c r="D2908" s="14">
        <v>0</v>
      </c>
      <c r="E2908" s="14">
        <f t="shared" si="45"/>
        <v>0</v>
      </c>
    </row>
    <row r="2909" spans="1:5" x14ac:dyDescent="0.3">
      <c r="A2909" s="7">
        <v>1001665</v>
      </c>
      <c r="B2909" s="15" t="s">
        <v>2905</v>
      </c>
      <c r="C2909" s="14">
        <v>0</v>
      </c>
      <c r="D2909" s="14">
        <v>0</v>
      </c>
      <c r="E2909" s="14">
        <f t="shared" si="45"/>
        <v>0</v>
      </c>
    </row>
    <row r="2910" spans="1:5" x14ac:dyDescent="0.3">
      <c r="A2910" s="7">
        <v>1001666</v>
      </c>
      <c r="B2910" s="15" t="s">
        <v>2906</v>
      </c>
      <c r="C2910" s="14">
        <v>0</v>
      </c>
      <c r="D2910" s="14">
        <v>0</v>
      </c>
      <c r="E2910" s="14">
        <f t="shared" si="45"/>
        <v>0</v>
      </c>
    </row>
    <row r="2911" spans="1:5" x14ac:dyDescent="0.3">
      <c r="A2911" s="7">
        <v>1001667</v>
      </c>
      <c r="B2911" s="15" t="s">
        <v>2907</v>
      </c>
      <c r="C2911" s="14">
        <v>0</v>
      </c>
      <c r="D2911" s="14">
        <v>0</v>
      </c>
      <c r="E2911" s="14">
        <f t="shared" si="45"/>
        <v>0</v>
      </c>
    </row>
    <row r="2912" spans="1:5" x14ac:dyDescent="0.3">
      <c r="A2912" s="7">
        <v>1001668</v>
      </c>
      <c r="B2912" s="15" t="s">
        <v>2908</v>
      </c>
      <c r="C2912" s="14">
        <v>0</v>
      </c>
      <c r="D2912" s="14">
        <v>0</v>
      </c>
      <c r="E2912" s="14">
        <f t="shared" si="45"/>
        <v>0</v>
      </c>
    </row>
    <row r="2913" spans="1:5" x14ac:dyDescent="0.3">
      <c r="A2913" s="7">
        <v>1001669</v>
      </c>
      <c r="B2913" s="15" t="s">
        <v>2909</v>
      </c>
      <c r="C2913" s="14">
        <v>0</v>
      </c>
      <c r="D2913" s="14">
        <v>0</v>
      </c>
      <c r="E2913" s="14">
        <f t="shared" ref="E2913:E2976" si="46">+MAX(C2913, D2913)</f>
        <v>0</v>
      </c>
    </row>
    <row r="2914" spans="1:5" x14ac:dyDescent="0.3">
      <c r="A2914" s="7">
        <v>1001671</v>
      </c>
      <c r="B2914" s="15" t="s">
        <v>2910</v>
      </c>
      <c r="C2914" s="14">
        <v>0</v>
      </c>
      <c r="D2914" s="14">
        <v>0</v>
      </c>
      <c r="E2914" s="14">
        <f t="shared" si="46"/>
        <v>0</v>
      </c>
    </row>
    <row r="2915" spans="1:5" x14ac:dyDescent="0.3">
      <c r="A2915" s="7">
        <v>1001672</v>
      </c>
      <c r="B2915" s="15" t="s">
        <v>2911</v>
      </c>
      <c r="C2915" s="14">
        <v>0</v>
      </c>
      <c r="D2915" s="14">
        <v>0</v>
      </c>
      <c r="E2915" s="14">
        <f t="shared" si="46"/>
        <v>0</v>
      </c>
    </row>
    <row r="2916" spans="1:5" x14ac:dyDescent="0.3">
      <c r="A2916" s="7">
        <v>1001673</v>
      </c>
      <c r="B2916" s="15" t="s">
        <v>2912</v>
      </c>
      <c r="C2916" s="14">
        <v>0</v>
      </c>
      <c r="D2916" s="14">
        <v>0</v>
      </c>
      <c r="E2916" s="14">
        <f t="shared" si="46"/>
        <v>0</v>
      </c>
    </row>
    <row r="2917" spans="1:5" x14ac:dyDescent="0.3">
      <c r="A2917" s="7">
        <v>1001674</v>
      </c>
      <c r="B2917" s="15" t="s">
        <v>2913</v>
      </c>
      <c r="C2917" s="14">
        <v>0</v>
      </c>
      <c r="D2917" s="14">
        <v>0</v>
      </c>
      <c r="E2917" s="14">
        <f t="shared" si="46"/>
        <v>0</v>
      </c>
    </row>
    <row r="2918" spans="1:5" x14ac:dyDescent="0.3">
      <c r="A2918" s="7">
        <v>1001675</v>
      </c>
      <c r="B2918" s="15" t="s">
        <v>2914</v>
      </c>
      <c r="C2918" s="14">
        <v>0</v>
      </c>
      <c r="D2918" s="14">
        <v>0</v>
      </c>
      <c r="E2918" s="14">
        <f t="shared" si="46"/>
        <v>0</v>
      </c>
    </row>
    <row r="2919" spans="1:5" x14ac:dyDescent="0.3">
      <c r="A2919" s="7">
        <v>1001676</v>
      </c>
      <c r="B2919" s="15" t="s">
        <v>2915</v>
      </c>
      <c r="C2919" s="14">
        <v>0</v>
      </c>
      <c r="D2919" s="14">
        <v>0</v>
      </c>
      <c r="E2919" s="14">
        <f t="shared" si="46"/>
        <v>0</v>
      </c>
    </row>
    <row r="2920" spans="1:5" x14ac:dyDescent="0.3">
      <c r="A2920" s="7">
        <v>1001677</v>
      </c>
      <c r="B2920" s="15" t="s">
        <v>2916</v>
      </c>
      <c r="C2920" s="14">
        <v>0</v>
      </c>
      <c r="D2920" s="14">
        <v>0</v>
      </c>
      <c r="E2920" s="14">
        <f t="shared" si="46"/>
        <v>0</v>
      </c>
    </row>
    <row r="2921" spans="1:5" x14ac:dyDescent="0.3">
      <c r="A2921" s="7">
        <v>1001678</v>
      </c>
      <c r="B2921" s="15" t="s">
        <v>2917</v>
      </c>
      <c r="C2921" s="14">
        <v>0</v>
      </c>
      <c r="D2921" s="14">
        <v>0</v>
      </c>
      <c r="E2921" s="14">
        <f t="shared" si="46"/>
        <v>0</v>
      </c>
    </row>
    <row r="2922" spans="1:5" x14ac:dyDescent="0.3">
      <c r="A2922" s="7">
        <v>1001679</v>
      </c>
      <c r="B2922" s="15" t="s">
        <v>2918</v>
      </c>
      <c r="C2922" s="14">
        <v>0</v>
      </c>
      <c r="D2922" s="14">
        <v>0</v>
      </c>
      <c r="E2922" s="14">
        <f t="shared" si="46"/>
        <v>0</v>
      </c>
    </row>
    <row r="2923" spans="1:5" x14ac:dyDescent="0.3">
      <c r="A2923" s="7">
        <v>1001680</v>
      </c>
      <c r="B2923" s="15" t="s">
        <v>2919</v>
      </c>
      <c r="C2923" s="14">
        <v>0</v>
      </c>
      <c r="D2923" s="14">
        <v>0</v>
      </c>
      <c r="E2923" s="14">
        <f t="shared" si="46"/>
        <v>0</v>
      </c>
    </row>
    <row r="2924" spans="1:5" x14ac:dyDescent="0.3">
      <c r="A2924" s="7">
        <v>1001683</v>
      </c>
      <c r="B2924" s="15" t="s">
        <v>2920</v>
      </c>
      <c r="C2924" s="14">
        <v>0</v>
      </c>
      <c r="D2924" s="14">
        <v>0</v>
      </c>
      <c r="E2924" s="14">
        <f t="shared" si="46"/>
        <v>0</v>
      </c>
    </row>
    <row r="2925" spans="1:5" x14ac:dyDescent="0.3">
      <c r="A2925" s="7">
        <v>1001685</v>
      </c>
      <c r="B2925" s="15" t="s">
        <v>2921</v>
      </c>
      <c r="C2925" s="14">
        <v>0</v>
      </c>
      <c r="D2925" s="14">
        <v>0</v>
      </c>
      <c r="E2925" s="14">
        <f t="shared" si="46"/>
        <v>0</v>
      </c>
    </row>
    <row r="2926" spans="1:5" x14ac:dyDescent="0.3">
      <c r="A2926" s="7">
        <v>1001686</v>
      </c>
      <c r="B2926" s="15" t="s">
        <v>2922</v>
      </c>
      <c r="C2926" s="14">
        <v>0</v>
      </c>
      <c r="D2926" s="14">
        <v>0</v>
      </c>
      <c r="E2926" s="14">
        <f t="shared" si="46"/>
        <v>0</v>
      </c>
    </row>
    <row r="2927" spans="1:5" x14ac:dyDescent="0.3">
      <c r="A2927" s="7">
        <v>1001688</v>
      </c>
      <c r="B2927" s="15" t="s">
        <v>2923</v>
      </c>
      <c r="C2927" s="14">
        <v>0</v>
      </c>
      <c r="D2927" s="14">
        <v>0</v>
      </c>
      <c r="E2927" s="14">
        <f t="shared" si="46"/>
        <v>0</v>
      </c>
    </row>
    <row r="2928" spans="1:5" x14ac:dyDescent="0.3">
      <c r="A2928" s="7">
        <v>1001689</v>
      </c>
      <c r="B2928" s="15" t="s">
        <v>2924</v>
      </c>
      <c r="C2928" s="14">
        <v>0</v>
      </c>
      <c r="D2928" s="14">
        <v>0</v>
      </c>
      <c r="E2928" s="14">
        <f t="shared" si="46"/>
        <v>0</v>
      </c>
    </row>
    <row r="2929" spans="1:10" x14ac:dyDescent="0.3">
      <c r="A2929" s="7">
        <v>1001690</v>
      </c>
      <c r="B2929" s="15" t="s">
        <v>2925</v>
      </c>
      <c r="C2929" s="14">
        <v>0</v>
      </c>
      <c r="D2929" s="14">
        <v>0</v>
      </c>
      <c r="E2929" s="14">
        <f t="shared" si="46"/>
        <v>0</v>
      </c>
    </row>
    <row r="2930" spans="1:10" x14ac:dyDescent="0.3">
      <c r="A2930" s="7">
        <v>1001691</v>
      </c>
      <c r="B2930" s="15" t="s">
        <v>2926</v>
      </c>
      <c r="C2930" s="14">
        <v>0</v>
      </c>
      <c r="D2930" s="14">
        <v>0</v>
      </c>
      <c r="E2930" s="14">
        <f t="shared" si="46"/>
        <v>0</v>
      </c>
    </row>
    <row r="2931" spans="1:10" x14ac:dyDescent="0.3">
      <c r="A2931" s="7">
        <v>1001692</v>
      </c>
      <c r="B2931" s="15" t="s">
        <v>2927</v>
      </c>
      <c r="C2931" s="14">
        <v>0</v>
      </c>
      <c r="D2931" s="14">
        <v>0</v>
      </c>
      <c r="E2931" s="14">
        <f t="shared" si="46"/>
        <v>0</v>
      </c>
    </row>
    <row r="2932" spans="1:10" x14ac:dyDescent="0.3">
      <c r="A2932" s="7">
        <v>1001693</v>
      </c>
      <c r="B2932" s="15" t="s">
        <v>2928</v>
      </c>
      <c r="C2932" s="14">
        <v>0</v>
      </c>
      <c r="D2932" s="14">
        <v>0</v>
      </c>
      <c r="E2932" s="14">
        <f t="shared" si="46"/>
        <v>0</v>
      </c>
    </row>
    <row r="2933" spans="1:10" x14ac:dyDescent="0.3">
      <c r="A2933" s="7">
        <v>1001694</v>
      </c>
      <c r="B2933" s="15" t="s">
        <v>2929</v>
      </c>
      <c r="C2933" s="14">
        <v>0</v>
      </c>
      <c r="D2933" s="14">
        <v>0</v>
      </c>
      <c r="E2933" s="14">
        <f t="shared" si="46"/>
        <v>0</v>
      </c>
    </row>
    <row r="2934" spans="1:10" x14ac:dyDescent="0.3">
      <c r="A2934" s="7">
        <v>1001695</v>
      </c>
      <c r="B2934" s="15" t="s">
        <v>2930</v>
      </c>
      <c r="C2934" s="14">
        <v>0</v>
      </c>
      <c r="D2934" s="14">
        <v>0</v>
      </c>
      <c r="E2934" s="14">
        <f t="shared" si="46"/>
        <v>0</v>
      </c>
    </row>
    <row r="2935" spans="1:10" x14ac:dyDescent="0.3">
      <c r="A2935" s="7">
        <v>1001696</v>
      </c>
      <c r="B2935" s="15" t="s">
        <v>2931</v>
      </c>
      <c r="C2935" s="14">
        <v>0</v>
      </c>
      <c r="D2935" s="14">
        <v>0</v>
      </c>
      <c r="E2935" s="14">
        <f t="shared" si="46"/>
        <v>0</v>
      </c>
    </row>
    <row r="2936" spans="1:10" x14ac:dyDescent="0.3">
      <c r="A2936" s="7">
        <v>1001698</v>
      </c>
      <c r="B2936" s="15" t="s">
        <v>2932</v>
      </c>
      <c r="C2936" s="14">
        <v>0</v>
      </c>
      <c r="D2936" s="14">
        <v>0</v>
      </c>
      <c r="E2936" s="14">
        <f t="shared" si="46"/>
        <v>0</v>
      </c>
    </row>
    <row r="2937" spans="1:10" x14ac:dyDescent="0.3">
      <c r="A2937" s="7">
        <v>1001699</v>
      </c>
      <c r="B2937" s="15" t="s">
        <v>2933</v>
      </c>
      <c r="C2937" s="14">
        <v>0</v>
      </c>
      <c r="D2937" s="14">
        <v>0</v>
      </c>
      <c r="E2937" s="14">
        <f t="shared" si="46"/>
        <v>0</v>
      </c>
    </row>
    <row r="2938" spans="1:10" x14ac:dyDescent="0.3">
      <c r="A2938" s="7">
        <v>1001700</v>
      </c>
      <c r="B2938" s="15" t="s">
        <v>2934</v>
      </c>
      <c r="C2938" s="14">
        <v>0</v>
      </c>
      <c r="D2938" s="14">
        <v>0</v>
      </c>
      <c r="E2938" s="14">
        <f t="shared" si="46"/>
        <v>0</v>
      </c>
      <c r="J2938" s="10">
        <f>+L2631/J2631</f>
        <v>1911600</v>
      </c>
    </row>
    <row r="2939" spans="1:10" x14ac:dyDescent="0.3">
      <c r="A2939" s="7">
        <v>1001701</v>
      </c>
      <c r="B2939" s="15" t="s">
        <v>2935</v>
      </c>
      <c r="C2939" s="14">
        <v>0</v>
      </c>
      <c r="D2939" s="14">
        <v>0</v>
      </c>
      <c r="E2939" s="14">
        <f t="shared" si="46"/>
        <v>0</v>
      </c>
    </row>
    <row r="2940" spans="1:10" x14ac:dyDescent="0.3">
      <c r="A2940" s="7">
        <v>1001704</v>
      </c>
      <c r="B2940" s="15" t="s">
        <v>2936</v>
      </c>
      <c r="C2940" s="14">
        <v>0</v>
      </c>
      <c r="D2940" s="14">
        <v>0</v>
      </c>
      <c r="E2940" s="14">
        <f t="shared" si="46"/>
        <v>0</v>
      </c>
    </row>
    <row r="2941" spans="1:10" x14ac:dyDescent="0.3">
      <c r="A2941" s="7">
        <v>1001705</v>
      </c>
      <c r="B2941" s="15" t="s">
        <v>2937</v>
      </c>
      <c r="C2941" s="14">
        <v>0</v>
      </c>
      <c r="D2941" s="14">
        <v>0</v>
      </c>
      <c r="E2941" s="14">
        <f t="shared" si="46"/>
        <v>0</v>
      </c>
    </row>
    <row r="2942" spans="1:10" x14ac:dyDescent="0.3">
      <c r="A2942" s="7">
        <v>1001706</v>
      </c>
      <c r="B2942" s="15" t="s">
        <v>2938</v>
      </c>
      <c r="C2942" s="14">
        <v>0</v>
      </c>
      <c r="D2942" s="14">
        <v>0</v>
      </c>
      <c r="E2942" s="14">
        <f t="shared" si="46"/>
        <v>0</v>
      </c>
    </row>
    <row r="2943" spans="1:10" x14ac:dyDescent="0.3">
      <c r="A2943" s="7">
        <v>1001709</v>
      </c>
      <c r="B2943" s="20" t="s">
        <v>2939</v>
      </c>
      <c r="C2943" s="14">
        <v>0</v>
      </c>
      <c r="D2943" s="14">
        <v>0</v>
      </c>
      <c r="E2943" s="14">
        <f t="shared" si="46"/>
        <v>0</v>
      </c>
    </row>
    <row r="2944" spans="1:10" x14ac:dyDescent="0.3">
      <c r="A2944" s="7">
        <v>1001714</v>
      </c>
      <c r="B2944" s="15" t="s">
        <v>2940</v>
      </c>
      <c r="C2944" s="14">
        <v>0</v>
      </c>
      <c r="D2944" s="14">
        <v>0</v>
      </c>
      <c r="E2944" s="14">
        <f t="shared" si="46"/>
        <v>0</v>
      </c>
    </row>
    <row r="2945" spans="1:5" x14ac:dyDescent="0.3">
      <c r="A2945" s="7">
        <v>1001716</v>
      </c>
      <c r="B2945" s="15" t="s">
        <v>2941</v>
      </c>
      <c r="C2945" s="14">
        <v>0</v>
      </c>
      <c r="D2945" s="14">
        <v>0</v>
      </c>
      <c r="E2945" s="14">
        <f t="shared" si="46"/>
        <v>0</v>
      </c>
    </row>
    <row r="2946" spans="1:5" x14ac:dyDescent="0.3">
      <c r="A2946" s="7">
        <v>1001721</v>
      </c>
      <c r="B2946" s="15" t="s">
        <v>2942</v>
      </c>
      <c r="C2946" s="14">
        <v>0</v>
      </c>
      <c r="D2946" s="14">
        <v>0</v>
      </c>
      <c r="E2946" s="14">
        <f t="shared" si="46"/>
        <v>0</v>
      </c>
    </row>
    <row r="2947" spans="1:5" x14ac:dyDescent="0.3">
      <c r="A2947" s="7">
        <v>1001723</v>
      </c>
      <c r="B2947" s="15" t="s">
        <v>2943</v>
      </c>
      <c r="C2947" s="14">
        <v>0</v>
      </c>
      <c r="D2947" s="14">
        <v>0</v>
      </c>
      <c r="E2947" s="14">
        <f t="shared" si="46"/>
        <v>0</v>
      </c>
    </row>
    <row r="2948" spans="1:5" x14ac:dyDescent="0.3">
      <c r="A2948" s="7">
        <v>1001724</v>
      </c>
      <c r="B2948" s="15" t="s">
        <v>2944</v>
      </c>
      <c r="C2948" s="14">
        <v>0</v>
      </c>
      <c r="D2948" s="14">
        <v>0</v>
      </c>
      <c r="E2948" s="14">
        <f t="shared" si="46"/>
        <v>0</v>
      </c>
    </row>
    <row r="2949" spans="1:5" x14ac:dyDescent="0.3">
      <c r="A2949" s="7">
        <v>1001725</v>
      </c>
      <c r="B2949" s="15" t="s">
        <v>2945</v>
      </c>
      <c r="C2949" s="14">
        <v>0</v>
      </c>
      <c r="D2949" s="14">
        <v>0</v>
      </c>
      <c r="E2949" s="14">
        <f t="shared" si="46"/>
        <v>0</v>
      </c>
    </row>
    <row r="2950" spans="1:5" x14ac:dyDescent="0.3">
      <c r="A2950" s="7">
        <v>1001728</v>
      </c>
      <c r="B2950" s="15" t="s">
        <v>2946</v>
      </c>
      <c r="C2950" s="14">
        <v>0</v>
      </c>
      <c r="D2950" s="14">
        <v>0</v>
      </c>
      <c r="E2950" s="14">
        <f t="shared" si="46"/>
        <v>0</v>
      </c>
    </row>
    <row r="2951" spans="1:5" x14ac:dyDescent="0.3">
      <c r="A2951" s="7">
        <v>1001729</v>
      </c>
      <c r="B2951" s="15" t="s">
        <v>2947</v>
      </c>
      <c r="C2951" s="14">
        <v>0</v>
      </c>
      <c r="D2951" s="14">
        <v>0</v>
      </c>
      <c r="E2951" s="14">
        <f t="shared" si="46"/>
        <v>0</v>
      </c>
    </row>
    <row r="2952" spans="1:5" x14ac:dyDescent="0.3">
      <c r="A2952" s="7">
        <v>1001735</v>
      </c>
      <c r="B2952" s="15" t="s">
        <v>2948</v>
      </c>
      <c r="C2952" s="14">
        <v>0</v>
      </c>
      <c r="D2952" s="14">
        <v>0</v>
      </c>
      <c r="E2952" s="14">
        <f t="shared" si="46"/>
        <v>0</v>
      </c>
    </row>
    <row r="2953" spans="1:5" x14ac:dyDescent="0.3">
      <c r="A2953" s="7">
        <v>1001736</v>
      </c>
      <c r="B2953" s="15" t="s">
        <v>2949</v>
      </c>
      <c r="C2953" s="14">
        <v>0</v>
      </c>
      <c r="D2953" s="14">
        <v>0</v>
      </c>
      <c r="E2953" s="14">
        <f t="shared" si="46"/>
        <v>0</v>
      </c>
    </row>
    <row r="2954" spans="1:5" x14ac:dyDescent="0.3">
      <c r="A2954" s="7">
        <v>1001737</v>
      </c>
      <c r="B2954" s="15" t="s">
        <v>2950</v>
      </c>
      <c r="C2954" s="14">
        <v>0</v>
      </c>
      <c r="D2954" s="14">
        <v>0</v>
      </c>
      <c r="E2954" s="14">
        <f t="shared" si="46"/>
        <v>0</v>
      </c>
    </row>
    <row r="2955" spans="1:5" x14ac:dyDescent="0.3">
      <c r="A2955" s="7">
        <v>1001742</v>
      </c>
      <c r="B2955" s="15" t="s">
        <v>2951</v>
      </c>
      <c r="C2955" s="14">
        <v>0</v>
      </c>
      <c r="D2955" s="14">
        <v>0</v>
      </c>
      <c r="E2955" s="14">
        <f t="shared" si="46"/>
        <v>0</v>
      </c>
    </row>
    <row r="2956" spans="1:5" x14ac:dyDescent="0.3">
      <c r="A2956" s="7">
        <v>1001751</v>
      </c>
      <c r="B2956" s="15" t="s">
        <v>2952</v>
      </c>
      <c r="C2956" s="14">
        <v>0</v>
      </c>
      <c r="D2956" s="14">
        <v>0</v>
      </c>
      <c r="E2956" s="14">
        <f t="shared" si="46"/>
        <v>0</v>
      </c>
    </row>
    <row r="2957" spans="1:5" x14ac:dyDescent="0.3">
      <c r="A2957" s="7">
        <v>1001752</v>
      </c>
      <c r="B2957" s="15" t="s">
        <v>2953</v>
      </c>
      <c r="C2957" s="14">
        <v>0</v>
      </c>
      <c r="D2957" s="14">
        <v>0</v>
      </c>
      <c r="E2957" s="14">
        <f t="shared" si="46"/>
        <v>0</v>
      </c>
    </row>
    <row r="2958" spans="1:5" x14ac:dyDescent="0.3">
      <c r="A2958" s="7">
        <v>1001770</v>
      </c>
      <c r="B2958" s="15" t="s">
        <v>2954</v>
      </c>
      <c r="C2958" s="14">
        <v>0</v>
      </c>
      <c r="D2958" s="14">
        <v>0</v>
      </c>
      <c r="E2958" s="14">
        <f t="shared" si="46"/>
        <v>0</v>
      </c>
    </row>
    <row r="2959" spans="1:5" x14ac:dyDescent="0.3">
      <c r="A2959" s="7">
        <v>1001773</v>
      </c>
      <c r="B2959" s="15" t="s">
        <v>2955</v>
      </c>
      <c r="C2959" s="14">
        <v>0</v>
      </c>
      <c r="D2959" s="14">
        <v>0</v>
      </c>
      <c r="E2959" s="14">
        <f t="shared" si="46"/>
        <v>0</v>
      </c>
    </row>
    <row r="2960" spans="1:5" x14ac:dyDescent="0.3">
      <c r="A2960" s="7">
        <v>1001774</v>
      </c>
      <c r="B2960" s="15" t="s">
        <v>2956</v>
      </c>
      <c r="C2960" s="14">
        <v>0</v>
      </c>
      <c r="D2960" s="14">
        <v>0</v>
      </c>
      <c r="E2960" s="14">
        <f t="shared" si="46"/>
        <v>0</v>
      </c>
    </row>
    <row r="2961" spans="1:5" x14ac:dyDescent="0.3">
      <c r="A2961" s="7">
        <v>1001775</v>
      </c>
      <c r="B2961" s="15" t="s">
        <v>2957</v>
      </c>
      <c r="C2961" s="14">
        <v>0</v>
      </c>
      <c r="D2961" s="14">
        <v>0</v>
      </c>
      <c r="E2961" s="14">
        <f t="shared" si="46"/>
        <v>0</v>
      </c>
    </row>
    <row r="2962" spans="1:5" x14ac:dyDescent="0.3">
      <c r="A2962" s="7">
        <v>1001776</v>
      </c>
      <c r="B2962" s="15" t="s">
        <v>2958</v>
      </c>
      <c r="C2962" s="14">
        <v>0</v>
      </c>
      <c r="D2962" s="14">
        <v>0</v>
      </c>
      <c r="E2962" s="14">
        <f t="shared" si="46"/>
        <v>0</v>
      </c>
    </row>
    <row r="2963" spans="1:5" x14ac:dyDescent="0.3">
      <c r="A2963" s="7">
        <v>1001779</v>
      </c>
      <c r="B2963" s="15" t="s">
        <v>2959</v>
      </c>
      <c r="C2963" s="14">
        <v>0</v>
      </c>
      <c r="D2963" s="14">
        <v>0</v>
      </c>
      <c r="E2963" s="14">
        <f t="shared" si="46"/>
        <v>0</v>
      </c>
    </row>
    <row r="2964" spans="1:5" x14ac:dyDescent="0.3">
      <c r="A2964" s="7">
        <v>1001782</v>
      </c>
      <c r="B2964" s="15" t="s">
        <v>2960</v>
      </c>
      <c r="C2964" s="14">
        <v>0</v>
      </c>
      <c r="D2964" s="14">
        <v>0</v>
      </c>
      <c r="E2964" s="14">
        <f t="shared" si="46"/>
        <v>0</v>
      </c>
    </row>
    <row r="2965" spans="1:5" x14ac:dyDescent="0.3">
      <c r="A2965" s="7">
        <v>1001783</v>
      </c>
      <c r="B2965" s="15" t="s">
        <v>2961</v>
      </c>
      <c r="C2965" s="14">
        <v>0</v>
      </c>
      <c r="D2965" s="14">
        <v>0</v>
      </c>
      <c r="E2965" s="14">
        <f t="shared" si="46"/>
        <v>0</v>
      </c>
    </row>
    <row r="2966" spans="1:5" x14ac:dyDescent="0.3">
      <c r="A2966" s="7">
        <v>1001784</v>
      </c>
      <c r="B2966" s="15" t="s">
        <v>2962</v>
      </c>
      <c r="C2966" s="14">
        <v>0</v>
      </c>
      <c r="D2966" s="14">
        <v>0</v>
      </c>
      <c r="E2966" s="14">
        <f t="shared" si="46"/>
        <v>0</v>
      </c>
    </row>
    <row r="2967" spans="1:5" x14ac:dyDescent="0.3">
      <c r="A2967" s="7">
        <v>1001785</v>
      </c>
      <c r="B2967" s="15" t="s">
        <v>2963</v>
      </c>
      <c r="C2967" s="14">
        <v>0</v>
      </c>
      <c r="D2967" s="14">
        <v>0</v>
      </c>
      <c r="E2967" s="14">
        <f t="shared" si="46"/>
        <v>0</v>
      </c>
    </row>
    <row r="2968" spans="1:5" x14ac:dyDescent="0.3">
      <c r="A2968" s="7">
        <v>1001788</v>
      </c>
      <c r="B2968" s="15" t="s">
        <v>2964</v>
      </c>
      <c r="C2968" s="14">
        <v>0</v>
      </c>
      <c r="D2968" s="14">
        <v>0</v>
      </c>
      <c r="E2968" s="14">
        <f t="shared" si="46"/>
        <v>0</v>
      </c>
    </row>
    <row r="2969" spans="1:5" x14ac:dyDescent="0.3">
      <c r="A2969" s="7">
        <v>1001790</v>
      </c>
      <c r="B2969" s="15" t="s">
        <v>2965</v>
      </c>
      <c r="C2969" s="14">
        <v>0</v>
      </c>
      <c r="D2969" s="14">
        <v>0</v>
      </c>
      <c r="E2969" s="14">
        <f t="shared" si="46"/>
        <v>0</v>
      </c>
    </row>
    <row r="2970" spans="1:5" x14ac:dyDescent="0.3">
      <c r="A2970" s="7">
        <v>1001792</v>
      </c>
      <c r="B2970" s="15" t="s">
        <v>2966</v>
      </c>
      <c r="C2970" s="14">
        <v>0</v>
      </c>
      <c r="D2970" s="14">
        <v>0</v>
      </c>
      <c r="E2970" s="14">
        <f t="shared" si="46"/>
        <v>0</v>
      </c>
    </row>
    <row r="2971" spans="1:5" x14ac:dyDescent="0.3">
      <c r="A2971" s="7">
        <v>1001796</v>
      </c>
      <c r="B2971" s="15" t="s">
        <v>2967</v>
      </c>
      <c r="C2971" s="14">
        <v>0</v>
      </c>
      <c r="D2971" s="14">
        <v>0</v>
      </c>
      <c r="E2971" s="14">
        <f t="shared" si="46"/>
        <v>0</v>
      </c>
    </row>
    <row r="2972" spans="1:5" x14ac:dyDescent="0.3">
      <c r="A2972" s="7">
        <v>1001797</v>
      </c>
      <c r="B2972" s="15" t="s">
        <v>2968</v>
      </c>
      <c r="C2972" s="14">
        <v>0</v>
      </c>
      <c r="D2972" s="14">
        <v>0</v>
      </c>
      <c r="E2972" s="14">
        <f t="shared" si="46"/>
        <v>0</v>
      </c>
    </row>
    <row r="2973" spans="1:5" x14ac:dyDescent="0.3">
      <c r="A2973" s="7">
        <v>1001798</v>
      </c>
      <c r="B2973" s="15" t="s">
        <v>2969</v>
      </c>
      <c r="C2973" s="14">
        <v>0</v>
      </c>
      <c r="D2973" s="14">
        <v>0</v>
      </c>
      <c r="E2973" s="14">
        <f t="shared" si="46"/>
        <v>0</v>
      </c>
    </row>
    <row r="2974" spans="1:5" x14ac:dyDescent="0.3">
      <c r="A2974" s="7">
        <v>1001799</v>
      </c>
      <c r="B2974" s="15" t="s">
        <v>2970</v>
      </c>
      <c r="C2974" s="14">
        <v>0</v>
      </c>
      <c r="D2974" s="14">
        <v>0</v>
      </c>
      <c r="E2974" s="14">
        <f t="shared" si="46"/>
        <v>0</v>
      </c>
    </row>
    <row r="2975" spans="1:5" x14ac:dyDescent="0.3">
      <c r="A2975" s="7">
        <v>1001801</v>
      </c>
      <c r="B2975" s="15" t="s">
        <v>2971</v>
      </c>
      <c r="C2975" s="14">
        <v>0</v>
      </c>
      <c r="D2975" s="14">
        <v>0</v>
      </c>
      <c r="E2975" s="14">
        <f t="shared" si="46"/>
        <v>0</v>
      </c>
    </row>
    <row r="2976" spans="1:5" x14ac:dyDescent="0.3">
      <c r="A2976" s="7">
        <v>1001802</v>
      </c>
      <c r="B2976" s="15" t="s">
        <v>2972</v>
      </c>
      <c r="C2976" s="14">
        <v>0</v>
      </c>
      <c r="D2976" s="14">
        <v>0</v>
      </c>
      <c r="E2976" s="14">
        <f t="shared" si="46"/>
        <v>0</v>
      </c>
    </row>
    <row r="2977" spans="1:5" x14ac:dyDescent="0.3">
      <c r="A2977" s="7">
        <v>1001803</v>
      </c>
      <c r="B2977" s="15" t="s">
        <v>2973</v>
      </c>
      <c r="C2977" s="14">
        <v>0</v>
      </c>
      <c r="D2977" s="14">
        <v>0</v>
      </c>
      <c r="E2977" s="14">
        <f t="shared" ref="E2977:E3040" si="47">+MAX(C2977, D2977)</f>
        <v>0</v>
      </c>
    </row>
    <row r="2978" spans="1:5" x14ac:dyDescent="0.3">
      <c r="A2978" s="7">
        <v>1001805</v>
      </c>
      <c r="B2978" s="15" t="s">
        <v>2974</v>
      </c>
      <c r="C2978" s="14">
        <v>0</v>
      </c>
      <c r="D2978" s="14">
        <v>0</v>
      </c>
      <c r="E2978" s="14">
        <f t="shared" si="47"/>
        <v>0</v>
      </c>
    </row>
    <row r="2979" spans="1:5" x14ac:dyDescent="0.3">
      <c r="A2979" s="7">
        <v>1001808</v>
      </c>
      <c r="B2979" s="15" t="s">
        <v>2975</v>
      </c>
      <c r="C2979" s="14">
        <v>0</v>
      </c>
      <c r="D2979" s="14">
        <v>0</v>
      </c>
      <c r="E2979" s="14">
        <f t="shared" si="47"/>
        <v>0</v>
      </c>
    </row>
    <row r="2980" spans="1:5" x14ac:dyDescent="0.3">
      <c r="A2980" s="7">
        <v>1001809</v>
      </c>
      <c r="B2980" s="15" t="s">
        <v>2976</v>
      </c>
      <c r="C2980" s="14">
        <v>0</v>
      </c>
      <c r="D2980" s="14">
        <v>0</v>
      </c>
      <c r="E2980" s="14">
        <f t="shared" si="47"/>
        <v>0</v>
      </c>
    </row>
    <row r="2981" spans="1:5" x14ac:dyDescent="0.3">
      <c r="A2981" s="7">
        <v>1001810</v>
      </c>
      <c r="B2981" s="15" t="s">
        <v>2977</v>
      </c>
      <c r="C2981" s="14">
        <v>0</v>
      </c>
      <c r="D2981" s="14">
        <v>0</v>
      </c>
      <c r="E2981" s="14">
        <f t="shared" si="47"/>
        <v>0</v>
      </c>
    </row>
    <row r="2982" spans="1:5" x14ac:dyDescent="0.3">
      <c r="A2982" s="7">
        <v>1001811</v>
      </c>
      <c r="B2982" s="15" t="s">
        <v>2978</v>
      </c>
      <c r="C2982" s="14">
        <v>0</v>
      </c>
      <c r="D2982" s="14">
        <v>0</v>
      </c>
      <c r="E2982" s="14">
        <f t="shared" si="47"/>
        <v>0</v>
      </c>
    </row>
    <row r="2983" spans="1:5" x14ac:dyDescent="0.3">
      <c r="A2983" s="7">
        <v>1001812</v>
      </c>
      <c r="B2983" s="15" t="s">
        <v>2979</v>
      </c>
      <c r="C2983" s="14">
        <v>0</v>
      </c>
      <c r="D2983" s="14">
        <v>0</v>
      </c>
      <c r="E2983" s="14">
        <f t="shared" si="47"/>
        <v>0</v>
      </c>
    </row>
    <row r="2984" spans="1:5" x14ac:dyDescent="0.3">
      <c r="A2984" s="7">
        <v>1001813</v>
      </c>
      <c r="B2984" s="15" t="s">
        <v>2980</v>
      </c>
      <c r="C2984" s="14">
        <v>0</v>
      </c>
      <c r="D2984" s="14">
        <v>0</v>
      </c>
      <c r="E2984" s="14">
        <f t="shared" si="47"/>
        <v>0</v>
      </c>
    </row>
    <row r="2985" spans="1:5" x14ac:dyDescent="0.3">
      <c r="A2985" s="7">
        <v>1001814</v>
      </c>
      <c r="B2985" s="15" t="s">
        <v>2981</v>
      </c>
      <c r="C2985" s="14">
        <v>0</v>
      </c>
      <c r="D2985" s="14">
        <v>0</v>
      </c>
      <c r="E2985" s="14">
        <f t="shared" si="47"/>
        <v>0</v>
      </c>
    </row>
    <row r="2986" spans="1:5" x14ac:dyDescent="0.3">
      <c r="A2986" s="7">
        <v>1001815</v>
      </c>
      <c r="B2986" s="15" t="s">
        <v>2982</v>
      </c>
      <c r="C2986" s="14">
        <v>0</v>
      </c>
      <c r="D2986" s="14">
        <v>0</v>
      </c>
      <c r="E2986" s="14">
        <f t="shared" si="47"/>
        <v>0</v>
      </c>
    </row>
    <row r="2987" spans="1:5" x14ac:dyDescent="0.3">
      <c r="A2987" s="7">
        <v>1001816</v>
      </c>
      <c r="B2987" s="15" t="s">
        <v>2983</v>
      </c>
      <c r="C2987" s="14">
        <v>0</v>
      </c>
      <c r="D2987" s="14">
        <v>0</v>
      </c>
      <c r="E2987" s="14">
        <f t="shared" si="47"/>
        <v>0</v>
      </c>
    </row>
    <row r="2988" spans="1:5" x14ac:dyDescent="0.3">
      <c r="A2988" s="7">
        <v>1001819</v>
      </c>
      <c r="B2988" s="15" t="s">
        <v>2984</v>
      </c>
      <c r="C2988" s="14">
        <v>0</v>
      </c>
      <c r="D2988" s="14">
        <v>0</v>
      </c>
      <c r="E2988" s="14">
        <f t="shared" si="47"/>
        <v>0</v>
      </c>
    </row>
    <row r="2989" spans="1:5" x14ac:dyDescent="0.3">
      <c r="A2989" s="7">
        <v>1001820</v>
      </c>
      <c r="B2989" s="15" t="s">
        <v>2985</v>
      </c>
      <c r="C2989" s="14">
        <v>0</v>
      </c>
      <c r="D2989" s="14">
        <v>0</v>
      </c>
      <c r="E2989" s="14">
        <f t="shared" si="47"/>
        <v>0</v>
      </c>
    </row>
    <row r="2990" spans="1:5" x14ac:dyDescent="0.3">
      <c r="A2990" s="7">
        <v>1001822</v>
      </c>
      <c r="B2990" s="15" t="s">
        <v>2986</v>
      </c>
      <c r="C2990" s="14">
        <v>0</v>
      </c>
      <c r="D2990" s="14">
        <v>0</v>
      </c>
      <c r="E2990" s="14">
        <f t="shared" si="47"/>
        <v>0</v>
      </c>
    </row>
    <row r="2991" spans="1:5" x14ac:dyDescent="0.3">
      <c r="A2991" s="7">
        <v>1001823</v>
      </c>
      <c r="B2991" s="15" t="s">
        <v>2987</v>
      </c>
      <c r="C2991" s="14">
        <v>0</v>
      </c>
      <c r="D2991" s="14">
        <v>0</v>
      </c>
      <c r="E2991" s="14">
        <f t="shared" si="47"/>
        <v>0</v>
      </c>
    </row>
    <row r="2992" spans="1:5" x14ac:dyDescent="0.3">
      <c r="A2992" s="7">
        <v>1001824</v>
      </c>
      <c r="B2992" s="15" t="s">
        <v>2988</v>
      </c>
      <c r="C2992" s="14">
        <v>0</v>
      </c>
      <c r="D2992" s="14">
        <v>0</v>
      </c>
      <c r="E2992" s="14">
        <f t="shared" si="47"/>
        <v>0</v>
      </c>
    </row>
    <row r="2993" spans="1:5" x14ac:dyDescent="0.3">
      <c r="A2993" s="7">
        <v>1001825</v>
      </c>
      <c r="B2993" s="15" t="s">
        <v>2989</v>
      </c>
      <c r="C2993" s="14">
        <v>0</v>
      </c>
      <c r="D2993" s="14">
        <v>0</v>
      </c>
      <c r="E2993" s="14">
        <f t="shared" si="47"/>
        <v>0</v>
      </c>
    </row>
    <row r="2994" spans="1:5" x14ac:dyDescent="0.3">
      <c r="A2994" s="7">
        <v>1001826</v>
      </c>
      <c r="B2994" s="15" t="s">
        <v>2990</v>
      </c>
      <c r="C2994" s="14">
        <v>0</v>
      </c>
      <c r="D2994" s="14">
        <v>0</v>
      </c>
      <c r="E2994" s="14">
        <f t="shared" si="47"/>
        <v>0</v>
      </c>
    </row>
    <row r="2995" spans="1:5" x14ac:dyDescent="0.3">
      <c r="A2995" s="7">
        <v>1001827</v>
      </c>
      <c r="B2995" s="15" t="s">
        <v>2991</v>
      </c>
      <c r="C2995" s="14">
        <v>0</v>
      </c>
      <c r="D2995" s="14">
        <v>0</v>
      </c>
      <c r="E2995" s="14">
        <f t="shared" si="47"/>
        <v>0</v>
      </c>
    </row>
    <row r="2996" spans="1:5" x14ac:dyDescent="0.3">
      <c r="A2996" s="7">
        <v>1001828</v>
      </c>
      <c r="B2996" s="15" t="s">
        <v>2992</v>
      </c>
      <c r="C2996" s="14">
        <v>0</v>
      </c>
      <c r="D2996" s="14">
        <v>0</v>
      </c>
      <c r="E2996" s="14">
        <f t="shared" si="47"/>
        <v>0</v>
      </c>
    </row>
    <row r="2997" spans="1:5" x14ac:dyDescent="0.3">
      <c r="A2997" s="7">
        <v>1001829</v>
      </c>
      <c r="B2997" s="15" t="s">
        <v>2993</v>
      </c>
      <c r="C2997" s="14">
        <v>0</v>
      </c>
      <c r="D2997" s="14">
        <v>0</v>
      </c>
      <c r="E2997" s="14">
        <f t="shared" si="47"/>
        <v>0</v>
      </c>
    </row>
    <row r="2998" spans="1:5" x14ac:dyDescent="0.3">
      <c r="A2998" s="7">
        <v>1001830</v>
      </c>
      <c r="B2998" s="15" t="s">
        <v>2994</v>
      </c>
      <c r="C2998" s="14">
        <v>0</v>
      </c>
      <c r="D2998" s="14">
        <v>0</v>
      </c>
      <c r="E2998" s="14">
        <f t="shared" si="47"/>
        <v>0</v>
      </c>
    </row>
    <row r="2999" spans="1:5" x14ac:dyDescent="0.3">
      <c r="A2999" s="7">
        <v>1001833</v>
      </c>
      <c r="B2999" s="15" t="s">
        <v>2995</v>
      </c>
      <c r="C2999" s="14">
        <v>0</v>
      </c>
      <c r="D2999" s="14">
        <v>0</v>
      </c>
      <c r="E2999" s="14">
        <f t="shared" si="47"/>
        <v>0</v>
      </c>
    </row>
    <row r="3000" spans="1:5" x14ac:dyDescent="0.3">
      <c r="A3000" s="7">
        <v>1001838</v>
      </c>
      <c r="B3000" s="15" t="s">
        <v>2996</v>
      </c>
      <c r="C3000" s="14">
        <v>0</v>
      </c>
      <c r="D3000" s="14">
        <v>0</v>
      </c>
      <c r="E3000" s="14">
        <f t="shared" si="47"/>
        <v>0</v>
      </c>
    </row>
    <row r="3001" spans="1:5" x14ac:dyDescent="0.3">
      <c r="A3001" s="7">
        <v>1001839</v>
      </c>
      <c r="B3001" s="15" t="s">
        <v>2997</v>
      </c>
      <c r="C3001" s="14">
        <v>0</v>
      </c>
      <c r="D3001" s="14">
        <v>0</v>
      </c>
      <c r="E3001" s="14">
        <f t="shared" si="47"/>
        <v>0</v>
      </c>
    </row>
    <row r="3002" spans="1:5" x14ac:dyDescent="0.3">
      <c r="A3002" s="7">
        <v>1001841</v>
      </c>
      <c r="B3002" s="15" t="s">
        <v>2998</v>
      </c>
      <c r="C3002" s="14">
        <v>0</v>
      </c>
      <c r="D3002" s="14">
        <v>0</v>
      </c>
      <c r="E3002" s="14">
        <f t="shared" si="47"/>
        <v>0</v>
      </c>
    </row>
    <row r="3003" spans="1:5" x14ac:dyDescent="0.3">
      <c r="A3003" s="7">
        <v>1001842</v>
      </c>
      <c r="B3003" s="15" t="s">
        <v>2999</v>
      </c>
      <c r="C3003" s="14">
        <v>0</v>
      </c>
      <c r="D3003" s="14">
        <v>0</v>
      </c>
      <c r="E3003" s="14">
        <f t="shared" si="47"/>
        <v>0</v>
      </c>
    </row>
    <row r="3004" spans="1:5" x14ac:dyDescent="0.3">
      <c r="A3004" s="7">
        <v>1001843</v>
      </c>
      <c r="B3004" s="15" t="s">
        <v>3000</v>
      </c>
      <c r="C3004" s="14">
        <v>0</v>
      </c>
      <c r="D3004" s="14">
        <v>0</v>
      </c>
      <c r="E3004" s="14">
        <f t="shared" si="47"/>
        <v>0</v>
      </c>
    </row>
    <row r="3005" spans="1:5" x14ac:dyDescent="0.3">
      <c r="A3005" s="7">
        <v>1001844</v>
      </c>
      <c r="B3005" s="15" t="s">
        <v>3001</v>
      </c>
      <c r="C3005" s="14">
        <v>0</v>
      </c>
      <c r="D3005" s="14">
        <v>0</v>
      </c>
      <c r="E3005" s="14">
        <f t="shared" si="47"/>
        <v>0</v>
      </c>
    </row>
    <row r="3006" spans="1:5" x14ac:dyDescent="0.3">
      <c r="A3006" s="7">
        <v>1001846</v>
      </c>
      <c r="B3006" s="15" t="s">
        <v>3002</v>
      </c>
      <c r="C3006" s="14">
        <v>0</v>
      </c>
      <c r="D3006" s="14">
        <v>0</v>
      </c>
      <c r="E3006" s="14">
        <f t="shared" si="47"/>
        <v>0</v>
      </c>
    </row>
    <row r="3007" spans="1:5" x14ac:dyDescent="0.3">
      <c r="A3007" s="7">
        <v>1001852</v>
      </c>
      <c r="B3007" s="15" t="s">
        <v>3003</v>
      </c>
      <c r="C3007" s="14">
        <v>0</v>
      </c>
      <c r="D3007" s="14">
        <v>0</v>
      </c>
      <c r="E3007" s="14">
        <f t="shared" si="47"/>
        <v>0</v>
      </c>
    </row>
    <row r="3008" spans="1:5" x14ac:dyDescent="0.3">
      <c r="A3008" s="7">
        <v>1001853</v>
      </c>
      <c r="B3008" s="15" t="s">
        <v>3004</v>
      </c>
      <c r="C3008" s="14">
        <v>0</v>
      </c>
      <c r="D3008" s="14">
        <v>348.1</v>
      </c>
      <c r="E3008" s="14">
        <f t="shared" si="47"/>
        <v>348.1</v>
      </c>
    </row>
    <row r="3009" spans="1:5" x14ac:dyDescent="0.3">
      <c r="A3009" s="7">
        <v>1001855</v>
      </c>
      <c r="B3009" s="15" t="s">
        <v>3005</v>
      </c>
      <c r="C3009" s="14">
        <v>0</v>
      </c>
      <c r="D3009" s="14">
        <v>0</v>
      </c>
      <c r="E3009" s="14">
        <f t="shared" si="47"/>
        <v>0</v>
      </c>
    </row>
    <row r="3010" spans="1:5" x14ac:dyDescent="0.3">
      <c r="A3010" s="7">
        <v>1001857</v>
      </c>
      <c r="B3010" s="15" t="s">
        <v>3006</v>
      </c>
      <c r="C3010" s="14">
        <v>0</v>
      </c>
      <c r="D3010" s="14">
        <v>0</v>
      </c>
      <c r="E3010" s="14">
        <f t="shared" si="47"/>
        <v>0</v>
      </c>
    </row>
    <row r="3011" spans="1:5" x14ac:dyDescent="0.3">
      <c r="A3011" s="7">
        <v>1001858</v>
      </c>
      <c r="B3011" s="15" t="s">
        <v>3007</v>
      </c>
      <c r="C3011" s="14">
        <v>0</v>
      </c>
      <c r="D3011" s="14">
        <v>0</v>
      </c>
      <c r="E3011" s="14">
        <f t="shared" si="47"/>
        <v>0</v>
      </c>
    </row>
    <row r="3012" spans="1:5" x14ac:dyDescent="0.3">
      <c r="A3012" s="7">
        <v>1001859</v>
      </c>
      <c r="B3012" s="15" t="s">
        <v>3008</v>
      </c>
      <c r="C3012" s="14">
        <v>0</v>
      </c>
      <c r="D3012" s="14">
        <v>0</v>
      </c>
      <c r="E3012" s="14">
        <f t="shared" si="47"/>
        <v>0</v>
      </c>
    </row>
    <row r="3013" spans="1:5" x14ac:dyDescent="0.3">
      <c r="A3013" s="7">
        <v>1001860</v>
      </c>
      <c r="B3013" s="15" t="s">
        <v>3009</v>
      </c>
      <c r="C3013" s="14">
        <v>0</v>
      </c>
      <c r="D3013" s="14">
        <v>0</v>
      </c>
      <c r="E3013" s="14">
        <f t="shared" si="47"/>
        <v>0</v>
      </c>
    </row>
    <row r="3014" spans="1:5" x14ac:dyDescent="0.3">
      <c r="A3014" s="7">
        <v>1001861</v>
      </c>
      <c r="B3014" s="15" t="s">
        <v>3010</v>
      </c>
      <c r="C3014" s="14">
        <v>0</v>
      </c>
      <c r="D3014" s="14">
        <v>0</v>
      </c>
      <c r="E3014" s="14">
        <f t="shared" si="47"/>
        <v>0</v>
      </c>
    </row>
    <row r="3015" spans="1:5" x14ac:dyDescent="0.3">
      <c r="A3015" s="7">
        <v>1001862</v>
      </c>
      <c r="B3015" s="15" t="s">
        <v>3011</v>
      </c>
      <c r="C3015" s="14">
        <v>0</v>
      </c>
      <c r="D3015" s="14">
        <v>0</v>
      </c>
      <c r="E3015" s="14">
        <f t="shared" si="47"/>
        <v>0</v>
      </c>
    </row>
    <row r="3016" spans="1:5" x14ac:dyDescent="0.3">
      <c r="A3016" s="7">
        <v>1001863</v>
      </c>
      <c r="B3016" s="15" t="s">
        <v>3012</v>
      </c>
      <c r="C3016" s="14">
        <v>0</v>
      </c>
      <c r="D3016" s="14">
        <v>0</v>
      </c>
      <c r="E3016" s="14">
        <f t="shared" si="47"/>
        <v>0</v>
      </c>
    </row>
    <row r="3017" spans="1:5" x14ac:dyDescent="0.3">
      <c r="A3017" s="7">
        <v>1001864</v>
      </c>
      <c r="B3017" s="15" t="s">
        <v>3013</v>
      </c>
      <c r="C3017" s="14">
        <v>0</v>
      </c>
      <c r="D3017" s="14">
        <v>0</v>
      </c>
      <c r="E3017" s="14">
        <f t="shared" si="47"/>
        <v>0</v>
      </c>
    </row>
    <row r="3018" spans="1:5" x14ac:dyDescent="0.3">
      <c r="A3018" s="7">
        <v>1001866</v>
      </c>
      <c r="B3018" s="15" t="s">
        <v>3014</v>
      </c>
      <c r="C3018" s="14">
        <v>0</v>
      </c>
      <c r="D3018" s="14">
        <v>0</v>
      </c>
      <c r="E3018" s="14">
        <f t="shared" si="47"/>
        <v>0</v>
      </c>
    </row>
    <row r="3019" spans="1:5" x14ac:dyDescent="0.3">
      <c r="A3019" s="7">
        <v>1001868</v>
      </c>
      <c r="B3019" s="15" t="s">
        <v>3015</v>
      </c>
      <c r="C3019" s="14">
        <v>0</v>
      </c>
      <c r="D3019" s="14">
        <v>0</v>
      </c>
      <c r="E3019" s="14">
        <f t="shared" si="47"/>
        <v>0</v>
      </c>
    </row>
    <row r="3020" spans="1:5" x14ac:dyDescent="0.3">
      <c r="A3020" s="7">
        <v>1001869</v>
      </c>
      <c r="B3020" s="15" t="s">
        <v>3016</v>
      </c>
      <c r="C3020" s="14">
        <v>0</v>
      </c>
      <c r="D3020" s="14">
        <v>0</v>
      </c>
      <c r="E3020" s="14">
        <f t="shared" si="47"/>
        <v>0</v>
      </c>
    </row>
    <row r="3021" spans="1:5" x14ac:dyDescent="0.3">
      <c r="A3021" s="7">
        <v>1001870</v>
      </c>
      <c r="B3021" s="15" t="s">
        <v>3017</v>
      </c>
      <c r="C3021" s="14">
        <v>0</v>
      </c>
      <c r="D3021" s="14">
        <v>0</v>
      </c>
      <c r="E3021" s="14">
        <f t="shared" si="47"/>
        <v>0</v>
      </c>
    </row>
    <row r="3022" spans="1:5" x14ac:dyDescent="0.3">
      <c r="A3022" s="7">
        <v>1001872</v>
      </c>
      <c r="B3022" s="15" t="s">
        <v>3018</v>
      </c>
      <c r="C3022" s="14">
        <v>0</v>
      </c>
      <c r="D3022" s="14">
        <v>0</v>
      </c>
      <c r="E3022" s="14">
        <f t="shared" si="47"/>
        <v>0</v>
      </c>
    </row>
    <row r="3023" spans="1:5" x14ac:dyDescent="0.3">
      <c r="A3023" s="7">
        <v>1001874</v>
      </c>
      <c r="B3023" s="15" t="s">
        <v>3019</v>
      </c>
      <c r="C3023" s="14">
        <v>0</v>
      </c>
      <c r="D3023" s="14">
        <v>0</v>
      </c>
      <c r="E3023" s="14">
        <f t="shared" si="47"/>
        <v>0</v>
      </c>
    </row>
    <row r="3024" spans="1:5" x14ac:dyDescent="0.3">
      <c r="A3024" s="7">
        <v>1001876</v>
      </c>
      <c r="B3024" s="15" t="s">
        <v>3020</v>
      </c>
      <c r="C3024" s="14">
        <v>0</v>
      </c>
      <c r="D3024" s="14">
        <v>0</v>
      </c>
      <c r="E3024" s="14">
        <f t="shared" si="47"/>
        <v>0</v>
      </c>
    </row>
    <row r="3025" spans="1:5" x14ac:dyDescent="0.3">
      <c r="A3025" s="7">
        <v>1001877</v>
      </c>
      <c r="B3025" s="15" t="s">
        <v>3021</v>
      </c>
      <c r="C3025" s="14">
        <v>0</v>
      </c>
      <c r="D3025" s="14">
        <v>0</v>
      </c>
      <c r="E3025" s="14">
        <f t="shared" si="47"/>
        <v>0</v>
      </c>
    </row>
    <row r="3026" spans="1:5" x14ac:dyDescent="0.3">
      <c r="A3026" s="7">
        <v>1001878</v>
      </c>
      <c r="B3026" s="15" t="s">
        <v>3022</v>
      </c>
      <c r="C3026" s="14">
        <v>0</v>
      </c>
      <c r="D3026" s="14">
        <v>0</v>
      </c>
      <c r="E3026" s="14">
        <f t="shared" si="47"/>
        <v>0</v>
      </c>
    </row>
    <row r="3027" spans="1:5" x14ac:dyDescent="0.3">
      <c r="A3027" s="7">
        <v>1001879</v>
      </c>
      <c r="B3027" s="15" t="s">
        <v>3023</v>
      </c>
      <c r="C3027" s="14">
        <v>0</v>
      </c>
      <c r="D3027" s="14">
        <v>0</v>
      </c>
      <c r="E3027" s="14">
        <f t="shared" si="47"/>
        <v>0</v>
      </c>
    </row>
    <row r="3028" spans="1:5" x14ac:dyDescent="0.3">
      <c r="A3028" s="7">
        <v>1001880</v>
      </c>
      <c r="B3028" s="15" t="s">
        <v>3024</v>
      </c>
      <c r="C3028" s="14">
        <v>0</v>
      </c>
      <c r="D3028" s="14">
        <v>0</v>
      </c>
      <c r="E3028" s="14">
        <f t="shared" si="47"/>
        <v>0</v>
      </c>
    </row>
    <row r="3029" spans="1:5" x14ac:dyDescent="0.3">
      <c r="A3029" s="7">
        <v>1001881</v>
      </c>
      <c r="B3029" s="15" t="s">
        <v>3025</v>
      </c>
      <c r="C3029" s="14">
        <v>0</v>
      </c>
      <c r="D3029" s="14">
        <v>0</v>
      </c>
      <c r="E3029" s="14">
        <f t="shared" si="47"/>
        <v>0</v>
      </c>
    </row>
    <row r="3030" spans="1:5" x14ac:dyDescent="0.3">
      <c r="A3030" s="7">
        <v>1001882</v>
      </c>
      <c r="B3030" s="15" t="s">
        <v>3026</v>
      </c>
      <c r="C3030" s="14">
        <v>0</v>
      </c>
      <c r="D3030" s="14">
        <v>0</v>
      </c>
      <c r="E3030" s="14">
        <f t="shared" si="47"/>
        <v>0</v>
      </c>
    </row>
    <row r="3031" spans="1:5" x14ac:dyDescent="0.3">
      <c r="A3031" s="7">
        <v>1001885</v>
      </c>
      <c r="B3031" s="15" t="s">
        <v>3027</v>
      </c>
      <c r="C3031" s="14">
        <v>0</v>
      </c>
      <c r="D3031" s="14">
        <v>0</v>
      </c>
      <c r="E3031" s="14">
        <f t="shared" si="47"/>
        <v>0</v>
      </c>
    </row>
    <row r="3032" spans="1:5" x14ac:dyDescent="0.3">
      <c r="A3032" s="7">
        <v>1001886</v>
      </c>
      <c r="B3032" s="15" t="s">
        <v>3028</v>
      </c>
      <c r="C3032" s="14">
        <v>0</v>
      </c>
      <c r="D3032" s="14">
        <v>0</v>
      </c>
      <c r="E3032" s="14">
        <f t="shared" si="47"/>
        <v>0</v>
      </c>
    </row>
    <row r="3033" spans="1:5" x14ac:dyDescent="0.3">
      <c r="A3033" s="7">
        <v>1001887</v>
      </c>
      <c r="B3033" s="15" t="s">
        <v>3029</v>
      </c>
      <c r="C3033" s="14">
        <v>0</v>
      </c>
      <c r="D3033" s="14">
        <v>0</v>
      </c>
      <c r="E3033" s="14">
        <f t="shared" si="47"/>
        <v>0</v>
      </c>
    </row>
    <row r="3034" spans="1:5" x14ac:dyDescent="0.3">
      <c r="A3034" s="7">
        <v>1001888</v>
      </c>
      <c r="B3034" s="15" t="s">
        <v>3030</v>
      </c>
      <c r="C3034" s="14">
        <v>0</v>
      </c>
      <c r="D3034" s="14">
        <v>20709</v>
      </c>
      <c r="E3034" s="14">
        <f t="shared" si="47"/>
        <v>20709</v>
      </c>
    </row>
    <row r="3035" spans="1:5" x14ac:dyDescent="0.3">
      <c r="A3035" s="7">
        <v>1001890</v>
      </c>
      <c r="B3035" s="15" t="s">
        <v>3031</v>
      </c>
      <c r="C3035" s="14">
        <v>0</v>
      </c>
      <c r="D3035" s="14">
        <v>0</v>
      </c>
      <c r="E3035" s="14">
        <f t="shared" si="47"/>
        <v>0</v>
      </c>
    </row>
    <row r="3036" spans="1:5" x14ac:dyDescent="0.3">
      <c r="A3036" s="7">
        <v>1001893</v>
      </c>
      <c r="B3036" s="15" t="s">
        <v>3032</v>
      </c>
      <c r="C3036" s="14">
        <v>0</v>
      </c>
      <c r="D3036" s="14">
        <v>0</v>
      </c>
      <c r="E3036" s="14">
        <f t="shared" si="47"/>
        <v>0</v>
      </c>
    </row>
    <row r="3037" spans="1:5" x14ac:dyDescent="0.3">
      <c r="A3037" s="7">
        <v>1001895</v>
      </c>
      <c r="B3037" s="15" t="s">
        <v>3033</v>
      </c>
      <c r="C3037" s="14">
        <v>0</v>
      </c>
      <c r="D3037" s="14">
        <v>0</v>
      </c>
      <c r="E3037" s="14">
        <f t="shared" si="47"/>
        <v>0</v>
      </c>
    </row>
    <row r="3038" spans="1:5" x14ac:dyDescent="0.3">
      <c r="A3038" s="7">
        <v>1001896</v>
      </c>
      <c r="B3038" s="15" t="s">
        <v>3034</v>
      </c>
      <c r="C3038" s="14">
        <v>0</v>
      </c>
      <c r="D3038" s="14">
        <v>0</v>
      </c>
      <c r="E3038" s="14">
        <f t="shared" si="47"/>
        <v>0</v>
      </c>
    </row>
    <row r="3039" spans="1:5" x14ac:dyDescent="0.3">
      <c r="A3039" s="7">
        <v>1001897</v>
      </c>
      <c r="B3039" s="15" t="s">
        <v>3035</v>
      </c>
      <c r="C3039" s="14">
        <v>0</v>
      </c>
      <c r="D3039" s="14">
        <v>0</v>
      </c>
      <c r="E3039" s="14">
        <f t="shared" si="47"/>
        <v>0</v>
      </c>
    </row>
    <row r="3040" spans="1:5" x14ac:dyDescent="0.3">
      <c r="A3040" s="7">
        <v>1001898</v>
      </c>
      <c r="B3040" s="15" t="s">
        <v>3036</v>
      </c>
      <c r="C3040" s="14">
        <v>0</v>
      </c>
      <c r="D3040" s="14">
        <v>0</v>
      </c>
      <c r="E3040" s="14">
        <f t="shared" si="47"/>
        <v>0</v>
      </c>
    </row>
    <row r="3041" spans="1:5" x14ac:dyDescent="0.3">
      <c r="A3041" s="7">
        <v>1001900</v>
      </c>
      <c r="B3041" s="15" t="s">
        <v>3037</v>
      </c>
      <c r="C3041" s="14">
        <v>0</v>
      </c>
      <c r="D3041" s="14">
        <v>0</v>
      </c>
      <c r="E3041" s="14">
        <f t="shared" ref="E3041:E3104" si="48">+MAX(C3041, D3041)</f>
        <v>0</v>
      </c>
    </row>
    <row r="3042" spans="1:5" x14ac:dyDescent="0.3">
      <c r="A3042" s="7">
        <v>1001905</v>
      </c>
      <c r="B3042" s="15" t="s">
        <v>3038</v>
      </c>
      <c r="C3042" s="14">
        <v>0</v>
      </c>
      <c r="D3042" s="14">
        <v>0</v>
      </c>
      <c r="E3042" s="14">
        <f t="shared" si="48"/>
        <v>0</v>
      </c>
    </row>
    <row r="3043" spans="1:5" x14ac:dyDescent="0.3">
      <c r="A3043" s="7">
        <v>1001918</v>
      </c>
      <c r="B3043" s="15" t="s">
        <v>3039</v>
      </c>
      <c r="C3043" s="14">
        <v>0</v>
      </c>
      <c r="D3043" s="14">
        <v>0</v>
      </c>
      <c r="E3043" s="14">
        <f t="shared" si="48"/>
        <v>0</v>
      </c>
    </row>
    <row r="3044" spans="1:5" x14ac:dyDescent="0.3">
      <c r="A3044" s="7">
        <v>1001920</v>
      </c>
      <c r="B3044" s="15" t="s">
        <v>3040</v>
      </c>
      <c r="C3044" s="14">
        <v>0</v>
      </c>
      <c r="D3044" s="14">
        <v>0</v>
      </c>
      <c r="E3044" s="14">
        <f t="shared" si="48"/>
        <v>0</v>
      </c>
    </row>
    <row r="3045" spans="1:5" x14ac:dyDescent="0.3">
      <c r="A3045" s="7">
        <v>1001923</v>
      </c>
      <c r="B3045" s="15" t="s">
        <v>3041</v>
      </c>
      <c r="C3045" s="14">
        <v>0</v>
      </c>
      <c r="D3045" s="14">
        <v>0</v>
      </c>
      <c r="E3045" s="14">
        <f t="shared" si="48"/>
        <v>0</v>
      </c>
    </row>
    <row r="3046" spans="1:5" x14ac:dyDescent="0.3">
      <c r="A3046" s="7">
        <v>1001924</v>
      </c>
      <c r="B3046" s="15" t="s">
        <v>3042</v>
      </c>
      <c r="C3046" s="14">
        <v>0</v>
      </c>
      <c r="D3046" s="14">
        <v>0</v>
      </c>
      <c r="E3046" s="14">
        <f t="shared" si="48"/>
        <v>0</v>
      </c>
    </row>
    <row r="3047" spans="1:5" x14ac:dyDescent="0.3">
      <c r="A3047" s="7">
        <v>1001929</v>
      </c>
      <c r="B3047" s="15" t="s">
        <v>3043</v>
      </c>
      <c r="C3047" s="14">
        <v>0</v>
      </c>
      <c r="D3047" s="14">
        <v>0</v>
      </c>
      <c r="E3047" s="14">
        <f t="shared" si="48"/>
        <v>0</v>
      </c>
    </row>
    <row r="3048" spans="1:5" x14ac:dyDescent="0.3">
      <c r="A3048" s="7">
        <v>1001931</v>
      </c>
      <c r="B3048" s="15" t="s">
        <v>3044</v>
      </c>
      <c r="C3048" s="14">
        <v>0</v>
      </c>
      <c r="D3048" s="14">
        <v>0</v>
      </c>
      <c r="E3048" s="14">
        <f t="shared" si="48"/>
        <v>0</v>
      </c>
    </row>
    <row r="3049" spans="1:5" x14ac:dyDescent="0.3">
      <c r="A3049" s="7">
        <v>1001932</v>
      </c>
      <c r="B3049" s="15" t="s">
        <v>3045</v>
      </c>
      <c r="C3049" s="14">
        <v>0</v>
      </c>
      <c r="D3049" s="14">
        <v>0</v>
      </c>
      <c r="E3049" s="14">
        <f t="shared" si="48"/>
        <v>0</v>
      </c>
    </row>
    <row r="3050" spans="1:5" x14ac:dyDescent="0.3">
      <c r="A3050" s="7">
        <v>1001935</v>
      </c>
      <c r="B3050" s="15" t="s">
        <v>3046</v>
      </c>
      <c r="C3050" s="14">
        <v>0</v>
      </c>
      <c r="D3050" s="14">
        <v>0</v>
      </c>
      <c r="E3050" s="14">
        <f t="shared" si="48"/>
        <v>0</v>
      </c>
    </row>
    <row r="3051" spans="1:5" x14ac:dyDescent="0.3">
      <c r="A3051" s="7">
        <v>1001944</v>
      </c>
      <c r="B3051" s="15" t="s">
        <v>3047</v>
      </c>
      <c r="C3051" s="14">
        <v>0</v>
      </c>
      <c r="D3051" s="14">
        <v>0</v>
      </c>
      <c r="E3051" s="14">
        <f t="shared" si="48"/>
        <v>0</v>
      </c>
    </row>
    <row r="3052" spans="1:5" x14ac:dyDescent="0.3">
      <c r="A3052" s="7">
        <v>1001946</v>
      </c>
      <c r="B3052" s="15" t="s">
        <v>3048</v>
      </c>
      <c r="C3052" s="14">
        <v>0</v>
      </c>
      <c r="D3052" s="14">
        <v>0</v>
      </c>
      <c r="E3052" s="14">
        <f t="shared" si="48"/>
        <v>0</v>
      </c>
    </row>
    <row r="3053" spans="1:5" x14ac:dyDescent="0.3">
      <c r="A3053" s="7">
        <v>1001947</v>
      </c>
      <c r="B3053" s="15" t="s">
        <v>3049</v>
      </c>
      <c r="C3053" s="14">
        <v>0</v>
      </c>
      <c r="D3053" s="14">
        <v>0</v>
      </c>
      <c r="E3053" s="14">
        <f t="shared" si="48"/>
        <v>0</v>
      </c>
    </row>
    <row r="3054" spans="1:5" x14ac:dyDescent="0.3">
      <c r="A3054" s="7">
        <v>1001951</v>
      </c>
      <c r="B3054" s="15" t="s">
        <v>3050</v>
      </c>
      <c r="C3054" s="14">
        <v>0</v>
      </c>
      <c r="D3054" s="14">
        <v>0</v>
      </c>
      <c r="E3054" s="14">
        <f t="shared" si="48"/>
        <v>0</v>
      </c>
    </row>
    <row r="3055" spans="1:5" x14ac:dyDescent="0.3">
      <c r="A3055" s="7">
        <v>1001954</v>
      </c>
      <c r="B3055" s="15" t="s">
        <v>3051</v>
      </c>
      <c r="C3055" s="14">
        <v>0</v>
      </c>
      <c r="D3055" s="14">
        <v>0</v>
      </c>
      <c r="E3055" s="14">
        <f t="shared" si="48"/>
        <v>0</v>
      </c>
    </row>
    <row r="3056" spans="1:5" x14ac:dyDescent="0.3">
      <c r="A3056" s="7">
        <v>1001957</v>
      </c>
      <c r="B3056" s="15" t="s">
        <v>3052</v>
      </c>
      <c r="C3056" s="14">
        <v>0</v>
      </c>
      <c r="D3056" s="14">
        <v>0</v>
      </c>
      <c r="E3056" s="14">
        <f t="shared" si="48"/>
        <v>0</v>
      </c>
    </row>
    <row r="3057" spans="1:5" x14ac:dyDescent="0.3">
      <c r="A3057" s="7">
        <v>1001958</v>
      </c>
      <c r="B3057" s="15" t="s">
        <v>3053</v>
      </c>
      <c r="C3057" s="14">
        <v>0</v>
      </c>
      <c r="D3057" s="14">
        <v>0</v>
      </c>
      <c r="E3057" s="14">
        <f t="shared" si="48"/>
        <v>0</v>
      </c>
    </row>
    <row r="3058" spans="1:5" x14ac:dyDescent="0.3">
      <c r="A3058" s="7">
        <v>1001961</v>
      </c>
      <c r="B3058" s="15" t="s">
        <v>3054</v>
      </c>
      <c r="C3058" s="14">
        <v>0</v>
      </c>
      <c r="D3058" s="14">
        <v>0</v>
      </c>
      <c r="E3058" s="14">
        <f t="shared" si="48"/>
        <v>0</v>
      </c>
    </row>
    <row r="3059" spans="1:5" x14ac:dyDescent="0.3">
      <c r="A3059" s="7">
        <v>1001962</v>
      </c>
      <c r="B3059" s="15" t="s">
        <v>3055</v>
      </c>
      <c r="C3059" s="14">
        <v>0</v>
      </c>
      <c r="D3059" s="14">
        <v>0</v>
      </c>
      <c r="E3059" s="14">
        <f t="shared" si="48"/>
        <v>0</v>
      </c>
    </row>
    <row r="3060" spans="1:5" x14ac:dyDescent="0.3">
      <c r="A3060" s="7">
        <v>1001963</v>
      </c>
      <c r="B3060" s="15" t="s">
        <v>3056</v>
      </c>
      <c r="C3060" s="14">
        <v>0</v>
      </c>
      <c r="D3060" s="14">
        <v>0</v>
      </c>
      <c r="E3060" s="14">
        <f t="shared" si="48"/>
        <v>0</v>
      </c>
    </row>
    <row r="3061" spans="1:5" x14ac:dyDescent="0.3">
      <c r="A3061" s="7">
        <v>1001965</v>
      </c>
      <c r="B3061" s="15" t="s">
        <v>3057</v>
      </c>
      <c r="C3061" s="14">
        <v>0</v>
      </c>
      <c r="D3061" s="14">
        <v>0</v>
      </c>
      <c r="E3061" s="14">
        <f t="shared" si="48"/>
        <v>0</v>
      </c>
    </row>
    <row r="3062" spans="1:5" x14ac:dyDescent="0.3">
      <c r="A3062" s="7">
        <v>1001969</v>
      </c>
      <c r="B3062" s="15" t="s">
        <v>3058</v>
      </c>
      <c r="C3062" s="14">
        <v>0</v>
      </c>
      <c r="D3062" s="14">
        <v>0</v>
      </c>
      <c r="E3062" s="14">
        <f t="shared" si="48"/>
        <v>0</v>
      </c>
    </row>
    <row r="3063" spans="1:5" x14ac:dyDescent="0.3">
      <c r="A3063" s="7">
        <v>1001974</v>
      </c>
      <c r="B3063" s="15" t="s">
        <v>3059</v>
      </c>
      <c r="C3063" s="14">
        <v>0</v>
      </c>
      <c r="D3063" s="14">
        <v>0</v>
      </c>
      <c r="E3063" s="14">
        <f t="shared" si="48"/>
        <v>0</v>
      </c>
    </row>
    <row r="3064" spans="1:5" x14ac:dyDescent="0.3">
      <c r="A3064" s="7">
        <v>1001979</v>
      </c>
      <c r="B3064" s="15" t="s">
        <v>3060</v>
      </c>
      <c r="C3064" s="14">
        <v>0</v>
      </c>
      <c r="D3064" s="14">
        <v>0</v>
      </c>
      <c r="E3064" s="14">
        <f t="shared" si="48"/>
        <v>0</v>
      </c>
    </row>
    <row r="3065" spans="1:5" x14ac:dyDescent="0.3">
      <c r="A3065" s="7">
        <v>1001981</v>
      </c>
      <c r="B3065" s="15" t="s">
        <v>3061</v>
      </c>
      <c r="C3065" s="14">
        <v>0</v>
      </c>
      <c r="D3065" s="14">
        <v>0</v>
      </c>
      <c r="E3065" s="14">
        <f t="shared" si="48"/>
        <v>0</v>
      </c>
    </row>
    <row r="3066" spans="1:5" x14ac:dyDescent="0.3">
      <c r="A3066" s="7">
        <v>1001983</v>
      </c>
      <c r="B3066" s="15" t="s">
        <v>3062</v>
      </c>
      <c r="C3066" s="14">
        <v>0</v>
      </c>
      <c r="D3066" s="14">
        <v>0</v>
      </c>
      <c r="E3066" s="14">
        <f t="shared" si="48"/>
        <v>0</v>
      </c>
    </row>
    <row r="3067" spans="1:5" x14ac:dyDescent="0.3">
      <c r="A3067" s="7">
        <v>1001984</v>
      </c>
      <c r="B3067" s="15" t="s">
        <v>3063</v>
      </c>
      <c r="C3067" s="14">
        <v>0</v>
      </c>
      <c r="D3067" s="14">
        <v>0</v>
      </c>
      <c r="E3067" s="14">
        <f t="shared" si="48"/>
        <v>0</v>
      </c>
    </row>
    <row r="3068" spans="1:5" x14ac:dyDescent="0.3">
      <c r="A3068" s="7">
        <v>1001988</v>
      </c>
      <c r="B3068" s="15" t="s">
        <v>3064</v>
      </c>
      <c r="C3068" s="14">
        <v>0</v>
      </c>
      <c r="D3068" s="14">
        <v>0</v>
      </c>
      <c r="E3068" s="14">
        <f t="shared" si="48"/>
        <v>0</v>
      </c>
    </row>
    <row r="3069" spans="1:5" x14ac:dyDescent="0.3">
      <c r="A3069" s="7">
        <v>1001991</v>
      </c>
      <c r="B3069" s="15" t="s">
        <v>3065</v>
      </c>
      <c r="C3069" s="14">
        <v>0</v>
      </c>
      <c r="D3069" s="14">
        <v>0</v>
      </c>
      <c r="E3069" s="14">
        <f t="shared" si="48"/>
        <v>0</v>
      </c>
    </row>
    <row r="3070" spans="1:5" x14ac:dyDescent="0.3">
      <c r="A3070" s="7">
        <v>1001992</v>
      </c>
      <c r="B3070" s="15" t="s">
        <v>3066</v>
      </c>
      <c r="C3070" s="14">
        <v>0</v>
      </c>
      <c r="D3070" s="14">
        <v>0</v>
      </c>
      <c r="E3070" s="14">
        <f t="shared" si="48"/>
        <v>0</v>
      </c>
    </row>
    <row r="3071" spans="1:5" x14ac:dyDescent="0.3">
      <c r="A3071" s="7">
        <v>1001993</v>
      </c>
      <c r="B3071" s="15" t="s">
        <v>3067</v>
      </c>
      <c r="C3071" s="14">
        <v>0</v>
      </c>
      <c r="D3071" s="14">
        <v>0</v>
      </c>
      <c r="E3071" s="14">
        <f t="shared" si="48"/>
        <v>0</v>
      </c>
    </row>
    <row r="3072" spans="1:5" x14ac:dyDescent="0.3">
      <c r="A3072" s="7">
        <v>1001995</v>
      </c>
      <c r="B3072" s="15" t="s">
        <v>3068</v>
      </c>
      <c r="C3072" s="14">
        <v>0</v>
      </c>
      <c r="D3072" s="14">
        <v>0</v>
      </c>
      <c r="E3072" s="14">
        <f t="shared" si="48"/>
        <v>0</v>
      </c>
    </row>
    <row r="3073" spans="1:5" x14ac:dyDescent="0.3">
      <c r="A3073" s="7">
        <v>1001996</v>
      </c>
      <c r="B3073" s="15" t="s">
        <v>3069</v>
      </c>
      <c r="C3073" s="14">
        <v>0</v>
      </c>
      <c r="D3073" s="14">
        <v>0</v>
      </c>
      <c r="E3073" s="14">
        <f t="shared" si="48"/>
        <v>0</v>
      </c>
    </row>
    <row r="3074" spans="1:5" x14ac:dyDescent="0.3">
      <c r="A3074" s="7">
        <v>1001997</v>
      </c>
      <c r="B3074" s="15" t="s">
        <v>3070</v>
      </c>
      <c r="C3074" s="14">
        <v>0</v>
      </c>
      <c r="D3074" s="14">
        <v>0</v>
      </c>
      <c r="E3074" s="14">
        <f t="shared" si="48"/>
        <v>0</v>
      </c>
    </row>
    <row r="3075" spans="1:5" x14ac:dyDescent="0.3">
      <c r="A3075" s="7">
        <v>1002000</v>
      </c>
      <c r="B3075" s="15" t="s">
        <v>3071</v>
      </c>
      <c r="C3075" s="14">
        <v>0</v>
      </c>
      <c r="D3075" s="14">
        <v>0</v>
      </c>
      <c r="E3075" s="14">
        <f t="shared" si="48"/>
        <v>0</v>
      </c>
    </row>
    <row r="3076" spans="1:5" x14ac:dyDescent="0.3">
      <c r="A3076" s="7">
        <v>1002001</v>
      </c>
      <c r="B3076" s="15" t="s">
        <v>3072</v>
      </c>
      <c r="C3076" s="14">
        <v>0</v>
      </c>
      <c r="D3076" s="14">
        <v>0</v>
      </c>
      <c r="E3076" s="14">
        <f t="shared" si="48"/>
        <v>0</v>
      </c>
    </row>
    <row r="3077" spans="1:5" x14ac:dyDescent="0.3">
      <c r="A3077" s="7">
        <v>1002002</v>
      </c>
      <c r="B3077" s="15" t="s">
        <v>3073</v>
      </c>
      <c r="C3077" s="14">
        <v>0</v>
      </c>
      <c r="D3077" s="14">
        <v>0</v>
      </c>
      <c r="E3077" s="14">
        <f t="shared" si="48"/>
        <v>0</v>
      </c>
    </row>
    <row r="3078" spans="1:5" x14ac:dyDescent="0.3">
      <c r="A3078" s="7">
        <v>1002004</v>
      </c>
      <c r="B3078" s="15" t="s">
        <v>3074</v>
      </c>
      <c r="C3078" s="14">
        <v>0</v>
      </c>
      <c r="D3078" s="14">
        <v>0</v>
      </c>
      <c r="E3078" s="14">
        <f t="shared" si="48"/>
        <v>0</v>
      </c>
    </row>
    <row r="3079" spans="1:5" x14ac:dyDescent="0.3">
      <c r="A3079" s="7">
        <v>1002005</v>
      </c>
      <c r="B3079" s="15" t="s">
        <v>3075</v>
      </c>
      <c r="C3079" s="14">
        <v>0</v>
      </c>
      <c r="D3079" s="14">
        <v>0</v>
      </c>
      <c r="E3079" s="14">
        <f t="shared" si="48"/>
        <v>0</v>
      </c>
    </row>
    <row r="3080" spans="1:5" x14ac:dyDescent="0.3">
      <c r="A3080" s="7">
        <v>1002006</v>
      </c>
      <c r="B3080" s="15" t="s">
        <v>3076</v>
      </c>
      <c r="C3080" s="14">
        <v>0</v>
      </c>
      <c r="D3080" s="14">
        <v>0</v>
      </c>
      <c r="E3080" s="14">
        <f t="shared" si="48"/>
        <v>0</v>
      </c>
    </row>
    <row r="3081" spans="1:5" x14ac:dyDescent="0.3">
      <c r="A3081" s="7">
        <v>1002007</v>
      </c>
      <c r="B3081" s="15" t="s">
        <v>3077</v>
      </c>
      <c r="C3081" s="14">
        <v>0</v>
      </c>
      <c r="D3081" s="14">
        <v>0</v>
      </c>
      <c r="E3081" s="14">
        <f t="shared" si="48"/>
        <v>0</v>
      </c>
    </row>
    <row r="3082" spans="1:5" x14ac:dyDescent="0.3">
      <c r="A3082" s="7">
        <v>1002009</v>
      </c>
      <c r="B3082" s="15" t="s">
        <v>3078</v>
      </c>
      <c r="C3082" s="14">
        <v>0</v>
      </c>
      <c r="D3082" s="14">
        <v>0</v>
      </c>
      <c r="E3082" s="14">
        <f t="shared" si="48"/>
        <v>0</v>
      </c>
    </row>
    <row r="3083" spans="1:5" x14ac:dyDescent="0.3">
      <c r="A3083" s="7">
        <v>1002011</v>
      </c>
      <c r="B3083" s="15" t="s">
        <v>3079</v>
      </c>
      <c r="C3083" s="14">
        <v>0</v>
      </c>
      <c r="D3083" s="14">
        <v>0</v>
      </c>
      <c r="E3083" s="14">
        <f t="shared" si="48"/>
        <v>0</v>
      </c>
    </row>
    <row r="3084" spans="1:5" x14ac:dyDescent="0.3">
      <c r="A3084" s="7">
        <v>1002014</v>
      </c>
      <c r="B3084" s="15" t="s">
        <v>3080</v>
      </c>
      <c r="C3084" s="14">
        <v>0</v>
      </c>
      <c r="D3084" s="14">
        <v>0</v>
      </c>
      <c r="E3084" s="14">
        <f t="shared" si="48"/>
        <v>0</v>
      </c>
    </row>
    <row r="3085" spans="1:5" x14ac:dyDescent="0.3">
      <c r="A3085" s="7">
        <v>1002017</v>
      </c>
      <c r="B3085" s="15" t="s">
        <v>3081</v>
      </c>
      <c r="C3085" s="14">
        <v>0</v>
      </c>
      <c r="D3085" s="14">
        <v>0</v>
      </c>
      <c r="E3085" s="14">
        <f t="shared" si="48"/>
        <v>0</v>
      </c>
    </row>
    <row r="3086" spans="1:5" x14ac:dyDescent="0.3">
      <c r="A3086" s="7">
        <v>1002018</v>
      </c>
      <c r="B3086" s="15" t="s">
        <v>3082</v>
      </c>
      <c r="C3086" s="14">
        <v>0</v>
      </c>
      <c r="D3086" s="14">
        <v>0</v>
      </c>
      <c r="E3086" s="14">
        <f t="shared" si="48"/>
        <v>0</v>
      </c>
    </row>
    <row r="3087" spans="1:5" x14ac:dyDescent="0.3">
      <c r="A3087" s="7">
        <v>1002025</v>
      </c>
      <c r="B3087" s="15" t="s">
        <v>3083</v>
      </c>
      <c r="C3087" s="14">
        <v>0</v>
      </c>
      <c r="D3087" s="14">
        <v>0</v>
      </c>
      <c r="E3087" s="14">
        <f t="shared" si="48"/>
        <v>0</v>
      </c>
    </row>
    <row r="3088" spans="1:5" x14ac:dyDescent="0.3">
      <c r="A3088" s="7">
        <v>1002026</v>
      </c>
      <c r="B3088" s="15" t="s">
        <v>3084</v>
      </c>
      <c r="C3088" s="14">
        <v>0</v>
      </c>
      <c r="D3088" s="14">
        <v>0</v>
      </c>
      <c r="E3088" s="14">
        <f t="shared" si="48"/>
        <v>0</v>
      </c>
    </row>
    <row r="3089" spans="1:5" x14ac:dyDescent="0.3">
      <c r="A3089" s="7">
        <v>1002027</v>
      </c>
      <c r="B3089" s="15" t="s">
        <v>3085</v>
      </c>
      <c r="C3089" s="14">
        <v>0</v>
      </c>
      <c r="D3089" s="14">
        <v>0</v>
      </c>
      <c r="E3089" s="14">
        <f t="shared" si="48"/>
        <v>0</v>
      </c>
    </row>
    <row r="3090" spans="1:5" x14ac:dyDescent="0.3">
      <c r="A3090" s="7">
        <v>1002030</v>
      </c>
      <c r="B3090" s="15" t="s">
        <v>3086</v>
      </c>
      <c r="C3090" s="14">
        <v>0</v>
      </c>
      <c r="D3090" s="14">
        <v>0</v>
      </c>
      <c r="E3090" s="14">
        <f t="shared" si="48"/>
        <v>0</v>
      </c>
    </row>
    <row r="3091" spans="1:5" x14ac:dyDescent="0.3">
      <c r="A3091" s="7">
        <v>1002032</v>
      </c>
      <c r="B3091" s="15" t="s">
        <v>3087</v>
      </c>
      <c r="C3091" s="14">
        <v>0</v>
      </c>
      <c r="D3091" s="14">
        <v>0</v>
      </c>
      <c r="E3091" s="14">
        <f t="shared" si="48"/>
        <v>0</v>
      </c>
    </row>
    <row r="3092" spans="1:5" x14ac:dyDescent="0.3">
      <c r="A3092" s="7">
        <v>1002033</v>
      </c>
      <c r="B3092" s="15" t="s">
        <v>3088</v>
      </c>
      <c r="C3092" s="14">
        <v>0</v>
      </c>
      <c r="D3092" s="14">
        <v>0</v>
      </c>
      <c r="E3092" s="14">
        <f t="shared" si="48"/>
        <v>0</v>
      </c>
    </row>
    <row r="3093" spans="1:5" x14ac:dyDescent="0.3">
      <c r="A3093" s="7">
        <v>1002034</v>
      </c>
      <c r="B3093" s="15" t="s">
        <v>3089</v>
      </c>
      <c r="C3093" s="14">
        <v>0</v>
      </c>
      <c r="D3093" s="14">
        <v>0</v>
      </c>
      <c r="E3093" s="14">
        <f t="shared" si="48"/>
        <v>0</v>
      </c>
    </row>
    <row r="3094" spans="1:5" x14ac:dyDescent="0.3">
      <c r="A3094" s="7">
        <v>1002035</v>
      </c>
      <c r="B3094" s="15" t="s">
        <v>3090</v>
      </c>
      <c r="C3094" s="14">
        <v>0</v>
      </c>
      <c r="D3094" s="14">
        <v>0</v>
      </c>
      <c r="E3094" s="14">
        <f t="shared" si="48"/>
        <v>0</v>
      </c>
    </row>
    <row r="3095" spans="1:5" x14ac:dyDescent="0.3">
      <c r="A3095" s="7">
        <v>1002036</v>
      </c>
      <c r="B3095" s="15" t="s">
        <v>3091</v>
      </c>
      <c r="C3095" s="14">
        <v>0</v>
      </c>
      <c r="D3095" s="14">
        <v>0</v>
      </c>
      <c r="E3095" s="14">
        <f t="shared" si="48"/>
        <v>0</v>
      </c>
    </row>
    <row r="3096" spans="1:5" x14ac:dyDescent="0.3">
      <c r="A3096" s="7">
        <v>1002037</v>
      </c>
      <c r="B3096" s="15" t="s">
        <v>3092</v>
      </c>
      <c r="C3096" s="14">
        <v>0</v>
      </c>
      <c r="D3096" s="14">
        <v>0</v>
      </c>
      <c r="E3096" s="14">
        <f t="shared" si="48"/>
        <v>0</v>
      </c>
    </row>
    <row r="3097" spans="1:5" x14ac:dyDescent="0.3">
      <c r="A3097" s="7">
        <v>1002041</v>
      </c>
      <c r="B3097" s="15" t="s">
        <v>3093</v>
      </c>
      <c r="C3097" s="14">
        <v>0</v>
      </c>
      <c r="D3097" s="14">
        <v>0</v>
      </c>
      <c r="E3097" s="14">
        <f t="shared" si="48"/>
        <v>0</v>
      </c>
    </row>
    <row r="3098" spans="1:5" x14ac:dyDescent="0.3">
      <c r="A3098" s="7">
        <v>1002042</v>
      </c>
      <c r="B3098" s="15" t="s">
        <v>3094</v>
      </c>
      <c r="C3098" s="14">
        <v>0</v>
      </c>
      <c r="D3098" s="14">
        <v>0</v>
      </c>
      <c r="E3098" s="14">
        <f t="shared" si="48"/>
        <v>0</v>
      </c>
    </row>
    <row r="3099" spans="1:5" x14ac:dyDescent="0.3">
      <c r="A3099" s="7">
        <v>1002043</v>
      </c>
      <c r="B3099" s="15" t="s">
        <v>3095</v>
      </c>
      <c r="C3099" s="14">
        <v>0</v>
      </c>
      <c r="D3099" s="14">
        <v>0</v>
      </c>
      <c r="E3099" s="14">
        <f t="shared" si="48"/>
        <v>0</v>
      </c>
    </row>
    <row r="3100" spans="1:5" x14ac:dyDescent="0.3">
      <c r="A3100" s="7">
        <v>1002044</v>
      </c>
      <c r="B3100" s="15" t="s">
        <v>3096</v>
      </c>
      <c r="C3100" s="14">
        <v>0</v>
      </c>
      <c r="D3100" s="14">
        <v>0</v>
      </c>
      <c r="E3100" s="14">
        <f t="shared" si="48"/>
        <v>0</v>
      </c>
    </row>
    <row r="3101" spans="1:5" x14ac:dyDescent="0.3">
      <c r="A3101" s="7">
        <v>1002045</v>
      </c>
      <c r="B3101" s="15" t="s">
        <v>3097</v>
      </c>
      <c r="C3101" s="14">
        <v>0</v>
      </c>
      <c r="D3101" s="14">
        <v>0</v>
      </c>
      <c r="E3101" s="14">
        <f t="shared" si="48"/>
        <v>0</v>
      </c>
    </row>
    <row r="3102" spans="1:5" x14ac:dyDescent="0.3">
      <c r="A3102" s="7">
        <v>1002046</v>
      </c>
      <c r="B3102" s="15" t="s">
        <v>3098</v>
      </c>
      <c r="C3102" s="14">
        <v>0</v>
      </c>
      <c r="D3102" s="14">
        <v>0</v>
      </c>
      <c r="E3102" s="14">
        <f t="shared" si="48"/>
        <v>0</v>
      </c>
    </row>
    <row r="3103" spans="1:5" x14ac:dyDescent="0.3">
      <c r="A3103" s="7">
        <v>1002047</v>
      </c>
      <c r="B3103" s="15" t="s">
        <v>3099</v>
      </c>
      <c r="C3103" s="14">
        <v>0</v>
      </c>
      <c r="D3103" s="14">
        <v>0</v>
      </c>
      <c r="E3103" s="14">
        <f t="shared" si="48"/>
        <v>0</v>
      </c>
    </row>
    <row r="3104" spans="1:5" x14ac:dyDescent="0.3">
      <c r="A3104" s="7">
        <v>1002054</v>
      </c>
      <c r="B3104" s="15" t="s">
        <v>3100</v>
      </c>
      <c r="C3104" s="14">
        <v>0</v>
      </c>
      <c r="D3104" s="14">
        <v>0</v>
      </c>
      <c r="E3104" s="14">
        <f t="shared" si="48"/>
        <v>0</v>
      </c>
    </row>
    <row r="3105" spans="1:5" x14ac:dyDescent="0.3">
      <c r="A3105" s="7">
        <v>1002055</v>
      </c>
      <c r="B3105" s="15" t="s">
        <v>3101</v>
      </c>
      <c r="C3105" s="14">
        <v>0</v>
      </c>
      <c r="D3105" s="14">
        <v>0</v>
      </c>
      <c r="E3105" s="14">
        <f t="shared" ref="E3105:E3168" si="49">+MAX(C3105, D3105)</f>
        <v>0</v>
      </c>
    </row>
    <row r="3106" spans="1:5" x14ac:dyDescent="0.3">
      <c r="A3106" s="7">
        <v>1002056</v>
      </c>
      <c r="B3106" s="15" t="s">
        <v>3102</v>
      </c>
      <c r="C3106" s="14">
        <v>0</v>
      </c>
      <c r="D3106" s="14">
        <v>0</v>
      </c>
      <c r="E3106" s="14">
        <f t="shared" si="49"/>
        <v>0</v>
      </c>
    </row>
    <row r="3107" spans="1:5" x14ac:dyDescent="0.3">
      <c r="A3107" s="7">
        <v>1002057</v>
      </c>
      <c r="B3107" s="15" t="s">
        <v>3103</v>
      </c>
      <c r="C3107" s="14">
        <v>0</v>
      </c>
      <c r="D3107" s="14">
        <v>0</v>
      </c>
      <c r="E3107" s="14">
        <f t="shared" si="49"/>
        <v>0</v>
      </c>
    </row>
    <row r="3108" spans="1:5" x14ac:dyDescent="0.3">
      <c r="A3108" s="7">
        <v>1002058</v>
      </c>
      <c r="B3108" s="15" t="s">
        <v>3104</v>
      </c>
      <c r="C3108" s="14">
        <v>0</v>
      </c>
      <c r="D3108" s="14">
        <v>0</v>
      </c>
      <c r="E3108" s="14">
        <f t="shared" si="49"/>
        <v>0</v>
      </c>
    </row>
    <row r="3109" spans="1:5" x14ac:dyDescent="0.3">
      <c r="A3109" s="7">
        <v>1002059</v>
      </c>
      <c r="B3109" s="15" t="s">
        <v>3105</v>
      </c>
      <c r="C3109" s="14">
        <v>0</v>
      </c>
      <c r="D3109" s="14">
        <v>0</v>
      </c>
      <c r="E3109" s="14">
        <f t="shared" si="49"/>
        <v>0</v>
      </c>
    </row>
    <row r="3110" spans="1:5" x14ac:dyDescent="0.3">
      <c r="A3110" s="7">
        <v>1002520</v>
      </c>
      <c r="B3110" s="20" t="s">
        <v>3106</v>
      </c>
      <c r="C3110" s="14">
        <v>0</v>
      </c>
      <c r="D3110" s="14">
        <v>0</v>
      </c>
      <c r="E3110" s="14">
        <f t="shared" si="49"/>
        <v>0</v>
      </c>
    </row>
    <row r="3111" spans="1:5" x14ac:dyDescent="0.3">
      <c r="A3111" s="7">
        <v>1002521</v>
      </c>
      <c r="B3111" s="20" t="s">
        <v>3107</v>
      </c>
      <c r="C3111" s="14">
        <v>0</v>
      </c>
      <c r="D3111" s="14">
        <v>0</v>
      </c>
      <c r="E3111" s="14">
        <f t="shared" si="49"/>
        <v>0</v>
      </c>
    </row>
    <row r="3112" spans="1:5" x14ac:dyDescent="0.3">
      <c r="A3112" s="7">
        <v>1002526</v>
      </c>
      <c r="B3112" s="20" t="s">
        <v>3108</v>
      </c>
      <c r="C3112" s="14">
        <v>0</v>
      </c>
      <c r="D3112" s="14">
        <v>0</v>
      </c>
      <c r="E3112" s="14">
        <f t="shared" si="49"/>
        <v>0</v>
      </c>
    </row>
    <row r="3113" spans="1:5" x14ac:dyDescent="0.3">
      <c r="A3113" s="7">
        <v>1002527</v>
      </c>
      <c r="B3113" s="20" t="s">
        <v>3109</v>
      </c>
      <c r="C3113" s="14">
        <v>0</v>
      </c>
      <c r="D3113" s="14">
        <v>0</v>
      </c>
      <c r="E3113" s="14">
        <f t="shared" si="49"/>
        <v>0</v>
      </c>
    </row>
    <row r="3114" spans="1:5" x14ac:dyDescent="0.3">
      <c r="A3114" s="7">
        <v>1002528</v>
      </c>
      <c r="B3114" s="20" t="s">
        <v>3110</v>
      </c>
      <c r="C3114" s="14">
        <v>0</v>
      </c>
      <c r="D3114" s="14">
        <v>0</v>
      </c>
      <c r="E3114" s="14">
        <f t="shared" si="49"/>
        <v>0</v>
      </c>
    </row>
    <row r="3115" spans="1:5" x14ac:dyDescent="0.3">
      <c r="A3115" s="7">
        <v>1002529</v>
      </c>
      <c r="B3115" s="20" t="s">
        <v>3111</v>
      </c>
      <c r="C3115" s="14">
        <v>0</v>
      </c>
      <c r="D3115" s="14">
        <v>0</v>
      </c>
      <c r="E3115" s="14">
        <f t="shared" si="49"/>
        <v>0</v>
      </c>
    </row>
    <row r="3116" spans="1:5" x14ac:dyDescent="0.3">
      <c r="A3116" s="7">
        <v>1002530</v>
      </c>
      <c r="B3116" s="20" t="s">
        <v>3112</v>
      </c>
      <c r="C3116" s="14">
        <v>0</v>
      </c>
      <c r="D3116" s="14">
        <v>0</v>
      </c>
      <c r="E3116" s="14">
        <f t="shared" si="49"/>
        <v>0</v>
      </c>
    </row>
    <row r="3117" spans="1:5" x14ac:dyDescent="0.3">
      <c r="A3117" s="7">
        <v>1002531</v>
      </c>
      <c r="B3117" s="20" t="s">
        <v>3113</v>
      </c>
      <c r="C3117" s="14">
        <v>0</v>
      </c>
      <c r="D3117" s="14">
        <v>0</v>
      </c>
      <c r="E3117" s="14">
        <f t="shared" si="49"/>
        <v>0</v>
      </c>
    </row>
    <row r="3118" spans="1:5" x14ac:dyDescent="0.3">
      <c r="A3118" s="7">
        <v>1002535</v>
      </c>
      <c r="B3118" s="20" t="s">
        <v>3114</v>
      </c>
      <c r="C3118" s="14">
        <v>0</v>
      </c>
      <c r="D3118" s="14">
        <v>0</v>
      </c>
      <c r="E3118" s="14">
        <f t="shared" si="49"/>
        <v>0</v>
      </c>
    </row>
    <row r="3119" spans="1:5" x14ac:dyDescent="0.3">
      <c r="A3119" s="7">
        <v>1002536</v>
      </c>
      <c r="B3119" s="20" t="s">
        <v>3115</v>
      </c>
      <c r="C3119" s="14">
        <v>0</v>
      </c>
      <c r="D3119" s="14">
        <v>0</v>
      </c>
      <c r="E3119" s="14">
        <f t="shared" si="49"/>
        <v>0</v>
      </c>
    </row>
    <row r="3120" spans="1:5" x14ac:dyDescent="0.3">
      <c r="A3120" s="7">
        <v>1002537</v>
      </c>
      <c r="B3120" s="20" t="s">
        <v>3116</v>
      </c>
      <c r="C3120" s="14">
        <v>0</v>
      </c>
      <c r="D3120" s="14">
        <v>0</v>
      </c>
      <c r="E3120" s="14">
        <f t="shared" si="49"/>
        <v>0</v>
      </c>
    </row>
    <row r="3121" spans="1:5" x14ac:dyDescent="0.3">
      <c r="A3121" s="7">
        <v>1002538</v>
      </c>
      <c r="B3121" s="20" t="s">
        <v>3117</v>
      </c>
      <c r="C3121" s="14">
        <v>0</v>
      </c>
      <c r="D3121" s="14">
        <v>0</v>
      </c>
      <c r="E3121" s="14">
        <f t="shared" si="49"/>
        <v>0</v>
      </c>
    </row>
    <row r="3122" spans="1:5" x14ac:dyDescent="0.3">
      <c r="A3122" s="7">
        <v>1002539</v>
      </c>
      <c r="B3122" s="20" t="s">
        <v>3118</v>
      </c>
      <c r="C3122" s="14">
        <v>0</v>
      </c>
      <c r="D3122" s="14">
        <v>0</v>
      </c>
      <c r="E3122" s="14">
        <f t="shared" si="49"/>
        <v>0</v>
      </c>
    </row>
    <row r="3123" spans="1:5" x14ac:dyDescent="0.3">
      <c r="A3123" s="7">
        <v>1002540</v>
      </c>
      <c r="B3123" s="20" t="s">
        <v>3119</v>
      </c>
      <c r="C3123" s="14">
        <v>0</v>
      </c>
      <c r="D3123" s="14">
        <v>0</v>
      </c>
      <c r="E3123" s="14">
        <f t="shared" si="49"/>
        <v>0</v>
      </c>
    </row>
    <row r="3124" spans="1:5" x14ac:dyDescent="0.3">
      <c r="A3124" s="7">
        <v>1002541</v>
      </c>
      <c r="B3124" s="20" t="s">
        <v>3120</v>
      </c>
      <c r="C3124" s="14">
        <v>0</v>
      </c>
      <c r="D3124" s="14">
        <v>0</v>
      </c>
      <c r="E3124" s="14">
        <f t="shared" si="49"/>
        <v>0</v>
      </c>
    </row>
    <row r="3125" spans="1:5" x14ac:dyDescent="0.3">
      <c r="A3125" s="7">
        <v>1002543</v>
      </c>
      <c r="B3125" s="20" t="s">
        <v>3121</v>
      </c>
      <c r="C3125" s="14">
        <v>0</v>
      </c>
      <c r="D3125" s="14">
        <v>0</v>
      </c>
      <c r="E3125" s="14">
        <f t="shared" si="49"/>
        <v>0</v>
      </c>
    </row>
    <row r="3126" spans="1:5" x14ac:dyDescent="0.3">
      <c r="A3126" s="7">
        <v>1002544</v>
      </c>
      <c r="B3126" s="20" t="s">
        <v>3122</v>
      </c>
      <c r="C3126" s="14">
        <v>0</v>
      </c>
      <c r="D3126" s="14">
        <v>0</v>
      </c>
      <c r="E3126" s="14">
        <f t="shared" si="49"/>
        <v>0</v>
      </c>
    </row>
    <row r="3127" spans="1:5" x14ac:dyDescent="0.3">
      <c r="A3127" s="7">
        <v>1002546</v>
      </c>
      <c r="B3127" s="20" t="s">
        <v>3123</v>
      </c>
      <c r="C3127" s="14">
        <v>0</v>
      </c>
      <c r="D3127" s="14">
        <v>0</v>
      </c>
      <c r="E3127" s="14">
        <f t="shared" si="49"/>
        <v>0</v>
      </c>
    </row>
    <row r="3128" spans="1:5" x14ac:dyDescent="0.3">
      <c r="A3128" s="7">
        <v>1002547</v>
      </c>
      <c r="B3128" s="20" t="s">
        <v>3124</v>
      </c>
      <c r="C3128" s="14">
        <v>0</v>
      </c>
      <c r="D3128" s="14">
        <v>0</v>
      </c>
      <c r="E3128" s="14">
        <f t="shared" si="49"/>
        <v>0</v>
      </c>
    </row>
    <row r="3129" spans="1:5" x14ac:dyDescent="0.3">
      <c r="A3129" s="7">
        <v>1002548</v>
      </c>
      <c r="B3129" s="20" t="s">
        <v>3125</v>
      </c>
      <c r="C3129" s="14">
        <v>0</v>
      </c>
      <c r="D3129" s="14">
        <v>0</v>
      </c>
      <c r="E3129" s="14">
        <f t="shared" si="49"/>
        <v>0</v>
      </c>
    </row>
    <row r="3130" spans="1:5" x14ac:dyDescent="0.3">
      <c r="A3130" s="7">
        <v>1002549</v>
      </c>
      <c r="B3130" s="20" t="s">
        <v>3126</v>
      </c>
      <c r="C3130" s="14">
        <v>0</v>
      </c>
      <c r="D3130" s="14">
        <v>0</v>
      </c>
      <c r="E3130" s="14">
        <f t="shared" si="49"/>
        <v>0</v>
      </c>
    </row>
    <row r="3131" spans="1:5" x14ac:dyDescent="0.3">
      <c r="A3131" s="7">
        <v>1002550</v>
      </c>
      <c r="B3131" s="20" t="s">
        <v>3127</v>
      </c>
      <c r="C3131" s="14">
        <v>0</v>
      </c>
      <c r="D3131" s="14">
        <v>0</v>
      </c>
      <c r="E3131" s="14">
        <f t="shared" si="49"/>
        <v>0</v>
      </c>
    </row>
    <row r="3132" spans="1:5" x14ac:dyDescent="0.3">
      <c r="A3132" s="7">
        <v>1002551</v>
      </c>
      <c r="B3132" s="20" t="s">
        <v>3128</v>
      </c>
      <c r="C3132" s="14">
        <v>0</v>
      </c>
      <c r="D3132" s="14">
        <v>0</v>
      </c>
      <c r="E3132" s="14">
        <f t="shared" si="49"/>
        <v>0</v>
      </c>
    </row>
    <row r="3133" spans="1:5" x14ac:dyDescent="0.3">
      <c r="A3133" s="7">
        <v>1002552</v>
      </c>
      <c r="B3133" s="20" t="s">
        <v>3129</v>
      </c>
      <c r="C3133" s="14">
        <v>0</v>
      </c>
      <c r="D3133" s="14">
        <v>0</v>
      </c>
      <c r="E3133" s="14">
        <f t="shared" si="49"/>
        <v>0</v>
      </c>
    </row>
    <row r="3134" spans="1:5" x14ac:dyDescent="0.3">
      <c r="A3134" s="7">
        <v>1002553</v>
      </c>
      <c r="B3134" s="20" t="s">
        <v>3130</v>
      </c>
      <c r="C3134" s="14">
        <v>0</v>
      </c>
      <c r="D3134" s="14">
        <v>0</v>
      </c>
      <c r="E3134" s="14">
        <f t="shared" si="49"/>
        <v>0</v>
      </c>
    </row>
    <row r="3135" spans="1:5" x14ac:dyDescent="0.3">
      <c r="A3135" s="7">
        <v>1002554</v>
      </c>
      <c r="B3135" s="20" t="s">
        <v>3131</v>
      </c>
      <c r="C3135" s="14">
        <v>0</v>
      </c>
      <c r="D3135" s="14">
        <v>0</v>
      </c>
      <c r="E3135" s="14">
        <f t="shared" si="49"/>
        <v>0</v>
      </c>
    </row>
    <row r="3136" spans="1:5" x14ac:dyDescent="0.3">
      <c r="A3136" s="7">
        <v>1002555</v>
      </c>
      <c r="B3136" s="20" t="s">
        <v>3132</v>
      </c>
      <c r="C3136" s="14">
        <v>0</v>
      </c>
      <c r="D3136" s="14">
        <v>0</v>
      </c>
      <c r="E3136" s="14">
        <f t="shared" si="49"/>
        <v>0</v>
      </c>
    </row>
    <row r="3137" spans="1:5" x14ac:dyDescent="0.3">
      <c r="A3137" s="7">
        <v>1002556</v>
      </c>
      <c r="B3137" s="20" t="s">
        <v>3133</v>
      </c>
      <c r="C3137" s="14">
        <v>0</v>
      </c>
      <c r="D3137" s="14">
        <v>0</v>
      </c>
      <c r="E3137" s="14">
        <f t="shared" si="49"/>
        <v>0</v>
      </c>
    </row>
    <row r="3138" spans="1:5" x14ac:dyDescent="0.3">
      <c r="A3138" s="7">
        <v>1002557</v>
      </c>
      <c r="B3138" s="20" t="s">
        <v>3134</v>
      </c>
      <c r="C3138" s="14">
        <v>0</v>
      </c>
      <c r="D3138" s="14">
        <v>0</v>
      </c>
      <c r="E3138" s="14">
        <f t="shared" si="49"/>
        <v>0</v>
      </c>
    </row>
    <row r="3139" spans="1:5" x14ac:dyDescent="0.3">
      <c r="A3139" s="7">
        <v>1002558</v>
      </c>
      <c r="B3139" s="20" t="s">
        <v>3135</v>
      </c>
      <c r="C3139" s="14">
        <v>0</v>
      </c>
      <c r="D3139" s="14">
        <v>0</v>
      </c>
      <c r="E3139" s="14">
        <f t="shared" si="49"/>
        <v>0</v>
      </c>
    </row>
    <row r="3140" spans="1:5" x14ac:dyDescent="0.3">
      <c r="A3140" s="7">
        <v>1002559</v>
      </c>
      <c r="B3140" s="20" t="s">
        <v>3136</v>
      </c>
      <c r="C3140" s="14">
        <v>0</v>
      </c>
      <c r="D3140" s="14">
        <v>0</v>
      </c>
      <c r="E3140" s="14">
        <f t="shared" si="49"/>
        <v>0</v>
      </c>
    </row>
    <row r="3141" spans="1:5" x14ac:dyDescent="0.3">
      <c r="A3141" s="7">
        <v>1002560</v>
      </c>
      <c r="B3141" s="20" t="s">
        <v>3137</v>
      </c>
      <c r="C3141" s="14">
        <v>0</v>
      </c>
      <c r="D3141" s="14">
        <v>0</v>
      </c>
      <c r="E3141" s="14">
        <f t="shared" si="49"/>
        <v>0</v>
      </c>
    </row>
    <row r="3142" spans="1:5" x14ac:dyDescent="0.3">
      <c r="A3142" s="7">
        <v>1002566</v>
      </c>
      <c r="B3142" s="20" t="s">
        <v>3138</v>
      </c>
      <c r="C3142" s="14">
        <v>0</v>
      </c>
      <c r="D3142" s="14">
        <v>0</v>
      </c>
      <c r="E3142" s="14">
        <f t="shared" si="49"/>
        <v>0</v>
      </c>
    </row>
    <row r="3143" spans="1:5" x14ac:dyDescent="0.3">
      <c r="A3143" s="7">
        <v>1002567</v>
      </c>
      <c r="B3143" s="20" t="s">
        <v>3139</v>
      </c>
      <c r="C3143" s="14">
        <v>0</v>
      </c>
      <c r="D3143" s="14">
        <v>0</v>
      </c>
      <c r="E3143" s="14">
        <f t="shared" si="49"/>
        <v>0</v>
      </c>
    </row>
    <row r="3144" spans="1:5" x14ac:dyDescent="0.3">
      <c r="A3144" s="7">
        <v>1002570</v>
      </c>
      <c r="B3144" s="20" t="s">
        <v>3140</v>
      </c>
      <c r="C3144" s="14">
        <v>0</v>
      </c>
      <c r="D3144" s="14">
        <v>0</v>
      </c>
      <c r="E3144" s="14">
        <f t="shared" si="49"/>
        <v>0</v>
      </c>
    </row>
    <row r="3145" spans="1:5" x14ac:dyDescent="0.3">
      <c r="A3145" s="7">
        <v>1002573</v>
      </c>
      <c r="B3145" s="20" t="s">
        <v>3141</v>
      </c>
      <c r="C3145" s="14">
        <v>0</v>
      </c>
      <c r="D3145" s="14">
        <v>0</v>
      </c>
      <c r="E3145" s="14">
        <f t="shared" si="49"/>
        <v>0</v>
      </c>
    </row>
    <row r="3146" spans="1:5" x14ac:dyDescent="0.3">
      <c r="A3146" s="7">
        <v>1002574</v>
      </c>
      <c r="B3146" s="20" t="s">
        <v>3142</v>
      </c>
      <c r="C3146" s="14">
        <v>0</v>
      </c>
      <c r="D3146" s="14">
        <v>0</v>
      </c>
      <c r="E3146" s="14">
        <f t="shared" si="49"/>
        <v>0</v>
      </c>
    </row>
    <row r="3147" spans="1:5" x14ac:dyDescent="0.3">
      <c r="A3147" s="7">
        <v>1002575</v>
      </c>
      <c r="B3147" s="20" t="s">
        <v>3143</v>
      </c>
      <c r="C3147" s="14">
        <v>0</v>
      </c>
      <c r="D3147" s="14">
        <v>0</v>
      </c>
      <c r="E3147" s="14">
        <f t="shared" si="49"/>
        <v>0</v>
      </c>
    </row>
    <row r="3148" spans="1:5" x14ac:dyDescent="0.3">
      <c r="A3148" s="7">
        <v>1002578</v>
      </c>
      <c r="B3148" s="20" t="s">
        <v>3144</v>
      </c>
      <c r="C3148" s="14">
        <v>0</v>
      </c>
      <c r="D3148" s="14">
        <v>0</v>
      </c>
      <c r="E3148" s="14">
        <f t="shared" si="49"/>
        <v>0</v>
      </c>
    </row>
    <row r="3149" spans="1:5" x14ac:dyDescent="0.3">
      <c r="A3149" s="7">
        <v>1002579</v>
      </c>
      <c r="B3149" s="20" t="s">
        <v>3145</v>
      </c>
      <c r="C3149" s="14">
        <v>0</v>
      </c>
      <c r="D3149" s="14">
        <v>0</v>
      </c>
      <c r="E3149" s="14">
        <f t="shared" si="49"/>
        <v>0</v>
      </c>
    </row>
    <row r="3150" spans="1:5" x14ac:dyDescent="0.3">
      <c r="A3150" s="7">
        <v>1002580</v>
      </c>
      <c r="B3150" s="20" t="s">
        <v>3146</v>
      </c>
      <c r="C3150" s="14">
        <v>0</v>
      </c>
      <c r="D3150" s="14">
        <v>0</v>
      </c>
      <c r="E3150" s="14">
        <f t="shared" si="49"/>
        <v>0</v>
      </c>
    </row>
    <row r="3151" spans="1:5" x14ac:dyDescent="0.3">
      <c r="A3151" s="7">
        <v>1002581</v>
      </c>
      <c r="B3151" s="20" t="s">
        <v>3147</v>
      </c>
      <c r="C3151" s="14">
        <v>0</v>
      </c>
      <c r="D3151" s="14">
        <v>0</v>
      </c>
      <c r="E3151" s="14">
        <f t="shared" si="49"/>
        <v>0</v>
      </c>
    </row>
    <row r="3152" spans="1:5" x14ac:dyDescent="0.3">
      <c r="A3152" s="7">
        <v>1002582</v>
      </c>
      <c r="B3152" s="20" t="s">
        <v>3148</v>
      </c>
      <c r="C3152" s="14">
        <v>0</v>
      </c>
      <c r="D3152" s="14">
        <v>0</v>
      </c>
      <c r="E3152" s="14">
        <f t="shared" si="49"/>
        <v>0</v>
      </c>
    </row>
    <row r="3153" spans="1:5" x14ac:dyDescent="0.3">
      <c r="A3153" s="7">
        <v>1002583</v>
      </c>
      <c r="B3153" s="20" t="s">
        <v>3149</v>
      </c>
      <c r="C3153" s="14">
        <v>0</v>
      </c>
      <c r="D3153" s="14">
        <v>0</v>
      </c>
      <c r="E3153" s="14">
        <f t="shared" si="49"/>
        <v>0</v>
      </c>
    </row>
    <row r="3154" spans="1:5" x14ac:dyDescent="0.3">
      <c r="A3154" s="7">
        <v>1002584</v>
      </c>
      <c r="B3154" s="20" t="s">
        <v>3150</v>
      </c>
      <c r="C3154" s="14">
        <v>0</v>
      </c>
      <c r="D3154" s="14">
        <v>0</v>
      </c>
      <c r="E3154" s="14">
        <f t="shared" si="49"/>
        <v>0</v>
      </c>
    </row>
    <row r="3155" spans="1:5" x14ac:dyDescent="0.3">
      <c r="A3155" s="7">
        <v>1002587</v>
      </c>
      <c r="B3155" s="20" t="s">
        <v>3151</v>
      </c>
      <c r="C3155" s="14">
        <v>0</v>
      </c>
      <c r="D3155" s="14">
        <v>0</v>
      </c>
      <c r="E3155" s="14">
        <f t="shared" si="49"/>
        <v>0</v>
      </c>
    </row>
    <row r="3156" spans="1:5" x14ac:dyDescent="0.3">
      <c r="A3156" s="7">
        <v>1002588</v>
      </c>
      <c r="B3156" s="20" t="s">
        <v>3152</v>
      </c>
      <c r="C3156" s="14">
        <v>0</v>
      </c>
      <c r="D3156" s="14">
        <v>0</v>
      </c>
      <c r="E3156" s="14">
        <f t="shared" si="49"/>
        <v>0</v>
      </c>
    </row>
    <row r="3157" spans="1:5" x14ac:dyDescent="0.3">
      <c r="A3157" s="7">
        <v>1002590</v>
      </c>
      <c r="B3157" s="20" t="s">
        <v>3153</v>
      </c>
      <c r="C3157" s="14">
        <v>0</v>
      </c>
      <c r="D3157" s="14">
        <v>0</v>
      </c>
      <c r="E3157" s="14">
        <f t="shared" si="49"/>
        <v>0</v>
      </c>
    </row>
    <row r="3158" spans="1:5" x14ac:dyDescent="0.3">
      <c r="A3158" s="7">
        <v>1002593</v>
      </c>
      <c r="B3158" s="20" t="s">
        <v>3154</v>
      </c>
      <c r="C3158" s="14">
        <v>0</v>
      </c>
      <c r="D3158" s="14">
        <v>0</v>
      </c>
      <c r="E3158" s="14">
        <f t="shared" si="49"/>
        <v>0</v>
      </c>
    </row>
    <row r="3159" spans="1:5" x14ac:dyDescent="0.3">
      <c r="A3159" s="7">
        <v>1002060</v>
      </c>
      <c r="B3159" s="15" t="s">
        <v>3155</v>
      </c>
      <c r="C3159" s="14">
        <v>0</v>
      </c>
      <c r="D3159" s="14">
        <v>0</v>
      </c>
      <c r="E3159" s="14">
        <f t="shared" si="49"/>
        <v>0</v>
      </c>
    </row>
    <row r="3160" spans="1:5" x14ac:dyDescent="0.3">
      <c r="A3160" s="7">
        <v>1002061</v>
      </c>
      <c r="B3160" s="15" t="s">
        <v>3156</v>
      </c>
      <c r="C3160" s="14">
        <v>0</v>
      </c>
      <c r="D3160" s="14">
        <v>0</v>
      </c>
      <c r="E3160" s="14">
        <f t="shared" si="49"/>
        <v>0</v>
      </c>
    </row>
    <row r="3161" spans="1:5" x14ac:dyDescent="0.3">
      <c r="A3161" s="7">
        <v>1002062</v>
      </c>
      <c r="B3161" s="15" t="s">
        <v>3157</v>
      </c>
      <c r="C3161" s="14">
        <v>0</v>
      </c>
      <c r="D3161" s="14">
        <v>0</v>
      </c>
      <c r="E3161" s="14">
        <f t="shared" si="49"/>
        <v>0</v>
      </c>
    </row>
    <row r="3162" spans="1:5" x14ac:dyDescent="0.3">
      <c r="A3162" s="7">
        <v>1002063</v>
      </c>
      <c r="B3162" s="15" t="s">
        <v>3158</v>
      </c>
      <c r="C3162" s="14">
        <v>0</v>
      </c>
      <c r="D3162" s="14">
        <v>0</v>
      </c>
      <c r="E3162" s="14">
        <f t="shared" si="49"/>
        <v>0</v>
      </c>
    </row>
    <row r="3163" spans="1:5" x14ac:dyDescent="0.3">
      <c r="A3163" s="7">
        <v>1002064</v>
      </c>
      <c r="B3163" s="15" t="s">
        <v>3159</v>
      </c>
      <c r="C3163" s="14">
        <v>0</v>
      </c>
      <c r="D3163" s="14">
        <v>0</v>
      </c>
      <c r="E3163" s="14">
        <f t="shared" si="49"/>
        <v>0</v>
      </c>
    </row>
    <row r="3164" spans="1:5" x14ac:dyDescent="0.3">
      <c r="A3164" s="7">
        <v>1002065</v>
      </c>
      <c r="B3164" s="15" t="s">
        <v>3160</v>
      </c>
      <c r="C3164" s="14">
        <v>0</v>
      </c>
      <c r="D3164" s="14">
        <v>0</v>
      </c>
      <c r="E3164" s="14">
        <f t="shared" si="49"/>
        <v>0</v>
      </c>
    </row>
    <row r="3165" spans="1:5" x14ac:dyDescent="0.3">
      <c r="A3165" s="7">
        <v>1002066</v>
      </c>
      <c r="B3165" s="15" t="s">
        <v>3161</v>
      </c>
      <c r="C3165" s="14">
        <v>0</v>
      </c>
      <c r="D3165" s="14">
        <v>0</v>
      </c>
      <c r="E3165" s="14">
        <f t="shared" si="49"/>
        <v>0</v>
      </c>
    </row>
    <row r="3166" spans="1:5" x14ac:dyDescent="0.3">
      <c r="A3166" s="7">
        <v>1002067</v>
      </c>
      <c r="B3166" s="15" t="s">
        <v>3162</v>
      </c>
      <c r="C3166" s="14">
        <v>0</v>
      </c>
      <c r="D3166" s="14">
        <v>0</v>
      </c>
      <c r="E3166" s="14">
        <f t="shared" si="49"/>
        <v>0</v>
      </c>
    </row>
    <row r="3167" spans="1:5" x14ac:dyDescent="0.3">
      <c r="A3167" s="7">
        <v>1002070</v>
      </c>
      <c r="B3167" s="15" t="s">
        <v>3163</v>
      </c>
      <c r="C3167" s="14">
        <v>0</v>
      </c>
      <c r="D3167" s="14">
        <v>0</v>
      </c>
      <c r="E3167" s="14">
        <f t="shared" si="49"/>
        <v>0</v>
      </c>
    </row>
    <row r="3168" spans="1:5" x14ac:dyDescent="0.3">
      <c r="A3168" s="7">
        <v>1002071</v>
      </c>
      <c r="B3168" s="15" t="s">
        <v>3164</v>
      </c>
      <c r="C3168" s="14">
        <v>0</v>
      </c>
      <c r="D3168" s="14">
        <v>0</v>
      </c>
      <c r="E3168" s="14">
        <f t="shared" si="49"/>
        <v>0</v>
      </c>
    </row>
    <row r="3169" spans="1:5" x14ac:dyDescent="0.3">
      <c r="A3169" s="7">
        <v>1002072</v>
      </c>
      <c r="B3169" s="15" t="s">
        <v>3165</v>
      </c>
      <c r="C3169" s="14">
        <v>0</v>
      </c>
      <c r="D3169" s="14">
        <v>0</v>
      </c>
      <c r="E3169" s="14">
        <f t="shared" ref="E3169:E3232" si="50">+MAX(C3169, D3169)</f>
        <v>0</v>
      </c>
    </row>
    <row r="3170" spans="1:5" x14ac:dyDescent="0.3">
      <c r="A3170" s="7">
        <v>1002078</v>
      </c>
      <c r="B3170" s="15" t="s">
        <v>3166</v>
      </c>
      <c r="C3170" s="14">
        <v>0</v>
      </c>
      <c r="D3170" s="14">
        <v>0</v>
      </c>
      <c r="E3170" s="14">
        <f t="shared" si="50"/>
        <v>0</v>
      </c>
    </row>
    <row r="3171" spans="1:5" x14ac:dyDescent="0.3">
      <c r="A3171" s="7">
        <v>1002081</v>
      </c>
      <c r="B3171" s="15" t="s">
        <v>3167</v>
      </c>
      <c r="C3171" s="14">
        <v>0</v>
      </c>
      <c r="D3171" s="14">
        <v>0</v>
      </c>
      <c r="E3171" s="14">
        <f t="shared" si="50"/>
        <v>0</v>
      </c>
    </row>
    <row r="3172" spans="1:5" x14ac:dyDescent="0.3">
      <c r="A3172" s="7">
        <v>1002086</v>
      </c>
      <c r="B3172" s="15" t="s">
        <v>3168</v>
      </c>
      <c r="C3172" s="14">
        <v>0</v>
      </c>
      <c r="D3172" s="14">
        <v>0</v>
      </c>
      <c r="E3172" s="14">
        <f t="shared" si="50"/>
        <v>0</v>
      </c>
    </row>
    <row r="3173" spans="1:5" x14ac:dyDescent="0.3">
      <c r="A3173" s="7">
        <v>1002090</v>
      </c>
      <c r="B3173" s="15" t="s">
        <v>3169</v>
      </c>
      <c r="C3173" s="14">
        <v>0</v>
      </c>
      <c r="D3173" s="14">
        <v>0</v>
      </c>
      <c r="E3173" s="14">
        <f t="shared" si="50"/>
        <v>0</v>
      </c>
    </row>
    <row r="3174" spans="1:5" x14ac:dyDescent="0.3">
      <c r="A3174" s="7">
        <v>1002091</v>
      </c>
      <c r="B3174" s="15" t="s">
        <v>3170</v>
      </c>
      <c r="C3174" s="14">
        <v>0</v>
      </c>
      <c r="D3174" s="14">
        <v>0</v>
      </c>
      <c r="E3174" s="14">
        <f t="shared" si="50"/>
        <v>0</v>
      </c>
    </row>
    <row r="3175" spans="1:5" x14ac:dyDescent="0.3">
      <c r="A3175" s="7">
        <v>1002092</v>
      </c>
      <c r="B3175" s="15" t="s">
        <v>3171</v>
      </c>
      <c r="C3175" s="14">
        <v>0</v>
      </c>
      <c r="D3175" s="14">
        <v>0</v>
      </c>
      <c r="E3175" s="14">
        <f t="shared" si="50"/>
        <v>0</v>
      </c>
    </row>
    <row r="3176" spans="1:5" x14ac:dyDescent="0.3">
      <c r="A3176" s="7">
        <v>1002093</v>
      </c>
      <c r="B3176" s="15" t="s">
        <v>3172</v>
      </c>
      <c r="C3176" s="14">
        <v>0</v>
      </c>
      <c r="D3176" s="14">
        <v>0</v>
      </c>
      <c r="E3176" s="14">
        <f t="shared" si="50"/>
        <v>0</v>
      </c>
    </row>
    <row r="3177" spans="1:5" x14ac:dyDescent="0.3">
      <c r="A3177" s="7">
        <v>1002094</v>
      </c>
      <c r="B3177" s="15" t="s">
        <v>3173</v>
      </c>
      <c r="C3177" s="14">
        <v>0</v>
      </c>
      <c r="D3177" s="14">
        <v>0</v>
      </c>
      <c r="E3177" s="14">
        <f t="shared" si="50"/>
        <v>0</v>
      </c>
    </row>
    <row r="3178" spans="1:5" x14ac:dyDescent="0.3">
      <c r="A3178" s="7">
        <v>1002096</v>
      </c>
      <c r="B3178" s="15" t="s">
        <v>3174</v>
      </c>
      <c r="C3178" s="14">
        <v>0</v>
      </c>
      <c r="D3178" s="14">
        <v>0</v>
      </c>
      <c r="E3178" s="14">
        <f t="shared" si="50"/>
        <v>0</v>
      </c>
    </row>
    <row r="3179" spans="1:5" x14ac:dyDescent="0.3">
      <c r="A3179" s="7">
        <v>1002114</v>
      </c>
      <c r="B3179" s="15" t="s">
        <v>3175</v>
      </c>
      <c r="C3179" s="14">
        <v>0</v>
      </c>
      <c r="D3179" s="14">
        <v>0</v>
      </c>
      <c r="E3179" s="14">
        <f t="shared" si="50"/>
        <v>0</v>
      </c>
    </row>
    <row r="3180" spans="1:5" x14ac:dyDescent="0.3">
      <c r="A3180" s="7">
        <v>1002115</v>
      </c>
      <c r="B3180" s="15" t="s">
        <v>3176</v>
      </c>
      <c r="C3180" s="14">
        <v>0</v>
      </c>
      <c r="D3180" s="14">
        <v>0</v>
      </c>
      <c r="E3180" s="14">
        <f t="shared" si="50"/>
        <v>0</v>
      </c>
    </row>
    <row r="3181" spans="1:5" x14ac:dyDescent="0.3">
      <c r="A3181" s="7">
        <v>1002123</v>
      </c>
      <c r="B3181" s="15" t="s">
        <v>3177</v>
      </c>
      <c r="C3181" s="14">
        <v>0</v>
      </c>
      <c r="D3181" s="14">
        <v>0</v>
      </c>
      <c r="E3181" s="14">
        <f t="shared" si="50"/>
        <v>0</v>
      </c>
    </row>
    <row r="3182" spans="1:5" x14ac:dyDescent="0.3">
      <c r="A3182" s="7">
        <v>1002126</v>
      </c>
      <c r="B3182" s="15" t="s">
        <v>3178</v>
      </c>
      <c r="C3182" s="14">
        <v>0</v>
      </c>
      <c r="D3182" s="14">
        <v>0</v>
      </c>
      <c r="E3182" s="14">
        <f t="shared" si="50"/>
        <v>0</v>
      </c>
    </row>
    <row r="3183" spans="1:5" x14ac:dyDescent="0.3">
      <c r="A3183" s="7">
        <v>1002128</v>
      </c>
      <c r="B3183" s="15" t="s">
        <v>3179</v>
      </c>
      <c r="C3183" s="14">
        <v>0</v>
      </c>
      <c r="D3183" s="14">
        <v>0</v>
      </c>
      <c r="E3183" s="14">
        <f t="shared" si="50"/>
        <v>0</v>
      </c>
    </row>
    <row r="3184" spans="1:5" x14ac:dyDescent="0.3">
      <c r="A3184" s="7">
        <v>1002599</v>
      </c>
      <c r="B3184" s="20" t="s">
        <v>3180</v>
      </c>
      <c r="C3184" s="14">
        <v>0</v>
      </c>
      <c r="D3184" s="14">
        <v>0</v>
      </c>
      <c r="E3184" s="14">
        <f t="shared" si="50"/>
        <v>0</v>
      </c>
    </row>
    <row r="3185" spans="1:5" x14ac:dyDescent="0.3">
      <c r="A3185" s="7">
        <v>1002600</v>
      </c>
      <c r="B3185" s="20" t="s">
        <v>3181</v>
      </c>
      <c r="C3185" s="14">
        <v>0</v>
      </c>
      <c r="D3185" s="14">
        <v>0</v>
      </c>
      <c r="E3185" s="14">
        <f t="shared" si="50"/>
        <v>0</v>
      </c>
    </row>
    <row r="3186" spans="1:5" x14ac:dyDescent="0.3">
      <c r="A3186" s="7">
        <v>1002601</v>
      </c>
      <c r="B3186" s="20" t="s">
        <v>3182</v>
      </c>
      <c r="C3186" s="14">
        <v>0</v>
      </c>
      <c r="D3186" s="14">
        <v>0</v>
      </c>
      <c r="E3186" s="14">
        <f t="shared" si="50"/>
        <v>0</v>
      </c>
    </row>
    <row r="3187" spans="1:5" x14ac:dyDescent="0.3">
      <c r="A3187" s="7">
        <v>1002133</v>
      </c>
      <c r="B3187" s="15" t="s">
        <v>3183</v>
      </c>
      <c r="C3187" s="14">
        <v>0</v>
      </c>
      <c r="D3187" s="14">
        <v>0</v>
      </c>
      <c r="E3187" s="14">
        <f t="shared" si="50"/>
        <v>0</v>
      </c>
    </row>
    <row r="3188" spans="1:5" x14ac:dyDescent="0.3">
      <c r="A3188" s="7">
        <v>1002134</v>
      </c>
      <c r="B3188" s="15" t="s">
        <v>3184</v>
      </c>
      <c r="C3188" s="14">
        <v>0</v>
      </c>
      <c r="D3188" s="14">
        <v>0</v>
      </c>
      <c r="E3188" s="14">
        <f t="shared" si="50"/>
        <v>0</v>
      </c>
    </row>
    <row r="3189" spans="1:5" x14ac:dyDescent="0.3">
      <c r="A3189" s="7">
        <v>1002135</v>
      </c>
      <c r="B3189" s="15" t="s">
        <v>3185</v>
      </c>
      <c r="C3189" s="14">
        <v>0</v>
      </c>
      <c r="D3189" s="14">
        <v>0</v>
      </c>
      <c r="E3189" s="14">
        <f t="shared" si="50"/>
        <v>0</v>
      </c>
    </row>
    <row r="3190" spans="1:5" x14ac:dyDescent="0.3">
      <c r="A3190" s="7">
        <v>1002136</v>
      </c>
      <c r="B3190" s="15" t="s">
        <v>3186</v>
      </c>
      <c r="C3190" s="14">
        <v>0</v>
      </c>
      <c r="D3190" s="14">
        <v>0</v>
      </c>
      <c r="E3190" s="14">
        <f t="shared" si="50"/>
        <v>0</v>
      </c>
    </row>
    <row r="3191" spans="1:5" x14ac:dyDescent="0.3">
      <c r="A3191" s="7">
        <v>1002603</v>
      </c>
      <c r="B3191" s="20" t="s">
        <v>3187</v>
      </c>
      <c r="C3191" s="14">
        <v>0</v>
      </c>
      <c r="D3191" s="14">
        <v>0</v>
      </c>
      <c r="E3191" s="14">
        <f t="shared" si="50"/>
        <v>0</v>
      </c>
    </row>
    <row r="3192" spans="1:5" x14ac:dyDescent="0.3">
      <c r="A3192" s="7">
        <v>1002607</v>
      </c>
      <c r="B3192" s="20" t="s">
        <v>3188</v>
      </c>
      <c r="C3192" s="14">
        <v>0</v>
      </c>
      <c r="D3192" s="14">
        <v>0</v>
      </c>
      <c r="E3192" s="14">
        <f t="shared" si="50"/>
        <v>0</v>
      </c>
    </row>
    <row r="3193" spans="1:5" x14ac:dyDescent="0.3">
      <c r="A3193" s="7">
        <v>1002608</v>
      </c>
      <c r="B3193" s="20" t="s">
        <v>3189</v>
      </c>
      <c r="C3193" s="14">
        <v>0</v>
      </c>
      <c r="D3193" s="14">
        <v>0</v>
      </c>
      <c r="E3193" s="14">
        <f t="shared" si="50"/>
        <v>0</v>
      </c>
    </row>
    <row r="3194" spans="1:5" x14ac:dyDescent="0.3">
      <c r="A3194" s="7">
        <v>1002138</v>
      </c>
      <c r="B3194" s="15" t="s">
        <v>3190</v>
      </c>
      <c r="C3194" s="14">
        <v>0</v>
      </c>
      <c r="D3194" s="14">
        <v>0</v>
      </c>
      <c r="E3194" s="14">
        <f t="shared" si="50"/>
        <v>0</v>
      </c>
    </row>
    <row r="3195" spans="1:5" x14ac:dyDescent="0.3">
      <c r="A3195" s="7">
        <v>1002139</v>
      </c>
      <c r="B3195" s="15" t="s">
        <v>3191</v>
      </c>
      <c r="C3195" s="14">
        <v>0</v>
      </c>
      <c r="D3195" s="14">
        <v>0</v>
      </c>
      <c r="E3195" s="14">
        <f t="shared" si="50"/>
        <v>0</v>
      </c>
    </row>
    <row r="3196" spans="1:5" x14ac:dyDescent="0.3">
      <c r="A3196" s="7">
        <v>1002613</v>
      </c>
      <c r="B3196" s="20" t="s">
        <v>3192</v>
      </c>
      <c r="C3196" s="14">
        <v>0</v>
      </c>
      <c r="D3196" s="14">
        <v>0</v>
      </c>
      <c r="E3196" s="14">
        <f t="shared" si="50"/>
        <v>0</v>
      </c>
    </row>
    <row r="3197" spans="1:5" x14ac:dyDescent="0.3">
      <c r="A3197" s="7">
        <v>1002614</v>
      </c>
      <c r="B3197" s="20" t="s">
        <v>3193</v>
      </c>
      <c r="C3197" s="14">
        <v>0</v>
      </c>
      <c r="D3197" s="14">
        <v>0</v>
      </c>
      <c r="E3197" s="14">
        <f t="shared" si="50"/>
        <v>0</v>
      </c>
    </row>
    <row r="3198" spans="1:5" x14ac:dyDescent="0.3">
      <c r="A3198" s="7">
        <v>1002141</v>
      </c>
      <c r="B3198" s="15" t="s">
        <v>3194</v>
      </c>
      <c r="C3198" s="14">
        <v>0</v>
      </c>
      <c r="D3198" s="14">
        <v>0</v>
      </c>
      <c r="E3198" s="14">
        <f t="shared" si="50"/>
        <v>0</v>
      </c>
    </row>
    <row r="3199" spans="1:5" x14ac:dyDescent="0.3">
      <c r="A3199" s="7">
        <v>1002615</v>
      </c>
      <c r="B3199" s="20" t="s">
        <v>3195</v>
      </c>
      <c r="C3199" s="14">
        <v>0</v>
      </c>
      <c r="D3199" s="14">
        <v>0</v>
      </c>
      <c r="E3199" s="14">
        <f t="shared" si="50"/>
        <v>0</v>
      </c>
    </row>
    <row r="3200" spans="1:5" x14ac:dyDescent="0.3">
      <c r="A3200" s="7">
        <v>1002142</v>
      </c>
      <c r="B3200" s="15" t="s">
        <v>3196</v>
      </c>
      <c r="C3200" s="14">
        <v>0</v>
      </c>
      <c r="D3200" s="14">
        <v>0</v>
      </c>
      <c r="E3200" s="14">
        <f t="shared" si="50"/>
        <v>0</v>
      </c>
    </row>
    <row r="3201" spans="1:5" x14ac:dyDescent="0.3">
      <c r="A3201" s="7">
        <v>1002143</v>
      </c>
      <c r="B3201" s="15" t="s">
        <v>3197</v>
      </c>
      <c r="C3201" s="14">
        <v>0</v>
      </c>
      <c r="D3201" s="14">
        <v>0</v>
      </c>
      <c r="E3201" s="14">
        <f t="shared" si="50"/>
        <v>0</v>
      </c>
    </row>
    <row r="3202" spans="1:5" x14ac:dyDescent="0.3">
      <c r="A3202" s="7">
        <v>1002620</v>
      </c>
      <c r="B3202" s="20" t="s">
        <v>3198</v>
      </c>
      <c r="C3202" s="14">
        <v>0</v>
      </c>
      <c r="D3202" s="14">
        <v>0</v>
      </c>
      <c r="E3202" s="14">
        <f t="shared" si="50"/>
        <v>0</v>
      </c>
    </row>
    <row r="3203" spans="1:5" x14ac:dyDescent="0.3">
      <c r="A3203" s="7">
        <v>1002144</v>
      </c>
      <c r="B3203" s="15" t="s">
        <v>3199</v>
      </c>
      <c r="C3203" s="14">
        <v>0</v>
      </c>
      <c r="D3203" s="14">
        <v>0</v>
      </c>
      <c r="E3203" s="14">
        <f t="shared" si="50"/>
        <v>0</v>
      </c>
    </row>
    <row r="3204" spans="1:5" x14ac:dyDescent="0.3">
      <c r="A3204" s="7">
        <v>1002145</v>
      </c>
      <c r="B3204" s="15" t="s">
        <v>3200</v>
      </c>
      <c r="C3204" s="14">
        <v>0</v>
      </c>
      <c r="D3204" s="14">
        <v>0</v>
      </c>
      <c r="E3204" s="14">
        <f t="shared" si="50"/>
        <v>0</v>
      </c>
    </row>
    <row r="3205" spans="1:5" x14ac:dyDescent="0.3">
      <c r="A3205" s="7">
        <v>1002621</v>
      </c>
      <c r="B3205" s="20" t="s">
        <v>3201</v>
      </c>
      <c r="C3205" s="14">
        <v>0</v>
      </c>
      <c r="D3205" s="14">
        <v>0</v>
      </c>
      <c r="E3205" s="14">
        <f t="shared" si="50"/>
        <v>0</v>
      </c>
    </row>
    <row r="3206" spans="1:5" x14ac:dyDescent="0.3">
      <c r="A3206" s="7">
        <v>1002622</v>
      </c>
      <c r="B3206" s="20" t="s">
        <v>3202</v>
      </c>
      <c r="C3206" s="14">
        <v>0</v>
      </c>
      <c r="D3206" s="14">
        <v>0</v>
      </c>
      <c r="E3206" s="14">
        <f t="shared" si="50"/>
        <v>0</v>
      </c>
    </row>
    <row r="3207" spans="1:5" x14ac:dyDescent="0.3">
      <c r="A3207" s="7">
        <v>1002146</v>
      </c>
      <c r="B3207" s="15" t="s">
        <v>3203</v>
      </c>
      <c r="C3207" s="14">
        <v>0</v>
      </c>
      <c r="D3207" s="14">
        <v>0</v>
      </c>
      <c r="E3207" s="14">
        <f t="shared" si="50"/>
        <v>0</v>
      </c>
    </row>
    <row r="3208" spans="1:5" x14ac:dyDescent="0.3">
      <c r="A3208" s="7">
        <v>1002627</v>
      </c>
      <c r="B3208" s="20" t="s">
        <v>3204</v>
      </c>
      <c r="C3208" s="14">
        <v>0</v>
      </c>
      <c r="D3208" s="14">
        <v>0</v>
      </c>
      <c r="E3208" s="14">
        <f t="shared" si="50"/>
        <v>0</v>
      </c>
    </row>
    <row r="3209" spans="1:5" x14ac:dyDescent="0.3">
      <c r="A3209" s="7">
        <v>1002629</v>
      </c>
      <c r="B3209" s="20" t="s">
        <v>3205</v>
      </c>
      <c r="C3209" s="14">
        <v>0</v>
      </c>
      <c r="D3209" s="14">
        <v>0</v>
      </c>
      <c r="E3209" s="14">
        <f t="shared" si="50"/>
        <v>0</v>
      </c>
    </row>
    <row r="3210" spans="1:5" x14ac:dyDescent="0.3">
      <c r="A3210" s="7">
        <v>1002630</v>
      </c>
      <c r="B3210" s="20" t="s">
        <v>3206</v>
      </c>
      <c r="C3210" s="14">
        <v>0</v>
      </c>
      <c r="D3210" s="14">
        <v>0</v>
      </c>
      <c r="E3210" s="14">
        <f t="shared" si="50"/>
        <v>0</v>
      </c>
    </row>
    <row r="3211" spans="1:5" x14ac:dyDescent="0.3">
      <c r="A3211" s="7">
        <v>1002631</v>
      </c>
      <c r="B3211" s="20" t="s">
        <v>3207</v>
      </c>
      <c r="C3211" s="14">
        <v>0</v>
      </c>
      <c r="D3211" s="14">
        <v>0</v>
      </c>
      <c r="E3211" s="14">
        <f t="shared" si="50"/>
        <v>0</v>
      </c>
    </row>
    <row r="3212" spans="1:5" x14ac:dyDescent="0.3">
      <c r="A3212" s="7">
        <v>1002151</v>
      </c>
      <c r="B3212" s="15" t="s">
        <v>3208</v>
      </c>
      <c r="C3212" s="14">
        <v>0</v>
      </c>
      <c r="D3212" s="14">
        <v>0</v>
      </c>
      <c r="E3212" s="14">
        <f t="shared" si="50"/>
        <v>0</v>
      </c>
    </row>
    <row r="3213" spans="1:5" x14ac:dyDescent="0.3">
      <c r="A3213" s="7">
        <v>1002152</v>
      </c>
      <c r="B3213" s="15" t="s">
        <v>3209</v>
      </c>
      <c r="C3213" s="14">
        <v>0</v>
      </c>
      <c r="D3213" s="14">
        <v>0</v>
      </c>
      <c r="E3213" s="14">
        <f t="shared" si="50"/>
        <v>0</v>
      </c>
    </row>
    <row r="3214" spans="1:5" x14ac:dyDescent="0.3">
      <c r="A3214" s="7">
        <v>1002153</v>
      </c>
      <c r="B3214" s="15" t="s">
        <v>3210</v>
      </c>
      <c r="C3214" s="14">
        <v>0</v>
      </c>
      <c r="D3214" s="14">
        <v>0</v>
      </c>
      <c r="E3214" s="14">
        <f t="shared" si="50"/>
        <v>0</v>
      </c>
    </row>
    <row r="3215" spans="1:5" x14ac:dyDescent="0.3">
      <c r="A3215" s="7">
        <v>1002154</v>
      </c>
      <c r="B3215" s="15" t="s">
        <v>3211</v>
      </c>
      <c r="C3215" s="14">
        <v>0</v>
      </c>
      <c r="D3215" s="14">
        <v>0</v>
      </c>
      <c r="E3215" s="14">
        <f t="shared" si="50"/>
        <v>0</v>
      </c>
    </row>
    <row r="3216" spans="1:5" x14ac:dyDescent="0.3">
      <c r="A3216" s="7">
        <v>1002157</v>
      </c>
      <c r="B3216" s="15" t="s">
        <v>3212</v>
      </c>
      <c r="C3216" s="14">
        <v>0</v>
      </c>
      <c r="D3216" s="14">
        <v>0</v>
      </c>
      <c r="E3216" s="14">
        <f t="shared" si="50"/>
        <v>0</v>
      </c>
    </row>
    <row r="3217" spans="1:5" x14ac:dyDescent="0.3">
      <c r="A3217" s="7">
        <v>1002160</v>
      </c>
      <c r="B3217" s="15" t="s">
        <v>3213</v>
      </c>
      <c r="C3217" s="14">
        <v>0</v>
      </c>
      <c r="D3217" s="14">
        <v>0</v>
      </c>
      <c r="E3217" s="14">
        <f t="shared" si="50"/>
        <v>0</v>
      </c>
    </row>
    <row r="3218" spans="1:5" x14ac:dyDescent="0.3">
      <c r="A3218" s="7">
        <v>1002161</v>
      </c>
      <c r="B3218" s="15" t="s">
        <v>3214</v>
      </c>
      <c r="C3218" s="14">
        <v>0</v>
      </c>
      <c r="D3218" s="14">
        <v>0</v>
      </c>
      <c r="E3218" s="14">
        <f t="shared" si="50"/>
        <v>0</v>
      </c>
    </row>
    <row r="3219" spans="1:5" x14ac:dyDescent="0.3">
      <c r="A3219" s="7">
        <v>1002162</v>
      </c>
      <c r="B3219" s="15" t="s">
        <v>3215</v>
      </c>
      <c r="C3219" s="14">
        <v>0</v>
      </c>
      <c r="D3219" s="14">
        <v>0</v>
      </c>
      <c r="E3219" s="14">
        <f t="shared" si="50"/>
        <v>0</v>
      </c>
    </row>
    <row r="3220" spans="1:5" x14ac:dyDescent="0.3">
      <c r="A3220" s="7">
        <v>1002163</v>
      </c>
      <c r="B3220" s="15" t="s">
        <v>3216</v>
      </c>
      <c r="C3220" s="14">
        <v>0</v>
      </c>
      <c r="D3220" s="14">
        <v>0</v>
      </c>
      <c r="E3220" s="14">
        <f t="shared" si="50"/>
        <v>0</v>
      </c>
    </row>
    <row r="3221" spans="1:5" x14ac:dyDescent="0.3">
      <c r="A3221" s="7">
        <v>1002164</v>
      </c>
      <c r="B3221" s="15" t="s">
        <v>3217</v>
      </c>
      <c r="C3221" s="14">
        <v>0</v>
      </c>
      <c r="D3221" s="14">
        <v>0</v>
      </c>
      <c r="E3221" s="14">
        <f t="shared" si="50"/>
        <v>0</v>
      </c>
    </row>
    <row r="3222" spans="1:5" x14ac:dyDescent="0.3">
      <c r="A3222" s="7">
        <v>1002165</v>
      </c>
      <c r="B3222" s="15" t="s">
        <v>3218</v>
      </c>
      <c r="C3222" s="14">
        <v>0</v>
      </c>
      <c r="D3222" s="14">
        <v>0</v>
      </c>
      <c r="E3222" s="14">
        <f t="shared" si="50"/>
        <v>0</v>
      </c>
    </row>
    <row r="3223" spans="1:5" x14ac:dyDescent="0.3">
      <c r="A3223" s="7">
        <v>1002166</v>
      </c>
      <c r="B3223" s="15" t="s">
        <v>3219</v>
      </c>
      <c r="C3223" s="14">
        <v>0</v>
      </c>
      <c r="D3223" s="14">
        <v>0</v>
      </c>
      <c r="E3223" s="14">
        <f t="shared" si="50"/>
        <v>0</v>
      </c>
    </row>
    <row r="3224" spans="1:5" x14ac:dyDescent="0.3">
      <c r="A3224" s="7">
        <v>1002167</v>
      </c>
      <c r="B3224" s="15" t="s">
        <v>3220</v>
      </c>
      <c r="C3224" s="14">
        <v>0</v>
      </c>
      <c r="D3224" s="14">
        <v>0</v>
      </c>
      <c r="E3224" s="14">
        <f t="shared" si="50"/>
        <v>0</v>
      </c>
    </row>
    <row r="3225" spans="1:5" x14ac:dyDescent="0.3">
      <c r="A3225" s="7">
        <v>1002168</v>
      </c>
      <c r="B3225" s="15" t="s">
        <v>3221</v>
      </c>
      <c r="C3225" s="14">
        <v>0</v>
      </c>
      <c r="D3225" s="14">
        <v>0</v>
      </c>
      <c r="E3225" s="14">
        <f t="shared" si="50"/>
        <v>0</v>
      </c>
    </row>
    <row r="3226" spans="1:5" x14ac:dyDescent="0.3">
      <c r="A3226" s="7">
        <v>1002169</v>
      </c>
      <c r="B3226" s="15" t="s">
        <v>3222</v>
      </c>
      <c r="C3226" s="14">
        <v>0</v>
      </c>
      <c r="D3226" s="14">
        <v>0</v>
      </c>
      <c r="E3226" s="14">
        <f t="shared" si="50"/>
        <v>0</v>
      </c>
    </row>
    <row r="3227" spans="1:5" x14ac:dyDescent="0.3">
      <c r="A3227" s="7">
        <v>1002170</v>
      </c>
      <c r="B3227" s="15" t="s">
        <v>3223</v>
      </c>
      <c r="C3227" s="14">
        <v>0</v>
      </c>
      <c r="D3227" s="14">
        <v>0</v>
      </c>
      <c r="E3227" s="14">
        <f t="shared" si="50"/>
        <v>0</v>
      </c>
    </row>
    <row r="3228" spans="1:5" x14ac:dyDescent="0.3">
      <c r="A3228" s="7">
        <v>1002173</v>
      </c>
      <c r="B3228" s="15" t="s">
        <v>3224</v>
      </c>
      <c r="C3228" s="14">
        <v>0</v>
      </c>
      <c r="D3228" s="14">
        <v>0</v>
      </c>
      <c r="E3228" s="14">
        <f t="shared" si="50"/>
        <v>0</v>
      </c>
    </row>
    <row r="3229" spans="1:5" x14ac:dyDescent="0.3">
      <c r="A3229" s="7">
        <v>1002175</v>
      </c>
      <c r="B3229" s="15" t="s">
        <v>3225</v>
      </c>
      <c r="C3229" s="14">
        <v>0</v>
      </c>
      <c r="D3229" s="14">
        <v>0</v>
      </c>
      <c r="E3229" s="14">
        <f t="shared" si="50"/>
        <v>0</v>
      </c>
    </row>
    <row r="3230" spans="1:5" x14ac:dyDescent="0.3">
      <c r="A3230" s="7">
        <v>1002176</v>
      </c>
      <c r="B3230" s="15" t="s">
        <v>3226</v>
      </c>
      <c r="C3230" s="14">
        <v>0</v>
      </c>
      <c r="D3230" s="14">
        <v>0</v>
      </c>
      <c r="E3230" s="14">
        <f t="shared" si="50"/>
        <v>0</v>
      </c>
    </row>
    <row r="3231" spans="1:5" x14ac:dyDescent="0.3">
      <c r="A3231" s="7">
        <v>1002177</v>
      </c>
      <c r="B3231" s="15" t="s">
        <v>3227</v>
      </c>
      <c r="C3231" s="14">
        <v>0</v>
      </c>
      <c r="D3231" s="14">
        <v>0</v>
      </c>
      <c r="E3231" s="14">
        <f t="shared" si="50"/>
        <v>0</v>
      </c>
    </row>
    <row r="3232" spans="1:5" x14ac:dyDescent="0.3">
      <c r="A3232" s="7">
        <v>1002178</v>
      </c>
      <c r="B3232" s="15" t="s">
        <v>3228</v>
      </c>
      <c r="C3232" s="14">
        <v>0</v>
      </c>
      <c r="D3232" s="14">
        <v>0</v>
      </c>
      <c r="E3232" s="14">
        <f t="shared" si="50"/>
        <v>0</v>
      </c>
    </row>
    <row r="3233" spans="1:5" x14ac:dyDescent="0.3">
      <c r="A3233" s="7">
        <v>1002179</v>
      </c>
      <c r="B3233" s="15" t="s">
        <v>3229</v>
      </c>
      <c r="C3233" s="14">
        <v>0</v>
      </c>
      <c r="D3233" s="14">
        <v>0</v>
      </c>
      <c r="E3233" s="14">
        <f t="shared" ref="E3233:E3296" si="51">+MAX(C3233, D3233)</f>
        <v>0</v>
      </c>
    </row>
    <row r="3234" spans="1:5" x14ac:dyDescent="0.3">
      <c r="A3234" s="7">
        <v>1002180</v>
      </c>
      <c r="B3234" s="15" t="s">
        <v>3230</v>
      </c>
      <c r="C3234" s="14">
        <v>0</v>
      </c>
      <c r="D3234" s="14">
        <v>0</v>
      </c>
      <c r="E3234" s="14">
        <f t="shared" si="51"/>
        <v>0</v>
      </c>
    </row>
    <row r="3235" spans="1:5" x14ac:dyDescent="0.3">
      <c r="A3235" s="7">
        <v>1002181</v>
      </c>
      <c r="B3235" s="15" t="s">
        <v>3231</v>
      </c>
      <c r="C3235" s="14">
        <v>0</v>
      </c>
      <c r="D3235" s="14">
        <v>0</v>
      </c>
      <c r="E3235" s="14">
        <f t="shared" si="51"/>
        <v>0</v>
      </c>
    </row>
    <row r="3236" spans="1:5" x14ac:dyDescent="0.3">
      <c r="A3236" s="7">
        <v>1002188</v>
      </c>
      <c r="B3236" s="15" t="s">
        <v>3232</v>
      </c>
      <c r="C3236" s="14">
        <v>0</v>
      </c>
      <c r="D3236" s="14">
        <v>0</v>
      </c>
      <c r="E3236" s="14">
        <f t="shared" si="51"/>
        <v>0</v>
      </c>
    </row>
    <row r="3237" spans="1:5" x14ac:dyDescent="0.3">
      <c r="A3237" s="7">
        <v>1002189</v>
      </c>
      <c r="B3237" s="15" t="s">
        <v>3233</v>
      </c>
      <c r="C3237" s="14">
        <v>0</v>
      </c>
      <c r="D3237" s="14">
        <v>0</v>
      </c>
      <c r="E3237" s="14">
        <f t="shared" si="51"/>
        <v>0</v>
      </c>
    </row>
    <row r="3238" spans="1:5" x14ac:dyDescent="0.3">
      <c r="A3238" s="7">
        <v>1002193</v>
      </c>
      <c r="B3238" s="15" t="s">
        <v>3234</v>
      </c>
      <c r="C3238" s="14">
        <v>0</v>
      </c>
      <c r="D3238" s="14">
        <v>0</v>
      </c>
      <c r="E3238" s="14">
        <f t="shared" si="51"/>
        <v>0</v>
      </c>
    </row>
    <row r="3239" spans="1:5" x14ac:dyDescent="0.3">
      <c r="A3239" s="7">
        <v>1002202</v>
      </c>
      <c r="B3239" s="15" t="s">
        <v>3235</v>
      </c>
      <c r="C3239" s="14">
        <v>0</v>
      </c>
      <c r="D3239" s="14">
        <v>0</v>
      </c>
      <c r="E3239" s="14">
        <f t="shared" si="51"/>
        <v>0</v>
      </c>
    </row>
    <row r="3240" spans="1:5" x14ac:dyDescent="0.3">
      <c r="A3240" s="7">
        <v>1002206</v>
      </c>
      <c r="B3240" s="15" t="s">
        <v>3236</v>
      </c>
      <c r="C3240" s="14">
        <v>0</v>
      </c>
      <c r="D3240" s="14">
        <v>0</v>
      </c>
      <c r="E3240" s="14">
        <f t="shared" si="51"/>
        <v>0</v>
      </c>
    </row>
    <row r="3241" spans="1:5" x14ac:dyDescent="0.3">
      <c r="A3241" s="7">
        <v>1002208</v>
      </c>
      <c r="B3241" s="15" t="s">
        <v>3237</v>
      </c>
      <c r="C3241" s="14">
        <v>0</v>
      </c>
      <c r="D3241" s="14">
        <v>0</v>
      </c>
      <c r="E3241" s="14">
        <f t="shared" si="51"/>
        <v>0</v>
      </c>
    </row>
    <row r="3242" spans="1:5" x14ac:dyDescent="0.3">
      <c r="A3242" s="7">
        <v>1002210</v>
      </c>
      <c r="B3242" s="15" t="s">
        <v>3238</v>
      </c>
      <c r="C3242" s="14">
        <v>0</v>
      </c>
      <c r="D3242" s="14">
        <v>0</v>
      </c>
      <c r="E3242" s="14">
        <f t="shared" si="51"/>
        <v>0</v>
      </c>
    </row>
    <row r="3243" spans="1:5" x14ac:dyDescent="0.3">
      <c r="A3243" s="7">
        <v>1002211</v>
      </c>
      <c r="B3243" s="15" t="s">
        <v>3239</v>
      </c>
      <c r="C3243" s="14">
        <v>0</v>
      </c>
      <c r="D3243" s="14">
        <v>0</v>
      </c>
      <c r="E3243" s="14">
        <f t="shared" si="51"/>
        <v>0</v>
      </c>
    </row>
    <row r="3244" spans="1:5" x14ac:dyDescent="0.3">
      <c r="A3244" s="7">
        <v>1002212</v>
      </c>
      <c r="B3244" s="15" t="s">
        <v>3240</v>
      </c>
      <c r="C3244" s="14">
        <v>0</v>
      </c>
      <c r="D3244" s="14">
        <v>0</v>
      </c>
      <c r="E3244" s="14">
        <f t="shared" si="51"/>
        <v>0</v>
      </c>
    </row>
    <row r="3245" spans="1:5" x14ac:dyDescent="0.3">
      <c r="A3245" s="7">
        <v>1002213</v>
      </c>
      <c r="B3245" s="15" t="s">
        <v>3241</v>
      </c>
      <c r="C3245" s="14">
        <v>0</v>
      </c>
      <c r="D3245" s="14">
        <v>0</v>
      </c>
      <c r="E3245" s="14">
        <f t="shared" si="51"/>
        <v>0</v>
      </c>
    </row>
    <row r="3246" spans="1:5" x14ac:dyDescent="0.3">
      <c r="A3246" s="7">
        <v>1002214</v>
      </c>
      <c r="B3246" s="15" t="s">
        <v>3242</v>
      </c>
      <c r="C3246" s="14">
        <v>0</v>
      </c>
      <c r="D3246" s="14">
        <v>0</v>
      </c>
      <c r="E3246" s="14">
        <f t="shared" si="51"/>
        <v>0</v>
      </c>
    </row>
    <row r="3247" spans="1:5" x14ac:dyDescent="0.3">
      <c r="A3247" s="7">
        <v>1002215</v>
      </c>
      <c r="B3247" s="15" t="s">
        <v>3243</v>
      </c>
      <c r="C3247" s="14">
        <v>0</v>
      </c>
      <c r="D3247" s="14">
        <v>0</v>
      </c>
      <c r="E3247" s="14">
        <f t="shared" si="51"/>
        <v>0</v>
      </c>
    </row>
    <row r="3248" spans="1:5" x14ac:dyDescent="0.3">
      <c r="A3248" s="7">
        <v>1002219</v>
      </c>
      <c r="B3248" s="15" t="s">
        <v>3244</v>
      </c>
      <c r="C3248" s="14">
        <v>0</v>
      </c>
      <c r="D3248" s="14">
        <v>0</v>
      </c>
      <c r="E3248" s="14">
        <f t="shared" si="51"/>
        <v>0</v>
      </c>
    </row>
    <row r="3249" spans="1:5" x14ac:dyDescent="0.3">
      <c r="A3249" s="7">
        <v>1002220</v>
      </c>
      <c r="B3249" s="15" t="s">
        <v>3245</v>
      </c>
      <c r="C3249" s="14">
        <v>0</v>
      </c>
      <c r="D3249" s="14">
        <v>0</v>
      </c>
      <c r="E3249" s="14">
        <f t="shared" si="51"/>
        <v>0</v>
      </c>
    </row>
    <row r="3250" spans="1:5" x14ac:dyDescent="0.3">
      <c r="A3250" s="7">
        <v>1002221</v>
      </c>
      <c r="B3250" s="15" t="s">
        <v>3246</v>
      </c>
      <c r="C3250" s="14">
        <v>0</v>
      </c>
      <c r="D3250" s="14">
        <v>0</v>
      </c>
      <c r="E3250" s="14">
        <f t="shared" si="51"/>
        <v>0</v>
      </c>
    </row>
    <row r="3251" spans="1:5" x14ac:dyDescent="0.3">
      <c r="A3251" s="7">
        <v>1002226</v>
      </c>
      <c r="B3251" s="15" t="s">
        <v>3247</v>
      </c>
      <c r="C3251" s="14">
        <v>0</v>
      </c>
      <c r="D3251" s="14">
        <v>0</v>
      </c>
      <c r="E3251" s="14">
        <f t="shared" si="51"/>
        <v>0</v>
      </c>
    </row>
    <row r="3252" spans="1:5" x14ac:dyDescent="0.3">
      <c r="A3252" s="7">
        <v>1002227</v>
      </c>
      <c r="B3252" s="15" t="s">
        <v>3248</v>
      </c>
      <c r="C3252" s="14">
        <v>0</v>
      </c>
      <c r="D3252" s="14">
        <v>0</v>
      </c>
      <c r="E3252" s="14">
        <f t="shared" si="51"/>
        <v>0</v>
      </c>
    </row>
    <row r="3253" spans="1:5" x14ac:dyDescent="0.3">
      <c r="A3253" s="7">
        <v>1002234</v>
      </c>
      <c r="B3253" s="15" t="s">
        <v>3249</v>
      </c>
      <c r="C3253" s="14">
        <v>0</v>
      </c>
      <c r="D3253" s="14">
        <v>0</v>
      </c>
      <c r="E3253" s="14">
        <f t="shared" si="51"/>
        <v>0</v>
      </c>
    </row>
    <row r="3254" spans="1:5" x14ac:dyDescent="0.3">
      <c r="A3254" s="7">
        <v>1002240</v>
      </c>
      <c r="B3254" s="15" t="s">
        <v>3250</v>
      </c>
      <c r="C3254" s="14">
        <v>0</v>
      </c>
      <c r="D3254" s="14">
        <v>0</v>
      </c>
      <c r="E3254" s="14">
        <f t="shared" si="51"/>
        <v>0</v>
      </c>
    </row>
    <row r="3255" spans="1:5" x14ac:dyDescent="0.3">
      <c r="A3255" s="7">
        <v>1002242</v>
      </c>
      <c r="B3255" s="15" t="s">
        <v>3251</v>
      </c>
      <c r="C3255" s="14">
        <v>0</v>
      </c>
      <c r="D3255" s="14">
        <v>0</v>
      </c>
      <c r="E3255" s="14">
        <f t="shared" si="51"/>
        <v>0</v>
      </c>
    </row>
    <row r="3256" spans="1:5" x14ac:dyDescent="0.3">
      <c r="A3256" s="7">
        <v>1002244</v>
      </c>
      <c r="B3256" s="15" t="s">
        <v>3252</v>
      </c>
      <c r="C3256" s="14">
        <v>0</v>
      </c>
      <c r="D3256" s="14">
        <v>0</v>
      </c>
      <c r="E3256" s="14">
        <f t="shared" si="51"/>
        <v>0</v>
      </c>
    </row>
    <row r="3257" spans="1:5" x14ac:dyDescent="0.3">
      <c r="A3257" s="7">
        <v>1002245</v>
      </c>
      <c r="B3257" s="15" t="s">
        <v>3253</v>
      </c>
      <c r="C3257" s="14">
        <v>0</v>
      </c>
      <c r="D3257" s="14">
        <v>0</v>
      </c>
      <c r="E3257" s="14">
        <f t="shared" si="51"/>
        <v>0</v>
      </c>
    </row>
    <row r="3258" spans="1:5" x14ac:dyDescent="0.3">
      <c r="A3258" s="7">
        <v>1002246</v>
      </c>
      <c r="B3258" s="15" t="s">
        <v>3254</v>
      </c>
      <c r="C3258" s="14">
        <v>0</v>
      </c>
      <c r="D3258" s="14">
        <v>0</v>
      </c>
      <c r="E3258" s="14">
        <f t="shared" si="51"/>
        <v>0</v>
      </c>
    </row>
    <row r="3259" spans="1:5" x14ac:dyDescent="0.3">
      <c r="A3259" s="7">
        <v>1002248</v>
      </c>
      <c r="B3259" s="15" t="s">
        <v>3255</v>
      </c>
      <c r="C3259" s="14">
        <v>0</v>
      </c>
      <c r="D3259" s="14">
        <v>0</v>
      </c>
      <c r="E3259" s="14">
        <f t="shared" si="51"/>
        <v>0</v>
      </c>
    </row>
    <row r="3260" spans="1:5" x14ac:dyDescent="0.3">
      <c r="A3260" s="7">
        <v>1002249</v>
      </c>
      <c r="B3260" s="15" t="s">
        <v>3256</v>
      </c>
      <c r="C3260" s="14">
        <v>0</v>
      </c>
      <c r="D3260" s="14">
        <v>0</v>
      </c>
      <c r="E3260" s="14">
        <f t="shared" si="51"/>
        <v>0</v>
      </c>
    </row>
    <row r="3261" spans="1:5" x14ac:dyDescent="0.3">
      <c r="A3261" s="7">
        <v>1002252</v>
      </c>
      <c r="B3261" s="15" t="s">
        <v>3257</v>
      </c>
      <c r="C3261" s="14">
        <v>0</v>
      </c>
      <c r="D3261" s="14">
        <v>0</v>
      </c>
      <c r="E3261" s="14">
        <f t="shared" si="51"/>
        <v>0</v>
      </c>
    </row>
    <row r="3262" spans="1:5" x14ac:dyDescent="0.3">
      <c r="A3262" s="7">
        <v>1002253</v>
      </c>
      <c r="B3262" s="15" t="s">
        <v>3258</v>
      </c>
      <c r="C3262" s="14">
        <v>0</v>
      </c>
      <c r="D3262" s="14">
        <v>0</v>
      </c>
      <c r="E3262" s="14">
        <f t="shared" si="51"/>
        <v>0</v>
      </c>
    </row>
    <row r="3263" spans="1:5" x14ac:dyDescent="0.3">
      <c r="A3263" s="7">
        <v>1002254</v>
      </c>
      <c r="B3263" s="15" t="s">
        <v>3259</v>
      </c>
      <c r="C3263" s="14">
        <v>0</v>
      </c>
      <c r="D3263" s="14">
        <v>0</v>
      </c>
      <c r="E3263" s="14">
        <f t="shared" si="51"/>
        <v>0</v>
      </c>
    </row>
    <row r="3264" spans="1:5" x14ac:dyDescent="0.3">
      <c r="A3264" s="7">
        <v>1002255</v>
      </c>
      <c r="B3264" s="15" t="s">
        <v>3260</v>
      </c>
      <c r="C3264" s="14">
        <v>0</v>
      </c>
      <c r="D3264" s="14">
        <v>0</v>
      </c>
      <c r="E3264" s="14">
        <f t="shared" si="51"/>
        <v>0</v>
      </c>
    </row>
    <row r="3265" spans="1:5" x14ac:dyDescent="0.3">
      <c r="A3265" s="7">
        <v>1002256</v>
      </c>
      <c r="B3265" s="15" t="s">
        <v>3261</v>
      </c>
      <c r="C3265" s="14">
        <v>0</v>
      </c>
      <c r="D3265" s="14">
        <v>0</v>
      </c>
      <c r="E3265" s="14">
        <f t="shared" si="51"/>
        <v>0</v>
      </c>
    </row>
    <row r="3266" spans="1:5" x14ac:dyDescent="0.3">
      <c r="A3266" s="7">
        <v>1002259</v>
      </c>
      <c r="B3266" s="15" t="s">
        <v>3262</v>
      </c>
      <c r="C3266" s="14">
        <v>0</v>
      </c>
      <c r="D3266" s="14">
        <v>0</v>
      </c>
      <c r="E3266" s="14">
        <f t="shared" si="51"/>
        <v>0</v>
      </c>
    </row>
    <row r="3267" spans="1:5" x14ac:dyDescent="0.3">
      <c r="A3267" s="7">
        <v>1002260</v>
      </c>
      <c r="B3267" s="15" t="s">
        <v>3263</v>
      </c>
      <c r="C3267" s="14">
        <v>0</v>
      </c>
      <c r="D3267" s="14">
        <v>0</v>
      </c>
      <c r="E3267" s="14">
        <f t="shared" si="51"/>
        <v>0</v>
      </c>
    </row>
    <row r="3268" spans="1:5" x14ac:dyDescent="0.3">
      <c r="A3268" s="7">
        <v>1002261</v>
      </c>
      <c r="B3268" s="15" t="s">
        <v>3264</v>
      </c>
      <c r="C3268" s="14">
        <v>0</v>
      </c>
      <c r="D3268" s="14">
        <v>0</v>
      </c>
      <c r="E3268" s="14">
        <f t="shared" si="51"/>
        <v>0</v>
      </c>
    </row>
    <row r="3269" spans="1:5" x14ac:dyDescent="0.3">
      <c r="A3269" s="7">
        <v>1002263</v>
      </c>
      <c r="B3269" s="15" t="s">
        <v>3265</v>
      </c>
      <c r="C3269" s="14">
        <v>0</v>
      </c>
      <c r="D3269" s="14">
        <v>0</v>
      </c>
      <c r="E3269" s="14">
        <f t="shared" si="51"/>
        <v>0</v>
      </c>
    </row>
    <row r="3270" spans="1:5" x14ac:dyDescent="0.3">
      <c r="A3270" s="7">
        <v>1002264</v>
      </c>
      <c r="B3270" s="15" t="s">
        <v>3266</v>
      </c>
      <c r="C3270" s="14">
        <v>0</v>
      </c>
      <c r="D3270" s="14">
        <v>0</v>
      </c>
      <c r="E3270" s="14">
        <f t="shared" si="51"/>
        <v>0</v>
      </c>
    </row>
    <row r="3271" spans="1:5" x14ac:dyDescent="0.3">
      <c r="A3271" s="7">
        <v>1002266</v>
      </c>
      <c r="B3271" s="15" t="s">
        <v>3267</v>
      </c>
      <c r="C3271" s="14">
        <v>0</v>
      </c>
      <c r="D3271" s="14">
        <v>0</v>
      </c>
      <c r="E3271" s="14">
        <f t="shared" si="51"/>
        <v>0</v>
      </c>
    </row>
    <row r="3272" spans="1:5" x14ac:dyDescent="0.3">
      <c r="A3272" s="7">
        <v>1002268</v>
      </c>
      <c r="B3272" s="15" t="s">
        <v>3268</v>
      </c>
      <c r="C3272" s="14">
        <v>0</v>
      </c>
      <c r="D3272" s="14">
        <v>0</v>
      </c>
      <c r="E3272" s="14">
        <f t="shared" si="51"/>
        <v>0</v>
      </c>
    </row>
    <row r="3273" spans="1:5" x14ac:dyDescent="0.3">
      <c r="A3273" s="7">
        <v>1002273</v>
      </c>
      <c r="B3273" s="15" t="s">
        <v>3269</v>
      </c>
      <c r="C3273" s="14">
        <v>0</v>
      </c>
      <c r="D3273" s="14">
        <v>0</v>
      </c>
      <c r="E3273" s="14">
        <f t="shared" si="51"/>
        <v>0</v>
      </c>
    </row>
    <row r="3274" spans="1:5" x14ac:dyDescent="0.3">
      <c r="A3274" s="7">
        <v>1002277</v>
      </c>
      <c r="B3274" s="15" t="s">
        <v>3270</v>
      </c>
      <c r="C3274" s="14">
        <v>0</v>
      </c>
      <c r="D3274" s="14">
        <v>0</v>
      </c>
      <c r="E3274" s="14">
        <f t="shared" si="51"/>
        <v>0</v>
      </c>
    </row>
    <row r="3275" spans="1:5" x14ac:dyDescent="0.3">
      <c r="A3275" s="7">
        <v>1002278</v>
      </c>
      <c r="B3275" s="15" t="s">
        <v>3271</v>
      </c>
      <c r="C3275" s="14">
        <v>0</v>
      </c>
      <c r="D3275" s="14">
        <v>0</v>
      </c>
      <c r="E3275" s="14">
        <f t="shared" si="51"/>
        <v>0</v>
      </c>
    </row>
    <row r="3276" spans="1:5" x14ac:dyDescent="0.3">
      <c r="A3276" s="7">
        <v>1002279</v>
      </c>
      <c r="B3276" s="15" t="s">
        <v>3272</v>
      </c>
      <c r="C3276" s="14">
        <v>0</v>
      </c>
      <c r="D3276" s="14">
        <v>0</v>
      </c>
      <c r="E3276" s="14">
        <f t="shared" si="51"/>
        <v>0</v>
      </c>
    </row>
    <row r="3277" spans="1:5" x14ac:dyDescent="0.3">
      <c r="A3277" s="7">
        <v>1002280</v>
      </c>
      <c r="B3277" s="15" t="s">
        <v>3273</v>
      </c>
      <c r="C3277" s="14">
        <v>0</v>
      </c>
      <c r="D3277" s="14">
        <v>0</v>
      </c>
      <c r="E3277" s="14">
        <f t="shared" si="51"/>
        <v>0</v>
      </c>
    </row>
    <row r="3278" spans="1:5" x14ac:dyDescent="0.3">
      <c r="A3278" s="7">
        <v>1002281</v>
      </c>
      <c r="B3278" s="15" t="s">
        <v>3274</v>
      </c>
      <c r="C3278" s="14">
        <v>0</v>
      </c>
      <c r="D3278" s="14">
        <v>0</v>
      </c>
      <c r="E3278" s="14">
        <f t="shared" si="51"/>
        <v>0</v>
      </c>
    </row>
    <row r="3279" spans="1:5" x14ac:dyDescent="0.3">
      <c r="A3279" s="7">
        <v>1002289</v>
      </c>
      <c r="B3279" s="15" t="s">
        <v>3275</v>
      </c>
      <c r="C3279" s="14">
        <v>0</v>
      </c>
      <c r="D3279" s="14">
        <v>0</v>
      </c>
      <c r="E3279" s="14">
        <f t="shared" si="51"/>
        <v>0</v>
      </c>
    </row>
    <row r="3280" spans="1:5" x14ac:dyDescent="0.3">
      <c r="A3280" s="7">
        <v>1002292</v>
      </c>
      <c r="B3280" s="15" t="s">
        <v>3276</v>
      </c>
      <c r="C3280" s="14">
        <v>0</v>
      </c>
      <c r="D3280" s="14">
        <v>0</v>
      </c>
      <c r="E3280" s="14">
        <f t="shared" si="51"/>
        <v>0</v>
      </c>
    </row>
    <row r="3281" spans="1:5" x14ac:dyDescent="0.3">
      <c r="A3281" s="7">
        <v>1002293</v>
      </c>
      <c r="B3281" s="15" t="s">
        <v>3277</v>
      </c>
      <c r="C3281" s="14">
        <v>0</v>
      </c>
      <c r="D3281" s="14">
        <v>0</v>
      </c>
      <c r="E3281" s="14">
        <f t="shared" si="51"/>
        <v>0</v>
      </c>
    </row>
    <row r="3282" spans="1:5" x14ac:dyDescent="0.3">
      <c r="A3282" s="7">
        <v>1002296</v>
      </c>
      <c r="B3282" s="15" t="s">
        <v>3278</v>
      </c>
      <c r="C3282" s="14">
        <v>0</v>
      </c>
      <c r="D3282" s="14">
        <v>0</v>
      </c>
      <c r="E3282" s="14">
        <f t="shared" si="51"/>
        <v>0</v>
      </c>
    </row>
    <row r="3283" spans="1:5" x14ac:dyDescent="0.3">
      <c r="A3283" s="7">
        <v>1002297</v>
      </c>
      <c r="B3283" s="15" t="s">
        <v>3279</v>
      </c>
      <c r="C3283" s="14">
        <v>0</v>
      </c>
      <c r="D3283" s="14">
        <v>0</v>
      </c>
      <c r="E3283" s="14">
        <f t="shared" si="51"/>
        <v>0</v>
      </c>
    </row>
    <row r="3284" spans="1:5" x14ac:dyDescent="0.3">
      <c r="A3284" s="7">
        <v>1002302</v>
      </c>
      <c r="B3284" s="15" t="s">
        <v>3280</v>
      </c>
      <c r="C3284" s="14">
        <v>0</v>
      </c>
      <c r="D3284" s="14">
        <v>0</v>
      </c>
      <c r="E3284" s="14">
        <f t="shared" si="51"/>
        <v>0</v>
      </c>
    </row>
    <row r="3285" spans="1:5" x14ac:dyDescent="0.3">
      <c r="A3285" s="7">
        <v>1002304</v>
      </c>
      <c r="B3285" s="15" t="s">
        <v>3281</v>
      </c>
      <c r="C3285" s="14">
        <v>0</v>
      </c>
      <c r="D3285" s="14">
        <v>0</v>
      </c>
      <c r="E3285" s="14">
        <f t="shared" si="51"/>
        <v>0</v>
      </c>
    </row>
    <row r="3286" spans="1:5" x14ac:dyDescent="0.3">
      <c r="A3286" s="7">
        <v>1002309</v>
      </c>
      <c r="B3286" s="15" t="s">
        <v>3282</v>
      </c>
      <c r="C3286" s="14">
        <v>0</v>
      </c>
      <c r="D3286" s="14">
        <v>0</v>
      </c>
      <c r="E3286" s="14">
        <f t="shared" si="51"/>
        <v>0</v>
      </c>
    </row>
    <row r="3287" spans="1:5" x14ac:dyDescent="0.3">
      <c r="A3287" s="7">
        <v>1002312</v>
      </c>
      <c r="B3287" s="15" t="s">
        <v>3283</v>
      </c>
      <c r="C3287" s="14">
        <v>0</v>
      </c>
      <c r="D3287" s="14">
        <v>0</v>
      </c>
      <c r="E3287" s="14">
        <f t="shared" si="51"/>
        <v>0</v>
      </c>
    </row>
    <row r="3288" spans="1:5" x14ac:dyDescent="0.3">
      <c r="A3288" s="7">
        <v>1002315</v>
      </c>
      <c r="B3288" s="15" t="s">
        <v>3284</v>
      </c>
      <c r="C3288" s="14">
        <v>0</v>
      </c>
      <c r="D3288" s="14">
        <v>0</v>
      </c>
      <c r="E3288" s="14">
        <f t="shared" si="51"/>
        <v>0</v>
      </c>
    </row>
    <row r="3289" spans="1:5" x14ac:dyDescent="0.3">
      <c r="A3289" s="7">
        <v>1002316</v>
      </c>
      <c r="B3289" s="15" t="s">
        <v>3285</v>
      </c>
      <c r="C3289" s="14">
        <v>0</v>
      </c>
      <c r="D3289" s="14">
        <v>0</v>
      </c>
      <c r="E3289" s="14">
        <f t="shared" si="51"/>
        <v>0</v>
      </c>
    </row>
    <row r="3290" spans="1:5" x14ac:dyDescent="0.3">
      <c r="A3290" s="7">
        <v>1002320</v>
      </c>
      <c r="B3290" s="15" t="s">
        <v>3286</v>
      </c>
      <c r="C3290" s="14">
        <v>0</v>
      </c>
      <c r="D3290" s="14">
        <v>0</v>
      </c>
      <c r="E3290" s="14">
        <f t="shared" si="51"/>
        <v>0</v>
      </c>
    </row>
    <row r="3291" spans="1:5" x14ac:dyDescent="0.3">
      <c r="A3291" s="7">
        <v>1002323</v>
      </c>
      <c r="B3291" s="15" t="s">
        <v>3287</v>
      </c>
      <c r="C3291" s="14">
        <v>0</v>
      </c>
      <c r="D3291" s="14">
        <v>0</v>
      </c>
      <c r="E3291" s="14">
        <f t="shared" si="51"/>
        <v>0</v>
      </c>
    </row>
    <row r="3292" spans="1:5" x14ac:dyDescent="0.3">
      <c r="A3292" s="7">
        <v>1002326</v>
      </c>
      <c r="B3292" s="15" t="s">
        <v>3288</v>
      </c>
      <c r="C3292" s="14">
        <v>0</v>
      </c>
      <c r="D3292" s="14">
        <v>0</v>
      </c>
      <c r="E3292" s="14">
        <f t="shared" si="51"/>
        <v>0</v>
      </c>
    </row>
    <row r="3293" spans="1:5" x14ac:dyDescent="0.3">
      <c r="A3293" s="7">
        <v>1002335</v>
      </c>
      <c r="B3293" s="15" t="s">
        <v>3289</v>
      </c>
      <c r="C3293" s="14">
        <v>0</v>
      </c>
      <c r="D3293" s="14">
        <v>0</v>
      </c>
      <c r="E3293" s="14">
        <f t="shared" si="51"/>
        <v>0</v>
      </c>
    </row>
    <row r="3294" spans="1:5" x14ac:dyDescent="0.3">
      <c r="A3294" s="7">
        <v>1002337</v>
      </c>
      <c r="B3294" s="15" t="s">
        <v>3290</v>
      </c>
      <c r="C3294" s="14">
        <v>0</v>
      </c>
      <c r="D3294" s="14">
        <v>0</v>
      </c>
      <c r="E3294" s="14">
        <f t="shared" si="51"/>
        <v>0</v>
      </c>
    </row>
    <row r="3295" spans="1:5" x14ac:dyDescent="0.3">
      <c r="A3295" s="7">
        <v>1002340</v>
      </c>
      <c r="B3295" s="15" t="s">
        <v>3291</v>
      </c>
      <c r="C3295" s="14">
        <v>0</v>
      </c>
      <c r="D3295" s="14">
        <v>0</v>
      </c>
      <c r="E3295" s="14">
        <f t="shared" si="51"/>
        <v>0</v>
      </c>
    </row>
    <row r="3296" spans="1:5" x14ac:dyDescent="0.3">
      <c r="A3296" s="7">
        <v>1002342</v>
      </c>
      <c r="B3296" s="15" t="s">
        <v>3292</v>
      </c>
      <c r="C3296" s="14">
        <v>0</v>
      </c>
      <c r="D3296" s="14">
        <v>0</v>
      </c>
      <c r="E3296" s="14">
        <f t="shared" si="51"/>
        <v>0</v>
      </c>
    </row>
    <row r="3297" spans="1:5" x14ac:dyDescent="0.3">
      <c r="A3297" s="7">
        <v>1002345</v>
      </c>
      <c r="B3297" s="15" t="s">
        <v>3293</v>
      </c>
      <c r="C3297" s="14">
        <v>0</v>
      </c>
      <c r="D3297" s="14">
        <v>0</v>
      </c>
      <c r="E3297" s="14">
        <f t="shared" ref="E3297:E3360" si="52">+MAX(C3297, D3297)</f>
        <v>0</v>
      </c>
    </row>
    <row r="3298" spans="1:5" x14ac:dyDescent="0.3">
      <c r="A3298" s="7">
        <v>1002351</v>
      </c>
      <c r="B3298" s="15" t="s">
        <v>3294</v>
      </c>
      <c r="C3298" s="14">
        <v>0</v>
      </c>
      <c r="D3298" s="14">
        <v>0</v>
      </c>
      <c r="E3298" s="14">
        <f t="shared" si="52"/>
        <v>0</v>
      </c>
    </row>
    <row r="3299" spans="1:5" x14ac:dyDescent="0.3">
      <c r="A3299" s="7">
        <v>1002352</v>
      </c>
      <c r="B3299" s="15" t="s">
        <v>3295</v>
      </c>
      <c r="C3299" s="14">
        <v>0</v>
      </c>
      <c r="D3299" s="14">
        <v>0</v>
      </c>
      <c r="E3299" s="14">
        <f t="shared" si="52"/>
        <v>0</v>
      </c>
    </row>
    <row r="3300" spans="1:5" x14ac:dyDescent="0.3">
      <c r="A3300" s="7">
        <v>1002353</v>
      </c>
      <c r="B3300" s="15" t="s">
        <v>3296</v>
      </c>
      <c r="C3300" s="14">
        <v>0</v>
      </c>
      <c r="D3300" s="14">
        <v>0</v>
      </c>
      <c r="E3300" s="14">
        <f t="shared" si="52"/>
        <v>0</v>
      </c>
    </row>
    <row r="3301" spans="1:5" x14ac:dyDescent="0.3">
      <c r="A3301" s="7">
        <v>1002354</v>
      </c>
      <c r="B3301" s="15" t="s">
        <v>3297</v>
      </c>
      <c r="C3301" s="14">
        <v>0</v>
      </c>
      <c r="D3301" s="14">
        <v>0</v>
      </c>
      <c r="E3301" s="14">
        <f t="shared" si="52"/>
        <v>0</v>
      </c>
    </row>
    <row r="3302" spans="1:5" x14ac:dyDescent="0.3">
      <c r="A3302" s="7">
        <v>1002356</v>
      </c>
      <c r="B3302" s="15" t="s">
        <v>3298</v>
      </c>
      <c r="C3302" s="14">
        <v>0</v>
      </c>
      <c r="D3302" s="14">
        <v>0</v>
      </c>
      <c r="E3302" s="14">
        <f t="shared" si="52"/>
        <v>0</v>
      </c>
    </row>
    <row r="3303" spans="1:5" x14ac:dyDescent="0.3">
      <c r="A3303" s="7">
        <v>1002357</v>
      </c>
      <c r="B3303" s="15" t="s">
        <v>3299</v>
      </c>
      <c r="C3303" s="14">
        <v>0</v>
      </c>
      <c r="D3303" s="14">
        <v>0</v>
      </c>
      <c r="E3303" s="14">
        <f t="shared" si="52"/>
        <v>0</v>
      </c>
    </row>
    <row r="3304" spans="1:5" x14ac:dyDescent="0.3">
      <c r="A3304" s="7">
        <v>1002358</v>
      </c>
      <c r="B3304" s="15" t="s">
        <v>3300</v>
      </c>
      <c r="C3304" s="14">
        <v>0</v>
      </c>
      <c r="D3304" s="14">
        <v>0</v>
      </c>
      <c r="E3304" s="14">
        <f t="shared" si="52"/>
        <v>0</v>
      </c>
    </row>
    <row r="3305" spans="1:5" x14ac:dyDescent="0.3">
      <c r="A3305" s="7">
        <v>1002359</v>
      </c>
      <c r="B3305" s="15" t="s">
        <v>3301</v>
      </c>
      <c r="C3305" s="14">
        <v>0</v>
      </c>
      <c r="D3305" s="14">
        <v>0</v>
      </c>
      <c r="E3305" s="14">
        <f t="shared" si="52"/>
        <v>0</v>
      </c>
    </row>
    <row r="3306" spans="1:5" x14ac:dyDescent="0.3">
      <c r="A3306" s="7">
        <v>1002360</v>
      </c>
      <c r="B3306" s="15" t="s">
        <v>3302</v>
      </c>
      <c r="C3306" s="14">
        <v>0</v>
      </c>
      <c r="D3306" s="14">
        <v>0</v>
      </c>
      <c r="E3306" s="14">
        <f t="shared" si="52"/>
        <v>0</v>
      </c>
    </row>
    <row r="3307" spans="1:5" x14ac:dyDescent="0.3">
      <c r="A3307" s="7">
        <v>1002361</v>
      </c>
      <c r="B3307" s="15" t="s">
        <v>3303</v>
      </c>
      <c r="C3307" s="14">
        <v>0</v>
      </c>
      <c r="D3307" s="14">
        <v>0</v>
      </c>
      <c r="E3307" s="14">
        <f t="shared" si="52"/>
        <v>0</v>
      </c>
    </row>
    <row r="3308" spans="1:5" x14ac:dyDescent="0.3">
      <c r="A3308" s="7">
        <v>1002362</v>
      </c>
      <c r="B3308" s="15" t="s">
        <v>3304</v>
      </c>
      <c r="C3308" s="14">
        <v>0</v>
      </c>
      <c r="D3308" s="14">
        <v>0</v>
      </c>
      <c r="E3308" s="14">
        <f t="shared" si="52"/>
        <v>0</v>
      </c>
    </row>
    <row r="3309" spans="1:5" x14ac:dyDescent="0.3">
      <c r="A3309" s="7">
        <v>1002363</v>
      </c>
      <c r="B3309" s="15" t="s">
        <v>3305</v>
      </c>
      <c r="C3309" s="14">
        <v>0</v>
      </c>
      <c r="D3309" s="14">
        <v>0</v>
      </c>
      <c r="E3309" s="14">
        <f t="shared" si="52"/>
        <v>0</v>
      </c>
    </row>
    <row r="3310" spans="1:5" x14ac:dyDescent="0.3">
      <c r="A3310" s="7">
        <v>1002364</v>
      </c>
      <c r="B3310" s="15" t="s">
        <v>3306</v>
      </c>
      <c r="C3310" s="14">
        <v>0</v>
      </c>
      <c r="D3310" s="14">
        <v>0</v>
      </c>
      <c r="E3310" s="14">
        <f t="shared" si="52"/>
        <v>0</v>
      </c>
    </row>
    <row r="3311" spans="1:5" x14ac:dyDescent="0.3">
      <c r="A3311" s="7">
        <v>1002365</v>
      </c>
      <c r="B3311" s="15" t="s">
        <v>3307</v>
      </c>
      <c r="C3311" s="14">
        <v>0</v>
      </c>
      <c r="D3311" s="14">
        <v>0</v>
      </c>
      <c r="E3311" s="14">
        <f t="shared" si="52"/>
        <v>0</v>
      </c>
    </row>
    <row r="3312" spans="1:5" x14ac:dyDescent="0.3">
      <c r="A3312" s="7">
        <v>1002366</v>
      </c>
      <c r="B3312" s="15" t="s">
        <v>3308</v>
      </c>
      <c r="C3312" s="14">
        <v>0</v>
      </c>
      <c r="D3312" s="14">
        <v>0</v>
      </c>
      <c r="E3312" s="14">
        <f t="shared" si="52"/>
        <v>0</v>
      </c>
    </row>
    <row r="3313" spans="1:5" x14ac:dyDescent="0.3">
      <c r="A3313" s="7">
        <v>1002367</v>
      </c>
      <c r="B3313" s="15" t="s">
        <v>3309</v>
      </c>
      <c r="C3313" s="14">
        <v>0</v>
      </c>
      <c r="D3313" s="14">
        <v>0</v>
      </c>
      <c r="E3313" s="14">
        <f t="shared" si="52"/>
        <v>0</v>
      </c>
    </row>
    <row r="3314" spans="1:5" x14ac:dyDescent="0.3">
      <c r="A3314" s="7">
        <v>1002368</v>
      </c>
      <c r="B3314" s="15" t="s">
        <v>3310</v>
      </c>
      <c r="C3314" s="14">
        <v>0</v>
      </c>
      <c r="D3314" s="14">
        <v>0</v>
      </c>
      <c r="E3314" s="14">
        <f t="shared" si="52"/>
        <v>0</v>
      </c>
    </row>
    <row r="3315" spans="1:5" x14ac:dyDescent="0.3">
      <c r="A3315" s="7">
        <v>1002369</v>
      </c>
      <c r="B3315" s="15" t="s">
        <v>3311</v>
      </c>
      <c r="C3315" s="14">
        <v>0</v>
      </c>
      <c r="D3315" s="14">
        <v>0</v>
      </c>
      <c r="E3315" s="14">
        <f t="shared" si="52"/>
        <v>0</v>
      </c>
    </row>
    <row r="3316" spans="1:5" x14ac:dyDescent="0.3">
      <c r="A3316" s="7">
        <v>1002370</v>
      </c>
      <c r="B3316" s="15" t="s">
        <v>3312</v>
      </c>
      <c r="C3316" s="14">
        <v>0</v>
      </c>
      <c r="D3316" s="14">
        <v>0</v>
      </c>
      <c r="E3316" s="14">
        <f t="shared" si="52"/>
        <v>0</v>
      </c>
    </row>
    <row r="3317" spans="1:5" x14ac:dyDescent="0.3">
      <c r="A3317" s="7">
        <v>1002371</v>
      </c>
      <c r="B3317" s="15" t="s">
        <v>3313</v>
      </c>
      <c r="C3317" s="14">
        <v>0</v>
      </c>
      <c r="D3317" s="14">
        <v>0</v>
      </c>
      <c r="E3317" s="14">
        <f t="shared" si="52"/>
        <v>0</v>
      </c>
    </row>
    <row r="3318" spans="1:5" x14ac:dyDescent="0.3">
      <c r="A3318" s="7">
        <v>1002374</v>
      </c>
      <c r="B3318" s="15" t="s">
        <v>3314</v>
      </c>
      <c r="C3318" s="14">
        <v>0</v>
      </c>
      <c r="D3318" s="14">
        <v>0</v>
      </c>
      <c r="E3318" s="14">
        <f t="shared" si="52"/>
        <v>0</v>
      </c>
    </row>
    <row r="3319" spans="1:5" x14ac:dyDescent="0.3">
      <c r="A3319" s="7">
        <v>1002376</v>
      </c>
      <c r="B3319" s="15" t="s">
        <v>3315</v>
      </c>
      <c r="C3319" s="14">
        <v>0</v>
      </c>
      <c r="D3319" s="14">
        <v>0</v>
      </c>
      <c r="E3319" s="14">
        <f t="shared" si="52"/>
        <v>0</v>
      </c>
    </row>
    <row r="3320" spans="1:5" x14ac:dyDescent="0.3">
      <c r="A3320" s="7">
        <v>1002378</v>
      </c>
      <c r="B3320" s="15" t="s">
        <v>3316</v>
      </c>
      <c r="C3320" s="14">
        <v>0</v>
      </c>
      <c r="D3320" s="14">
        <v>0</v>
      </c>
      <c r="E3320" s="14">
        <f t="shared" si="52"/>
        <v>0</v>
      </c>
    </row>
    <row r="3321" spans="1:5" x14ac:dyDescent="0.3">
      <c r="A3321" s="7">
        <v>1002379</v>
      </c>
      <c r="B3321" s="15" t="s">
        <v>3317</v>
      </c>
      <c r="C3321" s="14">
        <v>0</v>
      </c>
      <c r="D3321" s="14">
        <v>0</v>
      </c>
      <c r="E3321" s="14">
        <f t="shared" si="52"/>
        <v>0</v>
      </c>
    </row>
    <row r="3322" spans="1:5" x14ac:dyDescent="0.3">
      <c r="A3322" s="7">
        <v>1002380</v>
      </c>
      <c r="B3322" s="15" t="s">
        <v>3318</v>
      </c>
      <c r="C3322" s="14">
        <v>0</v>
      </c>
      <c r="D3322" s="14">
        <v>0</v>
      </c>
      <c r="E3322" s="14">
        <f t="shared" si="52"/>
        <v>0</v>
      </c>
    </row>
    <row r="3323" spans="1:5" x14ac:dyDescent="0.3">
      <c r="A3323" s="7">
        <v>1002381</v>
      </c>
      <c r="B3323" s="15" t="s">
        <v>3319</v>
      </c>
      <c r="C3323" s="14">
        <v>0</v>
      </c>
      <c r="D3323" s="14">
        <v>0</v>
      </c>
      <c r="E3323" s="14">
        <f t="shared" si="52"/>
        <v>0</v>
      </c>
    </row>
    <row r="3324" spans="1:5" x14ac:dyDescent="0.3">
      <c r="A3324" s="7">
        <v>1002382</v>
      </c>
      <c r="B3324" s="15" t="s">
        <v>3320</v>
      </c>
      <c r="C3324" s="14">
        <v>0</v>
      </c>
      <c r="D3324" s="14">
        <v>0</v>
      </c>
      <c r="E3324" s="14">
        <f t="shared" si="52"/>
        <v>0</v>
      </c>
    </row>
    <row r="3325" spans="1:5" x14ac:dyDescent="0.3">
      <c r="A3325" s="7">
        <v>1002384</v>
      </c>
      <c r="B3325" s="15" t="s">
        <v>3321</v>
      </c>
      <c r="C3325" s="14">
        <v>0</v>
      </c>
      <c r="D3325" s="14">
        <v>0</v>
      </c>
      <c r="E3325" s="14">
        <f t="shared" si="52"/>
        <v>0</v>
      </c>
    </row>
    <row r="3326" spans="1:5" x14ac:dyDescent="0.3">
      <c r="A3326" s="7">
        <v>1002385</v>
      </c>
      <c r="B3326" s="15" t="s">
        <v>3322</v>
      </c>
      <c r="C3326" s="14">
        <v>0</v>
      </c>
      <c r="D3326" s="14">
        <v>0</v>
      </c>
      <c r="E3326" s="14">
        <f t="shared" si="52"/>
        <v>0</v>
      </c>
    </row>
    <row r="3327" spans="1:5" x14ac:dyDescent="0.3">
      <c r="A3327" s="7">
        <v>1002386</v>
      </c>
      <c r="B3327" s="15" t="s">
        <v>3323</v>
      </c>
      <c r="C3327" s="14">
        <v>0</v>
      </c>
      <c r="D3327" s="14">
        <v>0</v>
      </c>
      <c r="E3327" s="14">
        <f t="shared" si="52"/>
        <v>0</v>
      </c>
    </row>
    <row r="3328" spans="1:5" x14ac:dyDescent="0.3">
      <c r="A3328" s="7">
        <v>1002389</v>
      </c>
      <c r="B3328" s="15" t="s">
        <v>3324</v>
      </c>
      <c r="C3328" s="14">
        <v>0</v>
      </c>
      <c r="D3328" s="14">
        <v>48.203005893909634</v>
      </c>
      <c r="E3328" s="14">
        <f t="shared" si="52"/>
        <v>48.203005893909634</v>
      </c>
    </row>
    <row r="3329" spans="1:5" x14ac:dyDescent="0.3">
      <c r="A3329" s="7">
        <v>1002403</v>
      </c>
      <c r="B3329" s="15" t="s">
        <v>3325</v>
      </c>
      <c r="C3329" s="14">
        <v>0</v>
      </c>
      <c r="D3329" s="14">
        <v>0</v>
      </c>
      <c r="E3329" s="14">
        <f t="shared" si="52"/>
        <v>0</v>
      </c>
    </row>
    <row r="3330" spans="1:5" x14ac:dyDescent="0.3">
      <c r="A3330" s="7">
        <v>1002406</v>
      </c>
      <c r="B3330" s="15" t="s">
        <v>3326</v>
      </c>
      <c r="C3330" s="14">
        <v>0</v>
      </c>
      <c r="D3330" s="14">
        <v>0</v>
      </c>
      <c r="E3330" s="14">
        <f t="shared" si="52"/>
        <v>0</v>
      </c>
    </row>
    <row r="3331" spans="1:5" x14ac:dyDescent="0.3">
      <c r="A3331" s="7">
        <v>1002407</v>
      </c>
      <c r="B3331" s="15" t="s">
        <v>3327</v>
      </c>
      <c r="C3331" s="14">
        <v>0</v>
      </c>
      <c r="D3331" s="14">
        <v>0</v>
      </c>
      <c r="E3331" s="14">
        <f t="shared" si="52"/>
        <v>0</v>
      </c>
    </row>
    <row r="3332" spans="1:5" x14ac:dyDescent="0.3">
      <c r="A3332" s="7">
        <v>1002408</v>
      </c>
      <c r="B3332" s="15" t="s">
        <v>3328</v>
      </c>
      <c r="C3332" s="14">
        <v>0</v>
      </c>
      <c r="D3332" s="14">
        <v>0</v>
      </c>
      <c r="E3332" s="14">
        <f t="shared" si="52"/>
        <v>0</v>
      </c>
    </row>
    <row r="3333" spans="1:5" x14ac:dyDescent="0.3">
      <c r="A3333" s="7">
        <v>1002409</v>
      </c>
      <c r="B3333" s="15" t="s">
        <v>3329</v>
      </c>
      <c r="C3333" s="14">
        <v>0</v>
      </c>
      <c r="D3333" s="14">
        <v>0</v>
      </c>
      <c r="E3333" s="14">
        <f t="shared" si="52"/>
        <v>0</v>
      </c>
    </row>
    <row r="3334" spans="1:5" x14ac:dyDescent="0.3">
      <c r="A3334" s="7">
        <v>1002410</v>
      </c>
      <c r="B3334" s="15" t="s">
        <v>3330</v>
      </c>
      <c r="C3334" s="14">
        <v>0</v>
      </c>
      <c r="D3334" s="14">
        <v>0</v>
      </c>
      <c r="E3334" s="14">
        <f t="shared" si="52"/>
        <v>0</v>
      </c>
    </row>
    <row r="3335" spans="1:5" x14ac:dyDescent="0.3">
      <c r="A3335" s="7">
        <v>1002411</v>
      </c>
      <c r="B3335" s="15" t="s">
        <v>3331</v>
      </c>
      <c r="C3335" s="14">
        <v>0</v>
      </c>
      <c r="D3335" s="14">
        <v>0</v>
      </c>
      <c r="E3335" s="14">
        <f t="shared" si="52"/>
        <v>0</v>
      </c>
    </row>
    <row r="3336" spans="1:5" x14ac:dyDescent="0.3">
      <c r="A3336" s="7">
        <v>1002412</v>
      </c>
      <c r="B3336" s="15" t="s">
        <v>3332</v>
      </c>
      <c r="C3336" s="14">
        <v>0</v>
      </c>
      <c r="D3336" s="14">
        <v>0</v>
      </c>
      <c r="E3336" s="14">
        <f t="shared" si="52"/>
        <v>0</v>
      </c>
    </row>
    <row r="3337" spans="1:5" x14ac:dyDescent="0.3">
      <c r="A3337" s="7">
        <v>1002638</v>
      </c>
      <c r="B3337" s="20" t="s">
        <v>3333</v>
      </c>
      <c r="C3337" s="14">
        <v>0</v>
      </c>
      <c r="D3337" s="14">
        <v>0</v>
      </c>
      <c r="E3337" s="14">
        <f t="shared" si="52"/>
        <v>0</v>
      </c>
    </row>
    <row r="3338" spans="1:5" x14ac:dyDescent="0.3">
      <c r="A3338" s="7">
        <v>1002640</v>
      </c>
      <c r="B3338" s="20" t="s">
        <v>3334</v>
      </c>
      <c r="C3338" s="14">
        <v>0</v>
      </c>
      <c r="D3338" s="14">
        <v>0</v>
      </c>
      <c r="E3338" s="14">
        <f t="shared" si="52"/>
        <v>0</v>
      </c>
    </row>
    <row r="3339" spans="1:5" x14ac:dyDescent="0.3">
      <c r="A3339" s="7">
        <v>1002644</v>
      </c>
      <c r="B3339" s="20" t="s">
        <v>3335</v>
      </c>
      <c r="C3339" s="14">
        <v>0</v>
      </c>
      <c r="D3339" s="14">
        <v>0</v>
      </c>
      <c r="E3339" s="14">
        <f t="shared" si="52"/>
        <v>0</v>
      </c>
    </row>
    <row r="3340" spans="1:5" x14ac:dyDescent="0.3">
      <c r="A3340" s="7">
        <v>1002646</v>
      </c>
      <c r="B3340" s="20" t="s">
        <v>3336</v>
      </c>
      <c r="C3340" s="14">
        <v>0</v>
      </c>
      <c r="D3340" s="14">
        <v>0</v>
      </c>
      <c r="E3340" s="14">
        <f t="shared" si="52"/>
        <v>0</v>
      </c>
    </row>
    <row r="3341" spans="1:5" x14ac:dyDescent="0.3">
      <c r="A3341" s="7">
        <v>1002647</v>
      </c>
      <c r="B3341" s="20" t="s">
        <v>3337</v>
      </c>
      <c r="C3341" s="14">
        <v>0</v>
      </c>
      <c r="D3341" s="14">
        <v>0</v>
      </c>
      <c r="E3341" s="14">
        <f t="shared" si="52"/>
        <v>0</v>
      </c>
    </row>
    <row r="3342" spans="1:5" x14ac:dyDescent="0.3">
      <c r="A3342" s="7">
        <v>1002648</v>
      </c>
      <c r="B3342" s="20" t="s">
        <v>3338</v>
      </c>
      <c r="C3342" s="14">
        <v>0</v>
      </c>
      <c r="D3342" s="14">
        <v>0</v>
      </c>
      <c r="E3342" s="14">
        <f t="shared" si="52"/>
        <v>0</v>
      </c>
    </row>
    <row r="3343" spans="1:5" x14ac:dyDescent="0.3">
      <c r="A3343" s="7">
        <v>1002651</v>
      </c>
      <c r="B3343" s="20" t="s">
        <v>3339</v>
      </c>
      <c r="C3343" s="14">
        <v>0</v>
      </c>
      <c r="D3343" s="14">
        <v>0</v>
      </c>
      <c r="E3343" s="14">
        <f t="shared" si="52"/>
        <v>0</v>
      </c>
    </row>
    <row r="3344" spans="1:5" x14ac:dyDescent="0.3">
      <c r="A3344" s="7">
        <v>1002414</v>
      </c>
      <c r="B3344" s="15" t="s">
        <v>3340</v>
      </c>
      <c r="C3344" s="14">
        <v>0</v>
      </c>
      <c r="D3344" s="14">
        <v>0</v>
      </c>
      <c r="E3344" s="14">
        <f t="shared" si="52"/>
        <v>0</v>
      </c>
    </row>
    <row r="3345" spans="1:5" x14ac:dyDescent="0.3">
      <c r="A3345" s="7">
        <v>1002415</v>
      </c>
      <c r="B3345" s="15" t="s">
        <v>3341</v>
      </c>
      <c r="C3345" s="14">
        <v>0</v>
      </c>
      <c r="D3345" s="14">
        <v>0</v>
      </c>
      <c r="E3345" s="14">
        <f t="shared" si="52"/>
        <v>0</v>
      </c>
    </row>
    <row r="3346" spans="1:5" x14ac:dyDescent="0.3">
      <c r="A3346" s="7">
        <v>1002416</v>
      </c>
      <c r="B3346" s="15" t="s">
        <v>3342</v>
      </c>
      <c r="C3346" s="14">
        <v>0</v>
      </c>
      <c r="D3346" s="14">
        <v>0</v>
      </c>
      <c r="E3346" s="14">
        <f t="shared" si="52"/>
        <v>0</v>
      </c>
    </row>
    <row r="3347" spans="1:5" x14ac:dyDescent="0.3">
      <c r="A3347" s="7">
        <v>1002417</v>
      </c>
      <c r="B3347" s="15" t="s">
        <v>3343</v>
      </c>
      <c r="C3347" s="14">
        <v>0</v>
      </c>
      <c r="D3347" s="14">
        <v>0</v>
      </c>
      <c r="E3347" s="14">
        <f t="shared" si="52"/>
        <v>0</v>
      </c>
    </row>
    <row r="3348" spans="1:5" x14ac:dyDescent="0.3">
      <c r="A3348" s="7">
        <v>1002418</v>
      </c>
      <c r="B3348" s="15" t="s">
        <v>3344</v>
      </c>
      <c r="C3348" s="14">
        <v>0</v>
      </c>
      <c r="D3348" s="14">
        <v>0</v>
      </c>
      <c r="E3348" s="14">
        <f t="shared" si="52"/>
        <v>0</v>
      </c>
    </row>
    <row r="3349" spans="1:5" x14ac:dyDescent="0.3">
      <c r="A3349" s="7">
        <v>1002420</v>
      </c>
      <c r="B3349" s="15" t="s">
        <v>3345</v>
      </c>
      <c r="C3349" s="14">
        <v>0</v>
      </c>
      <c r="D3349" s="14">
        <v>0</v>
      </c>
      <c r="E3349" s="14">
        <f t="shared" si="52"/>
        <v>0</v>
      </c>
    </row>
    <row r="3350" spans="1:5" x14ac:dyDescent="0.3">
      <c r="A3350" s="7">
        <v>1002657</v>
      </c>
      <c r="B3350" s="20" t="s">
        <v>3346</v>
      </c>
      <c r="C3350" s="14">
        <v>0</v>
      </c>
      <c r="D3350" s="14">
        <v>0</v>
      </c>
      <c r="E3350" s="14">
        <f t="shared" si="52"/>
        <v>0</v>
      </c>
    </row>
    <row r="3351" spans="1:5" x14ac:dyDescent="0.3">
      <c r="A3351" s="7">
        <v>1002658</v>
      </c>
      <c r="B3351" s="20" t="s">
        <v>3347</v>
      </c>
      <c r="C3351" s="14">
        <v>0</v>
      </c>
      <c r="D3351" s="14">
        <v>0</v>
      </c>
      <c r="E3351" s="14">
        <f t="shared" si="52"/>
        <v>0</v>
      </c>
    </row>
    <row r="3352" spans="1:5" x14ac:dyDescent="0.3">
      <c r="A3352" s="7">
        <v>1002659</v>
      </c>
      <c r="B3352" s="20" t="s">
        <v>3348</v>
      </c>
      <c r="C3352" s="14">
        <v>0</v>
      </c>
      <c r="D3352" s="14">
        <v>0</v>
      </c>
      <c r="E3352" s="14">
        <f t="shared" si="52"/>
        <v>0</v>
      </c>
    </row>
    <row r="3353" spans="1:5" x14ac:dyDescent="0.3">
      <c r="A3353" s="7">
        <v>1002660</v>
      </c>
      <c r="B3353" s="20" t="s">
        <v>3349</v>
      </c>
      <c r="C3353" s="14">
        <v>0</v>
      </c>
      <c r="D3353" s="14">
        <v>0</v>
      </c>
      <c r="E3353" s="14">
        <f t="shared" si="52"/>
        <v>0</v>
      </c>
    </row>
    <row r="3354" spans="1:5" x14ac:dyDescent="0.3">
      <c r="A3354" s="7">
        <v>1002661</v>
      </c>
      <c r="B3354" s="20" t="s">
        <v>3350</v>
      </c>
      <c r="C3354" s="14">
        <v>0</v>
      </c>
      <c r="D3354" s="14">
        <v>0</v>
      </c>
      <c r="E3354" s="14">
        <f t="shared" si="52"/>
        <v>0</v>
      </c>
    </row>
    <row r="3355" spans="1:5" x14ac:dyDescent="0.3">
      <c r="A3355" s="7">
        <v>1002667</v>
      </c>
      <c r="B3355" s="20" t="s">
        <v>3351</v>
      </c>
      <c r="C3355" s="14">
        <v>0</v>
      </c>
      <c r="D3355" s="14">
        <v>0</v>
      </c>
      <c r="E3355" s="14">
        <f t="shared" si="52"/>
        <v>0</v>
      </c>
    </row>
    <row r="3356" spans="1:5" x14ac:dyDescent="0.3">
      <c r="A3356" s="7">
        <v>1002668</v>
      </c>
      <c r="B3356" s="20" t="s">
        <v>3352</v>
      </c>
      <c r="C3356" s="14">
        <v>0</v>
      </c>
      <c r="D3356" s="14">
        <v>0</v>
      </c>
      <c r="E3356" s="14">
        <f t="shared" si="52"/>
        <v>0</v>
      </c>
    </row>
    <row r="3357" spans="1:5" x14ac:dyDescent="0.3">
      <c r="A3357" s="7">
        <v>1002669</v>
      </c>
      <c r="B3357" s="20" t="s">
        <v>3353</v>
      </c>
      <c r="C3357" s="14">
        <v>0</v>
      </c>
      <c r="D3357" s="14">
        <v>0</v>
      </c>
      <c r="E3357" s="14">
        <f t="shared" si="52"/>
        <v>0</v>
      </c>
    </row>
    <row r="3358" spans="1:5" x14ac:dyDescent="0.3">
      <c r="A3358" s="7">
        <v>1002670</v>
      </c>
      <c r="B3358" s="20" t="s">
        <v>3354</v>
      </c>
      <c r="C3358" s="14">
        <v>0</v>
      </c>
      <c r="D3358" s="14">
        <v>0</v>
      </c>
      <c r="E3358" s="14">
        <f t="shared" si="52"/>
        <v>0</v>
      </c>
    </row>
    <row r="3359" spans="1:5" x14ac:dyDescent="0.3">
      <c r="A3359" s="7">
        <v>1002673</v>
      </c>
      <c r="B3359" s="20" t="s">
        <v>3355</v>
      </c>
      <c r="C3359" s="14">
        <v>0</v>
      </c>
      <c r="D3359" s="14">
        <v>0</v>
      </c>
      <c r="E3359" s="14">
        <f t="shared" si="52"/>
        <v>0</v>
      </c>
    </row>
    <row r="3360" spans="1:5" x14ac:dyDescent="0.3">
      <c r="A3360" s="7">
        <v>1002674</v>
      </c>
      <c r="B3360" s="20" t="s">
        <v>3356</v>
      </c>
      <c r="C3360" s="14">
        <v>0</v>
      </c>
      <c r="D3360" s="14">
        <v>0</v>
      </c>
      <c r="E3360" s="14">
        <f t="shared" si="52"/>
        <v>0</v>
      </c>
    </row>
    <row r="3361" spans="1:5" x14ac:dyDescent="0.3">
      <c r="A3361" s="7">
        <v>1002675</v>
      </c>
      <c r="B3361" s="20" t="s">
        <v>3357</v>
      </c>
      <c r="C3361" s="14">
        <v>0</v>
      </c>
      <c r="D3361" s="14">
        <v>0</v>
      </c>
      <c r="E3361" s="14">
        <f t="shared" ref="E3361:E3424" si="53">+MAX(C3361, D3361)</f>
        <v>0</v>
      </c>
    </row>
    <row r="3362" spans="1:5" x14ac:dyDescent="0.3">
      <c r="A3362" s="7">
        <v>1002676</v>
      </c>
      <c r="B3362" s="20" t="s">
        <v>3358</v>
      </c>
      <c r="C3362" s="14">
        <v>0</v>
      </c>
      <c r="D3362" s="14">
        <v>0</v>
      </c>
      <c r="E3362" s="14">
        <f t="shared" si="53"/>
        <v>0</v>
      </c>
    </row>
    <row r="3363" spans="1:5" x14ac:dyDescent="0.3">
      <c r="A3363" s="7">
        <v>1002679</v>
      </c>
      <c r="B3363" s="20" t="s">
        <v>3359</v>
      </c>
      <c r="C3363" s="14">
        <v>0</v>
      </c>
      <c r="D3363" s="14">
        <v>0</v>
      </c>
      <c r="E3363" s="14">
        <f t="shared" si="53"/>
        <v>0</v>
      </c>
    </row>
    <row r="3364" spans="1:5" x14ac:dyDescent="0.3">
      <c r="A3364" s="7">
        <v>1002680</v>
      </c>
      <c r="B3364" s="20" t="s">
        <v>3360</v>
      </c>
      <c r="C3364" s="14">
        <v>0</v>
      </c>
      <c r="D3364" s="14">
        <v>0</v>
      </c>
      <c r="E3364" s="14">
        <f t="shared" si="53"/>
        <v>0</v>
      </c>
    </row>
    <row r="3365" spans="1:5" x14ac:dyDescent="0.3">
      <c r="A3365" s="7">
        <v>1002682</v>
      </c>
      <c r="B3365" s="20" t="s">
        <v>3361</v>
      </c>
      <c r="C3365" s="14">
        <v>0</v>
      </c>
      <c r="D3365" s="14">
        <v>0</v>
      </c>
      <c r="E3365" s="14">
        <f t="shared" si="53"/>
        <v>0</v>
      </c>
    </row>
    <row r="3366" spans="1:5" x14ac:dyDescent="0.3">
      <c r="A3366" s="7">
        <v>1002425</v>
      </c>
      <c r="B3366" s="15" t="s">
        <v>3362</v>
      </c>
      <c r="C3366" s="14">
        <v>0</v>
      </c>
      <c r="D3366" s="14">
        <v>0</v>
      </c>
      <c r="E3366" s="14">
        <f t="shared" si="53"/>
        <v>0</v>
      </c>
    </row>
    <row r="3367" spans="1:5" x14ac:dyDescent="0.3">
      <c r="A3367" s="7">
        <v>1002429</v>
      </c>
      <c r="B3367" s="15" t="s">
        <v>3363</v>
      </c>
      <c r="C3367" s="14">
        <v>0</v>
      </c>
      <c r="D3367" s="14">
        <v>0</v>
      </c>
      <c r="E3367" s="14">
        <f t="shared" si="53"/>
        <v>0</v>
      </c>
    </row>
    <row r="3368" spans="1:5" x14ac:dyDescent="0.3">
      <c r="A3368" s="7">
        <v>1002430</v>
      </c>
      <c r="B3368" s="15" t="s">
        <v>3364</v>
      </c>
      <c r="C3368" s="14">
        <v>0</v>
      </c>
      <c r="D3368" s="14">
        <v>0</v>
      </c>
      <c r="E3368" s="14">
        <f t="shared" si="53"/>
        <v>0</v>
      </c>
    </row>
    <row r="3369" spans="1:5" x14ac:dyDescent="0.3">
      <c r="A3369" s="7">
        <v>1002441</v>
      </c>
      <c r="B3369" s="15" t="s">
        <v>3365</v>
      </c>
      <c r="C3369" s="14">
        <v>0</v>
      </c>
      <c r="D3369" s="14">
        <v>0</v>
      </c>
      <c r="E3369" s="14">
        <f t="shared" si="53"/>
        <v>0</v>
      </c>
    </row>
    <row r="3370" spans="1:5" x14ac:dyDescent="0.3">
      <c r="A3370" s="7">
        <v>1002446</v>
      </c>
      <c r="B3370" s="15" t="s">
        <v>3366</v>
      </c>
      <c r="C3370" s="14">
        <v>0</v>
      </c>
      <c r="D3370" s="14">
        <v>0</v>
      </c>
      <c r="E3370" s="14">
        <f t="shared" si="53"/>
        <v>0</v>
      </c>
    </row>
    <row r="3371" spans="1:5" x14ac:dyDescent="0.3">
      <c r="A3371" s="7">
        <v>1002458</v>
      </c>
      <c r="B3371" s="15" t="s">
        <v>3367</v>
      </c>
      <c r="C3371" s="14">
        <v>0</v>
      </c>
      <c r="D3371" s="14">
        <v>0</v>
      </c>
      <c r="E3371" s="14">
        <f t="shared" si="53"/>
        <v>0</v>
      </c>
    </row>
    <row r="3372" spans="1:5" x14ac:dyDescent="0.3">
      <c r="A3372" s="7">
        <v>1002460</v>
      </c>
      <c r="B3372" s="15" t="s">
        <v>3368</v>
      </c>
      <c r="C3372" s="14">
        <v>0</v>
      </c>
      <c r="D3372" s="14">
        <v>0</v>
      </c>
      <c r="E3372" s="14">
        <f t="shared" si="53"/>
        <v>0</v>
      </c>
    </row>
    <row r="3373" spans="1:5" x14ac:dyDescent="0.3">
      <c r="A3373" s="7">
        <v>1002462</v>
      </c>
      <c r="B3373" s="15" t="s">
        <v>3369</v>
      </c>
      <c r="C3373" s="14">
        <v>0</v>
      </c>
      <c r="D3373" s="14">
        <v>0</v>
      </c>
      <c r="E3373" s="14">
        <f t="shared" si="53"/>
        <v>0</v>
      </c>
    </row>
    <row r="3374" spans="1:5" x14ac:dyDescent="0.3">
      <c r="A3374" s="7">
        <v>1002464</v>
      </c>
      <c r="B3374" s="15" t="s">
        <v>3370</v>
      </c>
      <c r="C3374" s="14">
        <v>0</v>
      </c>
      <c r="D3374" s="14">
        <v>0</v>
      </c>
      <c r="E3374" s="14">
        <f t="shared" si="53"/>
        <v>0</v>
      </c>
    </row>
    <row r="3375" spans="1:5" x14ac:dyDescent="0.3">
      <c r="A3375" s="7">
        <v>1002465</v>
      </c>
      <c r="B3375" s="15" t="s">
        <v>3371</v>
      </c>
      <c r="C3375" s="14">
        <v>0</v>
      </c>
      <c r="D3375" s="14">
        <v>0</v>
      </c>
      <c r="E3375" s="14">
        <f t="shared" si="53"/>
        <v>0</v>
      </c>
    </row>
    <row r="3376" spans="1:5" x14ac:dyDescent="0.3">
      <c r="A3376" s="7">
        <v>1002468</v>
      </c>
      <c r="B3376" s="15" t="s">
        <v>3372</v>
      </c>
      <c r="C3376" s="14">
        <v>0</v>
      </c>
      <c r="D3376" s="14">
        <v>0</v>
      </c>
      <c r="E3376" s="14">
        <f t="shared" si="53"/>
        <v>0</v>
      </c>
    </row>
    <row r="3377" spans="1:5" x14ac:dyDescent="0.3">
      <c r="A3377" s="7">
        <v>1002469</v>
      </c>
      <c r="B3377" s="15" t="s">
        <v>3373</v>
      </c>
      <c r="C3377" s="14">
        <v>0</v>
      </c>
      <c r="D3377" s="14">
        <v>0</v>
      </c>
      <c r="E3377" s="14">
        <f t="shared" si="53"/>
        <v>0</v>
      </c>
    </row>
    <row r="3378" spans="1:5" x14ac:dyDescent="0.3">
      <c r="A3378" s="7">
        <v>1002470</v>
      </c>
      <c r="B3378" s="15" t="s">
        <v>3374</v>
      </c>
      <c r="C3378" s="14">
        <v>0</v>
      </c>
      <c r="D3378" s="14">
        <v>0</v>
      </c>
      <c r="E3378" s="14">
        <f t="shared" si="53"/>
        <v>0</v>
      </c>
    </row>
    <row r="3379" spans="1:5" x14ac:dyDescent="0.3">
      <c r="A3379" s="7">
        <v>1002471</v>
      </c>
      <c r="B3379" s="15" t="s">
        <v>3375</v>
      </c>
      <c r="C3379" s="14">
        <v>0</v>
      </c>
      <c r="D3379" s="14">
        <v>0</v>
      </c>
      <c r="E3379" s="14">
        <f t="shared" si="53"/>
        <v>0</v>
      </c>
    </row>
    <row r="3380" spans="1:5" x14ac:dyDescent="0.3">
      <c r="A3380" s="7">
        <v>1002686</v>
      </c>
      <c r="B3380" s="20" t="s">
        <v>3376</v>
      </c>
      <c r="C3380" s="14">
        <v>0</v>
      </c>
      <c r="D3380" s="14">
        <v>0</v>
      </c>
      <c r="E3380" s="14">
        <f t="shared" si="53"/>
        <v>0</v>
      </c>
    </row>
    <row r="3381" spans="1:5" x14ac:dyDescent="0.3">
      <c r="A3381" s="7">
        <v>1002691</v>
      </c>
      <c r="B3381" s="20" t="s">
        <v>3377</v>
      </c>
      <c r="C3381" s="14">
        <v>0</v>
      </c>
      <c r="D3381" s="14">
        <v>0</v>
      </c>
      <c r="E3381" s="14">
        <f t="shared" si="53"/>
        <v>0</v>
      </c>
    </row>
    <row r="3382" spans="1:5" x14ac:dyDescent="0.3">
      <c r="A3382" s="7">
        <v>1002692</v>
      </c>
      <c r="B3382" s="20" t="s">
        <v>3378</v>
      </c>
      <c r="C3382" s="14">
        <v>0</v>
      </c>
      <c r="D3382" s="14">
        <v>0</v>
      </c>
      <c r="E3382" s="14">
        <f t="shared" si="53"/>
        <v>0</v>
      </c>
    </row>
    <row r="3383" spans="1:5" x14ac:dyDescent="0.3">
      <c r="A3383" s="7">
        <v>1002699</v>
      </c>
      <c r="B3383" s="20" t="s">
        <v>3379</v>
      </c>
      <c r="C3383" s="14">
        <v>0</v>
      </c>
      <c r="D3383" s="14">
        <v>0</v>
      </c>
      <c r="E3383" s="14">
        <f t="shared" si="53"/>
        <v>0</v>
      </c>
    </row>
    <row r="3384" spans="1:5" x14ac:dyDescent="0.3">
      <c r="A3384" s="7">
        <v>1002701</v>
      </c>
      <c r="B3384" s="20" t="s">
        <v>3380</v>
      </c>
      <c r="C3384" s="14">
        <v>0</v>
      </c>
      <c r="D3384" s="14">
        <v>0</v>
      </c>
      <c r="E3384" s="14">
        <f t="shared" si="53"/>
        <v>0</v>
      </c>
    </row>
    <row r="3385" spans="1:5" x14ac:dyDescent="0.3">
      <c r="A3385" s="7">
        <v>1002702</v>
      </c>
      <c r="B3385" s="20" t="s">
        <v>3381</v>
      </c>
      <c r="C3385" s="14">
        <v>0</v>
      </c>
      <c r="D3385" s="14">
        <v>0</v>
      </c>
      <c r="E3385" s="14">
        <f t="shared" si="53"/>
        <v>0</v>
      </c>
    </row>
    <row r="3386" spans="1:5" x14ac:dyDescent="0.3">
      <c r="A3386" s="7">
        <v>1002705</v>
      </c>
      <c r="B3386" s="20" t="s">
        <v>3382</v>
      </c>
      <c r="C3386" s="14">
        <v>0</v>
      </c>
      <c r="D3386" s="14">
        <v>0</v>
      </c>
      <c r="E3386" s="14">
        <f t="shared" si="53"/>
        <v>0</v>
      </c>
    </row>
    <row r="3387" spans="1:5" x14ac:dyDescent="0.3">
      <c r="A3387" s="7">
        <v>1002716</v>
      </c>
      <c r="B3387" s="20" t="s">
        <v>3383</v>
      </c>
      <c r="C3387" s="14">
        <v>0</v>
      </c>
      <c r="D3387" s="14">
        <v>0</v>
      </c>
      <c r="E3387" s="14">
        <f t="shared" si="53"/>
        <v>0</v>
      </c>
    </row>
    <row r="3388" spans="1:5" x14ac:dyDescent="0.3">
      <c r="A3388" s="7">
        <v>1002734</v>
      </c>
      <c r="B3388" s="20" t="s">
        <v>3384</v>
      </c>
      <c r="C3388" s="14">
        <v>0</v>
      </c>
      <c r="D3388" s="14">
        <v>0</v>
      </c>
      <c r="E3388" s="14">
        <f t="shared" si="53"/>
        <v>0</v>
      </c>
    </row>
    <row r="3389" spans="1:5" x14ac:dyDescent="0.3">
      <c r="A3389" s="7">
        <v>1002735</v>
      </c>
      <c r="B3389" s="20" t="s">
        <v>3385</v>
      </c>
      <c r="C3389" s="14">
        <v>0</v>
      </c>
      <c r="D3389" s="14">
        <v>0</v>
      </c>
      <c r="E3389" s="14">
        <f t="shared" si="53"/>
        <v>0</v>
      </c>
    </row>
    <row r="3390" spans="1:5" x14ac:dyDescent="0.3">
      <c r="A3390" s="7">
        <v>1002738</v>
      </c>
      <c r="B3390" s="20" t="s">
        <v>3386</v>
      </c>
      <c r="C3390" s="14">
        <v>0</v>
      </c>
      <c r="D3390" s="14">
        <v>0</v>
      </c>
      <c r="E3390" s="14">
        <f t="shared" si="53"/>
        <v>0</v>
      </c>
    </row>
    <row r="3391" spans="1:5" x14ac:dyDescent="0.3">
      <c r="A3391" s="7">
        <v>1002743</v>
      </c>
      <c r="B3391" s="20" t="s">
        <v>3387</v>
      </c>
      <c r="C3391" s="14">
        <v>0</v>
      </c>
      <c r="D3391" s="14">
        <v>0</v>
      </c>
      <c r="E3391" s="14">
        <f t="shared" si="53"/>
        <v>0</v>
      </c>
    </row>
    <row r="3392" spans="1:5" x14ac:dyDescent="0.3">
      <c r="A3392" s="7">
        <v>1002745</v>
      </c>
      <c r="B3392" s="20" t="s">
        <v>3388</v>
      </c>
      <c r="C3392" s="14">
        <v>0</v>
      </c>
      <c r="D3392" s="14">
        <v>0</v>
      </c>
      <c r="E3392" s="14">
        <f t="shared" si="53"/>
        <v>0</v>
      </c>
    </row>
    <row r="3393" spans="1:5" x14ac:dyDescent="0.3">
      <c r="A3393" s="7">
        <v>1002746</v>
      </c>
      <c r="B3393" s="20" t="s">
        <v>3389</v>
      </c>
      <c r="C3393" s="14">
        <v>0</v>
      </c>
      <c r="D3393" s="14">
        <v>0</v>
      </c>
      <c r="E3393" s="14">
        <f t="shared" si="53"/>
        <v>0</v>
      </c>
    </row>
    <row r="3394" spans="1:5" x14ac:dyDescent="0.3">
      <c r="A3394" s="7">
        <v>1002747</v>
      </c>
      <c r="B3394" s="20" t="s">
        <v>3390</v>
      </c>
      <c r="C3394" s="14">
        <v>0</v>
      </c>
      <c r="D3394" s="14">
        <v>0</v>
      </c>
      <c r="E3394" s="14">
        <f t="shared" si="53"/>
        <v>0</v>
      </c>
    </row>
    <row r="3395" spans="1:5" x14ac:dyDescent="0.3">
      <c r="A3395" s="7">
        <v>1002748</v>
      </c>
      <c r="B3395" s="20" t="s">
        <v>3391</v>
      </c>
      <c r="C3395" s="14">
        <v>0</v>
      </c>
      <c r="D3395" s="14">
        <v>0</v>
      </c>
      <c r="E3395" s="14">
        <f t="shared" si="53"/>
        <v>0</v>
      </c>
    </row>
    <row r="3396" spans="1:5" x14ac:dyDescent="0.3">
      <c r="A3396" s="7">
        <v>1002749</v>
      </c>
      <c r="B3396" s="20" t="s">
        <v>3392</v>
      </c>
      <c r="C3396" s="14">
        <v>0</v>
      </c>
      <c r="D3396" s="14">
        <v>0</v>
      </c>
      <c r="E3396" s="14">
        <f t="shared" si="53"/>
        <v>0</v>
      </c>
    </row>
    <row r="3397" spans="1:5" x14ac:dyDescent="0.3">
      <c r="A3397" s="7">
        <v>1002750</v>
      </c>
      <c r="B3397" s="20" t="s">
        <v>3393</v>
      </c>
      <c r="C3397" s="14">
        <v>0</v>
      </c>
      <c r="D3397" s="14">
        <v>0</v>
      </c>
      <c r="E3397" s="14">
        <f t="shared" si="53"/>
        <v>0</v>
      </c>
    </row>
    <row r="3398" spans="1:5" x14ac:dyDescent="0.3">
      <c r="A3398" s="7">
        <v>1002752</v>
      </c>
      <c r="B3398" s="20" t="s">
        <v>3394</v>
      </c>
      <c r="C3398" s="14">
        <v>0</v>
      </c>
      <c r="D3398" s="14">
        <v>0</v>
      </c>
      <c r="E3398" s="14">
        <f t="shared" si="53"/>
        <v>0</v>
      </c>
    </row>
    <row r="3399" spans="1:5" x14ac:dyDescent="0.3">
      <c r="A3399" s="7">
        <v>1002753</v>
      </c>
      <c r="B3399" s="20" t="s">
        <v>3395</v>
      </c>
      <c r="C3399" s="14">
        <v>0</v>
      </c>
      <c r="D3399" s="14">
        <v>0</v>
      </c>
      <c r="E3399" s="14">
        <f t="shared" si="53"/>
        <v>0</v>
      </c>
    </row>
    <row r="3400" spans="1:5" x14ac:dyDescent="0.3">
      <c r="A3400" s="7">
        <v>1002757</v>
      </c>
      <c r="B3400" s="20" t="s">
        <v>3396</v>
      </c>
      <c r="C3400" s="14">
        <v>0</v>
      </c>
      <c r="D3400" s="14">
        <v>0</v>
      </c>
      <c r="E3400" s="14">
        <f t="shared" si="53"/>
        <v>0</v>
      </c>
    </row>
    <row r="3401" spans="1:5" x14ac:dyDescent="0.3">
      <c r="A3401" s="7">
        <v>1002759</v>
      </c>
      <c r="B3401" s="20" t="s">
        <v>3397</v>
      </c>
      <c r="C3401" s="14">
        <v>0</v>
      </c>
      <c r="D3401" s="14">
        <v>0</v>
      </c>
      <c r="E3401" s="14">
        <f t="shared" si="53"/>
        <v>0</v>
      </c>
    </row>
    <row r="3402" spans="1:5" x14ac:dyDescent="0.3">
      <c r="A3402" s="7">
        <v>1002761</v>
      </c>
      <c r="B3402" s="20" t="s">
        <v>3398</v>
      </c>
      <c r="C3402" s="14">
        <v>0</v>
      </c>
      <c r="D3402" s="14">
        <v>0</v>
      </c>
      <c r="E3402" s="14">
        <f t="shared" si="53"/>
        <v>0</v>
      </c>
    </row>
    <row r="3403" spans="1:5" x14ac:dyDescent="0.3">
      <c r="A3403" s="7">
        <v>1002762</v>
      </c>
      <c r="B3403" s="20" t="s">
        <v>3399</v>
      </c>
      <c r="C3403" s="14">
        <v>0</v>
      </c>
      <c r="D3403" s="14">
        <v>0</v>
      </c>
      <c r="E3403" s="14">
        <f t="shared" si="53"/>
        <v>0</v>
      </c>
    </row>
    <row r="3404" spans="1:5" x14ac:dyDescent="0.3">
      <c r="A3404" s="7">
        <v>1002764</v>
      </c>
      <c r="B3404" s="20" t="s">
        <v>3400</v>
      </c>
      <c r="C3404" s="14">
        <v>0</v>
      </c>
      <c r="D3404" s="14">
        <v>0</v>
      </c>
      <c r="E3404" s="14">
        <f t="shared" si="53"/>
        <v>0</v>
      </c>
    </row>
    <row r="3405" spans="1:5" x14ac:dyDescent="0.3">
      <c r="A3405" s="7">
        <v>1002765</v>
      </c>
      <c r="B3405" s="20" t="s">
        <v>3401</v>
      </c>
      <c r="C3405" s="14">
        <v>0</v>
      </c>
      <c r="D3405" s="14">
        <v>0</v>
      </c>
      <c r="E3405" s="14">
        <f t="shared" si="53"/>
        <v>0</v>
      </c>
    </row>
    <row r="3406" spans="1:5" x14ac:dyDescent="0.3">
      <c r="A3406" s="7">
        <v>1002766</v>
      </c>
      <c r="B3406" s="20" t="s">
        <v>3402</v>
      </c>
      <c r="C3406" s="14">
        <v>0</v>
      </c>
      <c r="D3406" s="14">
        <v>0</v>
      </c>
      <c r="E3406" s="14">
        <f t="shared" si="53"/>
        <v>0</v>
      </c>
    </row>
    <row r="3407" spans="1:5" x14ac:dyDescent="0.3">
      <c r="A3407" s="7">
        <v>1002767</v>
      </c>
      <c r="B3407" s="20" t="s">
        <v>3403</v>
      </c>
      <c r="C3407" s="14">
        <v>0</v>
      </c>
      <c r="D3407" s="14">
        <v>0</v>
      </c>
      <c r="E3407" s="14">
        <f t="shared" si="53"/>
        <v>0</v>
      </c>
    </row>
    <row r="3408" spans="1:5" x14ac:dyDescent="0.3">
      <c r="A3408" s="7">
        <v>1002768</v>
      </c>
      <c r="B3408" s="20" t="s">
        <v>3404</v>
      </c>
      <c r="C3408" s="14">
        <v>0</v>
      </c>
      <c r="D3408" s="14">
        <v>0</v>
      </c>
      <c r="E3408" s="14">
        <f t="shared" si="53"/>
        <v>0</v>
      </c>
    </row>
    <row r="3409" spans="1:5" x14ac:dyDescent="0.3">
      <c r="A3409" s="7">
        <v>1002769</v>
      </c>
      <c r="B3409" s="20" t="s">
        <v>3405</v>
      </c>
      <c r="C3409" s="14">
        <v>0</v>
      </c>
      <c r="D3409" s="14">
        <v>0</v>
      </c>
      <c r="E3409" s="14">
        <f t="shared" si="53"/>
        <v>0</v>
      </c>
    </row>
    <row r="3410" spans="1:5" x14ac:dyDescent="0.3">
      <c r="A3410" s="7">
        <v>1002771</v>
      </c>
      <c r="B3410" s="20" t="s">
        <v>3406</v>
      </c>
      <c r="C3410" s="14">
        <v>0</v>
      </c>
      <c r="D3410" s="14">
        <v>0</v>
      </c>
      <c r="E3410" s="14">
        <f t="shared" si="53"/>
        <v>0</v>
      </c>
    </row>
    <row r="3411" spans="1:5" x14ac:dyDescent="0.3">
      <c r="A3411" s="7">
        <v>1002772</v>
      </c>
      <c r="B3411" s="20" t="s">
        <v>3407</v>
      </c>
      <c r="C3411" s="14">
        <v>0</v>
      </c>
      <c r="D3411" s="14">
        <v>0</v>
      </c>
      <c r="E3411" s="14">
        <f t="shared" si="53"/>
        <v>0</v>
      </c>
    </row>
    <row r="3412" spans="1:5" x14ac:dyDescent="0.3">
      <c r="A3412" s="7">
        <v>1002775</v>
      </c>
      <c r="B3412" s="20" t="s">
        <v>3408</v>
      </c>
      <c r="C3412" s="14">
        <v>0</v>
      </c>
      <c r="D3412" s="14">
        <v>0</v>
      </c>
      <c r="E3412" s="14">
        <f t="shared" si="53"/>
        <v>0</v>
      </c>
    </row>
    <row r="3413" spans="1:5" x14ac:dyDescent="0.3">
      <c r="A3413" s="7">
        <v>1002776</v>
      </c>
      <c r="B3413" s="20" t="s">
        <v>3409</v>
      </c>
      <c r="C3413" s="14">
        <v>0</v>
      </c>
      <c r="D3413" s="14">
        <v>0</v>
      </c>
      <c r="E3413" s="14">
        <f t="shared" si="53"/>
        <v>0</v>
      </c>
    </row>
    <row r="3414" spans="1:5" x14ac:dyDescent="0.3">
      <c r="A3414" s="7">
        <v>1002778</v>
      </c>
      <c r="B3414" s="20" t="s">
        <v>3410</v>
      </c>
      <c r="C3414" s="14">
        <v>0</v>
      </c>
      <c r="D3414" s="14">
        <v>0</v>
      </c>
      <c r="E3414" s="14">
        <f t="shared" si="53"/>
        <v>0</v>
      </c>
    </row>
    <row r="3415" spans="1:5" x14ac:dyDescent="0.3">
      <c r="A3415" s="7">
        <v>1002780</v>
      </c>
      <c r="B3415" s="20" t="s">
        <v>3411</v>
      </c>
      <c r="C3415" s="14">
        <v>0</v>
      </c>
      <c r="D3415" s="14">
        <v>0</v>
      </c>
      <c r="E3415" s="14">
        <f t="shared" si="53"/>
        <v>0</v>
      </c>
    </row>
    <row r="3416" spans="1:5" x14ac:dyDescent="0.3">
      <c r="A3416" s="7">
        <v>1002781</v>
      </c>
      <c r="B3416" s="20" t="s">
        <v>3412</v>
      </c>
      <c r="C3416" s="14">
        <v>0</v>
      </c>
      <c r="D3416" s="14">
        <v>0</v>
      </c>
      <c r="E3416" s="14">
        <f t="shared" si="53"/>
        <v>0</v>
      </c>
    </row>
    <row r="3417" spans="1:5" x14ac:dyDescent="0.3">
      <c r="A3417" s="7">
        <v>1002783</v>
      </c>
      <c r="B3417" s="20" t="s">
        <v>3413</v>
      </c>
      <c r="C3417" s="14">
        <v>0</v>
      </c>
      <c r="D3417" s="14">
        <v>0</v>
      </c>
      <c r="E3417" s="14">
        <f t="shared" si="53"/>
        <v>0</v>
      </c>
    </row>
    <row r="3418" spans="1:5" x14ac:dyDescent="0.3">
      <c r="A3418" s="7">
        <v>1002784</v>
      </c>
      <c r="B3418" s="20" t="s">
        <v>3414</v>
      </c>
      <c r="C3418" s="14">
        <v>0</v>
      </c>
      <c r="D3418" s="14">
        <v>0</v>
      </c>
      <c r="E3418" s="14">
        <f t="shared" si="53"/>
        <v>0</v>
      </c>
    </row>
    <row r="3419" spans="1:5" x14ac:dyDescent="0.3">
      <c r="A3419" s="7">
        <v>1002785</v>
      </c>
      <c r="B3419" s="20" t="s">
        <v>3415</v>
      </c>
      <c r="C3419" s="14">
        <v>0</v>
      </c>
      <c r="D3419" s="14">
        <v>0</v>
      </c>
      <c r="E3419" s="14">
        <f t="shared" si="53"/>
        <v>0</v>
      </c>
    </row>
    <row r="3420" spans="1:5" x14ac:dyDescent="0.3">
      <c r="A3420" s="7">
        <v>1002786</v>
      </c>
      <c r="B3420" s="20" t="s">
        <v>3416</v>
      </c>
      <c r="C3420" s="14">
        <v>0</v>
      </c>
      <c r="D3420" s="14">
        <v>0</v>
      </c>
      <c r="E3420" s="14">
        <f t="shared" si="53"/>
        <v>0</v>
      </c>
    </row>
    <row r="3421" spans="1:5" x14ac:dyDescent="0.3">
      <c r="A3421" s="7">
        <v>1002788</v>
      </c>
      <c r="B3421" s="20" t="s">
        <v>3417</v>
      </c>
      <c r="C3421" s="14">
        <v>0</v>
      </c>
      <c r="D3421" s="14">
        <v>0</v>
      </c>
      <c r="E3421" s="14">
        <f t="shared" si="53"/>
        <v>0</v>
      </c>
    </row>
    <row r="3422" spans="1:5" x14ac:dyDescent="0.3">
      <c r="A3422" s="7">
        <v>1002789</v>
      </c>
      <c r="B3422" s="20" t="s">
        <v>3418</v>
      </c>
      <c r="C3422" s="14">
        <v>0</v>
      </c>
      <c r="D3422" s="14">
        <v>0</v>
      </c>
      <c r="E3422" s="14">
        <f t="shared" si="53"/>
        <v>0</v>
      </c>
    </row>
    <row r="3423" spans="1:5" x14ac:dyDescent="0.3">
      <c r="A3423" s="7">
        <v>1002791</v>
      </c>
      <c r="B3423" s="20" t="s">
        <v>3419</v>
      </c>
      <c r="C3423" s="14">
        <v>0</v>
      </c>
      <c r="D3423" s="14">
        <v>0</v>
      </c>
      <c r="E3423" s="14">
        <f t="shared" si="53"/>
        <v>0</v>
      </c>
    </row>
    <row r="3424" spans="1:5" x14ac:dyDescent="0.3">
      <c r="A3424" s="7">
        <v>1002792</v>
      </c>
      <c r="B3424" s="20" t="s">
        <v>3420</v>
      </c>
      <c r="C3424" s="14">
        <v>0</v>
      </c>
      <c r="D3424" s="14">
        <v>0</v>
      </c>
      <c r="E3424" s="14">
        <f t="shared" si="53"/>
        <v>0</v>
      </c>
    </row>
    <row r="3425" spans="1:5" x14ac:dyDescent="0.3">
      <c r="A3425" s="7">
        <v>1002795</v>
      </c>
      <c r="B3425" s="20" t="s">
        <v>3421</v>
      </c>
      <c r="C3425" s="14">
        <v>0</v>
      </c>
      <c r="D3425" s="14">
        <v>0</v>
      </c>
      <c r="E3425" s="14">
        <f t="shared" ref="E3425:E3488" si="54">+MAX(C3425, D3425)</f>
        <v>0</v>
      </c>
    </row>
    <row r="3426" spans="1:5" x14ac:dyDescent="0.3">
      <c r="A3426" s="7">
        <v>1002798</v>
      </c>
      <c r="B3426" s="20" t="s">
        <v>3422</v>
      </c>
      <c r="C3426" s="14">
        <v>0</v>
      </c>
      <c r="D3426" s="14">
        <v>0</v>
      </c>
      <c r="E3426" s="14">
        <f t="shared" si="54"/>
        <v>0</v>
      </c>
    </row>
    <row r="3427" spans="1:5" x14ac:dyDescent="0.3">
      <c r="A3427" s="7">
        <v>1002799</v>
      </c>
      <c r="B3427" s="20" t="s">
        <v>3423</v>
      </c>
      <c r="C3427" s="14">
        <v>0</v>
      </c>
      <c r="D3427" s="14">
        <v>0</v>
      </c>
      <c r="E3427" s="14">
        <f t="shared" si="54"/>
        <v>0</v>
      </c>
    </row>
    <row r="3428" spans="1:5" x14ac:dyDescent="0.3">
      <c r="A3428" s="7">
        <v>1002808</v>
      </c>
      <c r="B3428" s="20" t="s">
        <v>3424</v>
      </c>
      <c r="C3428" s="14">
        <v>0</v>
      </c>
      <c r="D3428" s="14">
        <v>0</v>
      </c>
      <c r="E3428" s="14">
        <f t="shared" si="54"/>
        <v>0</v>
      </c>
    </row>
    <row r="3429" spans="1:5" x14ac:dyDescent="0.3">
      <c r="A3429" s="7">
        <v>1002811</v>
      </c>
      <c r="B3429" s="20" t="s">
        <v>3425</v>
      </c>
      <c r="C3429" s="14">
        <v>0</v>
      </c>
      <c r="D3429" s="14">
        <v>0</v>
      </c>
      <c r="E3429" s="14">
        <f t="shared" si="54"/>
        <v>0</v>
      </c>
    </row>
    <row r="3430" spans="1:5" x14ac:dyDescent="0.3">
      <c r="A3430" s="7">
        <v>1002813</v>
      </c>
      <c r="B3430" s="20" t="s">
        <v>3426</v>
      </c>
      <c r="C3430" s="14">
        <v>0</v>
      </c>
      <c r="D3430" s="14">
        <v>0</v>
      </c>
      <c r="E3430" s="14">
        <f t="shared" si="54"/>
        <v>0</v>
      </c>
    </row>
    <row r="3431" spans="1:5" x14ac:dyDescent="0.3">
      <c r="A3431" s="7">
        <v>1002815</v>
      </c>
      <c r="B3431" s="21" t="s">
        <v>3427</v>
      </c>
      <c r="C3431" s="14">
        <v>0</v>
      </c>
      <c r="D3431" s="14">
        <v>0</v>
      </c>
      <c r="E3431" s="14">
        <f t="shared" si="54"/>
        <v>0</v>
      </c>
    </row>
    <row r="3432" spans="1:5" x14ac:dyDescent="0.3">
      <c r="A3432" s="7">
        <v>1002816</v>
      </c>
      <c r="B3432" s="20" t="s">
        <v>3428</v>
      </c>
      <c r="C3432" s="14">
        <v>0</v>
      </c>
      <c r="D3432" s="14">
        <v>0</v>
      </c>
      <c r="E3432" s="14">
        <f t="shared" si="54"/>
        <v>0</v>
      </c>
    </row>
    <row r="3433" spans="1:5" x14ac:dyDescent="0.3">
      <c r="A3433" s="7">
        <v>1002819</v>
      </c>
      <c r="B3433" s="20" t="s">
        <v>3429</v>
      </c>
      <c r="C3433" s="14">
        <v>0</v>
      </c>
      <c r="D3433" s="14">
        <v>0</v>
      </c>
      <c r="E3433" s="14">
        <f t="shared" si="54"/>
        <v>0</v>
      </c>
    </row>
    <row r="3434" spans="1:5" x14ac:dyDescent="0.3">
      <c r="A3434" s="7">
        <v>1002820</v>
      </c>
      <c r="B3434" s="20" t="s">
        <v>3430</v>
      </c>
      <c r="C3434" s="14">
        <v>0</v>
      </c>
      <c r="D3434" s="14">
        <v>0</v>
      </c>
      <c r="E3434" s="14">
        <f t="shared" si="54"/>
        <v>0</v>
      </c>
    </row>
    <row r="3435" spans="1:5" x14ac:dyDescent="0.3">
      <c r="A3435" s="7">
        <v>1002474</v>
      </c>
      <c r="B3435" s="15" t="s">
        <v>3431</v>
      </c>
      <c r="C3435" s="14">
        <v>0</v>
      </c>
      <c r="D3435" s="14">
        <v>0</v>
      </c>
      <c r="E3435" s="14">
        <f t="shared" si="54"/>
        <v>0</v>
      </c>
    </row>
    <row r="3436" spans="1:5" x14ac:dyDescent="0.3">
      <c r="A3436" s="7">
        <v>1002476</v>
      </c>
      <c r="B3436" s="15" t="s">
        <v>3432</v>
      </c>
      <c r="C3436" s="14">
        <v>0</v>
      </c>
      <c r="D3436" s="14">
        <v>0</v>
      </c>
      <c r="E3436" s="14">
        <f t="shared" si="54"/>
        <v>0</v>
      </c>
    </row>
    <row r="3437" spans="1:5" x14ac:dyDescent="0.3">
      <c r="A3437" s="7">
        <v>1002478</v>
      </c>
      <c r="B3437" s="15" t="s">
        <v>3433</v>
      </c>
      <c r="C3437" s="14">
        <v>0</v>
      </c>
      <c r="D3437" s="14">
        <v>0</v>
      </c>
      <c r="E3437" s="14">
        <f t="shared" si="54"/>
        <v>0</v>
      </c>
    </row>
    <row r="3438" spans="1:5" x14ac:dyDescent="0.3">
      <c r="A3438" s="7">
        <v>1002481</v>
      </c>
      <c r="B3438" s="15" t="s">
        <v>3434</v>
      </c>
      <c r="C3438" s="14">
        <v>0</v>
      </c>
      <c r="D3438" s="14">
        <v>0</v>
      </c>
      <c r="E3438" s="14">
        <f t="shared" si="54"/>
        <v>0</v>
      </c>
    </row>
    <row r="3439" spans="1:5" x14ac:dyDescent="0.3">
      <c r="A3439" s="7">
        <v>1002482</v>
      </c>
      <c r="B3439" s="15" t="s">
        <v>3435</v>
      </c>
      <c r="C3439" s="14">
        <v>0</v>
      </c>
      <c r="D3439" s="14">
        <v>0</v>
      </c>
      <c r="E3439" s="14">
        <f t="shared" si="54"/>
        <v>0</v>
      </c>
    </row>
    <row r="3440" spans="1:5" x14ac:dyDescent="0.3">
      <c r="A3440" s="7">
        <v>1002493</v>
      </c>
      <c r="B3440" s="15" t="s">
        <v>3436</v>
      </c>
      <c r="C3440" s="14">
        <v>0</v>
      </c>
      <c r="D3440" s="14">
        <v>0</v>
      </c>
      <c r="E3440" s="14">
        <f t="shared" si="54"/>
        <v>0</v>
      </c>
    </row>
    <row r="3441" spans="1:5" x14ac:dyDescent="0.3">
      <c r="A3441" s="7">
        <v>1002495</v>
      </c>
      <c r="B3441" s="15" t="s">
        <v>3437</v>
      </c>
      <c r="C3441" s="14">
        <v>0</v>
      </c>
      <c r="D3441" s="14">
        <v>0</v>
      </c>
      <c r="E3441" s="14">
        <f t="shared" si="54"/>
        <v>0</v>
      </c>
    </row>
    <row r="3442" spans="1:5" x14ac:dyDescent="0.3">
      <c r="A3442" s="7">
        <v>1002496</v>
      </c>
      <c r="B3442" s="15" t="s">
        <v>3438</v>
      </c>
      <c r="C3442" s="14">
        <v>0</v>
      </c>
      <c r="D3442" s="14">
        <v>0</v>
      </c>
      <c r="E3442" s="14">
        <f t="shared" si="54"/>
        <v>0</v>
      </c>
    </row>
    <row r="3443" spans="1:5" x14ac:dyDescent="0.3">
      <c r="A3443" s="7">
        <v>1002497</v>
      </c>
      <c r="B3443" s="15" t="s">
        <v>3439</v>
      </c>
      <c r="C3443" s="14">
        <v>0</v>
      </c>
      <c r="D3443" s="14">
        <v>0</v>
      </c>
      <c r="E3443" s="14">
        <f t="shared" si="54"/>
        <v>0</v>
      </c>
    </row>
    <row r="3444" spans="1:5" x14ac:dyDescent="0.3">
      <c r="A3444" s="7">
        <v>1002499</v>
      </c>
      <c r="B3444" s="15" t="s">
        <v>3440</v>
      </c>
      <c r="C3444" s="14">
        <v>0</v>
      </c>
      <c r="D3444" s="14">
        <v>0</v>
      </c>
      <c r="E3444" s="14">
        <f t="shared" si="54"/>
        <v>0</v>
      </c>
    </row>
    <row r="3445" spans="1:5" x14ac:dyDescent="0.3">
      <c r="A3445" s="7">
        <v>1002500</v>
      </c>
      <c r="B3445" s="15" t="s">
        <v>3441</v>
      </c>
      <c r="C3445" s="14">
        <v>0</v>
      </c>
      <c r="D3445" s="14">
        <v>0</v>
      </c>
      <c r="E3445" s="14">
        <f t="shared" si="54"/>
        <v>0</v>
      </c>
    </row>
    <row r="3446" spans="1:5" x14ac:dyDescent="0.3">
      <c r="A3446" s="7">
        <v>1002501</v>
      </c>
      <c r="B3446" s="15" t="s">
        <v>3442</v>
      </c>
      <c r="C3446" s="14">
        <v>0</v>
      </c>
      <c r="D3446" s="14">
        <v>0</v>
      </c>
      <c r="E3446" s="14">
        <f t="shared" si="54"/>
        <v>0</v>
      </c>
    </row>
    <row r="3447" spans="1:5" x14ac:dyDescent="0.3">
      <c r="A3447" s="7">
        <v>1002504</v>
      </c>
      <c r="B3447" s="15" t="s">
        <v>3443</v>
      </c>
      <c r="C3447" s="14">
        <v>0</v>
      </c>
      <c r="D3447" s="14">
        <v>0</v>
      </c>
      <c r="E3447" s="14">
        <f t="shared" si="54"/>
        <v>0</v>
      </c>
    </row>
    <row r="3448" spans="1:5" x14ac:dyDescent="0.3">
      <c r="A3448" s="7">
        <v>1002508</v>
      </c>
      <c r="B3448" s="15" t="s">
        <v>3444</v>
      </c>
      <c r="C3448" s="14">
        <v>0</v>
      </c>
      <c r="D3448" s="14">
        <v>0</v>
      </c>
      <c r="E3448" s="14">
        <f t="shared" si="54"/>
        <v>0</v>
      </c>
    </row>
    <row r="3449" spans="1:5" x14ac:dyDescent="0.3">
      <c r="A3449" s="7">
        <v>1002509</v>
      </c>
      <c r="B3449" s="15" t="s">
        <v>3445</v>
      </c>
      <c r="C3449" s="14">
        <v>0</v>
      </c>
      <c r="D3449" s="14">
        <v>0</v>
      </c>
      <c r="E3449" s="14">
        <f t="shared" si="54"/>
        <v>0</v>
      </c>
    </row>
    <row r="3450" spans="1:5" x14ac:dyDescent="0.3">
      <c r="A3450" s="7">
        <v>1002515</v>
      </c>
      <c r="B3450" s="15" t="s">
        <v>3446</v>
      </c>
      <c r="C3450" s="14">
        <v>0</v>
      </c>
      <c r="D3450" s="14">
        <v>0</v>
      </c>
      <c r="E3450" s="14">
        <f t="shared" si="54"/>
        <v>0</v>
      </c>
    </row>
    <row r="3451" spans="1:5" x14ac:dyDescent="0.3">
      <c r="A3451" s="7">
        <v>1002517</v>
      </c>
      <c r="B3451" s="15" t="s">
        <v>3447</v>
      </c>
      <c r="C3451" s="14">
        <v>0</v>
      </c>
      <c r="D3451" s="14">
        <v>0</v>
      </c>
      <c r="E3451" s="14">
        <f t="shared" si="54"/>
        <v>0</v>
      </c>
    </row>
    <row r="3452" spans="1:5" x14ac:dyDescent="0.3">
      <c r="A3452" s="7">
        <v>1002518</v>
      </c>
      <c r="B3452" s="15" t="s">
        <v>3448</v>
      </c>
      <c r="C3452" s="14">
        <v>0</v>
      </c>
      <c r="D3452" s="14">
        <v>0</v>
      </c>
      <c r="E3452" s="14">
        <f t="shared" si="54"/>
        <v>0</v>
      </c>
    </row>
    <row r="3453" spans="1:5" x14ac:dyDescent="0.3">
      <c r="A3453" s="7">
        <v>1002519</v>
      </c>
      <c r="B3453" s="15" t="s">
        <v>3449</v>
      </c>
      <c r="C3453" s="14">
        <v>0</v>
      </c>
      <c r="D3453" s="14">
        <v>0</v>
      </c>
      <c r="E3453" s="14">
        <f t="shared" si="54"/>
        <v>0</v>
      </c>
    </row>
    <row r="3454" spans="1:5" x14ac:dyDescent="0.3">
      <c r="A3454" s="7">
        <v>1010782</v>
      </c>
      <c r="B3454" s="7" t="s">
        <v>3450</v>
      </c>
      <c r="C3454" s="14">
        <v>9000</v>
      </c>
      <c r="D3454" s="14">
        <v>9741.2227973217923</v>
      </c>
      <c r="E3454" s="14">
        <f t="shared" si="54"/>
        <v>9741.2227973217923</v>
      </c>
    </row>
    <row r="3455" spans="1:5" x14ac:dyDescent="0.3">
      <c r="A3455" s="7">
        <v>1010784</v>
      </c>
      <c r="B3455" s="7" t="s">
        <v>3451</v>
      </c>
      <c r="C3455" s="14">
        <v>1860.9099999999999</v>
      </c>
      <c r="D3455" s="14">
        <v>7786.0626884210533</v>
      </c>
      <c r="E3455" s="14">
        <f t="shared" si="54"/>
        <v>7786.0626884210533</v>
      </c>
    </row>
    <row r="3456" spans="1:5" x14ac:dyDescent="0.3">
      <c r="A3456" s="7">
        <v>1013468</v>
      </c>
      <c r="B3456" s="7" t="s">
        <v>3452</v>
      </c>
      <c r="C3456" s="14">
        <v>477.9</v>
      </c>
      <c r="D3456" s="14">
        <v>0</v>
      </c>
      <c r="E3456" s="14">
        <f t="shared" si="54"/>
        <v>477.9</v>
      </c>
    </row>
    <row r="3457" spans="1:5" x14ac:dyDescent="0.3">
      <c r="A3457" s="7">
        <v>1013656</v>
      </c>
      <c r="B3457" s="7" t="s">
        <v>3453</v>
      </c>
      <c r="C3457" s="14">
        <v>66</v>
      </c>
      <c r="D3457" s="14">
        <v>0</v>
      </c>
      <c r="E3457" s="14">
        <f t="shared" si="54"/>
        <v>66</v>
      </c>
    </row>
    <row r="3458" spans="1:5" x14ac:dyDescent="0.3">
      <c r="A3458" s="7">
        <v>1013657</v>
      </c>
      <c r="B3458" s="7" t="s">
        <v>3454</v>
      </c>
      <c r="C3458" s="14">
        <v>90.27</v>
      </c>
      <c r="D3458" s="14">
        <v>34.76342697233882</v>
      </c>
      <c r="E3458" s="14">
        <f t="shared" si="54"/>
        <v>90.27</v>
      </c>
    </row>
    <row r="3459" spans="1:5" x14ac:dyDescent="0.3">
      <c r="A3459" s="7">
        <v>1010314</v>
      </c>
      <c r="B3459" s="7" t="s">
        <v>3455</v>
      </c>
      <c r="C3459" s="14">
        <v>519.88</v>
      </c>
      <c r="D3459" s="14">
        <v>0</v>
      </c>
      <c r="E3459" s="14">
        <f t="shared" si="54"/>
        <v>519.88</v>
      </c>
    </row>
    <row r="3460" spans="1:5" x14ac:dyDescent="0.3">
      <c r="A3460" s="7">
        <v>1010784</v>
      </c>
      <c r="B3460" s="7" t="s">
        <v>3451</v>
      </c>
      <c r="C3460" s="14">
        <v>1860.9099999999999</v>
      </c>
      <c r="D3460" s="14">
        <v>7786.0626884210533</v>
      </c>
      <c r="E3460" s="14">
        <f t="shared" si="54"/>
        <v>7786.0626884210533</v>
      </c>
    </row>
    <row r="3461" spans="1:5" x14ac:dyDescent="0.3">
      <c r="A3461" s="7">
        <v>1012976</v>
      </c>
      <c r="B3461" s="7" t="s">
        <v>3456</v>
      </c>
      <c r="C3461" s="14">
        <v>13696.98</v>
      </c>
      <c r="D3461" s="14">
        <v>0</v>
      </c>
      <c r="E3461" s="14">
        <f t="shared" si="54"/>
        <v>13696.98</v>
      </c>
    </row>
    <row r="3462" spans="1:5" x14ac:dyDescent="0.3">
      <c r="A3462" s="7">
        <v>1010782</v>
      </c>
      <c r="B3462" s="7" t="s">
        <v>3450</v>
      </c>
      <c r="C3462" s="14">
        <v>9000</v>
      </c>
      <c r="D3462" s="14">
        <v>9741.2227973217923</v>
      </c>
      <c r="E3462" s="14">
        <f t="shared" si="54"/>
        <v>9741.2227973217923</v>
      </c>
    </row>
    <row r="3463" spans="1:5" x14ac:dyDescent="0.3">
      <c r="A3463" s="7">
        <v>1010784</v>
      </c>
      <c r="B3463" s="7" t="s">
        <v>3451</v>
      </c>
      <c r="C3463" s="14">
        <v>1860.9099999999999</v>
      </c>
      <c r="D3463" s="14">
        <v>7786.0626884210533</v>
      </c>
      <c r="E3463" s="14">
        <f t="shared" si="54"/>
        <v>7786.0626884210533</v>
      </c>
    </row>
    <row r="3464" spans="1:5" x14ac:dyDescent="0.3">
      <c r="A3464" s="7">
        <v>1013468</v>
      </c>
      <c r="B3464" s="7" t="s">
        <v>3452</v>
      </c>
      <c r="C3464" s="14">
        <v>477.9</v>
      </c>
      <c r="D3464" s="14">
        <v>0</v>
      </c>
      <c r="E3464" s="14">
        <f t="shared" si="54"/>
        <v>477.9</v>
      </c>
    </row>
    <row r="3465" spans="1:5" x14ac:dyDescent="0.3">
      <c r="A3465" s="7">
        <v>1013656</v>
      </c>
      <c r="B3465" s="7" t="s">
        <v>3453</v>
      </c>
      <c r="C3465" s="14">
        <v>66</v>
      </c>
      <c r="D3465" s="14">
        <v>0</v>
      </c>
      <c r="E3465" s="14">
        <f t="shared" si="54"/>
        <v>66</v>
      </c>
    </row>
    <row r="3466" spans="1:5" x14ac:dyDescent="0.3">
      <c r="A3466" s="7">
        <v>1013657</v>
      </c>
      <c r="B3466" s="7" t="s">
        <v>3454</v>
      </c>
      <c r="C3466" s="14">
        <v>90.27</v>
      </c>
      <c r="D3466" s="14">
        <v>34.76342697233882</v>
      </c>
      <c r="E3466" s="14">
        <f t="shared" si="54"/>
        <v>90.27</v>
      </c>
    </row>
    <row r="3467" spans="1:5" x14ac:dyDescent="0.3">
      <c r="A3467" s="7">
        <v>1010314</v>
      </c>
      <c r="B3467" s="7" t="s">
        <v>3455</v>
      </c>
      <c r="C3467" s="14">
        <v>519.88</v>
      </c>
      <c r="D3467" s="14">
        <v>0</v>
      </c>
      <c r="E3467" s="14">
        <f t="shared" si="54"/>
        <v>519.88</v>
      </c>
    </row>
    <row r="3468" spans="1:5" x14ac:dyDescent="0.3">
      <c r="A3468" s="7">
        <v>1010780</v>
      </c>
      <c r="B3468" s="7" t="s">
        <v>3457</v>
      </c>
      <c r="C3468" s="14">
        <v>1144.02</v>
      </c>
      <c r="D3468" s="14">
        <v>0</v>
      </c>
      <c r="E3468" s="14">
        <f t="shared" si="54"/>
        <v>1144.02</v>
      </c>
    </row>
    <row r="3469" spans="1:5" x14ac:dyDescent="0.3">
      <c r="A3469" s="7">
        <v>1010784</v>
      </c>
      <c r="B3469" s="7" t="s">
        <v>3451</v>
      </c>
      <c r="C3469" s="14">
        <v>1860.9099999999999</v>
      </c>
      <c r="D3469" s="14">
        <v>7786.0626884210533</v>
      </c>
      <c r="E3469" s="14">
        <f t="shared" si="54"/>
        <v>7786.0626884210533</v>
      </c>
    </row>
    <row r="3470" spans="1:5" x14ac:dyDescent="0.3">
      <c r="A3470" s="7">
        <v>1013468</v>
      </c>
      <c r="B3470" s="7" t="s">
        <v>3452</v>
      </c>
      <c r="C3470" s="14">
        <v>477.9</v>
      </c>
      <c r="D3470" s="14">
        <v>0</v>
      </c>
      <c r="E3470" s="14">
        <f t="shared" si="54"/>
        <v>477.9</v>
      </c>
    </row>
    <row r="3471" spans="1:5" x14ac:dyDescent="0.3">
      <c r="A3471" s="7">
        <v>1010780</v>
      </c>
      <c r="B3471" s="7" t="s">
        <v>3457</v>
      </c>
      <c r="C3471" s="14">
        <v>1144.02</v>
      </c>
      <c r="D3471" s="14">
        <v>0</v>
      </c>
      <c r="E3471" s="14">
        <f t="shared" si="54"/>
        <v>1144.02</v>
      </c>
    </row>
    <row r="3472" spans="1:5" x14ac:dyDescent="0.3">
      <c r="A3472" s="7">
        <v>1011179</v>
      </c>
      <c r="B3472" s="7" t="s">
        <v>3458</v>
      </c>
      <c r="C3472" s="14">
        <v>3100</v>
      </c>
      <c r="D3472" s="14">
        <v>0</v>
      </c>
      <c r="E3472" s="14">
        <f t="shared" si="54"/>
        <v>3100</v>
      </c>
    </row>
    <row r="3473" spans="1:5" x14ac:dyDescent="0.3">
      <c r="A3473" s="7">
        <v>1013657</v>
      </c>
      <c r="B3473" s="7" t="s">
        <v>3454</v>
      </c>
      <c r="C3473" s="14">
        <v>90.27</v>
      </c>
      <c r="D3473" s="14">
        <v>34.76342697233882</v>
      </c>
      <c r="E3473" s="14">
        <f t="shared" si="54"/>
        <v>90.27</v>
      </c>
    </row>
    <row r="3474" spans="1:5" x14ac:dyDescent="0.3">
      <c r="A3474" s="7">
        <v>1012976</v>
      </c>
      <c r="B3474" s="7" t="s">
        <v>3456</v>
      </c>
      <c r="C3474" s="14">
        <v>13696.98</v>
      </c>
      <c r="D3474" s="14">
        <v>0</v>
      </c>
      <c r="E3474" s="14">
        <f t="shared" si="54"/>
        <v>13696.98</v>
      </c>
    </row>
    <row r="3475" spans="1:5" x14ac:dyDescent="0.3">
      <c r="A3475" s="7">
        <v>1013468</v>
      </c>
      <c r="B3475" s="7" t="s">
        <v>3452</v>
      </c>
      <c r="C3475" s="14">
        <v>477.9</v>
      </c>
      <c r="D3475" s="14">
        <v>0</v>
      </c>
      <c r="E3475" s="14">
        <f t="shared" si="54"/>
        <v>477.9</v>
      </c>
    </row>
    <row r="3476" spans="1:5" x14ac:dyDescent="0.3">
      <c r="A3476" s="7">
        <v>1013656</v>
      </c>
      <c r="B3476" s="7" t="s">
        <v>3459</v>
      </c>
      <c r="C3476" s="14">
        <v>66</v>
      </c>
      <c r="D3476" s="14">
        <v>0</v>
      </c>
      <c r="E3476" s="14">
        <f t="shared" si="54"/>
        <v>66</v>
      </c>
    </row>
    <row r="3477" spans="1:5" x14ac:dyDescent="0.3">
      <c r="A3477" s="7">
        <v>1010784</v>
      </c>
      <c r="B3477" s="7" t="s">
        <v>3451</v>
      </c>
      <c r="C3477" s="14">
        <v>1860.9099999999999</v>
      </c>
      <c r="D3477" s="14">
        <v>7786.0626884210533</v>
      </c>
      <c r="E3477" s="14">
        <f t="shared" si="54"/>
        <v>7786.0626884210533</v>
      </c>
    </row>
    <row r="3478" spans="1:5" x14ac:dyDescent="0.3">
      <c r="A3478" s="7">
        <v>1010782</v>
      </c>
      <c r="B3478" s="7" t="s">
        <v>3450</v>
      </c>
      <c r="C3478" s="14">
        <v>9000</v>
      </c>
      <c r="D3478" s="14">
        <v>9741.2227973217923</v>
      </c>
      <c r="E3478" s="14">
        <f t="shared" si="54"/>
        <v>9741.2227973217923</v>
      </c>
    </row>
    <row r="3479" spans="1:5" x14ac:dyDescent="0.3">
      <c r="A3479" s="7">
        <v>1010784</v>
      </c>
      <c r="B3479" s="7" t="s">
        <v>3451</v>
      </c>
      <c r="C3479" s="14">
        <v>1860.9099999999999</v>
      </c>
      <c r="D3479" s="14">
        <v>7786.0626884210533</v>
      </c>
      <c r="E3479" s="14">
        <f t="shared" si="54"/>
        <v>7786.0626884210533</v>
      </c>
    </row>
    <row r="3480" spans="1:5" x14ac:dyDescent="0.3">
      <c r="A3480" s="7">
        <v>1013468</v>
      </c>
      <c r="B3480" s="7" t="s">
        <v>3452</v>
      </c>
      <c r="C3480" s="14">
        <v>477.9</v>
      </c>
      <c r="D3480" s="14">
        <v>0</v>
      </c>
      <c r="E3480" s="14">
        <f t="shared" si="54"/>
        <v>477.9</v>
      </c>
    </row>
    <row r="3481" spans="1:5" x14ac:dyDescent="0.3">
      <c r="A3481" s="7">
        <v>1013656</v>
      </c>
      <c r="B3481" s="7" t="s">
        <v>3453</v>
      </c>
      <c r="C3481" s="14">
        <v>66</v>
      </c>
      <c r="D3481" s="14">
        <v>0</v>
      </c>
      <c r="E3481" s="14">
        <f t="shared" si="54"/>
        <v>66</v>
      </c>
    </row>
    <row r="3482" spans="1:5" x14ac:dyDescent="0.3">
      <c r="A3482" s="7">
        <v>1013657</v>
      </c>
      <c r="B3482" s="7" t="s">
        <v>3454</v>
      </c>
      <c r="C3482" s="14">
        <v>90.27</v>
      </c>
      <c r="D3482" s="14">
        <v>34.76342697233882</v>
      </c>
      <c r="E3482" s="14">
        <f t="shared" si="54"/>
        <v>90.27</v>
      </c>
    </row>
    <row r="3483" spans="1:5" x14ac:dyDescent="0.3">
      <c r="A3483" s="7">
        <v>1010782</v>
      </c>
      <c r="B3483" s="7" t="s">
        <v>3450</v>
      </c>
      <c r="C3483" s="14">
        <v>9000</v>
      </c>
      <c r="D3483" s="14">
        <v>9741.2227973217923</v>
      </c>
      <c r="E3483" s="14">
        <f t="shared" si="54"/>
        <v>9741.2227973217923</v>
      </c>
    </row>
    <row r="3484" spans="1:5" x14ac:dyDescent="0.3">
      <c r="A3484" s="7">
        <v>1010784</v>
      </c>
      <c r="B3484" s="7" t="s">
        <v>3451</v>
      </c>
      <c r="C3484" s="14">
        <v>1860.9099999999999</v>
      </c>
      <c r="D3484" s="14">
        <v>7786.0626884210533</v>
      </c>
      <c r="E3484" s="14">
        <f t="shared" si="54"/>
        <v>7786.0626884210533</v>
      </c>
    </row>
    <row r="3485" spans="1:5" x14ac:dyDescent="0.3">
      <c r="A3485" s="7">
        <v>1013468</v>
      </c>
      <c r="B3485" s="7" t="s">
        <v>3452</v>
      </c>
      <c r="C3485" s="14">
        <v>477.9</v>
      </c>
      <c r="D3485" s="14">
        <v>0</v>
      </c>
      <c r="E3485" s="14">
        <f t="shared" si="54"/>
        <v>477.9</v>
      </c>
    </row>
    <row r="3486" spans="1:5" x14ac:dyDescent="0.3">
      <c r="A3486" s="7">
        <v>1013656</v>
      </c>
      <c r="B3486" s="7" t="s">
        <v>3453</v>
      </c>
      <c r="C3486" s="14">
        <v>66</v>
      </c>
      <c r="D3486" s="14">
        <v>0</v>
      </c>
      <c r="E3486" s="14">
        <f t="shared" si="54"/>
        <v>66</v>
      </c>
    </row>
    <row r="3487" spans="1:5" x14ac:dyDescent="0.3">
      <c r="A3487" s="7">
        <v>1013657</v>
      </c>
      <c r="B3487" s="7" t="s">
        <v>3454</v>
      </c>
      <c r="C3487" s="14">
        <v>90.27</v>
      </c>
      <c r="D3487" s="14">
        <v>34.76342697233882</v>
      </c>
      <c r="E3487" s="14">
        <f t="shared" si="54"/>
        <v>90.27</v>
      </c>
    </row>
    <row r="3488" spans="1:5" x14ac:dyDescent="0.3">
      <c r="A3488" s="7">
        <v>1010782</v>
      </c>
      <c r="B3488" s="7" t="s">
        <v>3450</v>
      </c>
      <c r="C3488" s="14">
        <v>9000</v>
      </c>
      <c r="D3488" s="14">
        <v>9741.2227973217923</v>
      </c>
      <c r="E3488" s="14">
        <f t="shared" si="54"/>
        <v>9741.2227973217923</v>
      </c>
    </row>
    <row r="3489" spans="1:5" x14ac:dyDescent="0.3">
      <c r="A3489" s="7">
        <v>1010784</v>
      </c>
      <c r="B3489" s="7" t="s">
        <v>3451</v>
      </c>
      <c r="C3489" s="14">
        <v>1860.9099999999999</v>
      </c>
      <c r="D3489" s="14">
        <v>7786.0626884210533</v>
      </c>
      <c r="E3489" s="14">
        <f t="shared" ref="E3489:E3552" si="55">+MAX(C3489, D3489)</f>
        <v>7786.0626884210533</v>
      </c>
    </row>
    <row r="3490" spans="1:5" x14ac:dyDescent="0.3">
      <c r="A3490" s="7">
        <v>1013468</v>
      </c>
      <c r="B3490" s="7" t="s">
        <v>3452</v>
      </c>
      <c r="C3490" s="14">
        <v>477.9</v>
      </c>
      <c r="D3490" s="14">
        <v>0</v>
      </c>
      <c r="E3490" s="14">
        <f t="shared" si="55"/>
        <v>477.9</v>
      </c>
    </row>
    <row r="3491" spans="1:5" x14ac:dyDescent="0.3">
      <c r="A3491" s="7">
        <v>1013656</v>
      </c>
      <c r="B3491" s="7" t="s">
        <v>3453</v>
      </c>
      <c r="C3491" s="14">
        <v>66</v>
      </c>
      <c r="D3491" s="14">
        <v>0</v>
      </c>
      <c r="E3491" s="14">
        <f t="shared" si="55"/>
        <v>66</v>
      </c>
    </row>
    <row r="3492" spans="1:5" x14ac:dyDescent="0.3">
      <c r="A3492" s="7">
        <v>1013657</v>
      </c>
      <c r="B3492" s="7" t="s">
        <v>3454</v>
      </c>
      <c r="C3492" s="14">
        <v>90.27</v>
      </c>
      <c r="D3492" s="14">
        <v>34.76342697233882</v>
      </c>
      <c r="E3492" s="14">
        <f t="shared" si="55"/>
        <v>90.27</v>
      </c>
    </row>
    <row r="3493" spans="1:5" x14ac:dyDescent="0.3">
      <c r="A3493" s="7">
        <v>1010782</v>
      </c>
      <c r="B3493" s="7" t="s">
        <v>3450</v>
      </c>
      <c r="C3493" s="14">
        <v>9000</v>
      </c>
      <c r="D3493" s="14">
        <v>9741.2227973217923</v>
      </c>
      <c r="E3493" s="14">
        <f t="shared" si="55"/>
        <v>9741.2227973217923</v>
      </c>
    </row>
    <row r="3494" spans="1:5" x14ac:dyDescent="0.3">
      <c r="A3494" s="7">
        <v>1010784</v>
      </c>
      <c r="B3494" s="7" t="s">
        <v>3451</v>
      </c>
      <c r="C3494" s="14">
        <v>1860.9099999999999</v>
      </c>
      <c r="D3494" s="14">
        <v>7786.0626884210533</v>
      </c>
      <c r="E3494" s="14">
        <f t="shared" si="55"/>
        <v>7786.0626884210533</v>
      </c>
    </row>
    <row r="3495" spans="1:5" x14ac:dyDescent="0.3">
      <c r="A3495" s="7">
        <v>1013468</v>
      </c>
      <c r="B3495" s="7" t="s">
        <v>3452</v>
      </c>
      <c r="C3495" s="14">
        <v>477.9</v>
      </c>
      <c r="D3495" s="14">
        <v>0</v>
      </c>
      <c r="E3495" s="14">
        <f t="shared" si="55"/>
        <v>477.9</v>
      </c>
    </row>
    <row r="3496" spans="1:5" x14ac:dyDescent="0.3">
      <c r="A3496" s="7">
        <v>1013656</v>
      </c>
      <c r="B3496" s="7" t="s">
        <v>3453</v>
      </c>
      <c r="C3496" s="14">
        <v>66</v>
      </c>
      <c r="D3496" s="14">
        <v>0</v>
      </c>
      <c r="E3496" s="14">
        <f t="shared" si="55"/>
        <v>66</v>
      </c>
    </row>
    <row r="3497" spans="1:5" x14ac:dyDescent="0.3">
      <c r="A3497" s="7">
        <v>1013657</v>
      </c>
      <c r="B3497" s="7" t="s">
        <v>3454</v>
      </c>
      <c r="C3497" s="14">
        <v>90.27</v>
      </c>
      <c r="D3497" s="14">
        <v>34.76342697233882</v>
      </c>
      <c r="E3497" s="14">
        <f t="shared" si="55"/>
        <v>90.27</v>
      </c>
    </row>
    <row r="3498" spans="1:5" x14ac:dyDescent="0.3">
      <c r="A3498" s="7">
        <v>1010784</v>
      </c>
      <c r="B3498" s="7" t="s">
        <v>3451</v>
      </c>
      <c r="C3498" s="14">
        <v>1860.9099999999999</v>
      </c>
      <c r="D3498" s="14">
        <v>7786.0626884210533</v>
      </c>
      <c r="E3498" s="14">
        <f t="shared" si="55"/>
        <v>7786.0626884210533</v>
      </c>
    </row>
    <row r="3499" spans="1:5" x14ac:dyDescent="0.3">
      <c r="A3499" s="7">
        <v>1012976</v>
      </c>
      <c r="B3499" s="7" t="s">
        <v>3456</v>
      </c>
      <c r="C3499" s="14">
        <v>13696.98</v>
      </c>
      <c r="D3499" s="14">
        <v>0</v>
      </c>
      <c r="E3499" s="14">
        <f t="shared" si="55"/>
        <v>13696.98</v>
      </c>
    </row>
    <row r="3500" spans="1:5" x14ac:dyDescent="0.3">
      <c r="A3500" s="7">
        <v>1009755</v>
      </c>
      <c r="B3500" s="7" t="s">
        <v>3460</v>
      </c>
      <c r="C3500" s="14">
        <v>350</v>
      </c>
      <c r="D3500" s="14">
        <v>350</v>
      </c>
      <c r="E3500" s="14">
        <f t="shared" si="55"/>
        <v>350</v>
      </c>
    </row>
    <row r="3501" spans="1:5" x14ac:dyDescent="0.3">
      <c r="A3501" s="7">
        <v>1006664</v>
      </c>
      <c r="B3501" s="7" t="s">
        <v>3461</v>
      </c>
      <c r="C3501" s="14">
        <v>54.241935483870968</v>
      </c>
      <c r="D3501" s="14">
        <v>54.241935483870968</v>
      </c>
      <c r="E3501" s="14">
        <f t="shared" si="55"/>
        <v>54.241935483870968</v>
      </c>
    </row>
    <row r="3502" spans="1:5" x14ac:dyDescent="0.3">
      <c r="A3502" s="7">
        <v>1007592</v>
      </c>
      <c r="B3502" s="7" t="s">
        <v>3462</v>
      </c>
      <c r="C3502" s="14">
        <v>62.905035971223015</v>
      </c>
      <c r="D3502" s="14">
        <v>62.905035971223015</v>
      </c>
      <c r="E3502" s="14">
        <f t="shared" si="55"/>
        <v>62.905035971223015</v>
      </c>
    </row>
    <row r="3503" spans="1:5" x14ac:dyDescent="0.3">
      <c r="A3503" s="7">
        <v>1007844</v>
      </c>
      <c r="B3503" s="7" t="s">
        <v>3463</v>
      </c>
      <c r="C3503" s="14">
        <v>994.99928571428575</v>
      </c>
      <c r="D3503" s="14">
        <v>994.99928571428575</v>
      </c>
      <c r="E3503" s="14">
        <f t="shared" si="55"/>
        <v>994.99928571428575</v>
      </c>
    </row>
    <row r="3504" spans="1:5" x14ac:dyDescent="0.3">
      <c r="A3504" s="7">
        <v>1009586</v>
      </c>
      <c r="B3504" s="7" t="s">
        <v>3464</v>
      </c>
      <c r="C3504" s="14">
        <v>884.28021032504773</v>
      </c>
      <c r="D3504" s="14">
        <v>884.28021032504773</v>
      </c>
      <c r="E3504" s="14">
        <f t="shared" si="55"/>
        <v>884.28021032504773</v>
      </c>
    </row>
    <row r="3505" spans="1:5" x14ac:dyDescent="0.3">
      <c r="A3505" s="7">
        <v>1009795</v>
      </c>
      <c r="B3505" s="7" t="s">
        <v>3465</v>
      </c>
      <c r="C3505" s="14">
        <v>46934.511791666664</v>
      </c>
      <c r="D3505" s="14">
        <v>46934.511791666664</v>
      </c>
      <c r="E3505" s="14">
        <f t="shared" si="55"/>
        <v>46934.511791666664</v>
      </c>
    </row>
    <row r="3506" spans="1:5" x14ac:dyDescent="0.3">
      <c r="A3506" s="7">
        <v>1009861</v>
      </c>
      <c r="B3506" s="7" t="s">
        <v>3466</v>
      </c>
      <c r="C3506" s="14">
        <v>828.30100591715973</v>
      </c>
      <c r="D3506" s="14">
        <v>828.30100591715973</v>
      </c>
      <c r="E3506" s="14">
        <f t="shared" si="55"/>
        <v>828.30100591715973</v>
      </c>
    </row>
    <row r="3507" spans="1:5" x14ac:dyDescent="0.3">
      <c r="A3507" s="7">
        <v>1009970</v>
      </c>
      <c r="B3507" s="7" t="s">
        <v>3467</v>
      </c>
      <c r="C3507" s="14">
        <v>13.11275</v>
      </c>
      <c r="D3507" s="14">
        <v>13.11275</v>
      </c>
      <c r="E3507" s="14">
        <f t="shared" si="55"/>
        <v>13.11275</v>
      </c>
    </row>
    <row r="3508" spans="1:5" x14ac:dyDescent="0.3">
      <c r="A3508" s="7">
        <v>1010128</v>
      </c>
      <c r="B3508" s="7" t="s">
        <v>3468</v>
      </c>
      <c r="C3508" s="14">
        <v>899.99779999999998</v>
      </c>
      <c r="D3508" s="14">
        <v>899.99779999999998</v>
      </c>
      <c r="E3508" s="14">
        <f t="shared" si="55"/>
        <v>899.99779999999998</v>
      </c>
    </row>
    <row r="3509" spans="1:5" x14ac:dyDescent="0.3">
      <c r="A3509" s="7">
        <v>1010450</v>
      </c>
      <c r="B3509" s="7" t="s">
        <v>3469</v>
      </c>
      <c r="C3509" s="14">
        <v>1500</v>
      </c>
      <c r="D3509" s="14">
        <v>1500</v>
      </c>
      <c r="E3509" s="14">
        <f t="shared" si="55"/>
        <v>1500</v>
      </c>
    </row>
    <row r="3510" spans="1:5" x14ac:dyDescent="0.3">
      <c r="A3510" s="7">
        <v>1010622</v>
      </c>
      <c r="B3510" s="7" t="s">
        <v>3470</v>
      </c>
      <c r="C3510" s="14">
        <v>460.2</v>
      </c>
      <c r="D3510" s="14">
        <v>460.2</v>
      </c>
      <c r="E3510" s="14">
        <f t="shared" si="55"/>
        <v>460.2</v>
      </c>
    </row>
    <row r="3511" spans="1:5" x14ac:dyDescent="0.3">
      <c r="A3511" s="7">
        <v>1010734</v>
      </c>
      <c r="B3511" s="7" t="s">
        <v>3471</v>
      </c>
      <c r="C3511" s="14">
        <v>324242.76</v>
      </c>
      <c r="D3511" s="14">
        <v>324242.76</v>
      </c>
      <c r="E3511" s="14">
        <f t="shared" si="55"/>
        <v>324242.76</v>
      </c>
    </row>
    <row r="3512" spans="1:5" x14ac:dyDescent="0.3">
      <c r="A3512" s="7">
        <v>1010887</v>
      </c>
      <c r="B3512" s="7" t="s">
        <v>3472</v>
      </c>
      <c r="C3512" s="14">
        <v>4.72</v>
      </c>
      <c r="D3512" s="14">
        <v>4.72</v>
      </c>
      <c r="E3512" s="14">
        <f t="shared" si="55"/>
        <v>4.72</v>
      </c>
    </row>
    <row r="3513" spans="1:5" x14ac:dyDescent="0.3">
      <c r="A3513" s="7">
        <v>1011067</v>
      </c>
      <c r="B3513" s="7" t="s">
        <v>3473</v>
      </c>
      <c r="C3513" s="14">
        <v>17464</v>
      </c>
      <c r="D3513" s="14">
        <v>17464</v>
      </c>
      <c r="E3513" s="14">
        <f t="shared" si="55"/>
        <v>17464</v>
      </c>
    </row>
    <row r="3514" spans="1:5" x14ac:dyDescent="0.3">
      <c r="A3514" s="7">
        <v>1011096</v>
      </c>
      <c r="B3514" s="7" t="s">
        <v>3474</v>
      </c>
      <c r="C3514" s="14">
        <v>1003</v>
      </c>
      <c r="D3514" s="14">
        <v>1003</v>
      </c>
      <c r="E3514" s="14">
        <f t="shared" si="55"/>
        <v>1003</v>
      </c>
    </row>
    <row r="3515" spans="1:5" x14ac:dyDescent="0.3">
      <c r="A3515" s="7">
        <v>1011097</v>
      </c>
      <c r="B3515" s="7" t="s">
        <v>3475</v>
      </c>
      <c r="C3515" s="14">
        <v>303.26</v>
      </c>
      <c r="D3515" s="14">
        <v>303.26</v>
      </c>
      <c r="E3515" s="14">
        <f t="shared" si="55"/>
        <v>303.26</v>
      </c>
    </row>
    <row r="3516" spans="1:5" x14ac:dyDescent="0.3">
      <c r="A3516" s="7">
        <v>1011171</v>
      </c>
      <c r="B3516" s="7" t="s">
        <v>3476</v>
      </c>
      <c r="C3516" s="14">
        <v>4768.9641584158417</v>
      </c>
      <c r="D3516" s="14">
        <v>4768.9641584158417</v>
      </c>
      <c r="E3516" s="14">
        <f t="shared" si="55"/>
        <v>4768.9641584158417</v>
      </c>
    </row>
    <row r="3517" spans="1:5" x14ac:dyDescent="0.3">
      <c r="A3517" s="7">
        <v>1011174</v>
      </c>
      <c r="B3517" s="7" t="s">
        <v>3477</v>
      </c>
      <c r="C3517" s="14">
        <v>272.875</v>
      </c>
      <c r="D3517" s="14">
        <v>272.875</v>
      </c>
      <c r="E3517" s="14">
        <f t="shared" si="55"/>
        <v>272.875</v>
      </c>
    </row>
    <row r="3518" spans="1:5" x14ac:dyDescent="0.3">
      <c r="A3518" s="7">
        <v>1011192</v>
      </c>
      <c r="B3518" s="7" t="s">
        <v>3478</v>
      </c>
      <c r="C3518" s="14">
        <v>1057.6923875432526</v>
      </c>
      <c r="D3518" s="14">
        <v>1057.6923875432526</v>
      </c>
      <c r="E3518" s="14">
        <f t="shared" si="55"/>
        <v>1057.6923875432526</v>
      </c>
    </row>
    <row r="3519" spans="1:5" x14ac:dyDescent="0.3">
      <c r="A3519" s="7">
        <v>1011220</v>
      </c>
      <c r="B3519" s="7" t="s">
        <v>3479</v>
      </c>
      <c r="C3519" s="14">
        <v>593.54</v>
      </c>
      <c r="D3519" s="14">
        <v>593.54</v>
      </c>
      <c r="E3519" s="14">
        <f t="shared" si="55"/>
        <v>593.54</v>
      </c>
    </row>
    <row r="3520" spans="1:5" x14ac:dyDescent="0.3">
      <c r="A3520" s="7">
        <v>1011404</v>
      </c>
      <c r="B3520" s="7" t="s">
        <v>3480</v>
      </c>
      <c r="C3520" s="14">
        <v>1029.266798927614</v>
      </c>
      <c r="D3520" s="14">
        <v>1029.266798927614</v>
      </c>
      <c r="E3520" s="14">
        <f t="shared" si="55"/>
        <v>1029.266798927614</v>
      </c>
    </row>
    <row r="3521" spans="1:5" x14ac:dyDescent="0.3">
      <c r="A3521" s="7">
        <v>1011469</v>
      </c>
      <c r="B3521" s="7" t="s">
        <v>3481</v>
      </c>
      <c r="C3521" s="14">
        <v>21.24</v>
      </c>
      <c r="D3521" s="14">
        <v>21.24</v>
      </c>
      <c r="E3521" s="14">
        <f t="shared" si="55"/>
        <v>21.24</v>
      </c>
    </row>
    <row r="3522" spans="1:5" x14ac:dyDescent="0.3">
      <c r="A3522" s="7">
        <v>1011472</v>
      </c>
      <c r="B3522" s="7" t="s">
        <v>3482</v>
      </c>
      <c r="C3522" s="14">
        <v>90.86</v>
      </c>
      <c r="D3522" s="14">
        <v>90.86</v>
      </c>
      <c r="E3522" s="14">
        <f t="shared" si="55"/>
        <v>90.86</v>
      </c>
    </row>
    <row r="3523" spans="1:5" x14ac:dyDescent="0.3">
      <c r="A3523" s="7">
        <v>1011473</v>
      </c>
      <c r="B3523" s="7" t="s">
        <v>3483</v>
      </c>
      <c r="C3523" s="14">
        <v>94.4</v>
      </c>
      <c r="D3523" s="14">
        <v>94.4</v>
      </c>
      <c r="E3523" s="14">
        <f t="shared" si="55"/>
        <v>94.4</v>
      </c>
    </row>
    <row r="3524" spans="1:5" x14ac:dyDescent="0.3">
      <c r="A3524" s="7">
        <v>1011474</v>
      </c>
      <c r="B3524" s="7" t="s">
        <v>3484</v>
      </c>
      <c r="C3524" s="14">
        <v>123.9</v>
      </c>
      <c r="D3524" s="14">
        <v>123.9</v>
      </c>
      <c r="E3524" s="14">
        <f t="shared" si="55"/>
        <v>123.9</v>
      </c>
    </row>
    <row r="3525" spans="1:5" x14ac:dyDescent="0.3">
      <c r="A3525" s="7">
        <v>1011500</v>
      </c>
      <c r="B3525" s="7" t="s">
        <v>3485</v>
      </c>
      <c r="C3525" s="14">
        <v>21.24</v>
      </c>
      <c r="D3525" s="14">
        <v>21.24</v>
      </c>
      <c r="E3525" s="14">
        <f t="shared" si="55"/>
        <v>21.24</v>
      </c>
    </row>
    <row r="3526" spans="1:5" x14ac:dyDescent="0.3">
      <c r="A3526" s="7">
        <v>1011502</v>
      </c>
      <c r="B3526" s="7" t="s">
        <v>3486</v>
      </c>
      <c r="C3526" s="14">
        <v>109.6692</v>
      </c>
      <c r="D3526" s="14">
        <v>109.6692</v>
      </c>
      <c r="E3526" s="14">
        <f t="shared" si="55"/>
        <v>109.6692</v>
      </c>
    </row>
    <row r="3527" spans="1:5" x14ac:dyDescent="0.3">
      <c r="A3527" s="7">
        <v>1011515</v>
      </c>
      <c r="B3527" s="7" t="s">
        <v>3487</v>
      </c>
      <c r="C3527" s="14">
        <v>44</v>
      </c>
      <c r="D3527" s="14">
        <v>44</v>
      </c>
      <c r="E3527" s="14">
        <f t="shared" si="55"/>
        <v>44</v>
      </c>
    </row>
    <row r="3528" spans="1:5" x14ac:dyDescent="0.3">
      <c r="A3528" s="7">
        <v>1011518</v>
      </c>
      <c r="B3528" s="7" t="s">
        <v>3488</v>
      </c>
      <c r="C3528" s="14">
        <v>171.1</v>
      </c>
      <c r="D3528" s="14">
        <v>171.1</v>
      </c>
      <c r="E3528" s="14">
        <f t="shared" si="55"/>
        <v>171.1</v>
      </c>
    </row>
    <row r="3529" spans="1:5" x14ac:dyDescent="0.3">
      <c r="A3529" s="7">
        <v>1011543</v>
      </c>
      <c r="B3529" s="7" t="s">
        <v>3489</v>
      </c>
      <c r="C3529" s="14">
        <v>61.36</v>
      </c>
      <c r="D3529" s="14">
        <v>61.36</v>
      </c>
      <c r="E3529" s="14">
        <f t="shared" si="55"/>
        <v>61.36</v>
      </c>
    </row>
    <row r="3530" spans="1:5" x14ac:dyDescent="0.3">
      <c r="A3530" s="7">
        <v>1011553</v>
      </c>
      <c r="B3530" s="7" t="s">
        <v>3490</v>
      </c>
      <c r="C3530" s="14">
        <v>41.724166666666669</v>
      </c>
      <c r="D3530" s="14">
        <v>41.724166666666669</v>
      </c>
      <c r="E3530" s="14">
        <f t="shared" si="55"/>
        <v>41.724166666666669</v>
      </c>
    </row>
    <row r="3531" spans="1:5" x14ac:dyDescent="0.3">
      <c r="A3531" s="7">
        <v>1011555</v>
      </c>
      <c r="B3531" s="7" t="s">
        <v>3491</v>
      </c>
      <c r="C3531" s="14">
        <v>99.12</v>
      </c>
      <c r="D3531" s="14">
        <v>99.12</v>
      </c>
      <c r="E3531" s="14">
        <f t="shared" si="55"/>
        <v>99.12</v>
      </c>
    </row>
    <row r="3532" spans="1:5" x14ac:dyDescent="0.3">
      <c r="A3532" s="7">
        <v>1011560</v>
      </c>
      <c r="B3532" s="7" t="s">
        <v>3492</v>
      </c>
      <c r="C3532" s="14">
        <v>611.24</v>
      </c>
      <c r="D3532" s="14">
        <v>611.24</v>
      </c>
      <c r="E3532" s="14">
        <f t="shared" si="55"/>
        <v>611.24</v>
      </c>
    </row>
    <row r="3533" spans="1:5" x14ac:dyDescent="0.3">
      <c r="A3533" s="7">
        <v>1011564</v>
      </c>
      <c r="B3533" s="7" t="s">
        <v>3493</v>
      </c>
      <c r="C3533" s="14">
        <v>162.78142857142856</v>
      </c>
      <c r="D3533" s="14">
        <v>162.78142857142856</v>
      </c>
      <c r="E3533" s="14">
        <f t="shared" si="55"/>
        <v>162.78142857142856</v>
      </c>
    </row>
    <row r="3534" spans="1:5" x14ac:dyDescent="0.3">
      <c r="A3534" s="7">
        <v>1011569</v>
      </c>
      <c r="B3534" s="7" t="s">
        <v>3494</v>
      </c>
      <c r="C3534" s="14">
        <v>116.58421052631579</v>
      </c>
      <c r="D3534" s="14">
        <v>116.58421052631579</v>
      </c>
      <c r="E3534" s="14">
        <f t="shared" si="55"/>
        <v>116.58421052631579</v>
      </c>
    </row>
    <row r="3535" spans="1:5" x14ac:dyDescent="0.3">
      <c r="A3535" s="7">
        <v>1011570</v>
      </c>
      <c r="B3535" s="7" t="s">
        <v>3495</v>
      </c>
      <c r="C3535" s="14">
        <v>93.573999999999998</v>
      </c>
      <c r="D3535" s="14">
        <v>93.573999999999998</v>
      </c>
      <c r="E3535" s="14">
        <f t="shared" si="55"/>
        <v>93.573999999999998</v>
      </c>
    </row>
    <row r="3536" spans="1:5" x14ac:dyDescent="0.3">
      <c r="A3536" s="7">
        <v>1011621</v>
      </c>
      <c r="B3536" s="7" t="s">
        <v>3496</v>
      </c>
      <c r="C3536" s="14">
        <v>1288.56</v>
      </c>
      <c r="D3536" s="14">
        <v>1288.56</v>
      </c>
      <c r="E3536" s="14">
        <f t="shared" si="55"/>
        <v>1288.56</v>
      </c>
    </row>
    <row r="3537" spans="1:5" x14ac:dyDescent="0.3">
      <c r="A3537" s="7">
        <v>1011770</v>
      </c>
      <c r="B3537" s="7" t="s">
        <v>3497</v>
      </c>
      <c r="C3537" s="14">
        <v>1543.44</v>
      </c>
      <c r="D3537" s="14">
        <v>1543.44</v>
      </c>
      <c r="E3537" s="14">
        <f t="shared" si="55"/>
        <v>1543.44</v>
      </c>
    </row>
    <row r="3538" spans="1:5" x14ac:dyDescent="0.3">
      <c r="A3538" s="7">
        <v>1011771</v>
      </c>
      <c r="B3538" s="7" t="s">
        <v>3498</v>
      </c>
      <c r="C3538" s="14">
        <v>3375.98</v>
      </c>
      <c r="D3538" s="14">
        <v>3375.98</v>
      </c>
      <c r="E3538" s="14">
        <f t="shared" si="55"/>
        <v>3375.98</v>
      </c>
    </row>
    <row r="3539" spans="1:5" x14ac:dyDescent="0.3">
      <c r="A3539" s="7">
        <v>1011843</v>
      </c>
      <c r="B3539" s="7" t="s">
        <v>1905</v>
      </c>
      <c r="C3539" s="14">
        <v>5577.815419532325</v>
      </c>
      <c r="D3539" s="14">
        <v>5577.815419532325</v>
      </c>
      <c r="E3539" s="14">
        <f t="shared" si="55"/>
        <v>5577.815419532325</v>
      </c>
    </row>
    <row r="3540" spans="1:5" x14ac:dyDescent="0.3">
      <c r="A3540" s="7">
        <v>1011852</v>
      </c>
      <c r="B3540" s="7" t="s">
        <v>3499</v>
      </c>
      <c r="C3540" s="14">
        <v>155170</v>
      </c>
      <c r="D3540" s="14">
        <v>155170</v>
      </c>
      <c r="E3540" s="14">
        <f t="shared" si="55"/>
        <v>155170</v>
      </c>
    </row>
    <row r="3541" spans="1:5" x14ac:dyDescent="0.3">
      <c r="A3541" s="7">
        <v>1011966</v>
      </c>
      <c r="B3541" s="7" t="s">
        <v>3500</v>
      </c>
      <c r="C3541" s="14">
        <v>123.9</v>
      </c>
      <c r="D3541" s="14">
        <v>123.9</v>
      </c>
      <c r="E3541" s="14">
        <f t="shared" si="55"/>
        <v>123.9</v>
      </c>
    </row>
    <row r="3542" spans="1:5" x14ac:dyDescent="0.3">
      <c r="A3542" s="7">
        <v>1012175</v>
      </c>
      <c r="B3542" s="7" t="s">
        <v>3501</v>
      </c>
      <c r="C3542" s="14">
        <v>6503.9133333333339</v>
      </c>
      <c r="D3542" s="14">
        <v>6503.9133333333339</v>
      </c>
      <c r="E3542" s="14">
        <f t="shared" si="55"/>
        <v>6503.9133333333339</v>
      </c>
    </row>
    <row r="3543" spans="1:5" x14ac:dyDescent="0.3">
      <c r="A3543" s="7">
        <v>1012176</v>
      </c>
      <c r="B3543" s="7" t="s">
        <v>3502</v>
      </c>
      <c r="C3543" s="14">
        <v>5860.8005714285709</v>
      </c>
      <c r="D3543" s="14">
        <v>5860.8005714285709</v>
      </c>
      <c r="E3543" s="14">
        <f t="shared" si="55"/>
        <v>5860.8005714285709</v>
      </c>
    </row>
    <row r="3544" spans="1:5" x14ac:dyDescent="0.3">
      <c r="A3544" s="7">
        <v>1012272</v>
      </c>
      <c r="B3544" s="7" t="s">
        <v>3503</v>
      </c>
      <c r="C3544" s="14">
        <v>81.301999999999992</v>
      </c>
      <c r="D3544" s="14">
        <v>81.301999999999992</v>
      </c>
      <c r="E3544" s="14">
        <f t="shared" si="55"/>
        <v>81.301999999999992</v>
      </c>
    </row>
    <row r="3545" spans="1:5" x14ac:dyDescent="0.3">
      <c r="A3545" s="7">
        <v>1012274</v>
      </c>
      <c r="B3545" s="7" t="s">
        <v>3504</v>
      </c>
      <c r="C3545" s="14">
        <v>44.84</v>
      </c>
      <c r="D3545" s="14">
        <v>44.84</v>
      </c>
      <c r="E3545" s="14">
        <f t="shared" si="55"/>
        <v>44.84</v>
      </c>
    </row>
    <row r="3546" spans="1:5" x14ac:dyDescent="0.3">
      <c r="A3546" s="7">
        <v>1012276</v>
      </c>
      <c r="B3546" s="7" t="s">
        <v>3505</v>
      </c>
      <c r="C3546" s="14">
        <v>69.690799999999996</v>
      </c>
      <c r="D3546" s="14">
        <v>69.690799999999996</v>
      </c>
      <c r="E3546" s="14">
        <f t="shared" si="55"/>
        <v>69.690799999999996</v>
      </c>
    </row>
    <row r="3547" spans="1:5" x14ac:dyDescent="0.3">
      <c r="A3547" s="7">
        <v>1012279</v>
      </c>
      <c r="B3547" s="7" t="s">
        <v>3506</v>
      </c>
      <c r="C3547" s="14">
        <v>177</v>
      </c>
      <c r="D3547" s="14">
        <v>177</v>
      </c>
      <c r="E3547" s="14">
        <f t="shared" si="55"/>
        <v>177</v>
      </c>
    </row>
    <row r="3548" spans="1:5" x14ac:dyDescent="0.3">
      <c r="A3548" s="7">
        <v>1012280</v>
      </c>
      <c r="B3548" s="7" t="s">
        <v>3507</v>
      </c>
      <c r="C3548" s="14">
        <v>197.06</v>
      </c>
      <c r="D3548" s="14">
        <v>197.06</v>
      </c>
      <c r="E3548" s="14">
        <f t="shared" si="55"/>
        <v>197.06</v>
      </c>
    </row>
    <row r="3549" spans="1:5" x14ac:dyDescent="0.3">
      <c r="A3549" s="7">
        <v>1012281</v>
      </c>
      <c r="B3549" s="7" t="s">
        <v>3508</v>
      </c>
      <c r="C3549" s="14">
        <v>200.6472</v>
      </c>
      <c r="D3549" s="14">
        <v>200.6472</v>
      </c>
      <c r="E3549" s="14">
        <f t="shared" si="55"/>
        <v>200.6472</v>
      </c>
    </row>
    <row r="3550" spans="1:5" x14ac:dyDescent="0.3">
      <c r="A3550" s="7">
        <v>1012283</v>
      </c>
      <c r="B3550" s="7" t="s">
        <v>3509</v>
      </c>
      <c r="C3550" s="14">
        <v>337.91666666666669</v>
      </c>
      <c r="D3550" s="14">
        <v>337.91666666666669</v>
      </c>
      <c r="E3550" s="14">
        <f t="shared" si="55"/>
        <v>337.91666666666669</v>
      </c>
    </row>
    <row r="3551" spans="1:5" x14ac:dyDescent="0.3">
      <c r="A3551" s="7">
        <v>1012284</v>
      </c>
      <c r="B3551" s="7" t="s">
        <v>3510</v>
      </c>
      <c r="C3551" s="14">
        <v>7212.4789999999994</v>
      </c>
      <c r="D3551" s="14">
        <v>7212.4789999999994</v>
      </c>
      <c r="E3551" s="14">
        <f t="shared" si="55"/>
        <v>7212.4789999999994</v>
      </c>
    </row>
    <row r="3552" spans="1:5" x14ac:dyDescent="0.3">
      <c r="A3552" s="7">
        <v>1012285</v>
      </c>
      <c r="B3552" s="7" t="s">
        <v>3511</v>
      </c>
      <c r="C3552" s="14">
        <v>212.25839999999999</v>
      </c>
      <c r="D3552" s="14">
        <v>212.25839999999999</v>
      </c>
      <c r="E3552" s="14">
        <f t="shared" si="55"/>
        <v>212.25839999999999</v>
      </c>
    </row>
    <row r="3553" spans="1:5" x14ac:dyDescent="0.3">
      <c r="A3553" s="7">
        <v>1012651</v>
      </c>
      <c r="B3553" s="7" t="s">
        <v>3512</v>
      </c>
      <c r="C3553" s="14">
        <v>6.9813810404013736</v>
      </c>
      <c r="D3553" s="14">
        <v>6.9813810404013736</v>
      </c>
      <c r="E3553" s="14">
        <f t="shared" ref="E3553:E3600" si="56">+MAX(C3553, D3553)</f>
        <v>6.9813810404013736</v>
      </c>
    </row>
    <row r="3554" spans="1:5" x14ac:dyDescent="0.3">
      <c r="A3554" s="7">
        <v>1012846</v>
      </c>
      <c r="B3554" s="7" t="s">
        <v>3513</v>
      </c>
      <c r="C3554" s="14">
        <v>475.20959999999997</v>
      </c>
      <c r="D3554" s="14">
        <v>475.20959999999997</v>
      </c>
      <c r="E3554" s="14">
        <f t="shared" si="56"/>
        <v>475.20959999999997</v>
      </c>
    </row>
    <row r="3555" spans="1:5" x14ac:dyDescent="0.3">
      <c r="A3555" s="7">
        <v>1012851</v>
      </c>
      <c r="B3555" s="7" t="s">
        <v>3514</v>
      </c>
      <c r="C3555" s="14">
        <v>174.2388</v>
      </c>
      <c r="D3555" s="14">
        <v>174.2388</v>
      </c>
      <c r="E3555" s="14">
        <f t="shared" si="56"/>
        <v>174.2388</v>
      </c>
    </row>
    <row r="3556" spans="1:5" x14ac:dyDescent="0.3">
      <c r="A3556" s="7">
        <v>1012852</v>
      </c>
      <c r="B3556" s="7" t="s">
        <v>3515</v>
      </c>
      <c r="C3556" s="14">
        <v>413</v>
      </c>
      <c r="D3556" s="14">
        <v>413</v>
      </c>
      <c r="E3556" s="14">
        <f t="shared" si="56"/>
        <v>413</v>
      </c>
    </row>
    <row r="3557" spans="1:5" x14ac:dyDescent="0.3">
      <c r="A3557" s="7">
        <v>1012853</v>
      </c>
      <c r="B3557" s="7" t="s">
        <v>3516</v>
      </c>
      <c r="C3557" s="14">
        <v>253.44040000000001</v>
      </c>
      <c r="D3557" s="14">
        <v>253.44040000000001</v>
      </c>
      <c r="E3557" s="14">
        <f t="shared" si="56"/>
        <v>253.44040000000001</v>
      </c>
    </row>
    <row r="3558" spans="1:5" x14ac:dyDescent="0.3">
      <c r="A3558" s="7">
        <v>1013746</v>
      </c>
      <c r="B3558" s="7" t="s">
        <v>3517</v>
      </c>
      <c r="C3558" s="14">
        <v>1300</v>
      </c>
      <c r="D3558" s="14">
        <v>1300</v>
      </c>
      <c r="E3558" s="14">
        <f t="shared" si="56"/>
        <v>1300</v>
      </c>
    </row>
    <row r="3559" spans="1:5" x14ac:dyDescent="0.3">
      <c r="A3559" s="7">
        <v>1013768</v>
      </c>
      <c r="B3559" s="7" t="s">
        <v>3518</v>
      </c>
      <c r="C3559" s="14">
        <v>11987.997500000001</v>
      </c>
      <c r="D3559" s="14">
        <v>11987.997500000001</v>
      </c>
      <c r="E3559" s="14">
        <f t="shared" si="56"/>
        <v>11987.997500000001</v>
      </c>
    </row>
    <row r="3560" spans="1:5" x14ac:dyDescent="0.3">
      <c r="A3560" s="7">
        <v>1013908</v>
      </c>
      <c r="B3560" s="7" t="s">
        <v>3519</v>
      </c>
      <c r="C3560" s="14">
        <v>55.460000078454293</v>
      </c>
      <c r="D3560" s="14">
        <v>55.460000078454293</v>
      </c>
      <c r="E3560" s="14">
        <f t="shared" si="56"/>
        <v>55.460000078454293</v>
      </c>
    </row>
    <row r="3561" spans="1:5" x14ac:dyDescent="0.3">
      <c r="A3561" s="7">
        <v>1014335</v>
      </c>
      <c r="B3561" s="7" t="s">
        <v>3520</v>
      </c>
      <c r="C3561" s="14">
        <v>97.9636</v>
      </c>
      <c r="D3561" s="14">
        <v>97.9636</v>
      </c>
      <c r="E3561" s="14">
        <f t="shared" si="56"/>
        <v>97.9636</v>
      </c>
    </row>
    <row r="3562" spans="1:5" x14ac:dyDescent="0.3">
      <c r="A3562" s="7">
        <v>1014434</v>
      </c>
      <c r="B3562" s="7" t="s">
        <v>3521</v>
      </c>
      <c r="C3562" s="14">
        <v>98872.2</v>
      </c>
      <c r="D3562" s="14">
        <v>98872.2</v>
      </c>
      <c r="E3562" s="14">
        <f t="shared" si="56"/>
        <v>98872.2</v>
      </c>
    </row>
    <row r="3563" spans="1:5" x14ac:dyDescent="0.3">
      <c r="A3563" s="7">
        <v>1014519</v>
      </c>
      <c r="B3563" s="7" t="s">
        <v>3522</v>
      </c>
      <c r="C3563" s="14">
        <v>36120.5625</v>
      </c>
      <c r="D3563" s="14">
        <v>36120.5625</v>
      </c>
      <c r="E3563" s="14">
        <f t="shared" si="56"/>
        <v>36120.5625</v>
      </c>
    </row>
    <row r="3564" spans="1:5" x14ac:dyDescent="0.3">
      <c r="A3564" s="7">
        <v>1014573</v>
      </c>
      <c r="B3564" s="7" t="s">
        <v>3523</v>
      </c>
      <c r="C3564" s="14">
        <v>1769.0677236307104</v>
      </c>
      <c r="D3564" s="14">
        <v>1769.0677236307104</v>
      </c>
      <c r="E3564" s="14">
        <f t="shared" si="56"/>
        <v>1769.0677236307104</v>
      </c>
    </row>
    <row r="3565" spans="1:5" x14ac:dyDescent="0.3">
      <c r="A3565" s="7">
        <v>1014605</v>
      </c>
      <c r="B3565" s="7" t="s">
        <v>3524</v>
      </c>
      <c r="C3565" s="14">
        <v>155170</v>
      </c>
      <c r="D3565" s="14">
        <v>155170</v>
      </c>
      <c r="E3565" s="14">
        <f t="shared" si="56"/>
        <v>155170</v>
      </c>
    </row>
    <row r="3566" spans="1:5" x14ac:dyDescent="0.3">
      <c r="A3566" s="7">
        <v>1014606</v>
      </c>
      <c r="B3566" s="7" t="s">
        <v>3525</v>
      </c>
      <c r="C3566" s="14">
        <v>40083.283231182795</v>
      </c>
      <c r="D3566" s="14">
        <v>40083.283231182795</v>
      </c>
      <c r="E3566" s="14">
        <f t="shared" si="56"/>
        <v>40083.283231182795</v>
      </c>
    </row>
    <row r="3567" spans="1:5" x14ac:dyDescent="0.3">
      <c r="A3567" s="7">
        <v>1014607</v>
      </c>
      <c r="B3567" s="7" t="s">
        <v>3526</v>
      </c>
      <c r="C3567" s="14">
        <v>177000</v>
      </c>
      <c r="D3567" s="14">
        <v>177000</v>
      </c>
      <c r="E3567" s="14">
        <f t="shared" si="56"/>
        <v>177000</v>
      </c>
    </row>
    <row r="3568" spans="1:5" x14ac:dyDescent="0.3">
      <c r="A3568" s="7">
        <v>1014628</v>
      </c>
      <c r="B3568" s="7" t="s">
        <v>3527</v>
      </c>
      <c r="C3568" s="14">
        <v>2039.9177867383512</v>
      </c>
      <c r="D3568" s="14">
        <v>2039.9177867383512</v>
      </c>
      <c r="E3568" s="14">
        <f t="shared" si="56"/>
        <v>2039.9177867383512</v>
      </c>
    </row>
    <row r="3569" spans="1:6" x14ac:dyDescent="0.3">
      <c r="A3569" s="7">
        <v>1014667</v>
      </c>
      <c r="B3569" s="7" t="s">
        <v>3528</v>
      </c>
      <c r="C3569" s="14">
        <v>8152.2583771929831</v>
      </c>
      <c r="D3569" s="14">
        <v>8152.2583771929831</v>
      </c>
      <c r="E3569" s="14">
        <f t="shared" si="56"/>
        <v>8152.2583771929831</v>
      </c>
    </row>
    <row r="3570" spans="1:6" x14ac:dyDescent="0.3">
      <c r="A3570" s="7">
        <v>1014687</v>
      </c>
      <c r="B3570" s="7" t="s">
        <v>3529</v>
      </c>
      <c r="C3570" s="14">
        <v>1139.4190000000001</v>
      </c>
      <c r="D3570" s="14">
        <v>1139.4190000000001</v>
      </c>
      <c r="E3570" s="14">
        <f t="shared" si="56"/>
        <v>1139.4190000000001</v>
      </c>
    </row>
    <row r="3571" spans="1:6" x14ac:dyDescent="0.3">
      <c r="A3571" s="7">
        <v>1014694</v>
      </c>
      <c r="B3571" s="7" t="s">
        <v>3530</v>
      </c>
      <c r="C3571" s="14">
        <v>318.60000000000002</v>
      </c>
      <c r="D3571" s="14">
        <v>318.60000000000002</v>
      </c>
      <c r="E3571" s="14">
        <f t="shared" si="56"/>
        <v>318.60000000000002</v>
      </c>
    </row>
    <row r="3572" spans="1:6" x14ac:dyDescent="0.3">
      <c r="A3572" s="7">
        <v>1014741</v>
      </c>
      <c r="B3572" s="7" t="s">
        <v>3531</v>
      </c>
      <c r="C3572" s="14">
        <v>2.194799995149928</v>
      </c>
      <c r="D3572" s="14">
        <v>2.194799995149928</v>
      </c>
      <c r="E3572" s="14">
        <f t="shared" si="56"/>
        <v>2.194799995149928</v>
      </c>
    </row>
    <row r="3573" spans="1:6" x14ac:dyDescent="0.3">
      <c r="A3573" s="7">
        <v>1014742</v>
      </c>
      <c r="B3573" s="7" t="s">
        <v>3532</v>
      </c>
      <c r="C3573" s="14">
        <v>0.93221579961464363</v>
      </c>
      <c r="D3573" s="14">
        <v>0.93221579961464363</v>
      </c>
      <c r="E3573" s="14">
        <f t="shared" si="56"/>
        <v>0.93221579961464363</v>
      </c>
    </row>
    <row r="3574" spans="1:6" x14ac:dyDescent="0.3">
      <c r="A3574" s="7">
        <v>1014744</v>
      </c>
      <c r="B3574" s="7" t="s">
        <v>3533</v>
      </c>
      <c r="C3574" s="14">
        <v>487.10400051652891</v>
      </c>
      <c r="D3574" s="14">
        <v>487.10400051652891</v>
      </c>
      <c r="E3574" s="14">
        <f t="shared" si="56"/>
        <v>487.10400051652891</v>
      </c>
    </row>
    <row r="3575" spans="1:6" x14ac:dyDescent="0.3">
      <c r="A3575" s="7">
        <v>1014746</v>
      </c>
      <c r="B3575" s="7" t="s">
        <v>3534</v>
      </c>
      <c r="C3575" s="14">
        <v>3499556.79</v>
      </c>
      <c r="D3575" s="14">
        <v>3499556.79</v>
      </c>
      <c r="E3575" s="14">
        <f t="shared" si="56"/>
        <v>3499556.79</v>
      </c>
    </row>
    <row r="3576" spans="1:6" x14ac:dyDescent="0.3">
      <c r="A3576" s="7">
        <v>1014747</v>
      </c>
      <c r="B3576" s="7" t="s">
        <v>3535</v>
      </c>
      <c r="C3576" s="14">
        <v>1500000</v>
      </c>
      <c r="D3576" s="14">
        <v>1500000</v>
      </c>
      <c r="E3576" s="14">
        <f t="shared" si="56"/>
        <v>1500000</v>
      </c>
    </row>
    <row r="3577" spans="1:6" x14ac:dyDescent="0.3">
      <c r="A3577" s="7">
        <v>1014748</v>
      </c>
      <c r="B3577" s="7" t="s">
        <v>3536</v>
      </c>
      <c r="C3577" s="14">
        <v>351283.51</v>
      </c>
      <c r="D3577" s="14">
        <v>351283.51</v>
      </c>
      <c r="E3577" s="14">
        <f t="shared" si="56"/>
        <v>351283.51</v>
      </c>
    </row>
    <row r="3578" spans="1:6" x14ac:dyDescent="0.3">
      <c r="A3578" s="7">
        <v>1014750</v>
      </c>
      <c r="B3578" s="7" t="s">
        <v>3537</v>
      </c>
      <c r="C3578" s="14">
        <v>1</v>
      </c>
      <c r="D3578" s="14">
        <v>1</v>
      </c>
      <c r="E3578" s="14">
        <f t="shared" si="56"/>
        <v>1</v>
      </c>
    </row>
    <row r="3579" spans="1:6" x14ac:dyDescent="0.3">
      <c r="A3579" s="7">
        <v>1014800</v>
      </c>
      <c r="B3579" s="7" t="s">
        <v>3538</v>
      </c>
      <c r="C3579" s="14">
        <v>4.72</v>
      </c>
      <c r="D3579" s="14">
        <v>4.72</v>
      </c>
      <c r="E3579" s="14">
        <f t="shared" si="56"/>
        <v>4.72</v>
      </c>
    </row>
    <row r="3580" spans="1:6" x14ac:dyDescent="0.3">
      <c r="A3580" s="7">
        <v>1014802</v>
      </c>
      <c r="B3580" s="7" t="s">
        <v>3539</v>
      </c>
      <c r="C3580" s="14">
        <v>163.79599999999999</v>
      </c>
      <c r="D3580" s="14">
        <v>163.79599999999999</v>
      </c>
      <c r="E3580" s="14">
        <f t="shared" si="56"/>
        <v>163.79599999999999</v>
      </c>
    </row>
    <row r="3581" spans="1:6" x14ac:dyDescent="0.3">
      <c r="A3581" s="7">
        <v>1014803</v>
      </c>
      <c r="B3581" s="7" t="s">
        <v>3540</v>
      </c>
      <c r="C3581" s="14">
        <v>236</v>
      </c>
      <c r="D3581" s="14">
        <v>236</v>
      </c>
      <c r="E3581" s="14">
        <f t="shared" si="56"/>
        <v>236</v>
      </c>
    </row>
    <row r="3582" spans="1:6" x14ac:dyDescent="0.3">
      <c r="A3582" s="7">
        <v>1014838</v>
      </c>
      <c r="B3582" s="7" t="s">
        <v>3541</v>
      </c>
      <c r="C3582" s="14">
        <v>3380.0533333333333</v>
      </c>
      <c r="D3582" s="14">
        <v>3380.0533333333333</v>
      </c>
      <c r="E3582" s="14">
        <f t="shared" si="56"/>
        <v>3380.0533333333333</v>
      </c>
    </row>
    <row r="3583" spans="1:6" x14ac:dyDescent="0.3">
      <c r="A3583" s="7">
        <v>1014984</v>
      </c>
      <c r="B3583" s="7" t="s">
        <v>3542</v>
      </c>
      <c r="C3583" s="14">
        <v>140.30158730158729</v>
      </c>
      <c r="D3583" s="14">
        <v>140.30158730158729</v>
      </c>
      <c r="E3583" s="14">
        <f t="shared" si="56"/>
        <v>140.30158730158729</v>
      </c>
    </row>
    <row r="3584" spans="1:6" x14ac:dyDescent="0.3">
      <c r="A3584" s="7">
        <v>1015060</v>
      </c>
      <c r="B3584" s="7" t="s">
        <v>3543</v>
      </c>
      <c r="C3584" s="14">
        <v>320.07501424501424</v>
      </c>
      <c r="D3584" s="14">
        <v>320.07501424501424</v>
      </c>
      <c r="E3584" s="14">
        <f t="shared" si="56"/>
        <v>320.07501424501424</v>
      </c>
      <c r="F3584" s="7"/>
    </row>
    <row r="3585" spans="1:5" x14ac:dyDescent="0.3">
      <c r="A3585" s="7">
        <v>1015078</v>
      </c>
      <c r="B3585" s="7" t="s">
        <v>3544</v>
      </c>
      <c r="C3585" s="14">
        <v>417.71999999999997</v>
      </c>
      <c r="D3585" s="14">
        <v>417.71999999999997</v>
      </c>
      <c r="E3585" s="14">
        <f t="shared" si="56"/>
        <v>417.71999999999997</v>
      </c>
    </row>
    <row r="3586" spans="1:5" x14ac:dyDescent="0.3">
      <c r="A3586" s="7">
        <v>1015079</v>
      </c>
      <c r="B3586" s="7" t="s">
        <v>3545</v>
      </c>
      <c r="C3586" s="14">
        <v>626.57999999999993</v>
      </c>
      <c r="D3586" s="14">
        <v>626.57999999999993</v>
      </c>
      <c r="E3586" s="14">
        <f t="shared" si="56"/>
        <v>626.57999999999993</v>
      </c>
    </row>
    <row r="3587" spans="1:5" x14ac:dyDescent="0.3">
      <c r="A3587" s="7">
        <v>1015089</v>
      </c>
      <c r="B3587" s="7" t="s">
        <v>3546</v>
      </c>
      <c r="C3587" s="14">
        <v>320.07499999999999</v>
      </c>
      <c r="D3587" s="14">
        <v>320.07499999999999</v>
      </c>
      <c r="E3587" s="14">
        <f t="shared" si="56"/>
        <v>320.07499999999999</v>
      </c>
    </row>
    <row r="3588" spans="1:5" x14ac:dyDescent="0.3">
      <c r="A3588" s="7">
        <v>1015093</v>
      </c>
      <c r="B3588" s="7" t="s">
        <v>3547</v>
      </c>
      <c r="C3588" s="14">
        <v>588.79640000000006</v>
      </c>
      <c r="D3588" s="14">
        <v>588.79640000000006</v>
      </c>
      <c r="E3588" s="14">
        <f t="shared" si="56"/>
        <v>588.79640000000006</v>
      </c>
    </row>
    <row r="3589" spans="1:5" x14ac:dyDescent="0.3">
      <c r="A3589" s="7">
        <v>1015094</v>
      </c>
      <c r="B3589" s="7" t="s">
        <v>3548</v>
      </c>
      <c r="C3589" s="14">
        <v>709.41599999999994</v>
      </c>
      <c r="D3589" s="14">
        <v>709.41599999999994</v>
      </c>
      <c r="E3589" s="14">
        <f t="shared" si="56"/>
        <v>709.41599999999994</v>
      </c>
    </row>
    <row r="3590" spans="1:5" x14ac:dyDescent="0.3">
      <c r="A3590" s="7">
        <v>1015107</v>
      </c>
      <c r="B3590" s="7" t="s">
        <v>3549</v>
      </c>
      <c r="C3590" s="14">
        <v>245.44</v>
      </c>
      <c r="D3590" s="14">
        <v>245.44</v>
      </c>
      <c r="E3590" s="14">
        <f t="shared" si="56"/>
        <v>245.44</v>
      </c>
    </row>
    <row r="3591" spans="1:5" x14ac:dyDescent="0.3">
      <c r="A3591" s="7">
        <v>1015364</v>
      </c>
      <c r="B3591" s="7" t="s">
        <v>3550</v>
      </c>
      <c r="C3591" s="14">
        <v>233948.99</v>
      </c>
      <c r="D3591" s="14">
        <v>233948.99</v>
      </c>
      <c r="E3591" s="14">
        <f t="shared" si="56"/>
        <v>233948.99</v>
      </c>
    </row>
    <row r="3592" spans="1:5" x14ac:dyDescent="0.3">
      <c r="A3592" s="7">
        <v>1015366</v>
      </c>
      <c r="B3592" s="7" t="s">
        <v>3551</v>
      </c>
      <c r="C3592" s="14">
        <v>320223.24</v>
      </c>
      <c r="D3592" s="14">
        <v>320223.24</v>
      </c>
      <c r="E3592" s="14">
        <f t="shared" si="56"/>
        <v>320223.24</v>
      </c>
    </row>
    <row r="3593" spans="1:5" x14ac:dyDescent="0.3">
      <c r="A3593" s="7">
        <v>1015441</v>
      </c>
      <c r="B3593" s="7" t="s">
        <v>3552</v>
      </c>
      <c r="C3593" s="14">
        <v>1250.8</v>
      </c>
      <c r="D3593" s="14">
        <v>1250.8</v>
      </c>
      <c r="E3593" s="14">
        <f t="shared" si="56"/>
        <v>1250.8</v>
      </c>
    </row>
    <row r="3594" spans="1:5" x14ac:dyDescent="0.3">
      <c r="A3594" s="7">
        <v>1015475</v>
      </c>
      <c r="B3594" s="7" t="s">
        <v>3553</v>
      </c>
      <c r="C3594" s="14">
        <v>58873.74</v>
      </c>
      <c r="D3594" s="14">
        <v>58873.74</v>
      </c>
      <c r="E3594" s="14">
        <f t="shared" si="56"/>
        <v>58873.74</v>
      </c>
    </row>
    <row r="3595" spans="1:5" x14ac:dyDescent="0.3">
      <c r="A3595" s="7">
        <v>2008566</v>
      </c>
      <c r="B3595" s="7" t="s">
        <v>3554</v>
      </c>
      <c r="C3595" s="14">
        <v>418.9</v>
      </c>
      <c r="D3595" s="14">
        <v>418.9</v>
      </c>
      <c r="E3595" s="14">
        <f t="shared" si="56"/>
        <v>418.9</v>
      </c>
    </row>
    <row r="3596" spans="1:5" x14ac:dyDescent="0.3">
      <c r="A3596" s="7">
        <v>2009711</v>
      </c>
      <c r="B3596" s="7" t="s">
        <v>3555</v>
      </c>
      <c r="C3596" s="14">
        <v>34768.759000000005</v>
      </c>
      <c r="D3596" s="14">
        <v>34768.759000000005</v>
      </c>
      <c r="E3596" s="14">
        <f t="shared" si="56"/>
        <v>34768.759000000005</v>
      </c>
    </row>
    <row r="3597" spans="1:5" x14ac:dyDescent="0.3">
      <c r="A3597" s="7">
        <v>2017029</v>
      </c>
      <c r="B3597" s="7" t="s">
        <v>3556</v>
      </c>
      <c r="C3597" s="14">
        <v>326.28249999999997</v>
      </c>
      <c r="D3597" s="14">
        <v>326.28249999999997</v>
      </c>
      <c r="E3597" s="14">
        <f t="shared" si="56"/>
        <v>326.28249999999997</v>
      </c>
    </row>
    <row r="3598" spans="1:5" x14ac:dyDescent="0.3">
      <c r="A3598" s="7">
        <v>2017031</v>
      </c>
      <c r="B3598" s="7" t="s">
        <v>3557</v>
      </c>
      <c r="C3598" s="14">
        <v>25.96</v>
      </c>
      <c r="D3598" s="14">
        <v>25.96</v>
      </c>
      <c r="E3598" s="14">
        <f t="shared" si="56"/>
        <v>25.96</v>
      </c>
    </row>
    <row r="3599" spans="1:5" x14ac:dyDescent="0.3">
      <c r="A3599" s="7">
        <v>1015088</v>
      </c>
      <c r="B3599" s="7" t="s">
        <v>3596</v>
      </c>
      <c r="C3599">
        <v>1236.7580038948392</v>
      </c>
      <c r="D3599" s="14">
        <v>1236.7580038948392</v>
      </c>
      <c r="E3599" s="14">
        <f t="shared" si="56"/>
        <v>1236.7580038948392</v>
      </c>
    </row>
    <row r="3600" spans="1:5" x14ac:dyDescent="0.3">
      <c r="E3600" s="14">
        <f t="shared" si="56"/>
        <v>0</v>
      </c>
    </row>
    <row r="3604" spans="6:25" x14ac:dyDescent="0.3">
      <c r="F3604" t="s">
        <v>1689</v>
      </c>
      <c r="G3604">
        <v>281</v>
      </c>
      <c r="H3604">
        <v>1000</v>
      </c>
      <c r="I3604">
        <v>2001</v>
      </c>
      <c r="J3604">
        <v>2</v>
      </c>
      <c r="L3604" s="10">
        <v>1122126.3600000001</v>
      </c>
      <c r="M3604">
        <v>336546</v>
      </c>
      <c r="N3604" t="s">
        <v>3645</v>
      </c>
      <c r="O3604">
        <v>4900553738</v>
      </c>
      <c r="P3604" t="s">
        <v>3646</v>
      </c>
      <c r="R3604" t="s">
        <v>3647</v>
      </c>
      <c r="U3604" t="s">
        <v>3648</v>
      </c>
      <c r="V3604" t="s">
        <v>3645</v>
      </c>
      <c r="W3604" t="s">
        <v>3645</v>
      </c>
      <c r="X3604" s="52">
        <v>0.5800925925925926</v>
      </c>
      <c r="Y3604" t="s">
        <v>3644</v>
      </c>
    </row>
    <row r="3607" spans="6:25" x14ac:dyDescent="0.3">
      <c r="K3607" s="10">
        <f>+L3604/J3604</f>
        <v>561063.18000000005</v>
      </c>
    </row>
    <row r="3609" spans="6:25" x14ac:dyDescent="0.3">
      <c r="F3609" t="s">
        <v>1689</v>
      </c>
      <c r="G3609">
        <v>281</v>
      </c>
      <c r="H3609">
        <v>1000</v>
      </c>
      <c r="I3609">
        <v>2001</v>
      </c>
      <c r="J3609">
        <v>6</v>
      </c>
      <c r="L3609" s="10">
        <v>3366379.09</v>
      </c>
      <c r="M3609">
        <v>336546</v>
      </c>
      <c r="N3609" t="s">
        <v>3649</v>
      </c>
      <c r="O3609">
        <v>4900551401</v>
      </c>
      <c r="P3609" t="s">
        <v>3641</v>
      </c>
      <c r="R3609" t="s">
        <v>3647</v>
      </c>
      <c r="U3609" t="s">
        <v>3648</v>
      </c>
      <c r="V3609" t="s">
        <v>3649</v>
      </c>
      <c r="W3609" t="s">
        <v>3649</v>
      </c>
      <c r="X3609" s="52">
        <v>0.61163194444444446</v>
      </c>
      <c r="Y3609" t="s">
        <v>3644</v>
      </c>
    </row>
    <row r="3613" spans="6:25" x14ac:dyDescent="0.3">
      <c r="L3613" s="10">
        <f>+L3609/J3609</f>
        <v>561063.18166666664</v>
      </c>
    </row>
    <row r="3617" spans="8:8" x14ac:dyDescent="0.3">
      <c r="H3617">
        <v>120000</v>
      </c>
    </row>
    <row r="3618" spans="8:8" x14ac:dyDescent="0.3">
      <c r="H3618">
        <v>3.04</v>
      </c>
    </row>
    <row r="3619" spans="8:8" x14ac:dyDescent="0.3">
      <c r="H3619">
        <f>+H3618*H3617/100</f>
        <v>3648</v>
      </c>
    </row>
  </sheetData>
  <autoFilter ref="A1:E3600" xr:uid="{00000000-0001-0000-0100-000000000000}"/>
  <conditionalFormatting sqref="B3402">
    <cfRule type="cellIs" dxfId="0" priority="1" stopIfTrue="1" operator="equal">
      <formula>""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E2834-B9AC-4D6D-9A51-198012B42936}">
  <dimension ref="A1:F66"/>
  <sheetViews>
    <sheetView zoomScale="70" zoomScaleNormal="70" workbookViewId="0">
      <selection activeCell="F66" sqref="F66"/>
    </sheetView>
  </sheetViews>
  <sheetFormatPr baseColWidth="10" defaultRowHeight="14.4" x14ac:dyDescent="0.3"/>
  <cols>
    <col min="1" max="1" width="37.88671875" bestFit="1" customWidth="1"/>
    <col min="2" max="2" width="30.109375" customWidth="1"/>
    <col min="3" max="3" width="33.6640625" customWidth="1"/>
    <col min="4" max="4" width="33.109375" customWidth="1"/>
  </cols>
  <sheetData>
    <row r="1" spans="1:4" ht="17.399999999999999" x14ac:dyDescent="0.3">
      <c r="A1" s="53" t="s">
        <v>3638</v>
      </c>
      <c r="B1" s="53"/>
      <c r="C1" s="53"/>
      <c r="D1" s="53"/>
    </row>
    <row r="2" spans="1:4" x14ac:dyDescent="0.3">
      <c r="A2" s="7"/>
      <c r="B2" s="7"/>
      <c r="C2" s="7"/>
      <c r="D2" s="7"/>
    </row>
    <row r="3" spans="1:4" ht="15" thickBot="1" x14ac:dyDescent="0.35">
      <c r="A3" s="49" t="s">
        <v>3620</v>
      </c>
      <c r="B3" s="50" t="s">
        <v>3621</v>
      </c>
      <c r="C3" s="50" t="s">
        <v>3622</v>
      </c>
      <c r="D3" s="50" t="s">
        <v>3623</v>
      </c>
    </row>
    <row r="4" spans="1:4" ht="15" thickBot="1" x14ac:dyDescent="0.35">
      <c r="A4" s="47" t="s">
        <v>3624</v>
      </c>
      <c r="B4" s="47" t="s">
        <v>3625</v>
      </c>
      <c r="C4" s="47" t="s">
        <v>3626</v>
      </c>
      <c r="D4" s="47" t="s">
        <v>3626</v>
      </c>
    </row>
    <row r="5" spans="1:4" ht="28.2" thickBot="1" x14ac:dyDescent="0.35">
      <c r="A5" s="47" t="s">
        <v>3627</v>
      </c>
      <c r="B5" s="48" t="s">
        <v>3628</v>
      </c>
      <c r="C5" s="48" t="s">
        <v>3629</v>
      </c>
      <c r="D5" s="48" t="s">
        <v>3630</v>
      </c>
    </row>
    <row r="6" spans="1:4" ht="42" thickBot="1" x14ac:dyDescent="0.35">
      <c r="A6" s="47" t="s">
        <v>3631</v>
      </c>
      <c r="B6" s="48" t="s">
        <v>3632</v>
      </c>
      <c r="C6" s="48" t="s">
        <v>3633</v>
      </c>
      <c r="D6" s="48" t="s">
        <v>3634</v>
      </c>
    </row>
    <row r="7" spans="1:4" ht="28.2" thickBot="1" x14ac:dyDescent="0.35">
      <c r="A7" s="47" t="s">
        <v>3635</v>
      </c>
      <c r="B7" s="48" t="s">
        <v>3636</v>
      </c>
      <c r="C7" s="48" t="s">
        <v>3637</v>
      </c>
      <c r="D7" s="48" t="s">
        <v>3637</v>
      </c>
    </row>
    <row r="25" spans="1:1" x14ac:dyDescent="0.3">
      <c r="A25" s="30"/>
    </row>
    <row r="38" spans="1:1" x14ac:dyDescent="0.3">
      <c r="A38" s="30"/>
    </row>
    <row r="57" spans="3:6" x14ac:dyDescent="0.3">
      <c r="F57">
        <v>51000</v>
      </c>
    </row>
    <row r="58" spans="3:6" x14ac:dyDescent="0.3">
      <c r="C58">
        <v>9767</v>
      </c>
      <c r="F58">
        <v>7500</v>
      </c>
    </row>
    <row r="59" spans="3:6" x14ac:dyDescent="0.3">
      <c r="C59">
        <v>4000</v>
      </c>
      <c r="F59">
        <v>12860.75</v>
      </c>
    </row>
    <row r="60" spans="3:6" x14ac:dyDescent="0.3">
      <c r="C60">
        <v>4000</v>
      </c>
      <c r="F60" s="51">
        <f>+F57-F58-F59</f>
        <v>30639.25</v>
      </c>
    </row>
    <row r="61" spans="3:6" x14ac:dyDescent="0.3">
      <c r="C61">
        <f>11564.72-7564.72</f>
        <v>3999.9999999999991</v>
      </c>
    </row>
    <row r="64" spans="3:6" x14ac:dyDescent="0.3">
      <c r="C64">
        <v>16333.62</v>
      </c>
    </row>
    <row r="66" spans="6:6" x14ac:dyDescent="0.3">
      <c r="F66" s="51">
        <f>8000+8000+15000+20000+12000+54000+14000+25000+16000-1600</f>
        <v>170400</v>
      </c>
    </row>
  </sheetData>
  <mergeCells count="1">
    <mergeCell ref="A1:D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16E0C-BD5F-486C-9EB5-5E455969CF23}">
  <sheetPr filterMode="1"/>
  <dimension ref="A1:M26"/>
  <sheetViews>
    <sheetView workbookViewId="0">
      <selection activeCell="A2" sqref="A2:M24"/>
    </sheetView>
  </sheetViews>
  <sheetFormatPr baseColWidth="10" defaultRowHeight="14.4" x14ac:dyDescent="0.3"/>
  <cols>
    <col min="2" max="2" width="41.44140625" bestFit="1" customWidth="1"/>
    <col min="6" max="6" width="21.109375" bestFit="1" customWidth="1"/>
    <col min="13" max="13" width="17.21875" bestFit="1" customWidth="1"/>
  </cols>
  <sheetData>
    <row r="1" spans="1:13" ht="15" thickBot="1" x14ac:dyDescent="0.35"/>
    <row r="2" spans="1:13" ht="26.4" x14ac:dyDescent="0.3">
      <c r="A2" s="33" t="s">
        <v>3597</v>
      </c>
      <c r="B2" s="34" t="s">
        <v>3598</v>
      </c>
      <c r="C2" s="35" t="s">
        <v>3599</v>
      </c>
      <c r="D2" s="35" t="s">
        <v>3600</v>
      </c>
      <c r="E2" s="34" t="s">
        <v>3601</v>
      </c>
      <c r="F2" s="34" t="s">
        <v>3602</v>
      </c>
      <c r="G2" s="34" t="s">
        <v>3603</v>
      </c>
      <c r="H2" s="35" t="s">
        <v>3604</v>
      </c>
      <c r="I2" s="34" t="s">
        <v>3605</v>
      </c>
      <c r="J2" s="34" t="s">
        <v>3606</v>
      </c>
      <c r="K2" s="34" t="s">
        <v>3607</v>
      </c>
      <c r="L2" s="34" t="s">
        <v>3608</v>
      </c>
      <c r="M2" s="34" t="s">
        <v>3609</v>
      </c>
    </row>
    <row r="3" spans="1:13" ht="15" hidden="1" thickBot="1" x14ac:dyDescent="0.35">
      <c r="A3" s="36">
        <v>1000004</v>
      </c>
      <c r="B3" s="37" t="s">
        <v>6</v>
      </c>
      <c r="C3" s="38">
        <v>223</v>
      </c>
      <c r="D3" s="37" t="s">
        <v>3610</v>
      </c>
      <c r="E3" s="38">
        <v>2001</v>
      </c>
      <c r="F3" s="37" t="s">
        <v>3611</v>
      </c>
      <c r="G3" s="39">
        <v>46230</v>
      </c>
      <c r="H3" s="38">
        <v>101</v>
      </c>
      <c r="I3" s="38">
        <v>5000587713</v>
      </c>
      <c r="J3" s="38">
        <v>4500031153</v>
      </c>
      <c r="K3" s="38">
        <v>0</v>
      </c>
      <c r="L3" s="40">
        <v>130254.3</v>
      </c>
      <c r="M3" s="37" t="s">
        <v>3612</v>
      </c>
    </row>
    <row r="4" spans="1:13" ht="15" hidden="1" thickBot="1" x14ac:dyDescent="0.35">
      <c r="A4" s="41">
        <v>1000004</v>
      </c>
      <c r="B4" s="42" t="s">
        <v>6</v>
      </c>
      <c r="C4" s="43">
        <v>180</v>
      </c>
      <c r="D4" s="42" t="s">
        <v>3610</v>
      </c>
      <c r="E4" s="43">
        <v>2001</v>
      </c>
      <c r="F4" s="42" t="s">
        <v>3613</v>
      </c>
      <c r="G4" s="44">
        <v>46223</v>
      </c>
      <c r="H4" s="43">
        <v>101</v>
      </c>
      <c r="I4" s="43">
        <v>5000586890</v>
      </c>
      <c r="J4" s="43">
        <v>4500031153</v>
      </c>
      <c r="K4" s="43">
        <v>0</v>
      </c>
      <c r="L4" s="45">
        <v>105138</v>
      </c>
      <c r="M4" s="42" t="s">
        <v>3612</v>
      </c>
    </row>
    <row r="5" spans="1:13" ht="15" hidden="1" thickBot="1" x14ac:dyDescent="0.35">
      <c r="A5" s="41">
        <v>1000004</v>
      </c>
      <c r="B5" s="42" t="s">
        <v>6</v>
      </c>
      <c r="C5" s="43">
        <v>200</v>
      </c>
      <c r="D5" s="42" t="s">
        <v>3610</v>
      </c>
      <c r="E5" s="43">
        <v>2001</v>
      </c>
      <c r="F5" s="42" t="s">
        <v>3611</v>
      </c>
      <c r="G5" s="44">
        <v>46216</v>
      </c>
      <c r="H5" s="43">
        <v>101</v>
      </c>
      <c r="I5" s="43">
        <v>5000586361</v>
      </c>
      <c r="J5" s="43">
        <v>4500031153</v>
      </c>
      <c r="K5" s="43">
        <v>0</v>
      </c>
      <c r="L5" s="45">
        <v>116820</v>
      </c>
      <c r="M5" s="42" t="s">
        <v>3612</v>
      </c>
    </row>
    <row r="6" spans="1:13" ht="15" thickBot="1" x14ac:dyDescent="0.35">
      <c r="A6" s="41">
        <v>1000004</v>
      </c>
      <c r="B6" s="42" t="s">
        <v>6</v>
      </c>
      <c r="C6" s="46">
        <v>1000</v>
      </c>
      <c r="D6" s="42" t="s">
        <v>3610</v>
      </c>
      <c r="E6" s="43">
        <v>1001</v>
      </c>
      <c r="F6" s="42" t="s">
        <v>3613</v>
      </c>
      <c r="G6" s="44">
        <v>46178</v>
      </c>
      <c r="H6" s="43">
        <v>101</v>
      </c>
      <c r="I6" s="43">
        <v>5000584497</v>
      </c>
      <c r="J6" s="43">
        <v>4500030928</v>
      </c>
      <c r="K6" s="43">
        <v>0</v>
      </c>
      <c r="L6" s="45">
        <v>542410.6</v>
      </c>
      <c r="M6" s="42" t="s">
        <v>3614</v>
      </c>
    </row>
    <row r="7" spans="1:13" ht="15" thickBot="1" x14ac:dyDescent="0.35">
      <c r="A7" s="41">
        <v>1009342</v>
      </c>
      <c r="B7" s="42" t="s">
        <v>1636</v>
      </c>
      <c r="C7" s="43">
        <v>996</v>
      </c>
      <c r="D7" s="42" t="s">
        <v>3610</v>
      </c>
      <c r="E7" s="43">
        <v>2001</v>
      </c>
      <c r="F7" s="42" t="s">
        <v>3611</v>
      </c>
      <c r="G7" s="44">
        <v>46218</v>
      </c>
      <c r="H7" s="43">
        <v>101</v>
      </c>
      <c r="I7" s="43">
        <v>5000586628</v>
      </c>
      <c r="J7" s="43">
        <v>4500030920</v>
      </c>
      <c r="K7" s="43">
        <v>0</v>
      </c>
      <c r="L7" s="45">
        <v>3984.2</v>
      </c>
      <c r="M7" s="42" t="s">
        <v>3614</v>
      </c>
    </row>
    <row r="8" spans="1:13" ht="15" thickBot="1" x14ac:dyDescent="0.35">
      <c r="A8" s="41">
        <v>1000588</v>
      </c>
      <c r="B8" s="42" t="s">
        <v>331</v>
      </c>
      <c r="C8" s="46">
        <v>3484</v>
      </c>
      <c r="D8" s="42" t="s">
        <v>3610</v>
      </c>
      <c r="E8" s="43">
        <v>2001</v>
      </c>
      <c r="F8" s="42" t="s">
        <v>3613</v>
      </c>
      <c r="G8" s="44">
        <v>46231</v>
      </c>
      <c r="H8" s="43">
        <v>101</v>
      </c>
      <c r="I8" s="43">
        <v>5000587784</v>
      </c>
      <c r="J8" s="43">
        <v>4500031217</v>
      </c>
      <c r="K8" s="43">
        <v>0</v>
      </c>
      <c r="L8" s="45">
        <v>4181173.48</v>
      </c>
      <c r="M8" s="42" t="s">
        <v>3614</v>
      </c>
    </row>
    <row r="9" spans="1:13" ht="15" thickBot="1" x14ac:dyDescent="0.35">
      <c r="A9" s="41">
        <v>1001757</v>
      </c>
      <c r="B9" s="42" t="s">
        <v>817</v>
      </c>
      <c r="C9" s="46">
        <v>13406</v>
      </c>
      <c r="D9" s="42" t="s">
        <v>3610</v>
      </c>
      <c r="E9" s="43">
        <v>2001</v>
      </c>
      <c r="F9" s="42" t="s">
        <v>3613</v>
      </c>
      <c r="G9" s="44">
        <v>46231</v>
      </c>
      <c r="H9" s="43">
        <v>101</v>
      </c>
      <c r="I9" s="43">
        <v>5000587784</v>
      </c>
      <c r="J9" s="43">
        <v>4500031217</v>
      </c>
      <c r="K9" s="43">
        <v>0</v>
      </c>
      <c r="L9" s="45">
        <v>2264343.11</v>
      </c>
      <c r="M9" s="42" t="s">
        <v>3614</v>
      </c>
    </row>
    <row r="10" spans="1:13" ht="15" hidden="1" thickBot="1" x14ac:dyDescent="0.35">
      <c r="A10" s="41">
        <v>1001757</v>
      </c>
      <c r="B10" s="42" t="s">
        <v>817</v>
      </c>
      <c r="C10" s="43">
        <v>20</v>
      </c>
      <c r="D10" s="42" t="s">
        <v>3610</v>
      </c>
      <c r="E10" s="43">
        <v>2001</v>
      </c>
      <c r="F10" s="42" t="s">
        <v>3611</v>
      </c>
      <c r="G10" s="44">
        <v>46230</v>
      </c>
      <c r="H10" s="43">
        <v>101</v>
      </c>
      <c r="I10" s="43">
        <v>5000587713</v>
      </c>
      <c r="J10" s="43">
        <v>4500031153</v>
      </c>
      <c r="K10" s="43">
        <v>0</v>
      </c>
      <c r="L10" s="45">
        <v>3658</v>
      </c>
      <c r="M10" s="42" t="s">
        <v>3612</v>
      </c>
    </row>
    <row r="11" spans="1:13" ht="15" hidden="1" thickBot="1" x14ac:dyDescent="0.35">
      <c r="A11" s="41">
        <v>1001757</v>
      </c>
      <c r="B11" s="42" t="s">
        <v>817</v>
      </c>
      <c r="C11" s="43">
        <v>20</v>
      </c>
      <c r="D11" s="42" t="s">
        <v>3610</v>
      </c>
      <c r="E11" s="43">
        <v>2001</v>
      </c>
      <c r="F11" s="42" t="s">
        <v>3611</v>
      </c>
      <c r="G11" s="44">
        <v>46216</v>
      </c>
      <c r="H11" s="43">
        <v>101</v>
      </c>
      <c r="I11" s="43">
        <v>5000586361</v>
      </c>
      <c r="J11" s="43">
        <v>4500031153</v>
      </c>
      <c r="K11" s="43">
        <v>0</v>
      </c>
      <c r="L11" s="45">
        <v>3658</v>
      </c>
      <c r="M11" s="42" t="s">
        <v>3612</v>
      </c>
    </row>
    <row r="12" spans="1:13" ht="15" hidden="1" thickBot="1" x14ac:dyDescent="0.35">
      <c r="A12" s="41">
        <v>1001223</v>
      </c>
      <c r="B12" s="42" t="s">
        <v>577</v>
      </c>
      <c r="C12" s="46">
        <v>6278</v>
      </c>
      <c r="D12" s="42" t="s">
        <v>3610</v>
      </c>
      <c r="E12" s="43">
        <v>2001</v>
      </c>
      <c r="F12" s="42" t="s">
        <v>3613</v>
      </c>
      <c r="G12" s="44">
        <v>46056</v>
      </c>
      <c r="H12" s="43">
        <v>101</v>
      </c>
      <c r="I12" s="43">
        <v>5000576337</v>
      </c>
      <c r="J12" s="43">
        <v>4500030018</v>
      </c>
      <c r="K12" s="43">
        <v>0</v>
      </c>
      <c r="L12" s="45">
        <v>408034.84</v>
      </c>
      <c r="M12" s="42" t="s">
        <v>3615</v>
      </c>
    </row>
    <row r="13" spans="1:13" ht="15" hidden="1" thickBot="1" x14ac:dyDescent="0.35">
      <c r="A13" s="41">
        <v>1001235</v>
      </c>
      <c r="B13" s="42" t="s">
        <v>589</v>
      </c>
      <c r="C13" s="43">
        <v>300</v>
      </c>
      <c r="D13" s="42" t="s">
        <v>3610</v>
      </c>
      <c r="E13" s="43">
        <v>2001</v>
      </c>
      <c r="F13" s="42" t="s">
        <v>3613</v>
      </c>
      <c r="G13" s="44">
        <v>46223</v>
      </c>
      <c r="H13" s="43">
        <v>101</v>
      </c>
      <c r="I13" s="43">
        <v>5000586890</v>
      </c>
      <c r="J13" s="43">
        <v>4500031153</v>
      </c>
      <c r="K13" s="43">
        <v>0</v>
      </c>
      <c r="L13" s="45">
        <v>389400</v>
      </c>
      <c r="M13" s="42" t="s">
        <v>3612</v>
      </c>
    </row>
    <row r="14" spans="1:13" ht="15" hidden="1" thickBot="1" x14ac:dyDescent="0.35">
      <c r="A14" s="41">
        <v>1001235</v>
      </c>
      <c r="B14" s="42" t="s">
        <v>589</v>
      </c>
      <c r="C14" s="43">
        <v>40</v>
      </c>
      <c r="D14" s="42" t="s">
        <v>3610</v>
      </c>
      <c r="E14" s="43">
        <v>2001</v>
      </c>
      <c r="F14" s="42" t="s">
        <v>3611</v>
      </c>
      <c r="G14" s="44">
        <v>46216</v>
      </c>
      <c r="H14" s="43">
        <v>101</v>
      </c>
      <c r="I14" s="43">
        <v>5000586361</v>
      </c>
      <c r="J14" s="43">
        <v>4500031153</v>
      </c>
      <c r="K14" s="43">
        <v>0</v>
      </c>
      <c r="L14" s="45">
        <v>51920</v>
      </c>
      <c r="M14" s="42" t="s">
        <v>3612</v>
      </c>
    </row>
    <row r="15" spans="1:13" ht="15" hidden="1" thickBot="1" x14ac:dyDescent="0.35">
      <c r="A15" s="41">
        <v>1000742</v>
      </c>
      <c r="B15" s="42" t="s">
        <v>409</v>
      </c>
      <c r="C15" s="43">
        <v>110</v>
      </c>
      <c r="D15" s="42" t="s">
        <v>3610</v>
      </c>
      <c r="E15" s="43">
        <v>2001</v>
      </c>
      <c r="F15" s="42" t="s">
        <v>3611</v>
      </c>
      <c r="G15" s="44">
        <v>46216</v>
      </c>
      <c r="H15" s="43">
        <v>101</v>
      </c>
      <c r="I15" s="43">
        <v>5000586361</v>
      </c>
      <c r="J15" s="43">
        <v>4500031153</v>
      </c>
      <c r="K15" s="43">
        <v>0</v>
      </c>
      <c r="L15" s="45">
        <v>49973</v>
      </c>
      <c r="M15" s="42" t="s">
        <v>3612</v>
      </c>
    </row>
    <row r="16" spans="1:13" ht="15" thickBot="1" x14ac:dyDescent="0.35">
      <c r="A16" s="41">
        <v>1015088</v>
      </c>
      <c r="B16" s="42" t="s">
        <v>3596</v>
      </c>
      <c r="C16" s="46">
        <v>1027</v>
      </c>
      <c r="D16" s="42" t="s">
        <v>3610</v>
      </c>
      <c r="E16" s="43">
        <v>2001</v>
      </c>
      <c r="F16" s="42" t="s">
        <v>3613</v>
      </c>
      <c r="G16" s="44">
        <v>46182</v>
      </c>
      <c r="H16" s="43">
        <v>101</v>
      </c>
      <c r="I16" s="43">
        <v>5000584776</v>
      </c>
      <c r="J16" s="43">
        <v>4500030928</v>
      </c>
      <c r="K16" s="43">
        <v>0</v>
      </c>
      <c r="L16" s="45">
        <v>1270150.47</v>
      </c>
      <c r="M16" s="42" t="s">
        <v>3614</v>
      </c>
    </row>
    <row r="17" spans="1:13" ht="15" hidden="1" thickBot="1" x14ac:dyDescent="0.35">
      <c r="A17" s="41">
        <v>1001263</v>
      </c>
      <c r="B17" s="42" t="s">
        <v>605</v>
      </c>
      <c r="C17" s="43">
        <v>250</v>
      </c>
      <c r="D17" s="42" t="s">
        <v>3610</v>
      </c>
      <c r="E17" s="43">
        <v>2001</v>
      </c>
      <c r="F17" s="42" t="s">
        <v>3611</v>
      </c>
      <c r="G17" s="44">
        <v>46230</v>
      </c>
      <c r="H17" s="43">
        <v>101</v>
      </c>
      <c r="I17" s="43">
        <v>5000587712</v>
      </c>
      <c r="J17" s="43">
        <v>4500031153</v>
      </c>
      <c r="K17" s="43">
        <v>0</v>
      </c>
      <c r="L17" s="45">
        <v>51625</v>
      </c>
      <c r="M17" s="42" t="s">
        <v>3612</v>
      </c>
    </row>
    <row r="18" spans="1:13" ht="15" thickBot="1" x14ac:dyDescent="0.35">
      <c r="A18" s="41">
        <v>1002112</v>
      </c>
      <c r="B18" s="42" t="s">
        <v>1000</v>
      </c>
      <c r="C18" s="43">
        <v>24</v>
      </c>
      <c r="D18" s="42" t="s">
        <v>3610</v>
      </c>
      <c r="E18" s="43">
        <v>1017</v>
      </c>
      <c r="F18" s="42" t="s">
        <v>3616</v>
      </c>
      <c r="G18" s="44">
        <v>46209</v>
      </c>
      <c r="H18" s="43">
        <v>101</v>
      </c>
      <c r="I18" s="43">
        <v>5000586118</v>
      </c>
      <c r="J18" s="43">
        <v>4500031034</v>
      </c>
      <c r="K18" s="43">
        <v>0</v>
      </c>
      <c r="L18" s="45">
        <v>1033680</v>
      </c>
      <c r="M18" s="42" t="s">
        <v>3614</v>
      </c>
    </row>
    <row r="19" spans="1:13" ht="15" thickBot="1" x14ac:dyDescent="0.35">
      <c r="A19" s="41">
        <v>1002112</v>
      </c>
      <c r="B19" s="42" t="s">
        <v>1000</v>
      </c>
      <c r="C19" s="43">
        <v>24</v>
      </c>
      <c r="D19" s="42" t="s">
        <v>3610</v>
      </c>
      <c r="E19" s="43">
        <v>1017</v>
      </c>
      <c r="F19" s="42" t="s">
        <v>3617</v>
      </c>
      <c r="G19" s="44">
        <v>46183</v>
      </c>
      <c r="H19" s="43">
        <v>101</v>
      </c>
      <c r="I19" s="43">
        <v>5000584827</v>
      </c>
      <c r="J19" s="43">
        <v>4500031034</v>
      </c>
      <c r="K19" s="43">
        <v>0</v>
      </c>
      <c r="L19" s="45">
        <v>1033680</v>
      </c>
      <c r="M19" s="42" t="s">
        <v>3614</v>
      </c>
    </row>
    <row r="20" spans="1:13" ht="15" thickBot="1" x14ac:dyDescent="0.35">
      <c r="A20" s="41">
        <v>1011408</v>
      </c>
      <c r="B20" s="42" t="s">
        <v>1874</v>
      </c>
      <c r="C20" s="43">
        <v>69</v>
      </c>
      <c r="D20" s="42" t="s">
        <v>3610</v>
      </c>
      <c r="E20" s="43">
        <v>1017</v>
      </c>
      <c r="F20" s="42" t="s">
        <v>3616</v>
      </c>
      <c r="G20" s="44">
        <v>46225</v>
      </c>
      <c r="H20" s="43">
        <v>101</v>
      </c>
      <c r="I20" s="43">
        <v>5000587559</v>
      </c>
      <c r="J20" s="43">
        <v>4500030921</v>
      </c>
      <c r="K20" s="43">
        <v>0</v>
      </c>
      <c r="L20" s="45">
        <v>7510209.2999999998</v>
      </c>
      <c r="M20" s="42" t="s">
        <v>3614</v>
      </c>
    </row>
    <row r="21" spans="1:13" ht="15" thickBot="1" x14ac:dyDescent="0.35">
      <c r="A21" s="41">
        <v>1009812</v>
      </c>
      <c r="B21" s="42" t="s">
        <v>1720</v>
      </c>
      <c r="C21" s="43">
        <v>48</v>
      </c>
      <c r="D21" s="42" t="s">
        <v>3610</v>
      </c>
      <c r="E21" s="43">
        <v>1017</v>
      </c>
      <c r="F21" s="42" t="s">
        <v>3616</v>
      </c>
      <c r="G21" s="44">
        <v>46230</v>
      </c>
      <c r="H21" s="43">
        <v>101</v>
      </c>
      <c r="I21" s="43">
        <v>5000587688</v>
      </c>
      <c r="J21" s="43">
        <v>4500031034</v>
      </c>
      <c r="K21" s="43">
        <v>0</v>
      </c>
      <c r="L21" s="45">
        <v>1585920</v>
      </c>
      <c r="M21" s="42" t="s">
        <v>3614</v>
      </c>
    </row>
    <row r="22" spans="1:13" ht="15" thickBot="1" x14ac:dyDescent="0.35">
      <c r="A22" s="41">
        <v>1009812</v>
      </c>
      <c r="B22" s="42" t="s">
        <v>1720</v>
      </c>
      <c r="C22" s="43">
        <v>32</v>
      </c>
      <c r="D22" s="42" t="s">
        <v>3610</v>
      </c>
      <c r="E22" s="43">
        <v>1017</v>
      </c>
      <c r="F22" s="42" t="s">
        <v>3616</v>
      </c>
      <c r="G22" s="44">
        <v>46218</v>
      </c>
      <c r="H22" s="43">
        <v>101</v>
      </c>
      <c r="I22" s="43">
        <v>5000586684</v>
      </c>
      <c r="J22" s="43">
        <v>4500031034</v>
      </c>
      <c r="K22" s="43">
        <v>0</v>
      </c>
      <c r="L22" s="45">
        <v>1057280</v>
      </c>
      <c r="M22" s="42" t="s">
        <v>3614</v>
      </c>
    </row>
    <row r="23" spans="1:13" ht="15" thickBot="1" x14ac:dyDescent="0.35">
      <c r="A23" s="41">
        <v>1009812</v>
      </c>
      <c r="B23" s="42" t="s">
        <v>1720</v>
      </c>
      <c r="C23" s="43">
        <v>32</v>
      </c>
      <c r="D23" s="42" t="s">
        <v>3610</v>
      </c>
      <c r="E23" s="43">
        <v>1017</v>
      </c>
      <c r="F23" s="42" t="s">
        <v>3618</v>
      </c>
      <c r="G23" s="44">
        <v>46205</v>
      </c>
      <c r="H23" s="43">
        <v>101</v>
      </c>
      <c r="I23" s="43">
        <v>5000586068</v>
      </c>
      <c r="J23" s="43">
        <v>4500031034</v>
      </c>
      <c r="K23" s="43">
        <v>0</v>
      </c>
      <c r="L23" s="45">
        <v>1057280</v>
      </c>
      <c r="M23" s="42" t="s">
        <v>3614</v>
      </c>
    </row>
    <row r="24" spans="1:13" ht="15" thickBot="1" x14ac:dyDescent="0.35">
      <c r="A24" s="41">
        <v>1009812</v>
      </c>
      <c r="B24" s="42" t="s">
        <v>1720</v>
      </c>
      <c r="C24" s="43">
        <v>48</v>
      </c>
      <c r="D24" s="42" t="s">
        <v>3610</v>
      </c>
      <c r="E24" s="43">
        <v>1017</v>
      </c>
      <c r="F24" s="42" t="s">
        <v>3616</v>
      </c>
      <c r="G24" s="44">
        <v>46192</v>
      </c>
      <c r="H24" s="43">
        <v>101</v>
      </c>
      <c r="I24" s="43">
        <v>5000585689</v>
      </c>
      <c r="J24" s="43">
        <v>4500031034</v>
      </c>
      <c r="K24" s="43">
        <v>0</v>
      </c>
      <c r="L24" s="45">
        <v>1585920</v>
      </c>
      <c r="M24" s="42" t="s">
        <v>3614</v>
      </c>
    </row>
    <row r="25" spans="1:13" ht="15" hidden="1" thickBot="1" x14ac:dyDescent="0.35">
      <c r="A25" s="41">
        <v>1010451</v>
      </c>
      <c r="B25" s="42" t="s">
        <v>3619</v>
      </c>
      <c r="C25" s="46">
        <v>48490</v>
      </c>
      <c r="D25" s="42" t="s">
        <v>3610</v>
      </c>
      <c r="E25" s="43">
        <v>2001</v>
      </c>
      <c r="F25" s="42" t="s">
        <v>3613</v>
      </c>
      <c r="G25" s="44">
        <v>46058</v>
      </c>
      <c r="H25" s="43">
        <v>101</v>
      </c>
      <c r="I25" s="43">
        <v>5000576482</v>
      </c>
      <c r="J25" s="43">
        <v>4500030018</v>
      </c>
      <c r="K25" s="43">
        <v>0</v>
      </c>
      <c r="L25" s="45">
        <v>126452.22</v>
      </c>
      <c r="M25" s="42" t="s">
        <v>3615</v>
      </c>
    </row>
    <row r="26" spans="1:13" ht="15" hidden="1" thickBot="1" x14ac:dyDescent="0.35">
      <c r="A26" s="41">
        <v>1001312</v>
      </c>
      <c r="B26" s="42" t="s">
        <v>640</v>
      </c>
      <c r="C26" s="43">
        <v>947</v>
      </c>
      <c r="D26" s="42" t="s">
        <v>3610</v>
      </c>
      <c r="E26" s="43">
        <v>2001</v>
      </c>
      <c r="F26" s="42" t="s">
        <v>3613</v>
      </c>
      <c r="G26" s="44">
        <v>46056</v>
      </c>
      <c r="H26" s="43">
        <v>101</v>
      </c>
      <c r="I26" s="43">
        <v>5000576337</v>
      </c>
      <c r="J26" s="43">
        <v>4500030018</v>
      </c>
      <c r="K26" s="43">
        <v>0</v>
      </c>
      <c r="L26" s="45">
        <v>385289.03</v>
      </c>
      <c r="M26" s="42" t="s">
        <v>3615</v>
      </c>
    </row>
  </sheetData>
  <autoFilter ref="A2:M26" xr:uid="{01316E0C-BD5F-486C-9EB5-5E455969CF23}">
    <filterColumn colId="12">
      <filters>
        <filter val="P-I1-26-0007-07-02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8A4A1-123C-4A30-A904-4BF3637730BF}">
  <dimension ref="B3:D6"/>
  <sheetViews>
    <sheetView workbookViewId="0">
      <selection activeCell="B3" sqref="B3:D6"/>
    </sheetView>
  </sheetViews>
  <sheetFormatPr baseColWidth="10" defaultRowHeight="14.4" x14ac:dyDescent="0.3"/>
  <cols>
    <col min="3" max="3" width="37.44140625" bestFit="1" customWidth="1"/>
  </cols>
  <sheetData>
    <row r="3" spans="2:4" x14ac:dyDescent="0.3">
      <c r="B3" s="7">
        <v>1001245</v>
      </c>
      <c r="C3" s="7" t="s">
        <v>596</v>
      </c>
      <c r="D3" s="7">
        <v>10</v>
      </c>
    </row>
    <row r="4" spans="2:4" x14ac:dyDescent="0.3">
      <c r="B4" s="7">
        <v>1002085</v>
      </c>
      <c r="C4" s="7" t="s">
        <v>980</v>
      </c>
      <c r="D4" s="7">
        <v>5</v>
      </c>
    </row>
    <row r="5" spans="2:4" x14ac:dyDescent="0.3">
      <c r="B5" s="7">
        <v>1002693</v>
      </c>
      <c r="C5" s="7" t="s">
        <v>1310</v>
      </c>
      <c r="D5" s="7">
        <v>1</v>
      </c>
    </row>
    <row r="6" spans="2:4" x14ac:dyDescent="0.3">
      <c r="B6" s="7">
        <v>1000017</v>
      </c>
      <c r="C6" s="7" t="s">
        <v>14</v>
      </c>
      <c r="D6" s="7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191AD-05CD-4ACF-A2D1-50353A9AD629}">
  <dimension ref="A1:C10"/>
  <sheetViews>
    <sheetView workbookViewId="0">
      <selection sqref="A1:C10"/>
    </sheetView>
  </sheetViews>
  <sheetFormatPr baseColWidth="10" defaultRowHeight="14.4" x14ac:dyDescent="0.3"/>
  <cols>
    <col min="2" max="2" width="38.109375" bestFit="1" customWidth="1"/>
  </cols>
  <sheetData>
    <row r="1" spans="1:3" x14ac:dyDescent="0.3">
      <c r="A1" s="25" t="s">
        <v>0</v>
      </c>
      <c r="B1" s="25" t="s">
        <v>1</v>
      </c>
      <c r="C1" s="26" t="s">
        <v>3560</v>
      </c>
    </row>
    <row r="2" spans="1:3" x14ac:dyDescent="0.3">
      <c r="A2" s="7">
        <v>1001998</v>
      </c>
      <c r="B2" s="7" t="s">
        <v>941</v>
      </c>
      <c r="C2" s="7">
        <v>9</v>
      </c>
    </row>
    <row r="3" spans="1:3" x14ac:dyDescent="0.3">
      <c r="A3" s="7">
        <v>1002004</v>
      </c>
      <c r="B3" s="15" t="s">
        <v>3561</v>
      </c>
      <c r="C3" s="7">
        <v>3</v>
      </c>
    </row>
    <row r="4" spans="1:3" x14ac:dyDescent="0.3">
      <c r="A4" s="7">
        <v>1000097</v>
      </c>
      <c r="B4" s="7" t="s">
        <v>3562</v>
      </c>
      <c r="C4" s="7">
        <v>600</v>
      </c>
    </row>
    <row r="5" spans="1:3" x14ac:dyDescent="0.3">
      <c r="A5" s="7">
        <v>1001270</v>
      </c>
      <c r="B5" s="7" t="s">
        <v>612</v>
      </c>
      <c r="C5" s="7">
        <v>1</v>
      </c>
    </row>
    <row r="6" spans="1:3" x14ac:dyDescent="0.3">
      <c r="A6" s="7">
        <v>1010991</v>
      </c>
      <c r="B6" s="7" t="s">
        <v>1816</v>
      </c>
      <c r="C6" s="7">
        <v>500</v>
      </c>
    </row>
    <row r="7" spans="1:3" x14ac:dyDescent="0.3">
      <c r="A7" s="7">
        <v>1000588</v>
      </c>
      <c r="B7" s="7" t="s">
        <v>331</v>
      </c>
      <c r="C7" s="7">
        <v>1</v>
      </c>
    </row>
    <row r="8" spans="1:3" x14ac:dyDescent="0.3">
      <c r="A8" s="7">
        <v>1001306</v>
      </c>
      <c r="B8" s="7" t="s">
        <v>635</v>
      </c>
      <c r="C8" s="7">
        <v>1</v>
      </c>
    </row>
    <row r="9" spans="1:3" x14ac:dyDescent="0.3">
      <c r="A9" s="7">
        <v>1002028</v>
      </c>
      <c r="B9" s="7" t="s">
        <v>956</v>
      </c>
      <c r="C9" s="7">
        <v>30</v>
      </c>
    </row>
    <row r="10" spans="1:3" x14ac:dyDescent="0.3">
      <c r="A10" s="7">
        <v>1001768</v>
      </c>
      <c r="B10" s="7" t="s">
        <v>828</v>
      </c>
      <c r="C10" s="7">
        <v>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729"/>
  <sheetViews>
    <sheetView topLeftCell="A196" workbookViewId="0">
      <selection activeCell="B11" sqref="B11"/>
    </sheetView>
  </sheetViews>
  <sheetFormatPr baseColWidth="10" defaultColWidth="11.44140625" defaultRowHeight="14.4" x14ac:dyDescent="0.3"/>
  <cols>
    <col min="1" max="1" width="10.5546875" style="1" customWidth="1"/>
    <col min="2" max="2" width="48" style="4" customWidth="1"/>
    <col min="3" max="3" width="12.6640625" style="10" bestFit="1" customWidth="1"/>
  </cols>
  <sheetData>
    <row r="1" spans="1:3" x14ac:dyDescent="0.3">
      <c r="A1" s="5" t="s">
        <v>0</v>
      </c>
      <c r="B1" s="5" t="s">
        <v>1</v>
      </c>
      <c r="C1" s="8" t="s">
        <v>3558</v>
      </c>
    </row>
    <row r="2" spans="1:3" x14ac:dyDescent="0.3">
      <c r="A2" s="1">
        <v>1000000</v>
      </c>
      <c r="B2" s="2" t="s">
        <v>3</v>
      </c>
      <c r="C2" s="9">
        <v>26.390533252230334</v>
      </c>
    </row>
    <row r="3" spans="1:3" x14ac:dyDescent="0.3">
      <c r="A3" s="1">
        <v>1000002</v>
      </c>
      <c r="B3" s="2" t="s">
        <v>4</v>
      </c>
      <c r="C3" s="9">
        <v>6077.2897501105699</v>
      </c>
    </row>
    <row r="4" spans="1:3" x14ac:dyDescent="0.3">
      <c r="A4" s="1">
        <v>1000003</v>
      </c>
      <c r="B4" s="2" t="s">
        <v>5</v>
      </c>
      <c r="C4" s="9">
        <v>15675.6737962963</v>
      </c>
    </row>
    <row r="5" spans="1:3" x14ac:dyDescent="0.3">
      <c r="A5" s="1">
        <v>1000004</v>
      </c>
      <c r="B5" s="2" t="s">
        <v>6</v>
      </c>
      <c r="C5" s="9">
        <v>401.46499999999997</v>
      </c>
    </row>
    <row r="6" spans="1:3" x14ac:dyDescent="0.3">
      <c r="A6" s="1">
        <v>1000005</v>
      </c>
      <c r="B6" s="2" t="s">
        <v>7</v>
      </c>
      <c r="C6" s="9">
        <v>568.14119117266603</v>
      </c>
    </row>
    <row r="7" spans="1:3" x14ac:dyDescent="0.3">
      <c r="A7" s="1">
        <v>1000007</v>
      </c>
      <c r="B7" s="2" t="s">
        <v>8</v>
      </c>
      <c r="C7" s="9">
        <v>910.82350877192982</v>
      </c>
    </row>
    <row r="8" spans="1:3" x14ac:dyDescent="0.3">
      <c r="A8" s="1">
        <v>1000009</v>
      </c>
      <c r="B8" s="2" t="s">
        <v>9</v>
      </c>
      <c r="C8" s="9">
        <v>105.5</v>
      </c>
    </row>
    <row r="9" spans="1:3" x14ac:dyDescent="0.3">
      <c r="A9" s="1">
        <v>1000010</v>
      </c>
      <c r="B9" s="2" t="s">
        <v>10</v>
      </c>
      <c r="C9" s="9">
        <v>583.28</v>
      </c>
    </row>
    <row r="10" spans="1:3" x14ac:dyDescent="0.3">
      <c r="A10" s="1">
        <v>1000011</v>
      </c>
      <c r="B10" s="2" t="s">
        <v>11</v>
      </c>
      <c r="C10" s="9">
        <v>4234</v>
      </c>
    </row>
    <row r="11" spans="1:3" x14ac:dyDescent="0.3">
      <c r="A11" s="1">
        <v>1000014</v>
      </c>
      <c r="B11" s="2" t="s">
        <v>12</v>
      </c>
      <c r="C11" s="9">
        <v>22.558</v>
      </c>
    </row>
    <row r="12" spans="1:3" x14ac:dyDescent="0.3">
      <c r="A12" s="1">
        <v>1000016</v>
      </c>
      <c r="B12" s="2" t="s">
        <v>13</v>
      </c>
      <c r="C12" s="9">
        <v>170.83057953255101</v>
      </c>
    </row>
    <row r="13" spans="1:3" x14ac:dyDescent="0.3">
      <c r="A13" s="1">
        <v>1000017</v>
      </c>
      <c r="B13" s="2" t="s">
        <v>14</v>
      </c>
      <c r="C13" s="9">
        <v>151.65857142857143</v>
      </c>
    </row>
    <row r="14" spans="1:3" x14ac:dyDescent="0.3">
      <c r="A14" s="1">
        <v>1000018</v>
      </c>
      <c r="B14" s="2" t="s">
        <v>15</v>
      </c>
      <c r="C14" s="9">
        <v>821.58674074074077</v>
      </c>
    </row>
    <row r="15" spans="1:3" x14ac:dyDescent="0.3">
      <c r="A15" s="1">
        <v>1000019</v>
      </c>
      <c r="B15" s="2" t="s">
        <v>16</v>
      </c>
      <c r="C15" s="9">
        <v>34196.400000000001</v>
      </c>
    </row>
    <row r="16" spans="1:3" x14ac:dyDescent="0.3">
      <c r="A16" s="1">
        <v>1000020</v>
      </c>
      <c r="B16" s="2" t="s">
        <v>17</v>
      </c>
      <c r="C16" s="9">
        <v>28</v>
      </c>
    </row>
    <row r="17" spans="1:3" x14ac:dyDescent="0.3">
      <c r="A17" s="1">
        <v>1000023</v>
      </c>
      <c r="B17" s="2" t="s">
        <v>18</v>
      </c>
      <c r="C17" s="9">
        <v>7481.3243999999995</v>
      </c>
    </row>
    <row r="18" spans="1:3" x14ac:dyDescent="0.3">
      <c r="A18" s="1">
        <v>1000026</v>
      </c>
      <c r="B18" s="2" t="s">
        <v>19</v>
      </c>
      <c r="C18" s="9">
        <v>2431.25</v>
      </c>
    </row>
    <row r="19" spans="1:3" x14ac:dyDescent="0.3">
      <c r="A19" s="1">
        <v>1000027</v>
      </c>
      <c r="B19" s="2" t="s">
        <v>20</v>
      </c>
      <c r="C19" s="9">
        <v>1914.6761111111109</v>
      </c>
    </row>
    <row r="20" spans="1:3" x14ac:dyDescent="0.3">
      <c r="A20" s="1">
        <v>1000029</v>
      </c>
      <c r="B20" s="2" t="s">
        <v>21</v>
      </c>
      <c r="C20" s="9">
        <v>3.98571428571428</v>
      </c>
    </row>
    <row r="21" spans="1:3" x14ac:dyDescent="0.3">
      <c r="A21" s="1">
        <v>1000030</v>
      </c>
      <c r="B21" s="2" t="s">
        <v>22</v>
      </c>
      <c r="C21" s="9">
        <v>1</v>
      </c>
    </row>
    <row r="22" spans="1:3" x14ac:dyDescent="0.3">
      <c r="A22" s="1">
        <v>1000031</v>
      </c>
      <c r="B22" s="2" t="s">
        <v>23</v>
      </c>
      <c r="C22" s="9">
        <v>0.71428571428571397</v>
      </c>
    </row>
    <row r="23" spans="1:3" x14ac:dyDescent="0.3">
      <c r="A23" s="1">
        <v>1000032</v>
      </c>
      <c r="B23" s="2" t="s">
        <v>24</v>
      </c>
      <c r="C23" s="9">
        <v>3.9668136853397602</v>
      </c>
    </row>
    <row r="24" spans="1:3" x14ac:dyDescent="0.3">
      <c r="A24" s="1">
        <v>1000033</v>
      </c>
      <c r="B24" s="2" t="s">
        <v>25</v>
      </c>
      <c r="C24" s="9">
        <v>4.32</v>
      </c>
    </row>
    <row r="25" spans="1:3" x14ac:dyDescent="0.3">
      <c r="A25" s="1">
        <v>1000034</v>
      </c>
      <c r="B25" s="2" t="s">
        <v>26</v>
      </c>
      <c r="C25" s="9">
        <v>3.8652631578947401</v>
      </c>
    </row>
    <row r="26" spans="1:3" x14ac:dyDescent="0.3">
      <c r="A26" s="1">
        <v>1000035</v>
      </c>
      <c r="B26" s="2" t="s">
        <v>27</v>
      </c>
      <c r="C26" s="9">
        <v>0.71428571428571397</v>
      </c>
    </row>
    <row r="27" spans="1:3" x14ac:dyDescent="0.3">
      <c r="A27" s="1">
        <v>1000038</v>
      </c>
      <c r="B27" s="2" t="s">
        <v>28</v>
      </c>
      <c r="C27" s="9">
        <v>41.513796714566801</v>
      </c>
    </row>
    <row r="28" spans="1:3" x14ac:dyDescent="0.3">
      <c r="A28" s="1">
        <v>1000039</v>
      </c>
      <c r="B28" s="2" t="s">
        <v>29</v>
      </c>
      <c r="C28" s="9">
        <v>10.60008</v>
      </c>
    </row>
    <row r="29" spans="1:3" x14ac:dyDescent="0.3">
      <c r="A29" s="1">
        <v>1000040</v>
      </c>
      <c r="B29" s="2" t="s">
        <v>30</v>
      </c>
      <c r="C29" s="9">
        <v>28.110040256305499</v>
      </c>
    </row>
    <row r="30" spans="1:3" x14ac:dyDescent="0.3">
      <c r="A30" s="1">
        <v>1000041</v>
      </c>
      <c r="B30" s="2" t="s">
        <v>31</v>
      </c>
      <c r="C30" s="9">
        <v>34.313737339619301</v>
      </c>
    </row>
    <row r="31" spans="1:3" x14ac:dyDescent="0.3">
      <c r="A31" s="1">
        <v>1000042</v>
      </c>
      <c r="B31" s="2" t="s">
        <v>32</v>
      </c>
      <c r="C31" s="9">
        <v>15</v>
      </c>
    </row>
    <row r="32" spans="1:3" x14ac:dyDescent="0.3">
      <c r="A32" s="1">
        <v>1000043</v>
      </c>
      <c r="B32" s="2" t="s">
        <v>33</v>
      </c>
      <c r="C32" s="9">
        <v>152.22000000000099</v>
      </c>
    </row>
    <row r="33" spans="1:3" x14ac:dyDescent="0.3">
      <c r="A33" s="1">
        <v>1000044</v>
      </c>
      <c r="B33" s="2" t="s">
        <v>34</v>
      </c>
      <c r="C33" s="9">
        <v>285.56</v>
      </c>
    </row>
    <row r="34" spans="1:3" x14ac:dyDescent="0.3">
      <c r="A34" s="1">
        <v>1000046</v>
      </c>
      <c r="B34" s="2" t="s">
        <v>35</v>
      </c>
      <c r="C34" s="9">
        <v>205.53583927090301</v>
      </c>
    </row>
    <row r="35" spans="1:3" x14ac:dyDescent="0.3">
      <c r="A35" s="1">
        <v>1000047</v>
      </c>
      <c r="B35" s="2" t="s">
        <v>36</v>
      </c>
      <c r="C35" s="9">
        <v>563.98098591549297</v>
      </c>
    </row>
    <row r="36" spans="1:3" x14ac:dyDescent="0.3">
      <c r="A36" s="1">
        <v>1000049</v>
      </c>
      <c r="B36" s="2" t="s">
        <v>37</v>
      </c>
      <c r="C36" s="9">
        <v>554.25779999999997</v>
      </c>
    </row>
    <row r="37" spans="1:3" x14ac:dyDescent="0.3">
      <c r="A37" s="1">
        <v>1000050</v>
      </c>
      <c r="B37" s="2" t="s">
        <v>38</v>
      </c>
      <c r="C37" s="9">
        <v>32.814295652173918</v>
      </c>
    </row>
    <row r="38" spans="1:3" x14ac:dyDescent="0.3">
      <c r="A38" s="1">
        <v>1000052</v>
      </c>
      <c r="B38" s="2" t="s">
        <v>39</v>
      </c>
      <c r="C38" s="9">
        <v>37.144260444809497</v>
      </c>
    </row>
    <row r="39" spans="1:3" x14ac:dyDescent="0.3">
      <c r="A39" s="1">
        <v>1000054</v>
      </c>
      <c r="B39" s="2" t="s">
        <v>40</v>
      </c>
      <c r="C39" s="9">
        <v>80.485441846934506</v>
      </c>
    </row>
    <row r="40" spans="1:3" x14ac:dyDescent="0.3">
      <c r="A40" s="1">
        <v>1000055</v>
      </c>
      <c r="B40" s="2" t="s">
        <v>41</v>
      </c>
      <c r="C40" s="9">
        <v>82.376756613262302</v>
      </c>
    </row>
    <row r="41" spans="1:3" x14ac:dyDescent="0.3">
      <c r="A41" s="1">
        <v>1000063</v>
      </c>
      <c r="B41" s="2" t="s">
        <v>42</v>
      </c>
      <c r="C41" s="9">
        <v>1622.5</v>
      </c>
    </row>
    <row r="42" spans="1:3" x14ac:dyDescent="0.3">
      <c r="A42" s="1">
        <v>1000068</v>
      </c>
      <c r="B42" s="2" t="s">
        <v>43</v>
      </c>
      <c r="C42" s="9">
        <v>126.44</v>
      </c>
    </row>
    <row r="43" spans="1:3" x14ac:dyDescent="0.3">
      <c r="A43" s="1">
        <v>1000069</v>
      </c>
      <c r="B43" s="2" t="s">
        <v>44</v>
      </c>
      <c r="C43" s="9">
        <v>639.77001312335904</v>
      </c>
    </row>
    <row r="44" spans="1:3" x14ac:dyDescent="0.3">
      <c r="A44" s="1">
        <v>1000073</v>
      </c>
      <c r="B44" s="2" t="s">
        <v>45</v>
      </c>
      <c r="C44" s="9">
        <v>49.101423665777403</v>
      </c>
    </row>
    <row r="45" spans="1:3" x14ac:dyDescent="0.3">
      <c r="A45" s="1">
        <v>1000083</v>
      </c>
      <c r="B45" s="2" t="s">
        <v>46</v>
      </c>
      <c r="C45" s="9">
        <v>1986.9659541226099</v>
      </c>
    </row>
    <row r="46" spans="1:3" x14ac:dyDescent="0.3">
      <c r="A46" s="1">
        <v>1000085</v>
      </c>
      <c r="B46" s="2" t="s">
        <v>47</v>
      </c>
      <c r="C46" s="9">
        <v>0</v>
      </c>
    </row>
    <row r="47" spans="1:3" x14ac:dyDescent="0.3">
      <c r="A47" s="1">
        <v>1000086</v>
      </c>
      <c r="B47" s="2" t="s">
        <v>48</v>
      </c>
      <c r="C47" s="9">
        <v>386.92874999999998</v>
      </c>
    </row>
    <row r="48" spans="1:3" x14ac:dyDescent="0.3">
      <c r="A48" s="1">
        <v>1000091</v>
      </c>
      <c r="B48" s="2" t="s">
        <v>49</v>
      </c>
      <c r="C48" s="9">
        <v>238.02338446491899</v>
      </c>
    </row>
    <row r="49" spans="1:3" x14ac:dyDescent="0.3">
      <c r="A49" s="1">
        <v>1000092</v>
      </c>
      <c r="B49" s="2" t="s">
        <v>50</v>
      </c>
      <c r="C49" s="9">
        <v>0</v>
      </c>
    </row>
    <row r="50" spans="1:3" x14ac:dyDescent="0.3">
      <c r="A50" s="1">
        <v>1000093</v>
      </c>
      <c r="B50" s="2" t="s">
        <v>51</v>
      </c>
      <c r="C50" s="9">
        <v>160.90289923027501</v>
      </c>
    </row>
    <row r="51" spans="1:3" x14ac:dyDescent="0.3">
      <c r="A51" s="1">
        <v>1000095</v>
      </c>
      <c r="B51" s="2" t="s">
        <v>53</v>
      </c>
      <c r="C51" s="9">
        <v>568.94880000000001</v>
      </c>
    </row>
    <row r="52" spans="1:3" x14ac:dyDescent="0.3">
      <c r="A52" s="1">
        <v>1000096</v>
      </c>
      <c r="B52" s="2" t="s">
        <v>54</v>
      </c>
      <c r="C52" s="9">
        <v>1250.93</v>
      </c>
    </row>
    <row r="53" spans="1:3" x14ac:dyDescent="0.3">
      <c r="A53" s="1">
        <v>1000097</v>
      </c>
      <c r="B53" s="2" t="s">
        <v>55</v>
      </c>
      <c r="C53" s="9">
        <v>1378.4759334417899</v>
      </c>
    </row>
    <row r="54" spans="1:3" x14ac:dyDescent="0.3">
      <c r="A54" s="1">
        <v>1000098</v>
      </c>
      <c r="B54" s="2" t="s">
        <v>56</v>
      </c>
      <c r="C54" s="9">
        <v>1850.3575278588601</v>
      </c>
    </row>
    <row r="55" spans="1:3" x14ac:dyDescent="0.3">
      <c r="A55" s="1">
        <v>1000099</v>
      </c>
      <c r="B55" s="2" t="s">
        <v>57</v>
      </c>
      <c r="C55" s="9">
        <v>24.1175</v>
      </c>
    </row>
    <row r="56" spans="1:3" x14ac:dyDescent="0.3">
      <c r="A56" s="1">
        <v>1000100</v>
      </c>
      <c r="B56" s="2" t="s">
        <v>58</v>
      </c>
      <c r="C56" s="9">
        <v>70.22</v>
      </c>
    </row>
    <row r="57" spans="1:3" x14ac:dyDescent="0.3">
      <c r="A57" s="1">
        <v>1000101</v>
      </c>
      <c r="B57" s="2" t="s">
        <v>59</v>
      </c>
      <c r="C57" s="9">
        <v>135.06290042997099</v>
      </c>
    </row>
    <row r="58" spans="1:3" x14ac:dyDescent="0.3">
      <c r="A58" s="1">
        <v>1000102</v>
      </c>
      <c r="B58" s="2" t="s">
        <v>60</v>
      </c>
      <c r="C58" s="9">
        <v>392.960046262258</v>
      </c>
    </row>
    <row r="59" spans="1:3" x14ac:dyDescent="0.3">
      <c r="A59" s="1">
        <v>1000103</v>
      </c>
      <c r="B59" s="2" t="s">
        <v>61</v>
      </c>
      <c r="C59" s="9">
        <v>378.43493315340601</v>
      </c>
    </row>
    <row r="60" spans="1:3" x14ac:dyDescent="0.3">
      <c r="A60" s="1">
        <v>1000104</v>
      </c>
      <c r="B60" s="2" t="s">
        <v>62</v>
      </c>
      <c r="C60" s="9">
        <v>2717.3232499999999</v>
      </c>
    </row>
    <row r="61" spans="1:3" x14ac:dyDescent="0.3">
      <c r="A61" s="1">
        <v>1000107</v>
      </c>
      <c r="B61" s="2" t="s">
        <v>63</v>
      </c>
      <c r="C61" s="9">
        <v>8372.0645999999997</v>
      </c>
    </row>
    <row r="62" spans="1:3" x14ac:dyDescent="0.3">
      <c r="A62" s="1">
        <v>1000111</v>
      </c>
      <c r="B62" s="2" t="s">
        <v>64</v>
      </c>
      <c r="C62" s="9">
        <v>0</v>
      </c>
    </row>
    <row r="63" spans="1:3" x14ac:dyDescent="0.3">
      <c r="A63" s="1">
        <v>1000117</v>
      </c>
      <c r="B63" s="2" t="s">
        <v>65</v>
      </c>
      <c r="C63" s="9">
        <v>571.67876960033504</v>
      </c>
    </row>
    <row r="64" spans="1:3" x14ac:dyDescent="0.3">
      <c r="A64" s="1">
        <v>1000122</v>
      </c>
      <c r="B64" s="2" t="s">
        <v>66</v>
      </c>
      <c r="C64" s="9">
        <v>0</v>
      </c>
    </row>
    <row r="65" spans="1:3" x14ac:dyDescent="0.3">
      <c r="A65" s="1">
        <v>1000123</v>
      </c>
      <c r="B65" s="2" t="s">
        <v>67</v>
      </c>
      <c r="C65" s="9">
        <v>0</v>
      </c>
    </row>
    <row r="66" spans="1:3" x14ac:dyDescent="0.3">
      <c r="A66" s="1">
        <v>1000124</v>
      </c>
      <c r="B66" s="2" t="s">
        <v>68</v>
      </c>
      <c r="C66" s="9">
        <v>224.01710021750799</v>
      </c>
    </row>
    <row r="67" spans="1:3" x14ac:dyDescent="0.3">
      <c r="A67" s="1">
        <v>1000129</v>
      </c>
      <c r="B67" s="2" t="s">
        <v>69</v>
      </c>
      <c r="C67" s="9">
        <v>50.742841923076924</v>
      </c>
    </row>
    <row r="68" spans="1:3" x14ac:dyDescent="0.3">
      <c r="A68" s="1">
        <v>1000130</v>
      </c>
      <c r="B68" s="2" t="s">
        <v>70</v>
      </c>
      <c r="C68" s="9">
        <v>65.326665180144801</v>
      </c>
    </row>
    <row r="69" spans="1:3" x14ac:dyDescent="0.3">
      <c r="A69" s="1">
        <v>1000134</v>
      </c>
      <c r="B69" s="2" t="s">
        <v>71</v>
      </c>
      <c r="C69" s="9">
        <v>19.72</v>
      </c>
    </row>
    <row r="70" spans="1:3" x14ac:dyDescent="0.3">
      <c r="A70" s="1">
        <v>1000136</v>
      </c>
      <c r="B70" s="2" t="s">
        <v>72</v>
      </c>
      <c r="C70" s="9">
        <v>368.34518573017698</v>
      </c>
    </row>
    <row r="71" spans="1:3" x14ac:dyDescent="0.3">
      <c r="A71" s="1">
        <v>1000137</v>
      </c>
      <c r="B71" s="2" t="s">
        <v>73</v>
      </c>
      <c r="C71" s="9">
        <v>97.338791801510197</v>
      </c>
    </row>
    <row r="72" spans="1:3" x14ac:dyDescent="0.3">
      <c r="A72" s="1">
        <v>1000138</v>
      </c>
      <c r="B72" s="2" t="s">
        <v>74</v>
      </c>
      <c r="C72" s="9">
        <v>345.524789473684</v>
      </c>
    </row>
    <row r="73" spans="1:3" x14ac:dyDescent="0.3">
      <c r="A73" s="1">
        <v>1000140</v>
      </c>
      <c r="B73" s="2" t="s">
        <v>75</v>
      </c>
      <c r="C73" s="9">
        <v>172.84</v>
      </c>
    </row>
    <row r="74" spans="1:3" x14ac:dyDescent="0.3">
      <c r="A74" s="1">
        <v>1000141</v>
      </c>
      <c r="B74" s="2" t="s">
        <v>76</v>
      </c>
      <c r="C74" s="9">
        <v>1290.9829315340201</v>
      </c>
    </row>
    <row r="75" spans="1:3" x14ac:dyDescent="0.3">
      <c r="A75" s="1">
        <v>1000142</v>
      </c>
      <c r="B75" s="2" t="s">
        <v>77</v>
      </c>
      <c r="C75" s="9">
        <v>70.965220330224497</v>
      </c>
    </row>
    <row r="76" spans="1:3" x14ac:dyDescent="0.3">
      <c r="A76" s="1">
        <v>1000143</v>
      </c>
      <c r="B76" s="2" t="s">
        <v>78</v>
      </c>
      <c r="C76" s="9">
        <v>0</v>
      </c>
    </row>
    <row r="77" spans="1:3" x14ac:dyDescent="0.3">
      <c r="A77" s="1">
        <v>1000144</v>
      </c>
      <c r="B77" s="2" t="s">
        <v>79</v>
      </c>
      <c r="C77" s="9">
        <v>75.667866666666697</v>
      </c>
    </row>
    <row r="78" spans="1:3" x14ac:dyDescent="0.3">
      <c r="A78" s="1">
        <v>1000145</v>
      </c>
      <c r="B78" s="2" t="s">
        <v>80</v>
      </c>
      <c r="C78" s="9">
        <v>290.044355277992</v>
      </c>
    </row>
    <row r="79" spans="1:3" x14ac:dyDescent="0.3">
      <c r="A79" s="1">
        <v>1000147</v>
      </c>
      <c r="B79" s="2" t="s">
        <v>81</v>
      </c>
      <c r="C79" s="9">
        <v>7.4340000000000002</v>
      </c>
    </row>
    <row r="80" spans="1:3" x14ac:dyDescent="0.3">
      <c r="A80" s="1">
        <v>1000150</v>
      </c>
      <c r="B80" s="2" t="s">
        <v>82</v>
      </c>
      <c r="C80" s="9">
        <v>170.49877729257642</v>
      </c>
    </row>
    <row r="81" spans="1:3" x14ac:dyDescent="0.3">
      <c r="A81" s="1">
        <v>1000156</v>
      </c>
      <c r="B81" s="2" t="s">
        <v>83</v>
      </c>
      <c r="C81" s="9">
        <v>21.491568888888899</v>
      </c>
    </row>
    <row r="82" spans="1:3" x14ac:dyDescent="0.3">
      <c r="A82" s="1">
        <v>1000159</v>
      </c>
      <c r="B82" s="2" t="s">
        <v>84</v>
      </c>
      <c r="C82" s="9">
        <v>98.155553385930602</v>
      </c>
    </row>
    <row r="83" spans="1:3" x14ac:dyDescent="0.3">
      <c r="A83" s="1">
        <v>1000160</v>
      </c>
      <c r="B83" s="2" t="s">
        <v>85</v>
      </c>
      <c r="C83" s="9">
        <v>231.80974842664901</v>
      </c>
    </row>
    <row r="84" spans="1:3" x14ac:dyDescent="0.3">
      <c r="A84" s="1">
        <v>1000161</v>
      </c>
      <c r="B84" s="2" t="s">
        <v>86</v>
      </c>
      <c r="C84" s="9">
        <v>291.30156211546199</v>
      </c>
    </row>
    <row r="85" spans="1:3" x14ac:dyDescent="0.3">
      <c r="A85" s="1">
        <v>1000163</v>
      </c>
      <c r="B85" s="2" t="s">
        <v>87</v>
      </c>
      <c r="C85" s="9">
        <v>68.137354555495804</v>
      </c>
    </row>
    <row r="86" spans="1:3" x14ac:dyDescent="0.3">
      <c r="A86" s="1">
        <v>1000164</v>
      </c>
      <c r="B86" s="2" t="s">
        <v>88</v>
      </c>
      <c r="C86" s="9">
        <v>109.447206716696</v>
      </c>
    </row>
    <row r="87" spans="1:3" x14ac:dyDescent="0.3">
      <c r="A87" s="1">
        <v>1000165</v>
      </c>
      <c r="B87" s="2" t="s">
        <v>89</v>
      </c>
      <c r="C87" s="9">
        <v>122.75055986218777</v>
      </c>
    </row>
    <row r="88" spans="1:3" x14ac:dyDescent="0.3">
      <c r="A88" s="1">
        <v>1000173</v>
      </c>
      <c r="B88" s="2" t="s">
        <v>90</v>
      </c>
      <c r="C88" s="9">
        <v>410.86283080856498</v>
      </c>
    </row>
    <row r="89" spans="1:3" x14ac:dyDescent="0.3">
      <c r="A89" s="1">
        <v>1000176</v>
      </c>
      <c r="B89" s="2" t="s">
        <v>91</v>
      </c>
      <c r="C89" s="9">
        <v>5141.0529999999999</v>
      </c>
    </row>
    <row r="90" spans="1:3" x14ac:dyDescent="0.3">
      <c r="A90" s="1">
        <v>1000177</v>
      </c>
      <c r="B90" s="2" t="s">
        <v>92</v>
      </c>
      <c r="C90" s="9">
        <v>800.00584760101003</v>
      </c>
    </row>
    <row r="91" spans="1:3" x14ac:dyDescent="0.3">
      <c r="A91" s="1">
        <v>1000179</v>
      </c>
      <c r="B91" s="2" t="s">
        <v>93</v>
      </c>
      <c r="C91" s="9">
        <v>229.341360818288</v>
      </c>
    </row>
    <row r="92" spans="1:3" x14ac:dyDescent="0.3">
      <c r="A92" s="1">
        <v>1000181</v>
      </c>
      <c r="B92" s="2" t="s">
        <v>94</v>
      </c>
      <c r="C92" s="9">
        <v>13705.836744856</v>
      </c>
    </row>
    <row r="93" spans="1:3" x14ac:dyDescent="0.3">
      <c r="A93" s="1">
        <v>1000189</v>
      </c>
      <c r="B93" s="2" t="s">
        <v>95</v>
      </c>
      <c r="C93" s="9">
        <v>173029.650339482</v>
      </c>
    </row>
    <row r="94" spans="1:3" x14ac:dyDescent="0.3">
      <c r="A94" s="1">
        <v>1000192</v>
      </c>
      <c r="B94" s="2" t="s">
        <v>97</v>
      </c>
      <c r="C94" s="9">
        <v>165.2</v>
      </c>
    </row>
    <row r="95" spans="1:3" x14ac:dyDescent="0.3">
      <c r="A95" s="1">
        <v>1000193</v>
      </c>
      <c r="B95" s="2" t="s">
        <v>98</v>
      </c>
      <c r="C95" s="9">
        <v>0</v>
      </c>
    </row>
    <row r="96" spans="1:3" x14ac:dyDescent="0.3">
      <c r="A96" s="1">
        <v>1000199</v>
      </c>
      <c r="B96" s="2" t="s">
        <v>99</v>
      </c>
      <c r="C96" s="9">
        <v>723.82158536585302</v>
      </c>
    </row>
    <row r="97" spans="1:3" x14ac:dyDescent="0.3">
      <c r="A97" s="1">
        <v>1000200</v>
      </c>
      <c r="B97" s="2" t="s">
        <v>100</v>
      </c>
      <c r="C97" s="9">
        <v>6391.1991489361699</v>
      </c>
    </row>
    <row r="98" spans="1:3" x14ac:dyDescent="0.3">
      <c r="A98" s="1">
        <v>1000201</v>
      </c>
      <c r="B98" s="2" t="s">
        <v>101</v>
      </c>
      <c r="C98" s="9">
        <v>2070.6</v>
      </c>
    </row>
    <row r="99" spans="1:3" x14ac:dyDescent="0.3">
      <c r="A99" s="1">
        <v>1000202</v>
      </c>
      <c r="B99" s="2" t="s">
        <v>102</v>
      </c>
      <c r="C99" s="9">
        <v>0</v>
      </c>
    </row>
    <row r="100" spans="1:3" x14ac:dyDescent="0.3">
      <c r="A100" s="1">
        <v>1000209</v>
      </c>
      <c r="B100" s="2" t="s">
        <v>103</v>
      </c>
      <c r="C100" s="9">
        <v>2338.2600000000002</v>
      </c>
    </row>
    <row r="101" spans="1:3" x14ac:dyDescent="0.3">
      <c r="A101" s="1">
        <v>1000211</v>
      </c>
      <c r="B101" s="2" t="s">
        <v>104</v>
      </c>
      <c r="C101" s="9">
        <v>281.01</v>
      </c>
    </row>
    <row r="102" spans="1:3" x14ac:dyDescent="0.3">
      <c r="A102" s="1">
        <v>1000212</v>
      </c>
      <c r="B102" s="2" t="s">
        <v>105</v>
      </c>
      <c r="C102" s="9">
        <v>890.45173913043504</v>
      </c>
    </row>
    <row r="103" spans="1:3" x14ac:dyDescent="0.3">
      <c r="A103" s="1">
        <v>1000213</v>
      </c>
      <c r="B103" s="2" t="s">
        <v>106</v>
      </c>
      <c r="C103" s="9">
        <v>890.45184285714299</v>
      </c>
    </row>
    <row r="104" spans="1:3" x14ac:dyDescent="0.3">
      <c r="A104" s="1">
        <v>1000214</v>
      </c>
      <c r="B104" s="2" t="s">
        <v>107</v>
      </c>
      <c r="C104" s="9">
        <v>890.45173913043504</v>
      </c>
    </row>
    <row r="105" spans="1:3" x14ac:dyDescent="0.3">
      <c r="A105" s="1">
        <v>1000215</v>
      </c>
      <c r="B105" s="2" t="s">
        <v>108</v>
      </c>
      <c r="C105" s="9">
        <v>1914</v>
      </c>
    </row>
    <row r="106" spans="1:3" x14ac:dyDescent="0.3">
      <c r="A106" s="1">
        <v>1000217</v>
      </c>
      <c r="B106" s="2" t="s">
        <v>109</v>
      </c>
      <c r="C106" s="9">
        <v>1856</v>
      </c>
    </row>
    <row r="107" spans="1:3" x14ac:dyDescent="0.3">
      <c r="A107" s="1">
        <v>1000218</v>
      </c>
      <c r="B107" s="2" t="s">
        <v>110</v>
      </c>
      <c r="C107" s="9">
        <v>3480.64672759942</v>
      </c>
    </row>
    <row r="108" spans="1:3" x14ac:dyDescent="0.3">
      <c r="A108" s="1">
        <v>1000219</v>
      </c>
      <c r="B108" s="2" t="s">
        <v>111</v>
      </c>
      <c r="C108" s="9">
        <v>3731.4668724110902</v>
      </c>
    </row>
    <row r="109" spans="1:3" x14ac:dyDescent="0.3">
      <c r="A109" s="1">
        <v>1000220</v>
      </c>
      <c r="B109" s="2" t="s">
        <v>112</v>
      </c>
      <c r="C109" s="9">
        <v>3773.1989406071698</v>
      </c>
    </row>
    <row r="110" spans="1:3" x14ac:dyDescent="0.3">
      <c r="A110" s="1">
        <v>1000221</v>
      </c>
      <c r="B110" s="2" t="s">
        <v>113</v>
      </c>
      <c r="C110" s="9">
        <v>3446.8197272120801</v>
      </c>
    </row>
    <row r="111" spans="1:3" x14ac:dyDescent="0.3">
      <c r="A111" s="1">
        <v>1000222</v>
      </c>
      <c r="B111" s="2" t="s">
        <v>114</v>
      </c>
      <c r="C111" s="9">
        <v>3468.47059942735</v>
      </c>
    </row>
    <row r="112" spans="1:3" x14ac:dyDescent="0.3">
      <c r="A112" s="1">
        <v>1000223</v>
      </c>
      <c r="B112" s="2" t="s">
        <v>115</v>
      </c>
      <c r="C112" s="9">
        <v>3396.8832351585202</v>
      </c>
    </row>
    <row r="113" spans="1:3" x14ac:dyDescent="0.3">
      <c r="A113" s="1">
        <v>1000224</v>
      </c>
      <c r="B113" s="2" t="s">
        <v>116</v>
      </c>
      <c r="C113" s="9">
        <v>2654.9447265065301</v>
      </c>
    </row>
    <row r="114" spans="1:3" x14ac:dyDescent="0.3">
      <c r="A114" s="1">
        <v>1000225</v>
      </c>
      <c r="B114" s="2" t="s">
        <v>117</v>
      </c>
      <c r="C114" s="9">
        <v>3122.5606955471799</v>
      </c>
    </row>
    <row r="115" spans="1:3" x14ac:dyDescent="0.3">
      <c r="A115" s="1">
        <v>1000226</v>
      </c>
      <c r="B115" s="2" t="s">
        <v>118</v>
      </c>
      <c r="C115" s="9">
        <v>2903.4975250965299</v>
      </c>
    </row>
    <row r="116" spans="1:3" x14ac:dyDescent="0.3">
      <c r="A116" s="1">
        <v>1000227</v>
      </c>
      <c r="B116" s="2" t="s">
        <v>119</v>
      </c>
      <c r="C116" s="9">
        <v>2638.39618922306</v>
      </c>
    </row>
    <row r="117" spans="1:3" x14ac:dyDescent="0.3">
      <c r="A117" s="1">
        <v>1000228</v>
      </c>
      <c r="B117" s="2" t="s">
        <v>120</v>
      </c>
      <c r="C117" s="9">
        <v>360.73680000000002</v>
      </c>
    </row>
    <row r="118" spans="1:3" x14ac:dyDescent="0.3">
      <c r="A118" s="1">
        <v>1000229</v>
      </c>
      <c r="B118" s="2" t="s">
        <v>121</v>
      </c>
      <c r="C118" s="9">
        <v>487.2</v>
      </c>
    </row>
    <row r="119" spans="1:3" x14ac:dyDescent="0.3">
      <c r="A119" s="1">
        <v>1000230</v>
      </c>
      <c r="B119" s="2" t="s">
        <v>122</v>
      </c>
      <c r="C119" s="9">
        <v>487.2</v>
      </c>
    </row>
    <row r="120" spans="1:3" x14ac:dyDescent="0.3">
      <c r="A120" s="1">
        <v>1000231</v>
      </c>
      <c r="B120" s="2" t="s">
        <v>123</v>
      </c>
      <c r="C120" s="9">
        <v>487.2</v>
      </c>
    </row>
    <row r="121" spans="1:3" x14ac:dyDescent="0.3">
      <c r="A121" s="1">
        <v>1000232</v>
      </c>
      <c r="B121" s="2" t="s">
        <v>124</v>
      </c>
      <c r="C121" s="9">
        <v>487.2</v>
      </c>
    </row>
    <row r="122" spans="1:3" x14ac:dyDescent="0.3">
      <c r="A122" s="1">
        <v>1000233</v>
      </c>
      <c r="B122" s="2" t="s">
        <v>125</v>
      </c>
      <c r="C122" s="9">
        <v>487.2</v>
      </c>
    </row>
    <row r="123" spans="1:3" x14ac:dyDescent="0.3">
      <c r="A123" s="1">
        <v>1000234</v>
      </c>
      <c r="B123" s="2" t="s">
        <v>126</v>
      </c>
      <c r="C123" s="9">
        <v>504.6</v>
      </c>
    </row>
    <row r="124" spans="1:3" x14ac:dyDescent="0.3">
      <c r="A124" s="1">
        <v>1000235</v>
      </c>
      <c r="B124" s="2" t="s">
        <v>127</v>
      </c>
      <c r="C124" s="9">
        <v>493.25217391304301</v>
      </c>
    </row>
    <row r="125" spans="1:3" x14ac:dyDescent="0.3">
      <c r="A125" s="1">
        <v>1000236</v>
      </c>
      <c r="B125" s="2" t="s">
        <v>128</v>
      </c>
      <c r="C125" s="9">
        <v>504.34903846153799</v>
      </c>
    </row>
    <row r="126" spans="1:3" x14ac:dyDescent="0.3">
      <c r="A126" s="1">
        <v>1000237</v>
      </c>
      <c r="B126" s="2" t="s">
        <v>129</v>
      </c>
      <c r="C126" s="9">
        <v>469.8</v>
      </c>
    </row>
    <row r="127" spans="1:3" x14ac:dyDescent="0.3">
      <c r="A127" s="1">
        <v>1000238</v>
      </c>
      <c r="B127" s="2" t="s">
        <v>130</v>
      </c>
      <c r="C127" s="9">
        <v>460.01249999999999</v>
      </c>
    </row>
    <row r="128" spans="1:3" x14ac:dyDescent="0.3">
      <c r="A128" s="1">
        <v>1000239</v>
      </c>
      <c r="B128" s="2" t="s">
        <v>131</v>
      </c>
      <c r="C128" s="9">
        <v>481.4</v>
      </c>
    </row>
    <row r="129" spans="1:3" x14ac:dyDescent="0.3">
      <c r="A129" s="1">
        <v>1000240</v>
      </c>
      <c r="B129" s="2" t="s">
        <v>132</v>
      </c>
      <c r="C129" s="9">
        <v>481.4</v>
      </c>
    </row>
    <row r="130" spans="1:3" x14ac:dyDescent="0.3">
      <c r="A130" s="1">
        <v>1000241</v>
      </c>
      <c r="B130" s="2" t="s">
        <v>133</v>
      </c>
      <c r="C130" s="9">
        <v>481.4</v>
      </c>
    </row>
    <row r="131" spans="1:3" x14ac:dyDescent="0.3">
      <c r="A131" s="1">
        <v>1000242</v>
      </c>
      <c r="B131" s="2" t="s">
        <v>134</v>
      </c>
      <c r="C131" s="9">
        <v>481.4</v>
      </c>
    </row>
    <row r="132" spans="1:3" x14ac:dyDescent="0.3">
      <c r="A132" s="1">
        <v>1000243</v>
      </c>
      <c r="B132" s="2" t="s">
        <v>135</v>
      </c>
      <c r="C132" s="9">
        <v>481.4</v>
      </c>
    </row>
    <row r="133" spans="1:3" x14ac:dyDescent="0.3">
      <c r="A133" s="1">
        <v>1000245</v>
      </c>
      <c r="B133" s="2" t="s">
        <v>136</v>
      </c>
      <c r="C133" s="9">
        <v>592.75450236966606</v>
      </c>
    </row>
    <row r="134" spans="1:3" x14ac:dyDescent="0.3">
      <c r="A134" s="1">
        <v>1000246</v>
      </c>
      <c r="B134" s="2" t="s">
        <v>137</v>
      </c>
      <c r="C134" s="9">
        <v>555.57894736842002</v>
      </c>
    </row>
    <row r="135" spans="1:3" x14ac:dyDescent="0.3">
      <c r="A135" s="1">
        <v>1000247</v>
      </c>
      <c r="B135" s="2" t="s">
        <v>138</v>
      </c>
      <c r="C135" s="9">
        <v>592.33153153153</v>
      </c>
    </row>
    <row r="136" spans="1:3" x14ac:dyDescent="0.3">
      <c r="A136" s="1">
        <v>1000248</v>
      </c>
      <c r="B136" s="2" t="s">
        <v>139</v>
      </c>
      <c r="C136" s="9">
        <v>603.19999999999902</v>
      </c>
    </row>
    <row r="137" spans="1:3" x14ac:dyDescent="0.3">
      <c r="A137" s="1">
        <v>1000249</v>
      </c>
      <c r="B137" s="2" t="s">
        <v>140</v>
      </c>
      <c r="C137" s="9">
        <v>575.90588235294103</v>
      </c>
    </row>
    <row r="138" spans="1:3" x14ac:dyDescent="0.3">
      <c r="A138" s="1">
        <v>1000255</v>
      </c>
      <c r="B138" s="2" t="s">
        <v>141</v>
      </c>
      <c r="C138" s="9">
        <v>527.15503903904198</v>
      </c>
    </row>
    <row r="139" spans="1:3" x14ac:dyDescent="0.3">
      <c r="A139" s="1">
        <v>1000256</v>
      </c>
      <c r="B139" s="2" t="s">
        <v>142</v>
      </c>
      <c r="C139" s="9">
        <v>489.78862348702398</v>
      </c>
    </row>
    <row r="140" spans="1:3" x14ac:dyDescent="0.3">
      <c r="A140" s="1">
        <v>1000257</v>
      </c>
      <c r="B140" s="2" t="s">
        <v>143</v>
      </c>
      <c r="C140" s="9">
        <v>453.70502459615801</v>
      </c>
    </row>
    <row r="141" spans="1:3" x14ac:dyDescent="0.3">
      <c r="A141" s="1">
        <v>1000258</v>
      </c>
      <c r="B141" s="2" t="s">
        <v>144</v>
      </c>
      <c r="C141" s="9">
        <v>469.74334142533502</v>
      </c>
    </row>
    <row r="142" spans="1:3" x14ac:dyDescent="0.3">
      <c r="A142" s="1">
        <v>1000259</v>
      </c>
      <c r="B142" s="2" t="s">
        <v>145</v>
      </c>
      <c r="C142" s="9">
        <v>394.33435774534098</v>
      </c>
    </row>
    <row r="143" spans="1:3" x14ac:dyDescent="0.3">
      <c r="A143" s="1">
        <v>1000260</v>
      </c>
      <c r="B143" s="2" t="s">
        <v>146</v>
      </c>
      <c r="C143" s="9">
        <v>351.68941179737197</v>
      </c>
    </row>
    <row r="144" spans="1:3" x14ac:dyDescent="0.3">
      <c r="A144" s="1">
        <v>1000262</v>
      </c>
      <c r="B144" s="2" t="s">
        <v>147</v>
      </c>
      <c r="C144" s="9">
        <v>497.20193487190198</v>
      </c>
    </row>
    <row r="145" spans="1:3" x14ac:dyDescent="0.3">
      <c r="A145" s="1">
        <v>1000263</v>
      </c>
      <c r="B145" s="2" t="s">
        <v>148</v>
      </c>
      <c r="C145" s="9">
        <v>493.56368306878301</v>
      </c>
    </row>
    <row r="146" spans="1:3" x14ac:dyDescent="0.3">
      <c r="A146" s="1">
        <v>1000264</v>
      </c>
      <c r="B146" s="2" t="s">
        <v>149</v>
      </c>
      <c r="C146" s="9">
        <v>451.24</v>
      </c>
    </row>
    <row r="147" spans="1:3" x14ac:dyDescent="0.3">
      <c r="A147" s="1">
        <v>1000265</v>
      </c>
      <c r="B147" s="2" t="s">
        <v>150</v>
      </c>
      <c r="C147" s="9">
        <v>1248.1071666666701</v>
      </c>
    </row>
    <row r="148" spans="1:3" x14ac:dyDescent="0.3">
      <c r="A148" s="1">
        <v>1000266</v>
      </c>
      <c r="B148" s="2" t="s">
        <v>151</v>
      </c>
      <c r="C148" s="9">
        <v>486.28560036891201</v>
      </c>
    </row>
    <row r="149" spans="1:3" x14ac:dyDescent="0.3">
      <c r="A149" s="1">
        <v>1000267</v>
      </c>
      <c r="B149" s="2" t="s">
        <v>152</v>
      </c>
      <c r="C149" s="9">
        <v>419.59076057636702</v>
      </c>
    </row>
    <row r="150" spans="1:3" x14ac:dyDescent="0.3">
      <c r="A150" s="1">
        <v>1000269</v>
      </c>
      <c r="B150" s="2" t="s">
        <v>153</v>
      </c>
      <c r="C150" s="9">
        <v>363.599285714286</v>
      </c>
    </row>
    <row r="151" spans="1:3" x14ac:dyDescent="0.3">
      <c r="A151" s="1">
        <v>1000271</v>
      </c>
      <c r="B151" s="2" t="s">
        <v>154</v>
      </c>
      <c r="C151" s="9">
        <v>758.44522649030205</v>
      </c>
    </row>
    <row r="152" spans="1:3" x14ac:dyDescent="0.3">
      <c r="A152" s="1">
        <v>1000272</v>
      </c>
      <c r="B152" s="2" t="s">
        <v>155</v>
      </c>
      <c r="C152" s="9">
        <v>356.26</v>
      </c>
    </row>
    <row r="153" spans="1:3" x14ac:dyDescent="0.3">
      <c r="A153" s="1">
        <v>1000274</v>
      </c>
      <c r="B153" s="2" t="s">
        <v>156</v>
      </c>
      <c r="C153" s="9">
        <v>4710.76</v>
      </c>
    </row>
    <row r="154" spans="1:3" x14ac:dyDescent="0.3">
      <c r="A154" s="1">
        <v>1000275</v>
      </c>
      <c r="B154" s="2" t="s">
        <v>157</v>
      </c>
      <c r="C154" s="9">
        <v>3853.9549999999999</v>
      </c>
    </row>
    <row r="155" spans="1:3" x14ac:dyDescent="0.3">
      <c r="A155" s="1">
        <v>1000276</v>
      </c>
      <c r="B155" s="2" t="s">
        <v>158</v>
      </c>
      <c r="C155" s="9">
        <v>2010.9749190705099</v>
      </c>
    </row>
    <row r="156" spans="1:3" x14ac:dyDescent="0.3">
      <c r="A156" s="1">
        <v>1000277</v>
      </c>
      <c r="B156" s="2" t="s">
        <v>159</v>
      </c>
      <c r="C156" s="9">
        <v>1734.2</v>
      </c>
    </row>
    <row r="157" spans="1:3" x14ac:dyDescent="0.3">
      <c r="A157" s="1">
        <v>1000278</v>
      </c>
      <c r="B157" s="2" t="s">
        <v>160</v>
      </c>
      <c r="C157" s="9">
        <v>3746.5921739130399</v>
      </c>
    </row>
    <row r="158" spans="1:3" x14ac:dyDescent="0.3">
      <c r="A158" s="1">
        <v>1000279</v>
      </c>
      <c r="B158" s="2" t="s">
        <v>161</v>
      </c>
      <c r="C158" s="9">
        <v>1734.2</v>
      </c>
    </row>
    <row r="159" spans="1:3" x14ac:dyDescent="0.3">
      <c r="A159" s="1">
        <v>1000280</v>
      </c>
      <c r="B159" s="2" t="s">
        <v>162</v>
      </c>
      <c r="C159" s="9">
        <v>2545.7142857142899</v>
      </c>
    </row>
    <row r="160" spans="1:3" x14ac:dyDescent="0.3">
      <c r="A160" s="1">
        <v>1000282</v>
      </c>
      <c r="B160" s="2" t="s">
        <v>163</v>
      </c>
      <c r="C160" s="9">
        <v>350</v>
      </c>
    </row>
    <row r="161" spans="1:3" x14ac:dyDescent="0.3">
      <c r="A161" s="1">
        <v>1000286</v>
      </c>
      <c r="B161" s="2" t="s">
        <v>164</v>
      </c>
      <c r="C161" s="9">
        <v>1276</v>
      </c>
    </row>
    <row r="162" spans="1:3" x14ac:dyDescent="0.3">
      <c r="A162" s="1">
        <v>1000288</v>
      </c>
      <c r="B162" s="2" t="s">
        <v>165</v>
      </c>
      <c r="C162" s="9">
        <v>2320</v>
      </c>
    </row>
    <row r="163" spans="1:3" x14ac:dyDescent="0.3">
      <c r="A163" s="1">
        <v>1000289</v>
      </c>
      <c r="B163" s="2" t="s">
        <v>166</v>
      </c>
      <c r="C163" s="9">
        <v>17205</v>
      </c>
    </row>
    <row r="164" spans="1:3" x14ac:dyDescent="0.3">
      <c r="A164" s="1">
        <v>1000291</v>
      </c>
      <c r="B164" s="2" t="s">
        <v>167</v>
      </c>
      <c r="C164" s="9">
        <v>3224</v>
      </c>
    </row>
    <row r="165" spans="1:3" x14ac:dyDescent="0.3">
      <c r="A165" s="1">
        <v>1000293</v>
      </c>
      <c r="B165" s="2" t="s">
        <v>168</v>
      </c>
      <c r="C165" s="9">
        <v>4464</v>
      </c>
    </row>
    <row r="166" spans="1:3" x14ac:dyDescent="0.3">
      <c r="A166" s="1">
        <v>1000294</v>
      </c>
      <c r="B166" s="2" t="s">
        <v>169</v>
      </c>
      <c r="C166" s="9">
        <v>7308</v>
      </c>
    </row>
    <row r="167" spans="1:3" x14ac:dyDescent="0.3">
      <c r="A167" s="1">
        <v>1000295</v>
      </c>
      <c r="B167" s="2" t="s">
        <v>170</v>
      </c>
      <c r="C167" s="9">
        <v>6045</v>
      </c>
    </row>
    <row r="168" spans="1:3" x14ac:dyDescent="0.3">
      <c r="A168" s="1">
        <v>1000296</v>
      </c>
      <c r="B168" s="2" t="s">
        <v>171</v>
      </c>
      <c r="C168" s="9">
        <v>2830.2233333333302</v>
      </c>
    </row>
    <row r="169" spans="1:3" x14ac:dyDescent="0.3">
      <c r="A169" s="1">
        <v>1000298</v>
      </c>
      <c r="B169" s="2" t="s">
        <v>172</v>
      </c>
      <c r="C169" s="9">
        <v>12196.5714285714</v>
      </c>
    </row>
    <row r="170" spans="1:3" x14ac:dyDescent="0.3">
      <c r="A170" s="1">
        <v>1000299</v>
      </c>
      <c r="B170" s="2" t="s">
        <v>173</v>
      </c>
      <c r="C170" s="9">
        <v>4464</v>
      </c>
    </row>
    <row r="171" spans="1:3" x14ac:dyDescent="0.3">
      <c r="A171" s="1">
        <v>1000300</v>
      </c>
      <c r="B171" s="2" t="s">
        <v>174</v>
      </c>
      <c r="C171" s="9">
        <v>680.29032258064501</v>
      </c>
    </row>
    <row r="172" spans="1:3" x14ac:dyDescent="0.3">
      <c r="A172" s="1">
        <v>1000303</v>
      </c>
      <c r="B172" s="2" t="s">
        <v>175</v>
      </c>
      <c r="C172" s="9">
        <v>118.380675294002</v>
      </c>
    </row>
    <row r="173" spans="1:3" x14ac:dyDescent="0.3">
      <c r="A173" s="1">
        <v>1000304</v>
      </c>
      <c r="B173" s="2" t="s">
        <v>176</v>
      </c>
      <c r="C173" s="9">
        <v>190.32352941176501</v>
      </c>
    </row>
    <row r="174" spans="1:3" x14ac:dyDescent="0.3">
      <c r="A174" s="1">
        <v>1000308</v>
      </c>
      <c r="B174" s="2" t="s">
        <v>177</v>
      </c>
      <c r="C174" s="9">
        <v>1453.73</v>
      </c>
    </row>
    <row r="175" spans="1:3" x14ac:dyDescent="0.3">
      <c r="A175" s="1">
        <v>1000312</v>
      </c>
      <c r="B175" s="2" t="s">
        <v>178</v>
      </c>
      <c r="C175" s="9">
        <v>4243.57</v>
      </c>
    </row>
    <row r="176" spans="1:3" x14ac:dyDescent="0.3">
      <c r="A176" s="1">
        <v>1000313</v>
      </c>
      <c r="B176" s="2" t="s">
        <v>179</v>
      </c>
      <c r="C176" s="9">
        <v>4828.9250000000002</v>
      </c>
    </row>
    <row r="177" spans="1:3" x14ac:dyDescent="0.3">
      <c r="A177" s="1">
        <v>1000319</v>
      </c>
      <c r="B177" s="2" t="s">
        <v>180</v>
      </c>
      <c r="C177" s="9">
        <v>3306.8954046259701</v>
      </c>
    </row>
    <row r="178" spans="1:3" x14ac:dyDescent="0.3">
      <c r="A178" s="1">
        <v>1000320</v>
      </c>
      <c r="B178" s="2" t="s">
        <v>181</v>
      </c>
      <c r="C178" s="9">
        <v>3274.1039794527201</v>
      </c>
    </row>
    <row r="179" spans="1:3" x14ac:dyDescent="0.3">
      <c r="A179" s="1">
        <v>1000321</v>
      </c>
      <c r="B179" s="2" t="s">
        <v>182</v>
      </c>
      <c r="C179" s="9">
        <v>3435.0194372365499</v>
      </c>
    </row>
    <row r="180" spans="1:3" x14ac:dyDescent="0.3">
      <c r="A180" s="1">
        <v>1000322</v>
      </c>
      <c r="B180" s="2" t="s">
        <v>183</v>
      </c>
      <c r="C180" s="9">
        <v>3730.0773782051301</v>
      </c>
    </row>
    <row r="181" spans="1:3" x14ac:dyDescent="0.3">
      <c r="A181" s="1">
        <v>1000323</v>
      </c>
      <c r="B181" s="2" t="s">
        <v>184</v>
      </c>
      <c r="C181" s="9">
        <v>6599.97615703474</v>
      </c>
    </row>
    <row r="182" spans="1:3" x14ac:dyDescent="0.3">
      <c r="A182" s="1">
        <v>1000324</v>
      </c>
      <c r="B182" s="2" t="s">
        <v>185</v>
      </c>
      <c r="C182" s="9">
        <v>6179.8838093779405</v>
      </c>
    </row>
    <row r="183" spans="1:3" x14ac:dyDescent="0.3">
      <c r="A183" s="1">
        <v>1000325</v>
      </c>
      <c r="B183" s="2" t="s">
        <v>186</v>
      </c>
      <c r="C183" s="9">
        <v>7240.3239891987396</v>
      </c>
    </row>
    <row r="184" spans="1:3" x14ac:dyDescent="0.3">
      <c r="A184" s="1">
        <v>1000326</v>
      </c>
      <c r="B184" s="2" t="s">
        <v>187</v>
      </c>
      <c r="C184" s="9">
        <v>5146.6319485148597</v>
      </c>
    </row>
    <row r="185" spans="1:3" x14ac:dyDescent="0.3">
      <c r="A185" s="1">
        <v>1000328</v>
      </c>
      <c r="B185" s="2" t="s">
        <v>188</v>
      </c>
      <c r="C185" s="9">
        <v>869.04538387023797</v>
      </c>
    </row>
    <row r="186" spans="1:3" x14ac:dyDescent="0.3">
      <c r="A186" s="1">
        <v>1000330</v>
      </c>
      <c r="B186" s="2" t="s">
        <v>189</v>
      </c>
      <c r="C186" s="9">
        <v>246.13400190229501</v>
      </c>
    </row>
    <row r="187" spans="1:3" x14ac:dyDescent="0.3">
      <c r="A187" s="1">
        <v>1000331</v>
      </c>
      <c r="B187" s="2" t="s">
        <v>190</v>
      </c>
      <c r="C187" s="9">
        <v>189.18222244898001</v>
      </c>
    </row>
    <row r="188" spans="1:3" x14ac:dyDescent="0.3">
      <c r="A188" s="1">
        <v>1000332</v>
      </c>
      <c r="B188" s="2" t="s">
        <v>191</v>
      </c>
      <c r="C188" s="9">
        <v>189.184047463768</v>
      </c>
    </row>
    <row r="189" spans="1:3" x14ac:dyDescent="0.3">
      <c r="A189" s="1">
        <v>1000334</v>
      </c>
      <c r="B189" s="2" t="s">
        <v>192</v>
      </c>
      <c r="C189" s="9">
        <v>134.43998474116299</v>
      </c>
    </row>
    <row r="190" spans="1:3" x14ac:dyDescent="0.3">
      <c r="A190" s="1">
        <v>1000335</v>
      </c>
      <c r="B190" s="2" t="s">
        <v>193</v>
      </c>
      <c r="C190" s="9">
        <v>1970.38535832463</v>
      </c>
    </row>
    <row r="191" spans="1:3" x14ac:dyDescent="0.3">
      <c r="A191" s="1">
        <v>1000339</v>
      </c>
      <c r="B191" s="2" t="s">
        <v>194</v>
      </c>
      <c r="C191" s="9">
        <v>116.19319237375301</v>
      </c>
    </row>
    <row r="192" spans="1:3" x14ac:dyDescent="0.3">
      <c r="A192" s="1">
        <v>1000340</v>
      </c>
      <c r="B192" s="2" t="s">
        <v>195</v>
      </c>
      <c r="C192" s="9">
        <v>132.41989485699401</v>
      </c>
    </row>
    <row r="193" spans="1:3" x14ac:dyDescent="0.3">
      <c r="A193" s="1">
        <v>1000343</v>
      </c>
      <c r="B193" s="2" t="s">
        <v>196</v>
      </c>
      <c r="C193" s="9">
        <v>1345.6</v>
      </c>
    </row>
    <row r="194" spans="1:3" x14ac:dyDescent="0.3">
      <c r="A194" s="1">
        <v>1000345</v>
      </c>
      <c r="B194" s="2" t="s">
        <v>197</v>
      </c>
      <c r="C194" s="9">
        <v>352.84615471930903</v>
      </c>
    </row>
    <row r="195" spans="1:3" x14ac:dyDescent="0.3">
      <c r="A195" s="1">
        <v>1000347</v>
      </c>
      <c r="B195" s="2" t="s">
        <v>198</v>
      </c>
      <c r="C195" s="9">
        <v>542.03</v>
      </c>
    </row>
    <row r="196" spans="1:3" x14ac:dyDescent="0.3">
      <c r="A196" s="1">
        <v>1000349</v>
      </c>
      <c r="B196" s="2" t="s">
        <v>199</v>
      </c>
      <c r="C196" s="9">
        <v>1782.5773429951701</v>
      </c>
    </row>
    <row r="197" spans="1:3" x14ac:dyDescent="0.3">
      <c r="A197" s="1">
        <v>1000351</v>
      </c>
      <c r="B197" s="2" t="s">
        <v>200</v>
      </c>
      <c r="C197" s="9">
        <v>604.98461538461504</v>
      </c>
    </row>
    <row r="198" spans="1:3" x14ac:dyDescent="0.3">
      <c r="A198" s="1">
        <v>1000352</v>
      </c>
      <c r="B198" s="2" t="s">
        <v>201</v>
      </c>
      <c r="C198" s="9">
        <v>626.4</v>
      </c>
    </row>
    <row r="199" spans="1:3" x14ac:dyDescent="0.3">
      <c r="A199" s="1">
        <v>1000353</v>
      </c>
      <c r="B199" s="2" t="s">
        <v>202</v>
      </c>
      <c r="C199" s="9">
        <v>621.63134549689505</v>
      </c>
    </row>
    <row r="200" spans="1:3" x14ac:dyDescent="0.3">
      <c r="A200" s="1">
        <v>1000354</v>
      </c>
      <c r="B200" s="2" t="s">
        <v>203</v>
      </c>
      <c r="C200" s="9">
        <v>626.400000000001</v>
      </c>
    </row>
    <row r="201" spans="1:3" x14ac:dyDescent="0.3">
      <c r="A201" s="1">
        <v>1000355</v>
      </c>
      <c r="B201" s="2" t="s">
        <v>204</v>
      </c>
      <c r="C201" s="9">
        <v>626.39999999999895</v>
      </c>
    </row>
    <row r="202" spans="1:3" x14ac:dyDescent="0.3">
      <c r="A202" s="1">
        <v>1000356</v>
      </c>
      <c r="B202" s="2" t="s">
        <v>205</v>
      </c>
      <c r="C202" s="9">
        <v>610.668493150686</v>
      </c>
    </row>
    <row r="203" spans="1:3" x14ac:dyDescent="0.3">
      <c r="A203" s="1">
        <v>1000357</v>
      </c>
      <c r="B203" s="2" t="s">
        <v>206</v>
      </c>
      <c r="C203" s="9">
        <v>590.875</v>
      </c>
    </row>
    <row r="204" spans="1:3" x14ac:dyDescent="0.3">
      <c r="A204" s="1">
        <v>1000358</v>
      </c>
      <c r="B204" s="2" t="s">
        <v>207</v>
      </c>
      <c r="C204" s="9">
        <v>544.93148148148202</v>
      </c>
    </row>
    <row r="205" spans="1:3" x14ac:dyDescent="0.3">
      <c r="A205" s="1">
        <v>1000359</v>
      </c>
      <c r="B205" s="2" t="s">
        <v>208</v>
      </c>
      <c r="C205" s="9">
        <v>591.6</v>
      </c>
    </row>
    <row r="206" spans="1:3" x14ac:dyDescent="0.3">
      <c r="A206" s="1">
        <v>1000360</v>
      </c>
      <c r="B206" s="2" t="s">
        <v>209</v>
      </c>
      <c r="C206" s="9">
        <v>468.135185185186</v>
      </c>
    </row>
    <row r="207" spans="1:3" x14ac:dyDescent="0.3">
      <c r="A207" s="1">
        <v>1000361</v>
      </c>
      <c r="B207" s="2" t="s">
        <v>210</v>
      </c>
      <c r="C207" s="9">
        <v>481.39999999999901</v>
      </c>
    </row>
    <row r="208" spans="1:3" x14ac:dyDescent="0.3">
      <c r="A208" s="1">
        <v>1000362</v>
      </c>
      <c r="B208" s="2" t="s">
        <v>211</v>
      </c>
      <c r="C208" s="9">
        <v>424.76470588235298</v>
      </c>
    </row>
    <row r="209" spans="1:3" x14ac:dyDescent="0.3">
      <c r="A209" s="1">
        <v>1000363</v>
      </c>
      <c r="B209" s="2" t="s">
        <v>212</v>
      </c>
      <c r="C209" s="9">
        <v>481.39999999999799</v>
      </c>
    </row>
    <row r="210" spans="1:3" x14ac:dyDescent="0.3">
      <c r="A210" s="1">
        <v>1000364</v>
      </c>
      <c r="B210" s="2" t="s">
        <v>213</v>
      </c>
      <c r="C210" s="9">
        <v>481.400000000001</v>
      </c>
    </row>
    <row r="211" spans="1:3" x14ac:dyDescent="0.3">
      <c r="A211" s="1">
        <v>1000365</v>
      </c>
      <c r="B211" s="2" t="s">
        <v>214</v>
      </c>
      <c r="C211" s="9">
        <v>481.400000000001</v>
      </c>
    </row>
    <row r="212" spans="1:3" x14ac:dyDescent="0.3">
      <c r="A212" s="1">
        <v>1000366</v>
      </c>
      <c r="B212" s="2" t="s">
        <v>215</v>
      </c>
      <c r="C212" s="9">
        <v>481.4</v>
      </c>
    </row>
    <row r="213" spans="1:3" x14ac:dyDescent="0.3">
      <c r="A213" s="1">
        <v>1000367</v>
      </c>
      <c r="B213" s="2" t="s">
        <v>216</v>
      </c>
      <c r="C213" s="9">
        <v>481.4</v>
      </c>
    </row>
    <row r="214" spans="1:3" x14ac:dyDescent="0.3">
      <c r="A214" s="1">
        <v>1000368</v>
      </c>
      <c r="B214" s="2" t="s">
        <v>217</v>
      </c>
      <c r="C214" s="9">
        <v>481.4</v>
      </c>
    </row>
    <row r="215" spans="1:3" x14ac:dyDescent="0.3">
      <c r="A215" s="1">
        <v>1000377</v>
      </c>
      <c r="B215" s="2" t="s">
        <v>218</v>
      </c>
      <c r="C215" s="9">
        <v>1059.2714513440901</v>
      </c>
    </row>
    <row r="216" spans="1:3" x14ac:dyDescent="0.3">
      <c r="A216" s="1">
        <v>1000378</v>
      </c>
      <c r="B216" s="2" t="s">
        <v>219</v>
      </c>
      <c r="C216" s="9">
        <v>985.30935420516505</v>
      </c>
    </row>
    <row r="217" spans="1:3" x14ac:dyDescent="0.3">
      <c r="A217" s="1">
        <v>1000379</v>
      </c>
      <c r="B217" s="2" t="s">
        <v>220</v>
      </c>
      <c r="C217" s="9">
        <v>582.37721212121198</v>
      </c>
    </row>
    <row r="218" spans="1:3" x14ac:dyDescent="0.3">
      <c r="A218" s="1">
        <v>1000380</v>
      </c>
      <c r="B218" s="2" t="s">
        <v>221</v>
      </c>
      <c r="C218" s="9">
        <v>1184.1075356116901</v>
      </c>
    </row>
    <row r="219" spans="1:3" x14ac:dyDescent="0.3">
      <c r="A219" s="1">
        <v>1000382</v>
      </c>
      <c r="B219" s="2" t="s">
        <v>222</v>
      </c>
      <c r="C219" s="9">
        <v>1797.85197222222</v>
      </c>
    </row>
    <row r="220" spans="1:3" x14ac:dyDescent="0.3">
      <c r="A220" s="1">
        <v>1000383</v>
      </c>
      <c r="B220" s="2" t="s">
        <v>223</v>
      </c>
      <c r="C220" s="9">
        <v>968.93226942628905</v>
      </c>
    </row>
    <row r="221" spans="1:3" x14ac:dyDescent="0.3">
      <c r="A221" s="1">
        <v>1000388</v>
      </c>
      <c r="B221" s="2" t="s">
        <v>224</v>
      </c>
      <c r="C221" s="9">
        <v>4969.5934565281696</v>
      </c>
    </row>
    <row r="222" spans="1:3" x14ac:dyDescent="0.3">
      <c r="A222" s="1">
        <v>1000389</v>
      </c>
      <c r="B222" s="2" t="s">
        <v>225</v>
      </c>
      <c r="C222" s="9">
        <v>348.14647697618801</v>
      </c>
    </row>
    <row r="223" spans="1:3" x14ac:dyDescent="0.3">
      <c r="A223" s="1">
        <v>1000391</v>
      </c>
      <c r="B223" s="2" t="s">
        <v>226</v>
      </c>
      <c r="C223" s="9">
        <v>4122.5411316169202</v>
      </c>
    </row>
    <row r="224" spans="1:3" x14ac:dyDescent="0.3">
      <c r="A224" s="1">
        <v>1000392</v>
      </c>
      <c r="B224" s="2" t="s">
        <v>227</v>
      </c>
      <c r="C224" s="9">
        <v>3873.5675048076901</v>
      </c>
    </row>
    <row r="225" spans="1:3" x14ac:dyDescent="0.3">
      <c r="A225" s="1">
        <v>1000393</v>
      </c>
      <c r="B225" s="2" t="s">
        <v>228</v>
      </c>
      <c r="C225" s="9">
        <v>3987.0193777777799</v>
      </c>
    </row>
    <row r="226" spans="1:3" x14ac:dyDescent="0.3">
      <c r="A226" s="1">
        <v>1000394</v>
      </c>
      <c r="B226" s="2" t="s">
        <v>229</v>
      </c>
      <c r="C226" s="9">
        <v>3941.2412454212499</v>
      </c>
    </row>
    <row r="227" spans="1:3" x14ac:dyDescent="0.3">
      <c r="A227" s="1">
        <v>1000395</v>
      </c>
      <c r="B227" s="2" t="s">
        <v>230</v>
      </c>
      <c r="C227" s="9">
        <v>3865.01166666667</v>
      </c>
    </row>
    <row r="228" spans="1:3" x14ac:dyDescent="0.3">
      <c r="A228" s="1">
        <v>1000396</v>
      </c>
      <c r="B228" s="2" t="s">
        <v>231</v>
      </c>
      <c r="C228" s="9">
        <v>4119.0836363636399</v>
      </c>
    </row>
    <row r="229" spans="1:3" x14ac:dyDescent="0.3">
      <c r="A229" s="1">
        <v>1000397</v>
      </c>
      <c r="B229" s="2" t="s">
        <v>232</v>
      </c>
      <c r="C229" s="9">
        <v>4160.6660507246297</v>
      </c>
    </row>
    <row r="230" spans="1:3" x14ac:dyDescent="0.3">
      <c r="A230" s="1">
        <v>1000398</v>
      </c>
      <c r="B230" s="2" t="s">
        <v>233</v>
      </c>
      <c r="C230" s="9">
        <v>4163.3921139971098</v>
      </c>
    </row>
    <row r="231" spans="1:3" x14ac:dyDescent="0.3">
      <c r="A231" s="1">
        <v>1000399</v>
      </c>
      <c r="B231" s="2" t="s">
        <v>234</v>
      </c>
      <c r="C231" s="9">
        <v>3929.8493255649701</v>
      </c>
    </row>
    <row r="232" spans="1:3" x14ac:dyDescent="0.3">
      <c r="A232" s="1">
        <v>1000400</v>
      </c>
      <c r="B232" s="2" t="s">
        <v>235</v>
      </c>
      <c r="C232" s="9">
        <v>4038.8831111111099</v>
      </c>
    </row>
    <row r="233" spans="1:3" x14ac:dyDescent="0.3">
      <c r="A233" s="1">
        <v>1000401</v>
      </c>
      <c r="B233" s="2" t="s">
        <v>236</v>
      </c>
      <c r="C233" s="9">
        <v>3844.19545532245</v>
      </c>
    </row>
    <row r="234" spans="1:3" x14ac:dyDescent="0.3">
      <c r="A234" s="1">
        <v>1000402</v>
      </c>
      <c r="B234" s="2" t="s">
        <v>237</v>
      </c>
      <c r="C234" s="9">
        <v>3764.5716197377501</v>
      </c>
    </row>
    <row r="235" spans="1:3" x14ac:dyDescent="0.3">
      <c r="A235" s="1">
        <v>1000403</v>
      </c>
      <c r="B235" s="2" t="s">
        <v>238</v>
      </c>
      <c r="C235" s="9">
        <v>64.900000000000006</v>
      </c>
    </row>
    <row r="236" spans="1:3" x14ac:dyDescent="0.3">
      <c r="A236" s="1">
        <v>1000405</v>
      </c>
      <c r="B236" s="2" t="s">
        <v>239</v>
      </c>
      <c r="C236" s="9">
        <v>129.53370493991989</v>
      </c>
    </row>
    <row r="237" spans="1:3" x14ac:dyDescent="0.3">
      <c r="A237" s="1">
        <v>1000406</v>
      </c>
      <c r="B237" s="2" t="s">
        <v>240</v>
      </c>
      <c r="C237" s="9">
        <v>368.8</v>
      </c>
    </row>
    <row r="238" spans="1:3" x14ac:dyDescent="0.3">
      <c r="A238" s="1">
        <v>1000408</v>
      </c>
      <c r="B238" s="2" t="s">
        <v>241</v>
      </c>
      <c r="C238" s="9">
        <v>1239.4785201793723</v>
      </c>
    </row>
    <row r="239" spans="1:3" x14ac:dyDescent="0.3">
      <c r="A239" s="1">
        <v>1000409</v>
      </c>
      <c r="B239" s="2" t="s">
        <v>242</v>
      </c>
      <c r="C239" s="9">
        <v>186.82064444444444</v>
      </c>
    </row>
    <row r="240" spans="1:3" x14ac:dyDescent="0.3">
      <c r="A240" s="1">
        <v>1000410</v>
      </c>
      <c r="B240" s="2" t="s">
        <v>243</v>
      </c>
      <c r="C240" s="9">
        <v>361.04863771053999</v>
      </c>
    </row>
    <row r="241" spans="1:3" x14ac:dyDescent="0.3">
      <c r="A241" s="1">
        <v>1000411</v>
      </c>
      <c r="B241" s="2" t="s">
        <v>244</v>
      </c>
      <c r="C241" s="9">
        <v>560.08127373737398</v>
      </c>
    </row>
    <row r="242" spans="1:3" x14ac:dyDescent="0.3">
      <c r="A242" s="1">
        <v>1000412</v>
      </c>
      <c r="B242" s="2" t="s">
        <v>245</v>
      </c>
      <c r="C242" s="9">
        <v>2106.1637948717898</v>
      </c>
    </row>
    <row r="243" spans="1:3" x14ac:dyDescent="0.3">
      <c r="A243" s="1">
        <v>1000413</v>
      </c>
      <c r="B243" s="2" t="s">
        <v>246</v>
      </c>
      <c r="C243" s="9">
        <v>1652.3400973960099</v>
      </c>
    </row>
    <row r="244" spans="1:3" x14ac:dyDescent="0.3">
      <c r="A244" s="1">
        <v>1000415</v>
      </c>
      <c r="B244" s="2" t="s">
        <v>247</v>
      </c>
      <c r="C244" s="9">
        <v>6993.9246569280103</v>
      </c>
    </row>
    <row r="245" spans="1:3" x14ac:dyDescent="0.3">
      <c r="A245" s="1">
        <v>1000419</v>
      </c>
      <c r="B245" s="2" t="s">
        <v>248</v>
      </c>
      <c r="C245" s="9">
        <v>214.6</v>
      </c>
    </row>
    <row r="246" spans="1:3" x14ac:dyDescent="0.3">
      <c r="A246" s="1">
        <v>1000420</v>
      </c>
      <c r="B246" s="2" t="s">
        <v>249</v>
      </c>
      <c r="C246" s="9">
        <v>303.24693393473598</v>
      </c>
    </row>
    <row r="247" spans="1:3" x14ac:dyDescent="0.3">
      <c r="A247" s="1">
        <v>1000422</v>
      </c>
      <c r="B247" s="2" t="s">
        <v>250</v>
      </c>
      <c r="C247" s="9">
        <v>13.845161290322601</v>
      </c>
    </row>
    <row r="248" spans="1:3" x14ac:dyDescent="0.3">
      <c r="A248" s="1">
        <v>1000423</v>
      </c>
      <c r="B248" s="2" t="s">
        <v>251</v>
      </c>
      <c r="C248" s="9">
        <v>285.21477679629101</v>
      </c>
    </row>
    <row r="249" spans="1:3" x14ac:dyDescent="0.3">
      <c r="A249" s="1">
        <v>1000424</v>
      </c>
      <c r="B249" s="2" t="s">
        <v>252</v>
      </c>
      <c r="C249" s="9">
        <v>28208.934644021701</v>
      </c>
    </row>
    <row r="250" spans="1:3" x14ac:dyDescent="0.3">
      <c r="A250" s="1">
        <v>1000429</v>
      </c>
      <c r="B250" s="2" t="s">
        <v>253</v>
      </c>
      <c r="C250" s="9">
        <v>17677.392500000002</v>
      </c>
    </row>
    <row r="251" spans="1:3" x14ac:dyDescent="0.3">
      <c r="A251" s="1">
        <v>1000430</v>
      </c>
      <c r="B251" s="2" t="s">
        <v>254</v>
      </c>
      <c r="C251" s="9">
        <v>7670</v>
      </c>
    </row>
    <row r="252" spans="1:3" x14ac:dyDescent="0.3">
      <c r="A252" s="1">
        <v>1000432</v>
      </c>
      <c r="B252" s="2" t="s">
        <v>255</v>
      </c>
      <c r="C252" s="9">
        <v>3695.6448987461099</v>
      </c>
    </row>
    <row r="253" spans="1:3" x14ac:dyDescent="0.3">
      <c r="A253" s="1">
        <v>1000433</v>
      </c>
      <c r="B253" s="2" t="s">
        <v>256</v>
      </c>
      <c r="C253" s="9">
        <v>4762.2087191254104</v>
      </c>
    </row>
    <row r="254" spans="1:3" x14ac:dyDescent="0.3">
      <c r="A254" s="1">
        <v>1000434</v>
      </c>
      <c r="B254" s="2" t="s">
        <v>257</v>
      </c>
      <c r="C254" s="9">
        <v>6398.8016137094901</v>
      </c>
    </row>
    <row r="255" spans="1:3" x14ac:dyDescent="0.3">
      <c r="A255" s="1">
        <v>1000436</v>
      </c>
      <c r="B255" s="2" t="s">
        <v>258</v>
      </c>
      <c r="C255" s="9">
        <v>21110.047500000001</v>
      </c>
    </row>
    <row r="256" spans="1:3" x14ac:dyDescent="0.3">
      <c r="A256" s="1">
        <v>1000437</v>
      </c>
      <c r="B256" s="2" t="s">
        <v>259</v>
      </c>
      <c r="C256" s="9">
        <v>29975.784242424201</v>
      </c>
    </row>
    <row r="257" spans="1:3" x14ac:dyDescent="0.3">
      <c r="A257" s="1">
        <v>1000438</v>
      </c>
      <c r="B257" s="2" t="s">
        <v>260</v>
      </c>
      <c r="C257" s="9">
        <v>10998.31</v>
      </c>
    </row>
    <row r="258" spans="1:3" x14ac:dyDescent="0.3">
      <c r="A258" s="1">
        <v>1000439</v>
      </c>
      <c r="B258" s="2" t="s">
        <v>261</v>
      </c>
      <c r="C258" s="9">
        <v>89005.416666666672</v>
      </c>
    </row>
    <row r="259" spans="1:3" x14ac:dyDescent="0.3">
      <c r="A259" s="1">
        <v>1000440</v>
      </c>
      <c r="B259" s="2" t="s">
        <v>262</v>
      </c>
      <c r="C259" s="9">
        <v>37462.132400000002</v>
      </c>
    </row>
    <row r="260" spans="1:3" x14ac:dyDescent="0.3">
      <c r="A260" s="1">
        <v>1000443</v>
      </c>
      <c r="B260" s="2" t="s">
        <v>263</v>
      </c>
      <c r="C260" s="9">
        <v>24271.132857142857</v>
      </c>
    </row>
    <row r="261" spans="1:3" x14ac:dyDescent="0.3">
      <c r="A261" s="1">
        <v>1000444</v>
      </c>
      <c r="B261" s="2" t="s">
        <v>264</v>
      </c>
      <c r="C261" s="9">
        <v>17841.867375578702</v>
      </c>
    </row>
    <row r="262" spans="1:3" x14ac:dyDescent="0.3">
      <c r="A262" s="1">
        <v>1000446</v>
      </c>
      <c r="B262" s="2" t="s">
        <v>265</v>
      </c>
      <c r="C262" s="9">
        <v>814.58561590608497</v>
      </c>
    </row>
    <row r="263" spans="1:3" x14ac:dyDescent="0.3">
      <c r="A263" s="1">
        <v>1000447</v>
      </c>
      <c r="B263" s="2" t="s">
        <v>266</v>
      </c>
      <c r="C263" s="9">
        <v>82.6</v>
      </c>
    </row>
    <row r="264" spans="1:3" x14ac:dyDescent="0.3">
      <c r="A264" s="1">
        <v>1000448</v>
      </c>
      <c r="B264" s="2" t="s">
        <v>267</v>
      </c>
      <c r="C264" s="9">
        <v>0</v>
      </c>
    </row>
    <row r="265" spans="1:3" x14ac:dyDescent="0.3">
      <c r="A265" s="1">
        <v>1000457</v>
      </c>
      <c r="B265" s="2" t="s">
        <v>268</v>
      </c>
      <c r="C265" s="9">
        <v>0</v>
      </c>
    </row>
    <row r="266" spans="1:3" x14ac:dyDescent="0.3">
      <c r="A266" s="1">
        <v>1000459</v>
      </c>
      <c r="B266" s="2" t="s">
        <v>269</v>
      </c>
      <c r="C266" s="9">
        <v>0</v>
      </c>
    </row>
    <row r="267" spans="1:3" x14ac:dyDescent="0.3">
      <c r="A267" s="1">
        <v>1000462</v>
      </c>
      <c r="B267" s="2" t="s">
        <v>270</v>
      </c>
      <c r="C267" s="9">
        <v>5415.2982259955397</v>
      </c>
    </row>
    <row r="268" spans="1:3" x14ac:dyDescent="0.3">
      <c r="A268" s="1">
        <v>1000463</v>
      </c>
      <c r="B268" s="2" t="s">
        <v>271</v>
      </c>
      <c r="C268" s="9">
        <v>3480</v>
      </c>
    </row>
    <row r="269" spans="1:3" x14ac:dyDescent="0.3">
      <c r="A269" s="1">
        <v>1000464</v>
      </c>
      <c r="B269" s="2" t="s">
        <v>272</v>
      </c>
      <c r="C269" s="9">
        <v>4215.4087052716504</v>
      </c>
    </row>
    <row r="270" spans="1:3" x14ac:dyDescent="0.3">
      <c r="A270" s="1">
        <v>1000465</v>
      </c>
      <c r="B270" s="2" t="s">
        <v>273</v>
      </c>
      <c r="C270" s="9">
        <v>2842.8178278688529</v>
      </c>
    </row>
    <row r="271" spans="1:3" x14ac:dyDescent="0.3">
      <c r="A271" s="1">
        <v>1000467</v>
      </c>
      <c r="B271" s="2" t="s">
        <v>274</v>
      </c>
      <c r="C271" s="9">
        <v>70.180000000000007</v>
      </c>
    </row>
    <row r="272" spans="1:3" x14ac:dyDescent="0.3">
      <c r="A272" s="1">
        <v>1000470</v>
      </c>
      <c r="B272" s="2" t="s">
        <v>275</v>
      </c>
      <c r="C272" s="9">
        <v>2531.61881011981</v>
      </c>
    </row>
    <row r="273" spans="1:3" x14ac:dyDescent="0.3">
      <c r="A273" s="1">
        <v>1000476</v>
      </c>
      <c r="B273" s="2" t="s">
        <v>276</v>
      </c>
      <c r="C273" s="9">
        <v>4857.5640000000003</v>
      </c>
    </row>
    <row r="274" spans="1:3" x14ac:dyDescent="0.3">
      <c r="A274" s="1">
        <v>1000478</v>
      </c>
      <c r="B274" s="2" t="s">
        <v>277</v>
      </c>
      <c r="C274" s="9">
        <v>7572.2849999999999</v>
      </c>
    </row>
    <row r="275" spans="1:3" x14ac:dyDescent="0.3">
      <c r="A275" s="1">
        <v>1000479</v>
      </c>
      <c r="B275" s="2" t="s">
        <v>278</v>
      </c>
      <c r="C275" s="9">
        <v>8826.7099999999991</v>
      </c>
    </row>
    <row r="276" spans="1:3" x14ac:dyDescent="0.3">
      <c r="A276" s="1">
        <v>1000480</v>
      </c>
      <c r="B276" s="2" t="s">
        <v>279</v>
      </c>
      <c r="C276" s="9">
        <v>7572.2852307692301</v>
      </c>
    </row>
    <row r="277" spans="1:3" x14ac:dyDescent="0.3">
      <c r="A277" s="1">
        <v>1000484</v>
      </c>
      <c r="B277" s="2" t="s">
        <v>280</v>
      </c>
      <c r="C277" s="9">
        <v>1174.69</v>
      </c>
    </row>
    <row r="278" spans="1:3" x14ac:dyDescent="0.3">
      <c r="A278" s="1">
        <v>1000487</v>
      </c>
      <c r="B278" s="2" t="s">
        <v>282</v>
      </c>
      <c r="C278" s="9">
        <v>22529.065684210502</v>
      </c>
    </row>
    <row r="279" spans="1:3" x14ac:dyDescent="0.3">
      <c r="A279" s="1">
        <v>1000488</v>
      </c>
      <c r="B279" s="2" t="s">
        <v>283</v>
      </c>
      <c r="C279" s="9">
        <v>47.160000000000004</v>
      </c>
    </row>
    <row r="280" spans="1:3" x14ac:dyDescent="0.3">
      <c r="A280" s="1">
        <v>1000489</v>
      </c>
      <c r="B280" s="2" t="s">
        <v>284</v>
      </c>
      <c r="C280" s="9">
        <v>50</v>
      </c>
    </row>
    <row r="281" spans="1:3" x14ac:dyDescent="0.3">
      <c r="A281" s="1">
        <v>1000490</v>
      </c>
      <c r="B281" s="2" t="s">
        <v>285</v>
      </c>
      <c r="C281" s="9">
        <v>103.99458931419457</v>
      </c>
    </row>
    <row r="282" spans="1:3" x14ac:dyDescent="0.3">
      <c r="A282" s="1">
        <v>1000491</v>
      </c>
      <c r="B282" s="2" t="s">
        <v>286</v>
      </c>
      <c r="C282" s="9">
        <v>77.368946674218535</v>
      </c>
    </row>
    <row r="283" spans="1:3" x14ac:dyDescent="0.3">
      <c r="A283" s="1">
        <v>1000493</v>
      </c>
      <c r="B283" s="2" t="s">
        <v>287</v>
      </c>
      <c r="C283" s="9">
        <v>564.46059232853895</v>
      </c>
    </row>
    <row r="284" spans="1:3" x14ac:dyDescent="0.3">
      <c r="A284" s="1">
        <v>1000495</v>
      </c>
      <c r="B284" s="2" t="s">
        <v>288</v>
      </c>
      <c r="C284" s="9">
        <v>0</v>
      </c>
    </row>
    <row r="285" spans="1:3" x14ac:dyDescent="0.3">
      <c r="A285" s="1">
        <v>1000499</v>
      </c>
      <c r="B285" s="2" t="s">
        <v>289</v>
      </c>
      <c r="C285" s="9">
        <v>0</v>
      </c>
    </row>
    <row r="286" spans="1:3" x14ac:dyDescent="0.3">
      <c r="A286" s="1">
        <v>1000500</v>
      </c>
      <c r="B286" s="2" t="s">
        <v>290</v>
      </c>
      <c r="C286" s="9">
        <v>187.57003069715901</v>
      </c>
    </row>
    <row r="287" spans="1:3" x14ac:dyDescent="0.3">
      <c r="A287" s="1">
        <v>1000501</v>
      </c>
      <c r="B287" s="2" t="s">
        <v>291</v>
      </c>
      <c r="C287" s="9">
        <v>115.976666666667</v>
      </c>
    </row>
    <row r="288" spans="1:3" x14ac:dyDescent="0.3">
      <c r="A288" s="1">
        <v>1000502</v>
      </c>
      <c r="B288" s="2" t="s">
        <v>292</v>
      </c>
      <c r="C288" s="9">
        <v>1388.1439766170799</v>
      </c>
    </row>
    <row r="289" spans="1:3" x14ac:dyDescent="0.3">
      <c r="A289" s="1">
        <v>1000503</v>
      </c>
      <c r="B289" s="2" t="s">
        <v>293</v>
      </c>
      <c r="C289" s="9">
        <v>1274.3999999999999</v>
      </c>
    </row>
    <row r="290" spans="1:3" x14ac:dyDescent="0.3">
      <c r="A290" s="1">
        <v>1000504</v>
      </c>
      <c r="B290" s="2" t="s">
        <v>294</v>
      </c>
      <c r="C290" s="9">
        <v>288.77</v>
      </c>
    </row>
    <row r="291" spans="1:3" x14ac:dyDescent="0.3">
      <c r="A291" s="1">
        <v>1000505</v>
      </c>
      <c r="B291" s="2" t="s">
        <v>295</v>
      </c>
      <c r="C291" s="9">
        <v>179.8</v>
      </c>
    </row>
    <row r="292" spans="1:3" x14ac:dyDescent="0.3">
      <c r="A292" s="1">
        <v>1000508</v>
      </c>
      <c r="B292" s="2" t="s">
        <v>296</v>
      </c>
      <c r="C292" s="9">
        <v>660.80612977349824</v>
      </c>
    </row>
    <row r="293" spans="1:3" x14ac:dyDescent="0.3">
      <c r="A293" s="1">
        <v>1000509</v>
      </c>
      <c r="B293" s="2" t="s">
        <v>297</v>
      </c>
      <c r="C293" s="9">
        <v>650</v>
      </c>
    </row>
    <row r="294" spans="1:3" x14ac:dyDescent="0.3">
      <c r="A294" s="1">
        <v>1000510</v>
      </c>
      <c r="B294" s="2" t="s">
        <v>298</v>
      </c>
      <c r="C294" s="9">
        <v>367.68</v>
      </c>
    </row>
    <row r="295" spans="1:3" x14ac:dyDescent="0.3">
      <c r="A295" s="1">
        <v>1000511</v>
      </c>
      <c r="B295" s="2" t="s">
        <v>299</v>
      </c>
      <c r="C295" s="9">
        <v>862.5</v>
      </c>
    </row>
    <row r="296" spans="1:3" x14ac:dyDescent="0.3">
      <c r="A296" s="1">
        <v>1000512</v>
      </c>
      <c r="B296" s="2" t="s">
        <v>300</v>
      </c>
      <c r="C296" s="9">
        <v>230</v>
      </c>
    </row>
    <row r="297" spans="1:3" x14ac:dyDescent="0.3">
      <c r="A297" s="1">
        <v>1000513</v>
      </c>
      <c r="B297" s="2" t="s">
        <v>301</v>
      </c>
      <c r="C297" s="9">
        <v>1890</v>
      </c>
    </row>
    <row r="298" spans="1:3" x14ac:dyDescent="0.3">
      <c r="A298" s="1">
        <v>1000516</v>
      </c>
      <c r="B298" s="2" t="s">
        <v>302</v>
      </c>
      <c r="C298" s="9">
        <v>164.28571428571399</v>
      </c>
    </row>
    <row r="299" spans="1:3" x14ac:dyDescent="0.3">
      <c r="A299" s="1">
        <v>1000517</v>
      </c>
      <c r="B299" s="2" t="s">
        <v>303</v>
      </c>
      <c r="C299" s="9">
        <v>230</v>
      </c>
    </row>
    <row r="300" spans="1:3" x14ac:dyDescent="0.3">
      <c r="A300" s="1">
        <v>1000518</v>
      </c>
      <c r="B300" s="2" t="s">
        <v>304</v>
      </c>
      <c r="C300" s="9">
        <v>224</v>
      </c>
    </row>
    <row r="301" spans="1:3" x14ac:dyDescent="0.3">
      <c r="A301" s="1">
        <v>1000520</v>
      </c>
      <c r="B301" s="2" t="s">
        <v>305</v>
      </c>
      <c r="C301" s="9">
        <v>104.914285714286</v>
      </c>
    </row>
    <row r="302" spans="1:3" x14ac:dyDescent="0.3">
      <c r="A302" s="1">
        <v>1000525</v>
      </c>
      <c r="B302" s="2" t="s">
        <v>306</v>
      </c>
      <c r="C302" s="9">
        <v>121570.84</v>
      </c>
    </row>
    <row r="303" spans="1:3" x14ac:dyDescent="0.3">
      <c r="A303" s="1">
        <v>1000528</v>
      </c>
      <c r="B303" s="2" t="s">
        <v>307</v>
      </c>
      <c r="C303" s="9">
        <v>730.8</v>
      </c>
    </row>
    <row r="304" spans="1:3" x14ac:dyDescent="0.3">
      <c r="A304" s="1">
        <v>1000531</v>
      </c>
      <c r="B304" s="2" t="s">
        <v>308</v>
      </c>
      <c r="C304" s="9">
        <v>4247.3754360713701</v>
      </c>
    </row>
    <row r="305" spans="1:3" x14ac:dyDescent="0.3">
      <c r="A305" s="1">
        <v>1000533</v>
      </c>
      <c r="B305" s="2" t="s">
        <v>309</v>
      </c>
      <c r="C305" s="9">
        <v>2329.63278573854</v>
      </c>
    </row>
    <row r="306" spans="1:3" x14ac:dyDescent="0.3">
      <c r="A306" s="1">
        <v>1000534</v>
      </c>
      <c r="B306" s="2" t="s">
        <v>310</v>
      </c>
      <c r="C306" s="9">
        <v>2814.7921264367819</v>
      </c>
    </row>
    <row r="307" spans="1:3" x14ac:dyDescent="0.3">
      <c r="A307" s="1">
        <v>1000537</v>
      </c>
      <c r="B307" s="2" t="s">
        <v>311</v>
      </c>
      <c r="C307" s="9">
        <v>2913.3758666666668</v>
      </c>
    </row>
    <row r="308" spans="1:3" x14ac:dyDescent="0.3">
      <c r="A308" s="1">
        <v>1000539</v>
      </c>
      <c r="B308" s="2" t="s">
        <v>312</v>
      </c>
      <c r="C308" s="9">
        <v>6342.2656767676772</v>
      </c>
    </row>
    <row r="309" spans="1:3" x14ac:dyDescent="0.3">
      <c r="A309" s="1">
        <v>1000542</v>
      </c>
      <c r="B309" s="2" t="s">
        <v>313</v>
      </c>
      <c r="C309" s="9">
        <v>2015.7680558943</v>
      </c>
    </row>
    <row r="310" spans="1:3" x14ac:dyDescent="0.3">
      <c r="A310" s="1">
        <v>1000543</v>
      </c>
      <c r="B310" s="2" t="s">
        <v>314</v>
      </c>
      <c r="C310" s="9">
        <v>0</v>
      </c>
    </row>
    <row r="311" spans="1:3" x14ac:dyDescent="0.3">
      <c r="A311" s="1">
        <v>1000545</v>
      </c>
      <c r="B311" s="2" t="s">
        <v>315</v>
      </c>
      <c r="C311" s="9">
        <v>800.35197343402297</v>
      </c>
    </row>
    <row r="312" spans="1:3" x14ac:dyDescent="0.3">
      <c r="A312" s="1">
        <v>1000548</v>
      </c>
      <c r="B312" s="2" t="s">
        <v>316</v>
      </c>
      <c r="C312" s="9">
        <v>11.02</v>
      </c>
    </row>
    <row r="313" spans="1:3" x14ac:dyDescent="0.3">
      <c r="A313" s="1">
        <v>1000553</v>
      </c>
      <c r="B313" s="2" t="s">
        <v>317</v>
      </c>
      <c r="C313" s="9">
        <v>50307.94933333333</v>
      </c>
    </row>
    <row r="314" spans="1:3" x14ac:dyDescent="0.3">
      <c r="A314" s="1">
        <v>1000554</v>
      </c>
      <c r="B314" s="2" t="s">
        <v>318</v>
      </c>
      <c r="C314" s="9">
        <v>55826.872424242429</v>
      </c>
    </row>
    <row r="315" spans="1:3" x14ac:dyDescent="0.3">
      <c r="A315" s="1">
        <v>1000555</v>
      </c>
      <c r="B315" s="2" t="s">
        <v>319</v>
      </c>
      <c r="C315" s="9">
        <v>57462.170000000006</v>
      </c>
    </row>
    <row r="316" spans="1:3" x14ac:dyDescent="0.3">
      <c r="A316" s="1">
        <v>1000563</v>
      </c>
      <c r="B316" s="2" t="s">
        <v>320</v>
      </c>
      <c r="C316" s="9">
        <v>312.37200000000001</v>
      </c>
    </row>
    <row r="317" spans="1:3" x14ac:dyDescent="0.3">
      <c r="A317" s="1">
        <v>1000568</v>
      </c>
      <c r="B317" s="2" t="s">
        <v>321</v>
      </c>
      <c r="C317" s="9">
        <v>16225</v>
      </c>
    </row>
    <row r="318" spans="1:3" x14ac:dyDescent="0.3">
      <c r="A318" s="1">
        <v>1000572</v>
      </c>
      <c r="B318" s="2" t="s">
        <v>322</v>
      </c>
      <c r="C318" s="9">
        <v>7448.0290648148102</v>
      </c>
    </row>
    <row r="319" spans="1:3" x14ac:dyDescent="0.3">
      <c r="A319" s="1">
        <v>1000573</v>
      </c>
      <c r="B319" s="2" t="s">
        <v>323</v>
      </c>
      <c r="C319" s="9">
        <v>7942.2495833333296</v>
      </c>
    </row>
    <row r="320" spans="1:3" x14ac:dyDescent="0.3">
      <c r="A320" s="1">
        <v>1000574</v>
      </c>
      <c r="B320" s="2" t="s">
        <v>324</v>
      </c>
      <c r="C320" s="9">
        <v>4393.2036296296301</v>
      </c>
    </row>
    <row r="321" spans="1:3" x14ac:dyDescent="0.3">
      <c r="A321" s="1">
        <v>1000578</v>
      </c>
      <c r="B321" s="2" t="s">
        <v>325</v>
      </c>
      <c r="C321" s="9">
        <v>3.6</v>
      </c>
    </row>
    <row r="322" spans="1:3" x14ac:dyDescent="0.3">
      <c r="A322" s="1">
        <v>1000579</v>
      </c>
      <c r="B322" s="2" t="s">
        <v>326</v>
      </c>
      <c r="C322" s="9">
        <v>4.63</v>
      </c>
    </row>
    <row r="323" spans="1:3" x14ac:dyDescent="0.3">
      <c r="A323" s="1">
        <v>1000584</v>
      </c>
      <c r="B323" s="2" t="s">
        <v>327</v>
      </c>
      <c r="C323" s="9">
        <v>12582.594999999999</v>
      </c>
    </row>
    <row r="324" spans="1:3" x14ac:dyDescent="0.3">
      <c r="A324" s="1">
        <v>1000585</v>
      </c>
      <c r="B324" s="2" t="s">
        <v>328</v>
      </c>
      <c r="C324" s="9">
        <v>985.35666414332582</v>
      </c>
    </row>
    <row r="325" spans="1:3" x14ac:dyDescent="0.3">
      <c r="A325" s="1">
        <v>1000586</v>
      </c>
      <c r="B325" s="2" t="s">
        <v>329</v>
      </c>
      <c r="C325" s="9">
        <v>234.89999999999998</v>
      </c>
    </row>
    <row r="326" spans="1:3" x14ac:dyDescent="0.3">
      <c r="A326" s="1">
        <v>1000587</v>
      </c>
      <c r="B326" s="2" t="s">
        <v>330</v>
      </c>
      <c r="C326" s="9">
        <v>49.394666666666701</v>
      </c>
    </row>
    <row r="327" spans="1:3" x14ac:dyDescent="0.3">
      <c r="A327" s="1">
        <v>1000588</v>
      </c>
      <c r="B327" s="2" t="s">
        <v>331</v>
      </c>
      <c r="C327" s="9">
        <v>2014.15238898148</v>
      </c>
    </row>
    <row r="328" spans="1:3" x14ac:dyDescent="0.3">
      <c r="A328" s="1">
        <v>1000595</v>
      </c>
      <c r="B328" s="2" t="s">
        <v>332</v>
      </c>
      <c r="C328" s="9">
        <v>3817.5727272727299</v>
      </c>
    </row>
    <row r="329" spans="1:3" x14ac:dyDescent="0.3">
      <c r="A329" s="1">
        <v>1000602</v>
      </c>
      <c r="B329" s="2" t="s">
        <v>333</v>
      </c>
      <c r="C329" s="9">
        <v>4370.28</v>
      </c>
    </row>
    <row r="330" spans="1:3" x14ac:dyDescent="0.3">
      <c r="A330" s="1">
        <v>1000609</v>
      </c>
      <c r="B330" s="2" t="s">
        <v>334</v>
      </c>
      <c r="C330" s="9">
        <v>2565.5380425993999</v>
      </c>
    </row>
    <row r="331" spans="1:3" x14ac:dyDescent="0.3">
      <c r="A331" s="1">
        <v>1000610</v>
      </c>
      <c r="B331" s="2" t="s">
        <v>335</v>
      </c>
      <c r="C331" s="9">
        <v>3226.2361666843499</v>
      </c>
    </row>
    <row r="332" spans="1:3" x14ac:dyDescent="0.3">
      <c r="A332" s="1">
        <v>1000613</v>
      </c>
      <c r="B332" s="2" t="s">
        <v>336</v>
      </c>
      <c r="C332" s="9">
        <v>4033.5533248246902</v>
      </c>
    </row>
    <row r="333" spans="1:3" x14ac:dyDescent="0.3">
      <c r="A333" s="1">
        <v>1000614</v>
      </c>
      <c r="B333" s="2" t="s">
        <v>337</v>
      </c>
      <c r="C333" s="9">
        <v>6398.79</v>
      </c>
    </row>
    <row r="334" spans="1:3" x14ac:dyDescent="0.3">
      <c r="A334" s="1">
        <v>1000618</v>
      </c>
      <c r="B334" s="2" t="s">
        <v>338</v>
      </c>
      <c r="C334" s="9">
        <v>1796.5725</v>
      </c>
    </row>
    <row r="335" spans="1:3" x14ac:dyDescent="0.3">
      <c r="A335" s="1">
        <v>1000627</v>
      </c>
      <c r="B335" s="2" t="s">
        <v>339</v>
      </c>
      <c r="C335" s="9">
        <v>8476.2417698412701</v>
      </c>
    </row>
    <row r="336" spans="1:3" x14ac:dyDescent="0.3">
      <c r="A336" s="1">
        <v>1000628</v>
      </c>
      <c r="B336" s="2" t="s">
        <v>340</v>
      </c>
      <c r="C336" s="9">
        <v>4626.5252930194802</v>
      </c>
    </row>
    <row r="337" spans="1:3" x14ac:dyDescent="0.3">
      <c r="A337" s="1">
        <v>1000631</v>
      </c>
      <c r="B337" s="2" t="s">
        <v>341</v>
      </c>
      <c r="C337" s="9">
        <v>9896.7382619047603</v>
      </c>
    </row>
    <row r="338" spans="1:3" x14ac:dyDescent="0.3">
      <c r="A338" s="1">
        <v>1000632</v>
      </c>
      <c r="B338" s="2" t="s">
        <v>342</v>
      </c>
      <c r="C338" s="9">
        <v>10607.318962584999</v>
      </c>
    </row>
    <row r="339" spans="1:3" x14ac:dyDescent="0.3">
      <c r="A339" s="1">
        <v>1000634</v>
      </c>
      <c r="B339" s="2" t="s">
        <v>343</v>
      </c>
      <c r="C339" s="9">
        <v>10979.7045969388</v>
      </c>
    </row>
    <row r="340" spans="1:3" x14ac:dyDescent="0.3">
      <c r="A340" s="1">
        <v>1000635</v>
      </c>
      <c r="B340" s="2" t="s">
        <v>344</v>
      </c>
      <c r="C340" s="9">
        <v>4443.8647849702402</v>
      </c>
    </row>
    <row r="341" spans="1:3" x14ac:dyDescent="0.3">
      <c r="A341" s="1">
        <v>1000637</v>
      </c>
      <c r="B341" s="2" t="s">
        <v>345</v>
      </c>
      <c r="C341" s="9">
        <v>7123.5461590476198</v>
      </c>
    </row>
    <row r="342" spans="1:3" x14ac:dyDescent="0.3">
      <c r="A342" s="1">
        <v>1000640</v>
      </c>
      <c r="B342" s="2" t="s">
        <v>347</v>
      </c>
      <c r="C342" s="9">
        <v>0</v>
      </c>
    </row>
    <row r="343" spans="1:3" x14ac:dyDescent="0.3">
      <c r="A343" s="1">
        <v>1000641</v>
      </c>
      <c r="B343" s="2" t="s">
        <v>348</v>
      </c>
      <c r="C343" s="9">
        <v>10732.273583333301</v>
      </c>
    </row>
    <row r="344" spans="1:3" x14ac:dyDescent="0.3">
      <c r="A344" s="1">
        <v>1000645</v>
      </c>
      <c r="B344" s="2" t="s">
        <v>349</v>
      </c>
      <c r="C344" s="9">
        <v>8459.8647104700794</v>
      </c>
    </row>
    <row r="345" spans="1:3" x14ac:dyDescent="0.3">
      <c r="A345" s="1">
        <v>1000648</v>
      </c>
      <c r="B345" s="2" t="s">
        <v>350</v>
      </c>
      <c r="C345" s="9">
        <v>73.576428571428593</v>
      </c>
    </row>
    <row r="346" spans="1:3" x14ac:dyDescent="0.3">
      <c r="A346" s="1">
        <v>1000650</v>
      </c>
      <c r="B346" s="2" t="s">
        <v>352</v>
      </c>
      <c r="C346" s="9">
        <v>0</v>
      </c>
    </row>
    <row r="347" spans="1:3" x14ac:dyDescent="0.3">
      <c r="A347" s="1">
        <v>1000653</v>
      </c>
      <c r="B347" s="2" t="s">
        <v>353</v>
      </c>
      <c r="C347" s="9">
        <v>0</v>
      </c>
    </row>
    <row r="348" spans="1:3" x14ac:dyDescent="0.3">
      <c r="A348" s="1">
        <v>1000654</v>
      </c>
      <c r="B348" s="2" t="s">
        <v>354</v>
      </c>
      <c r="C348" s="9">
        <v>4053.64</v>
      </c>
    </row>
    <row r="349" spans="1:3" x14ac:dyDescent="0.3">
      <c r="A349" s="1">
        <v>1000655</v>
      </c>
      <c r="B349" s="2" t="s">
        <v>355</v>
      </c>
      <c r="C349" s="9">
        <v>5778.1511764705883</v>
      </c>
    </row>
    <row r="350" spans="1:3" x14ac:dyDescent="0.3">
      <c r="A350" s="1">
        <v>1000656</v>
      </c>
      <c r="B350" s="2" t="s">
        <v>356</v>
      </c>
      <c r="C350" s="9">
        <v>0</v>
      </c>
    </row>
    <row r="351" spans="1:3" x14ac:dyDescent="0.3">
      <c r="A351" s="1">
        <v>1000658</v>
      </c>
      <c r="B351" s="2" t="s">
        <v>357</v>
      </c>
      <c r="C351" s="9">
        <v>3630.13</v>
      </c>
    </row>
    <row r="352" spans="1:3" x14ac:dyDescent="0.3">
      <c r="A352" s="1">
        <v>1000660</v>
      </c>
      <c r="B352" s="2" t="s">
        <v>358</v>
      </c>
      <c r="C352" s="9">
        <v>6375.1682619047597</v>
      </c>
    </row>
    <row r="353" spans="1:3" x14ac:dyDescent="0.3">
      <c r="A353" s="1">
        <v>1000662</v>
      </c>
      <c r="B353" s="2" t="s">
        <v>359</v>
      </c>
      <c r="C353" s="9">
        <v>4370.8100000000004</v>
      </c>
    </row>
    <row r="354" spans="1:3" x14ac:dyDescent="0.3">
      <c r="A354" s="1">
        <v>1000663</v>
      </c>
      <c r="B354" s="2" t="s">
        <v>360</v>
      </c>
      <c r="C354" s="9">
        <v>0</v>
      </c>
    </row>
    <row r="355" spans="1:3" x14ac:dyDescent="0.3">
      <c r="A355" s="1">
        <v>1000664</v>
      </c>
      <c r="B355" s="2" t="s">
        <v>361</v>
      </c>
      <c r="C355" s="9">
        <v>3.1785714285714302</v>
      </c>
    </row>
    <row r="356" spans="1:3" x14ac:dyDescent="0.3">
      <c r="A356" s="1">
        <v>1000667</v>
      </c>
      <c r="B356" s="2" t="s">
        <v>362</v>
      </c>
      <c r="C356" s="9">
        <v>1409.50714285714</v>
      </c>
    </row>
    <row r="357" spans="1:3" x14ac:dyDescent="0.3">
      <c r="A357" s="1">
        <v>1000670</v>
      </c>
      <c r="B357" s="2" t="s">
        <v>363</v>
      </c>
      <c r="C357" s="9">
        <v>201.30450618112999</v>
      </c>
    </row>
    <row r="358" spans="1:3" x14ac:dyDescent="0.3">
      <c r="A358" s="1">
        <v>1000671</v>
      </c>
      <c r="B358" s="2" t="s">
        <v>364</v>
      </c>
      <c r="C358" s="9">
        <v>104.328429454324</v>
      </c>
    </row>
    <row r="359" spans="1:3" x14ac:dyDescent="0.3">
      <c r="A359" s="1">
        <v>1000672</v>
      </c>
      <c r="B359" s="2" t="s">
        <v>365</v>
      </c>
      <c r="C359" s="9">
        <v>77.766479872335694</v>
      </c>
    </row>
    <row r="360" spans="1:3" x14ac:dyDescent="0.3">
      <c r="A360" s="1">
        <v>1000673</v>
      </c>
      <c r="B360" s="2" t="s">
        <v>366</v>
      </c>
      <c r="C360" s="9">
        <v>987.64833333333343</v>
      </c>
    </row>
    <row r="361" spans="1:3" x14ac:dyDescent="0.3">
      <c r="A361" s="1">
        <v>1000674</v>
      </c>
      <c r="B361" s="2" t="s">
        <v>367</v>
      </c>
      <c r="C361" s="9">
        <v>86.607163449497605</v>
      </c>
    </row>
    <row r="362" spans="1:3" x14ac:dyDescent="0.3">
      <c r="A362" s="1">
        <v>1000675</v>
      </c>
      <c r="B362" s="2" t="s">
        <v>368</v>
      </c>
      <c r="C362" s="9">
        <v>90.370918432723499</v>
      </c>
    </row>
    <row r="363" spans="1:3" x14ac:dyDescent="0.3">
      <c r="A363" s="1">
        <v>1000676</v>
      </c>
      <c r="B363" s="2" t="s">
        <v>369</v>
      </c>
      <c r="C363" s="9">
        <v>648.38540276550702</v>
      </c>
    </row>
    <row r="364" spans="1:3" x14ac:dyDescent="0.3">
      <c r="A364" s="1">
        <v>1000677</v>
      </c>
      <c r="B364" s="2" t="s">
        <v>370</v>
      </c>
      <c r="C364" s="9">
        <v>96.347589928726094</v>
      </c>
    </row>
    <row r="365" spans="1:3" x14ac:dyDescent="0.3">
      <c r="A365" s="1">
        <v>1000678</v>
      </c>
      <c r="B365" s="2" t="s">
        <v>371</v>
      </c>
      <c r="C365" s="9">
        <v>98.763587005295406</v>
      </c>
    </row>
    <row r="366" spans="1:3" x14ac:dyDescent="0.3">
      <c r="A366" s="1">
        <v>1000679</v>
      </c>
      <c r="B366" s="2" t="s">
        <v>372</v>
      </c>
      <c r="C366" s="9">
        <v>49.979964170961999</v>
      </c>
    </row>
    <row r="367" spans="1:3" x14ac:dyDescent="0.3">
      <c r="A367" s="1">
        <v>1000680</v>
      </c>
      <c r="B367" s="2" t="s">
        <v>373</v>
      </c>
      <c r="C367" s="9">
        <v>119.41614379084966</v>
      </c>
    </row>
    <row r="368" spans="1:3" x14ac:dyDescent="0.3">
      <c r="A368" s="1">
        <v>1000681</v>
      </c>
      <c r="B368" s="2" t="s">
        <v>374</v>
      </c>
      <c r="C368" s="9">
        <v>81.846841649904903</v>
      </c>
    </row>
    <row r="369" spans="1:3" x14ac:dyDescent="0.3">
      <c r="A369" s="1">
        <v>1000682</v>
      </c>
      <c r="B369" s="2" t="s">
        <v>375</v>
      </c>
      <c r="C369" s="9">
        <v>120.23098196895801</v>
      </c>
    </row>
    <row r="370" spans="1:3" x14ac:dyDescent="0.3">
      <c r="A370" s="1">
        <v>1000683</v>
      </c>
      <c r="B370" s="2" t="s">
        <v>376</v>
      </c>
      <c r="C370" s="9">
        <v>118.11062199976401</v>
      </c>
    </row>
    <row r="371" spans="1:3" x14ac:dyDescent="0.3">
      <c r="A371" s="1">
        <v>1000684</v>
      </c>
      <c r="B371" s="2" t="s">
        <v>377</v>
      </c>
      <c r="C371" s="9">
        <v>81.048333333333304</v>
      </c>
    </row>
    <row r="372" spans="1:3" x14ac:dyDescent="0.3">
      <c r="A372" s="1">
        <v>1000685</v>
      </c>
      <c r="B372" s="2" t="s">
        <v>378</v>
      </c>
      <c r="C372" s="9">
        <v>155.32926736262101</v>
      </c>
    </row>
    <row r="373" spans="1:3" x14ac:dyDescent="0.3">
      <c r="A373" s="1">
        <v>1000686</v>
      </c>
      <c r="B373" s="2" t="s">
        <v>379</v>
      </c>
      <c r="C373" s="9">
        <v>201.50213333333332</v>
      </c>
    </row>
    <row r="374" spans="1:3" x14ac:dyDescent="0.3">
      <c r="A374" s="1">
        <v>1000687</v>
      </c>
      <c r="B374" s="2" t="s">
        <v>380</v>
      </c>
      <c r="C374" s="9">
        <v>96.8850665343099</v>
      </c>
    </row>
    <row r="375" spans="1:3" x14ac:dyDescent="0.3">
      <c r="A375" s="1">
        <v>1000688</v>
      </c>
      <c r="B375" s="2" t="s">
        <v>381</v>
      </c>
      <c r="C375" s="9">
        <v>114.957666666667</v>
      </c>
    </row>
    <row r="376" spans="1:3" x14ac:dyDescent="0.3">
      <c r="A376" s="1">
        <v>1000689</v>
      </c>
      <c r="B376" s="2" t="s">
        <v>382</v>
      </c>
      <c r="C376" s="9">
        <v>195.40256294796299</v>
      </c>
    </row>
    <row r="377" spans="1:3" x14ac:dyDescent="0.3">
      <c r="A377" s="1">
        <v>1000690</v>
      </c>
      <c r="B377" s="2" t="s">
        <v>383</v>
      </c>
      <c r="C377" s="9">
        <v>89.468060336924395</v>
      </c>
    </row>
    <row r="378" spans="1:3" x14ac:dyDescent="0.3">
      <c r="A378" s="1">
        <v>1000699</v>
      </c>
      <c r="B378" s="2" t="s">
        <v>384</v>
      </c>
      <c r="C378" s="9">
        <v>106.2</v>
      </c>
    </row>
    <row r="379" spans="1:3" x14ac:dyDescent="0.3">
      <c r="A379" s="1">
        <v>1000700</v>
      </c>
      <c r="B379" s="2" t="s">
        <v>385</v>
      </c>
      <c r="C379" s="9">
        <v>354.05260869565222</v>
      </c>
    </row>
    <row r="380" spans="1:3" x14ac:dyDescent="0.3">
      <c r="A380" s="1">
        <v>1000701</v>
      </c>
      <c r="B380" s="2" t="s">
        <v>386</v>
      </c>
      <c r="C380" s="9">
        <v>355.44798165137615</v>
      </c>
    </row>
    <row r="381" spans="1:3" x14ac:dyDescent="0.3">
      <c r="A381" s="1">
        <v>1000702</v>
      </c>
      <c r="B381" s="2" t="s">
        <v>387</v>
      </c>
      <c r="C381" s="9">
        <v>252.52</v>
      </c>
    </row>
    <row r="382" spans="1:3" x14ac:dyDescent="0.3">
      <c r="A382" s="1">
        <v>1000703</v>
      </c>
      <c r="B382" s="2" t="s">
        <v>388</v>
      </c>
      <c r="C382" s="9">
        <v>368.39868041237111</v>
      </c>
    </row>
    <row r="383" spans="1:3" x14ac:dyDescent="0.3">
      <c r="A383" s="1">
        <v>1000704</v>
      </c>
      <c r="B383" s="2" t="s">
        <v>389</v>
      </c>
      <c r="C383" s="9">
        <v>74.858900321475701</v>
      </c>
    </row>
    <row r="384" spans="1:3" x14ac:dyDescent="0.3">
      <c r="A384" s="1">
        <v>1000705</v>
      </c>
      <c r="B384" s="2" t="s">
        <v>390</v>
      </c>
      <c r="C384" s="9">
        <v>126.07</v>
      </c>
    </row>
    <row r="385" spans="1:3" x14ac:dyDescent="0.3">
      <c r="A385" s="1">
        <v>1000706</v>
      </c>
      <c r="B385" s="2" t="s">
        <v>391</v>
      </c>
      <c r="C385" s="9">
        <v>220.4</v>
      </c>
    </row>
    <row r="386" spans="1:3" x14ac:dyDescent="0.3">
      <c r="A386" s="1">
        <v>1000709</v>
      </c>
      <c r="B386" s="2" t="s">
        <v>392</v>
      </c>
      <c r="C386" s="9">
        <v>147.65</v>
      </c>
    </row>
    <row r="387" spans="1:3" x14ac:dyDescent="0.3">
      <c r="A387" s="1">
        <v>1000712</v>
      </c>
      <c r="B387" s="2" t="s">
        <v>393</v>
      </c>
      <c r="C387" s="9">
        <v>6.8091428571428603</v>
      </c>
    </row>
    <row r="388" spans="1:3" x14ac:dyDescent="0.3">
      <c r="A388" s="1">
        <v>1000715</v>
      </c>
      <c r="B388" s="2" t="s">
        <v>394</v>
      </c>
      <c r="C388" s="9">
        <v>1806.2700000000002</v>
      </c>
    </row>
    <row r="389" spans="1:3" x14ac:dyDescent="0.3">
      <c r="A389" s="1">
        <v>1000720</v>
      </c>
      <c r="B389" s="2" t="s">
        <v>395</v>
      </c>
      <c r="C389" s="9">
        <v>1</v>
      </c>
    </row>
    <row r="390" spans="1:3" x14ac:dyDescent="0.3">
      <c r="A390" s="1">
        <v>1000721</v>
      </c>
      <c r="B390" s="2" t="s">
        <v>396</v>
      </c>
      <c r="C390" s="9">
        <v>14495.092500000001</v>
      </c>
    </row>
    <row r="391" spans="1:3" x14ac:dyDescent="0.3">
      <c r="A391" s="1">
        <v>1000723</v>
      </c>
      <c r="B391" s="2" t="s">
        <v>397</v>
      </c>
      <c r="C391" s="9">
        <v>10790.784</v>
      </c>
    </row>
    <row r="392" spans="1:3" x14ac:dyDescent="0.3">
      <c r="A392" s="1">
        <v>1000724</v>
      </c>
      <c r="B392" s="2" t="s">
        <v>398</v>
      </c>
      <c r="C392" s="9">
        <v>8623.2333333333299</v>
      </c>
    </row>
    <row r="393" spans="1:3" x14ac:dyDescent="0.3">
      <c r="A393" s="1">
        <v>1000725</v>
      </c>
      <c r="B393" s="2" t="s">
        <v>399</v>
      </c>
      <c r="C393" s="9">
        <v>4248.0914464285697</v>
      </c>
    </row>
    <row r="394" spans="1:3" x14ac:dyDescent="0.3">
      <c r="A394" s="1">
        <v>1000726</v>
      </c>
      <c r="B394" s="2" t="s">
        <v>400</v>
      </c>
      <c r="C394" s="9">
        <v>3211.7356529445401</v>
      </c>
    </row>
    <row r="395" spans="1:3" x14ac:dyDescent="0.3">
      <c r="A395" s="1">
        <v>1000729</v>
      </c>
      <c r="B395" s="2" t="s">
        <v>401</v>
      </c>
      <c r="C395" s="9">
        <v>173.93075462350399</v>
      </c>
    </row>
    <row r="396" spans="1:3" x14ac:dyDescent="0.3">
      <c r="A396" s="1">
        <v>1000734</v>
      </c>
      <c r="B396" s="2" t="s">
        <v>402</v>
      </c>
      <c r="C396" s="9">
        <v>1238.8</v>
      </c>
    </row>
    <row r="397" spans="1:3" x14ac:dyDescent="0.3">
      <c r="A397" s="1">
        <v>1000735</v>
      </c>
      <c r="B397" s="2" t="s">
        <v>403</v>
      </c>
      <c r="C397" s="9">
        <v>942.82</v>
      </c>
    </row>
    <row r="398" spans="1:3" x14ac:dyDescent="0.3">
      <c r="A398" s="1">
        <v>1000737</v>
      </c>
      <c r="B398" s="2" t="s">
        <v>404</v>
      </c>
      <c r="C398" s="9">
        <v>162.909709856874</v>
      </c>
    </row>
    <row r="399" spans="1:3" x14ac:dyDescent="0.3">
      <c r="A399" s="1">
        <v>1000738</v>
      </c>
      <c r="B399" s="2" t="s">
        <v>405</v>
      </c>
      <c r="C399" s="9">
        <v>553.85043522989713</v>
      </c>
    </row>
    <row r="400" spans="1:3" x14ac:dyDescent="0.3">
      <c r="A400" s="1">
        <v>1000739</v>
      </c>
      <c r="B400" s="2" t="s">
        <v>406</v>
      </c>
      <c r="C400" s="9">
        <v>299.22000000000003</v>
      </c>
    </row>
    <row r="401" spans="1:3" x14ac:dyDescent="0.3">
      <c r="A401" s="1">
        <v>1000740</v>
      </c>
      <c r="B401" s="2" t="s">
        <v>407</v>
      </c>
      <c r="C401" s="9">
        <v>466.06667761956913</v>
      </c>
    </row>
    <row r="402" spans="1:3" x14ac:dyDescent="0.3">
      <c r="A402" s="1">
        <v>1000741</v>
      </c>
      <c r="B402" s="2" t="s">
        <v>408</v>
      </c>
      <c r="C402" s="9">
        <v>444.99971428571399</v>
      </c>
    </row>
    <row r="403" spans="1:3" x14ac:dyDescent="0.3">
      <c r="A403" s="1">
        <v>1000742</v>
      </c>
      <c r="B403" s="2" t="s">
        <v>409</v>
      </c>
      <c r="C403" s="9">
        <v>523.90494213493196</v>
      </c>
    </row>
    <row r="404" spans="1:3" x14ac:dyDescent="0.3">
      <c r="A404" s="1">
        <v>1000743</v>
      </c>
      <c r="B404" s="2" t="s">
        <v>410</v>
      </c>
      <c r="C404" s="9">
        <v>206.21999999999997</v>
      </c>
    </row>
    <row r="405" spans="1:3" x14ac:dyDescent="0.3">
      <c r="A405" s="1">
        <v>1000744</v>
      </c>
      <c r="B405" s="2" t="s">
        <v>411</v>
      </c>
      <c r="C405" s="9">
        <v>154.81</v>
      </c>
    </row>
    <row r="406" spans="1:3" x14ac:dyDescent="0.3">
      <c r="A406" s="1">
        <v>1000746</v>
      </c>
      <c r="B406" s="2" t="s">
        <v>413</v>
      </c>
      <c r="C406" s="9">
        <v>321.61494708343588</v>
      </c>
    </row>
    <row r="407" spans="1:3" x14ac:dyDescent="0.3">
      <c r="A407" s="1">
        <v>1000750</v>
      </c>
      <c r="B407" s="2" t="s">
        <v>414</v>
      </c>
      <c r="C407" s="9">
        <v>1.5714285714285701</v>
      </c>
    </row>
    <row r="408" spans="1:3" x14ac:dyDescent="0.3">
      <c r="A408" s="1">
        <v>1000751</v>
      </c>
      <c r="B408" s="2" t="s">
        <v>415</v>
      </c>
      <c r="C408" s="9">
        <v>254.71920436817473</v>
      </c>
    </row>
    <row r="409" spans="1:3" x14ac:dyDescent="0.3">
      <c r="A409" s="1">
        <v>1000752</v>
      </c>
      <c r="B409" s="2" t="s">
        <v>416</v>
      </c>
      <c r="C409" s="9">
        <v>727.15166666666698</v>
      </c>
    </row>
    <row r="410" spans="1:3" x14ac:dyDescent="0.3">
      <c r="A410" s="1">
        <v>1000755</v>
      </c>
      <c r="B410" s="2" t="s">
        <v>417</v>
      </c>
      <c r="C410" s="9">
        <v>3388.1645834859601</v>
      </c>
    </row>
    <row r="411" spans="1:3" x14ac:dyDescent="0.3">
      <c r="A411" s="1">
        <v>1000756</v>
      </c>
      <c r="B411" s="2" t="s">
        <v>418</v>
      </c>
      <c r="C411" s="9">
        <v>7864.1750000000002</v>
      </c>
    </row>
    <row r="412" spans="1:3" x14ac:dyDescent="0.3">
      <c r="A412" s="1">
        <v>1000758</v>
      </c>
      <c r="B412" s="2" t="s">
        <v>419</v>
      </c>
      <c r="C412" s="9">
        <v>14162.95</v>
      </c>
    </row>
    <row r="413" spans="1:3" x14ac:dyDescent="0.3">
      <c r="A413" s="1">
        <v>1000764</v>
      </c>
      <c r="B413" s="2" t="s">
        <v>420</v>
      </c>
      <c r="C413" s="9">
        <v>10603.662857142899</v>
      </c>
    </row>
    <row r="414" spans="1:3" x14ac:dyDescent="0.3">
      <c r="A414" s="1">
        <v>1000765</v>
      </c>
      <c r="B414" s="2" t="s">
        <v>421</v>
      </c>
      <c r="C414" s="9">
        <v>169.42383233532934</v>
      </c>
    </row>
    <row r="415" spans="1:3" x14ac:dyDescent="0.3">
      <c r="A415" s="1">
        <v>1000767</v>
      </c>
      <c r="B415" s="2" t="s">
        <v>422</v>
      </c>
      <c r="C415" s="9">
        <v>46.44</v>
      </c>
    </row>
    <row r="416" spans="1:3" x14ac:dyDescent="0.3">
      <c r="A416" s="1">
        <v>1000768</v>
      </c>
      <c r="B416" s="2" t="s">
        <v>423</v>
      </c>
      <c r="C416" s="9">
        <v>46.44</v>
      </c>
    </row>
    <row r="417" spans="1:3" x14ac:dyDescent="0.3">
      <c r="A417" s="1">
        <v>1000774</v>
      </c>
      <c r="B417" s="2" t="s">
        <v>424</v>
      </c>
      <c r="C417" s="9">
        <v>19762.249266666699</v>
      </c>
    </row>
    <row r="418" spans="1:3" x14ac:dyDescent="0.3">
      <c r="A418" s="1">
        <v>1000775</v>
      </c>
      <c r="B418" s="2" t="s">
        <v>425</v>
      </c>
      <c r="C418" s="9">
        <v>13424.697761904799</v>
      </c>
    </row>
    <row r="419" spans="1:3" x14ac:dyDescent="0.3">
      <c r="A419" s="1">
        <v>1000777</v>
      </c>
      <c r="B419" s="2" t="s">
        <v>426</v>
      </c>
      <c r="C419" s="9">
        <v>9914.1390909090915</v>
      </c>
    </row>
    <row r="420" spans="1:3" x14ac:dyDescent="0.3">
      <c r="A420" s="1">
        <v>1000778</v>
      </c>
      <c r="B420" s="2" t="s">
        <v>427</v>
      </c>
      <c r="C420" s="9">
        <v>8706.9500000000007</v>
      </c>
    </row>
    <row r="421" spans="1:3" x14ac:dyDescent="0.3">
      <c r="A421" s="1">
        <v>1000779</v>
      </c>
      <c r="B421" s="2" t="s">
        <v>428</v>
      </c>
      <c r="C421" s="9">
        <v>1799.54</v>
      </c>
    </row>
    <row r="422" spans="1:3" x14ac:dyDescent="0.3">
      <c r="A422" s="1">
        <v>1000780</v>
      </c>
      <c r="B422" s="2" t="s">
        <v>429</v>
      </c>
      <c r="C422" s="9">
        <v>3141.3427955065108</v>
      </c>
    </row>
    <row r="423" spans="1:3" x14ac:dyDescent="0.3">
      <c r="A423" s="1">
        <v>1000781</v>
      </c>
      <c r="B423" s="2" t="s">
        <v>430</v>
      </c>
      <c r="C423" s="9">
        <v>14.9666194860812</v>
      </c>
    </row>
    <row r="424" spans="1:3" x14ac:dyDescent="0.3">
      <c r="A424" s="1">
        <v>1000782</v>
      </c>
      <c r="B424" s="2" t="s">
        <v>431</v>
      </c>
      <c r="C424" s="9">
        <v>11981.68</v>
      </c>
    </row>
    <row r="425" spans="1:3" x14ac:dyDescent="0.3">
      <c r="A425" s="1">
        <v>1000783</v>
      </c>
      <c r="B425" s="2" t="s">
        <v>432</v>
      </c>
      <c r="C425" s="9">
        <v>1</v>
      </c>
    </row>
    <row r="426" spans="1:3" x14ac:dyDescent="0.3">
      <c r="A426" s="1">
        <v>1000785</v>
      </c>
      <c r="B426" s="2" t="s">
        <v>433</v>
      </c>
      <c r="C426" s="9">
        <v>19929</v>
      </c>
    </row>
    <row r="427" spans="1:3" x14ac:dyDescent="0.3">
      <c r="A427" s="1">
        <v>1000786</v>
      </c>
      <c r="B427" s="2" t="s">
        <v>434</v>
      </c>
      <c r="C427" s="9">
        <v>10666.666666666701</v>
      </c>
    </row>
    <row r="428" spans="1:3" x14ac:dyDescent="0.3">
      <c r="A428" s="1">
        <v>1000788</v>
      </c>
      <c r="B428" s="2" t="s">
        <v>435</v>
      </c>
      <c r="C428" s="9">
        <v>16308.8</v>
      </c>
    </row>
    <row r="429" spans="1:3" x14ac:dyDescent="0.3">
      <c r="A429" s="1">
        <v>1000794</v>
      </c>
      <c r="B429" s="2" t="s">
        <v>436</v>
      </c>
      <c r="C429" s="9">
        <v>3182.02</v>
      </c>
    </row>
    <row r="430" spans="1:3" x14ac:dyDescent="0.3">
      <c r="A430" s="1">
        <v>1000796</v>
      </c>
      <c r="B430" s="2" t="s">
        <v>438</v>
      </c>
      <c r="C430" s="9">
        <v>72.199905664856502</v>
      </c>
    </row>
    <row r="431" spans="1:3" x14ac:dyDescent="0.3">
      <c r="A431" s="1">
        <v>1000799</v>
      </c>
      <c r="B431" s="2" t="s">
        <v>439</v>
      </c>
      <c r="C431" s="9">
        <v>74614.69</v>
      </c>
    </row>
    <row r="432" spans="1:3" x14ac:dyDescent="0.3">
      <c r="A432" s="1">
        <v>1000800</v>
      </c>
      <c r="B432" s="2" t="s">
        <v>440</v>
      </c>
      <c r="C432" s="9">
        <v>16788.216256410255</v>
      </c>
    </row>
    <row r="433" spans="1:3" x14ac:dyDescent="0.3">
      <c r="A433" s="1">
        <v>1000802</v>
      </c>
      <c r="B433" s="2" t="s">
        <v>441</v>
      </c>
      <c r="C433" s="9">
        <v>38668.6</v>
      </c>
    </row>
    <row r="434" spans="1:3" x14ac:dyDescent="0.3">
      <c r="A434" s="1">
        <v>1000805</v>
      </c>
      <c r="B434" s="2" t="s">
        <v>442</v>
      </c>
      <c r="C434" s="9">
        <v>1164</v>
      </c>
    </row>
    <row r="435" spans="1:3" x14ac:dyDescent="0.3">
      <c r="A435" s="1">
        <v>1000806</v>
      </c>
      <c r="B435" s="2" t="s">
        <v>443</v>
      </c>
      <c r="C435" s="9">
        <v>1608.1431271477663</v>
      </c>
    </row>
    <row r="436" spans="1:3" x14ac:dyDescent="0.3">
      <c r="A436" s="1">
        <v>1000807</v>
      </c>
      <c r="B436" s="2" t="s">
        <v>444</v>
      </c>
      <c r="C436" s="9">
        <v>2004.1779933049299</v>
      </c>
    </row>
    <row r="437" spans="1:3" x14ac:dyDescent="0.3">
      <c r="A437" s="1">
        <v>1000808</v>
      </c>
      <c r="B437" s="2" t="s">
        <v>445</v>
      </c>
      <c r="C437" s="9">
        <v>0</v>
      </c>
    </row>
    <row r="438" spans="1:3" x14ac:dyDescent="0.3">
      <c r="A438" s="1">
        <v>1000809</v>
      </c>
      <c r="B438" s="2" t="s">
        <v>446</v>
      </c>
      <c r="C438" s="9">
        <v>1033.6531558185404</v>
      </c>
    </row>
    <row r="439" spans="1:3" x14ac:dyDescent="0.3">
      <c r="A439" s="1">
        <v>1000813</v>
      </c>
      <c r="B439" s="2" t="s">
        <v>447</v>
      </c>
      <c r="C439" s="9">
        <v>2520.61333333333</v>
      </c>
    </row>
    <row r="440" spans="1:3" x14ac:dyDescent="0.3">
      <c r="A440" s="1">
        <v>1000814</v>
      </c>
      <c r="B440" s="2" t="s">
        <v>448</v>
      </c>
      <c r="C440" s="9">
        <v>62.554186046511603</v>
      </c>
    </row>
    <row r="441" spans="1:3" x14ac:dyDescent="0.3">
      <c r="A441" s="1">
        <v>1000815</v>
      </c>
      <c r="B441" s="2" t="s">
        <v>449</v>
      </c>
      <c r="C441" s="9">
        <v>17.584944979367261</v>
      </c>
    </row>
    <row r="442" spans="1:3" x14ac:dyDescent="0.3">
      <c r="A442" s="1">
        <v>1000816</v>
      </c>
      <c r="B442" s="2" t="s">
        <v>450</v>
      </c>
      <c r="C442" s="9">
        <v>43.643751272080898</v>
      </c>
    </row>
    <row r="443" spans="1:3" x14ac:dyDescent="0.3">
      <c r="A443" s="1">
        <v>1000817</v>
      </c>
      <c r="B443" s="2" t="s">
        <v>451</v>
      </c>
      <c r="C443" s="9">
        <v>3072.7533749999998</v>
      </c>
    </row>
    <row r="444" spans="1:3" x14ac:dyDescent="0.3">
      <c r="A444" s="1">
        <v>1000819</v>
      </c>
      <c r="B444" s="2" t="s">
        <v>452</v>
      </c>
      <c r="C444" s="9">
        <v>16.422774086378737</v>
      </c>
    </row>
    <row r="445" spans="1:3" x14ac:dyDescent="0.3">
      <c r="A445" s="1">
        <v>1000820</v>
      </c>
      <c r="B445" s="2" t="s">
        <v>453</v>
      </c>
      <c r="C445" s="9">
        <v>0</v>
      </c>
    </row>
    <row r="446" spans="1:3" x14ac:dyDescent="0.3">
      <c r="A446" s="1">
        <v>1000826</v>
      </c>
      <c r="B446" s="2" t="s">
        <v>454</v>
      </c>
      <c r="C446" s="9">
        <v>0.66666666666666696</v>
      </c>
    </row>
    <row r="447" spans="1:3" x14ac:dyDescent="0.3">
      <c r="A447" s="1">
        <v>1000843</v>
      </c>
      <c r="B447" s="2" t="s">
        <v>455</v>
      </c>
      <c r="C447" s="9">
        <v>104184.107058824</v>
      </c>
    </row>
    <row r="448" spans="1:3" x14ac:dyDescent="0.3">
      <c r="A448" s="1">
        <v>1000846</v>
      </c>
      <c r="B448" s="2" t="s">
        <v>456</v>
      </c>
      <c r="C448" s="9">
        <v>142570.00483913801</v>
      </c>
    </row>
    <row r="449" spans="1:3" x14ac:dyDescent="0.3">
      <c r="A449" s="1">
        <v>1000848</v>
      </c>
      <c r="B449" s="2" t="s">
        <v>457</v>
      </c>
      <c r="C449" s="9">
        <v>224425.75718333299</v>
      </c>
    </row>
    <row r="450" spans="1:3" x14ac:dyDescent="0.3">
      <c r="A450" s="1">
        <v>1000859</v>
      </c>
      <c r="B450" s="2" t="s">
        <v>458</v>
      </c>
      <c r="C450" s="9">
        <v>164008.106111111</v>
      </c>
    </row>
    <row r="451" spans="1:3" x14ac:dyDescent="0.3">
      <c r="A451" s="1">
        <v>1000860</v>
      </c>
      <c r="B451" s="2" t="s">
        <v>459</v>
      </c>
      <c r="C451" s="9">
        <v>4670.93</v>
      </c>
    </row>
    <row r="452" spans="1:3" x14ac:dyDescent="0.3">
      <c r="A452" s="1">
        <v>1000863</v>
      </c>
      <c r="B452" s="2" t="s">
        <v>460</v>
      </c>
      <c r="C452" s="9">
        <v>0</v>
      </c>
    </row>
    <row r="453" spans="1:3" x14ac:dyDescent="0.3">
      <c r="A453" s="1">
        <v>1000866</v>
      </c>
      <c r="B453" s="2" t="s">
        <v>461</v>
      </c>
      <c r="C453" s="9">
        <v>28436.18</v>
      </c>
    </row>
    <row r="454" spans="1:3" x14ac:dyDescent="0.3">
      <c r="A454" s="1">
        <v>1000867</v>
      </c>
      <c r="B454" s="2" t="s">
        <v>462</v>
      </c>
      <c r="C454" s="9">
        <v>2782.6906296296302</v>
      </c>
    </row>
    <row r="455" spans="1:3" x14ac:dyDescent="0.3">
      <c r="A455" s="1">
        <v>1000868</v>
      </c>
      <c r="B455" s="2" t="s">
        <v>463</v>
      </c>
      <c r="C455" s="9">
        <v>2551.1102042327998</v>
      </c>
    </row>
    <row r="456" spans="1:3" x14ac:dyDescent="0.3">
      <c r="A456" s="1">
        <v>1000869</v>
      </c>
      <c r="B456" s="2" t="s">
        <v>464</v>
      </c>
      <c r="C456" s="9">
        <v>2551.1106249999998</v>
      </c>
    </row>
    <row r="457" spans="1:3" x14ac:dyDescent="0.3">
      <c r="A457" s="1">
        <v>1000870</v>
      </c>
      <c r="B457" s="2" t="s">
        <v>465</v>
      </c>
      <c r="C457" s="9">
        <v>2551.1048148148102</v>
      </c>
    </row>
    <row r="458" spans="1:3" x14ac:dyDescent="0.3">
      <c r="A458" s="1">
        <v>1000872</v>
      </c>
      <c r="B458" s="2" t="s">
        <v>466</v>
      </c>
      <c r="C458" s="9">
        <v>2551.11055555556</v>
      </c>
    </row>
    <row r="459" spans="1:3" x14ac:dyDescent="0.3">
      <c r="A459" s="1">
        <v>1000874</v>
      </c>
      <c r="B459" s="2" t="s">
        <v>467</v>
      </c>
      <c r="C459" s="9">
        <v>46521.244525640999</v>
      </c>
    </row>
    <row r="460" spans="1:3" x14ac:dyDescent="0.3">
      <c r="A460" s="1">
        <v>1000875</v>
      </c>
      <c r="B460" s="2" t="s">
        <v>468</v>
      </c>
      <c r="C460" s="9">
        <v>639757.96</v>
      </c>
    </row>
    <row r="461" spans="1:3" x14ac:dyDescent="0.3">
      <c r="A461" s="1">
        <v>1000876</v>
      </c>
      <c r="B461" s="2" t="s">
        <v>469</v>
      </c>
      <c r="C461" s="9">
        <v>39446.740592863702</v>
      </c>
    </row>
    <row r="462" spans="1:3" x14ac:dyDescent="0.3">
      <c r="A462" s="1">
        <v>1000877</v>
      </c>
      <c r="B462" s="2" t="s">
        <v>470</v>
      </c>
      <c r="C462" s="9">
        <v>4.78</v>
      </c>
    </row>
    <row r="463" spans="1:3" x14ac:dyDescent="0.3">
      <c r="A463" s="1">
        <v>1000878</v>
      </c>
      <c r="B463" s="2" t="s">
        <v>471</v>
      </c>
      <c r="C463" s="9">
        <v>7.2268950222753903</v>
      </c>
    </row>
    <row r="464" spans="1:3" x14ac:dyDescent="0.3">
      <c r="A464" s="1">
        <v>1000879</v>
      </c>
      <c r="B464" s="2" t="s">
        <v>472</v>
      </c>
      <c r="C464" s="9">
        <v>12.4854777788335</v>
      </c>
    </row>
    <row r="465" spans="1:3" x14ac:dyDescent="0.3">
      <c r="A465" s="1">
        <v>1000880</v>
      </c>
      <c r="B465" s="2" t="s">
        <v>473</v>
      </c>
      <c r="C465" s="9">
        <v>9.9789117531743496</v>
      </c>
    </row>
    <row r="466" spans="1:3" x14ac:dyDescent="0.3">
      <c r="A466" s="1">
        <v>1000881</v>
      </c>
      <c r="B466" s="2" t="s">
        <v>474</v>
      </c>
      <c r="C466" s="9">
        <v>10.876763493027999</v>
      </c>
    </row>
    <row r="467" spans="1:3" x14ac:dyDescent="0.3">
      <c r="A467" s="1">
        <v>1000882</v>
      </c>
      <c r="B467" s="2" t="s">
        <v>475</v>
      </c>
      <c r="C467" s="9">
        <v>2.1666666666666701</v>
      </c>
    </row>
    <row r="468" spans="1:3" x14ac:dyDescent="0.3">
      <c r="A468" s="1">
        <v>1000883</v>
      </c>
      <c r="B468" s="2" t="s">
        <v>476</v>
      </c>
      <c r="C468" s="9">
        <v>9.86</v>
      </c>
    </row>
    <row r="469" spans="1:3" x14ac:dyDescent="0.3">
      <c r="A469" s="1">
        <v>1000884</v>
      </c>
      <c r="B469" s="2" t="s">
        <v>477</v>
      </c>
      <c r="C469" s="9">
        <v>10.8834603472457</v>
      </c>
    </row>
    <row r="470" spans="1:3" x14ac:dyDescent="0.3">
      <c r="A470" s="1">
        <v>1000885</v>
      </c>
      <c r="B470" s="2" t="s">
        <v>478</v>
      </c>
      <c r="C470" s="9">
        <v>3.7281860465116199</v>
      </c>
    </row>
    <row r="471" spans="1:3" x14ac:dyDescent="0.3">
      <c r="A471" s="1">
        <v>1000887</v>
      </c>
      <c r="B471" s="2" t="s">
        <v>479</v>
      </c>
      <c r="C471" s="9">
        <v>109.62</v>
      </c>
    </row>
    <row r="472" spans="1:3" x14ac:dyDescent="0.3">
      <c r="A472" s="1">
        <v>1000888</v>
      </c>
      <c r="B472" s="2" t="s">
        <v>480</v>
      </c>
      <c r="C472" s="9">
        <v>3.9386648935734918</v>
      </c>
    </row>
    <row r="473" spans="1:3" x14ac:dyDescent="0.3">
      <c r="A473" s="1">
        <v>1000889</v>
      </c>
      <c r="B473" s="2" t="s">
        <v>481</v>
      </c>
      <c r="C473" s="9">
        <v>15.805</v>
      </c>
    </row>
    <row r="474" spans="1:3" x14ac:dyDescent="0.3">
      <c r="A474" s="1">
        <v>1000890</v>
      </c>
      <c r="B474" s="2" t="s">
        <v>482</v>
      </c>
      <c r="C474" s="9">
        <v>10.9510179611189</v>
      </c>
    </row>
    <row r="475" spans="1:3" x14ac:dyDescent="0.3">
      <c r="A475" s="1">
        <v>1000896</v>
      </c>
      <c r="B475" s="2" t="s">
        <v>483</v>
      </c>
      <c r="C475" s="9">
        <v>534.26091666666696</v>
      </c>
    </row>
    <row r="476" spans="1:3" x14ac:dyDescent="0.3">
      <c r="A476" s="1">
        <v>1000897</v>
      </c>
      <c r="B476" s="2" t="s">
        <v>484</v>
      </c>
      <c r="C476" s="9">
        <v>10.7056357595892</v>
      </c>
    </row>
    <row r="477" spans="1:3" x14ac:dyDescent="0.3">
      <c r="A477" s="1">
        <v>1000898</v>
      </c>
      <c r="B477" s="2" t="s">
        <v>485</v>
      </c>
      <c r="C477" s="9">
        <v>10.5980673625505</v>
      </c>
    </row>
    <row r="478" spans="1:3" x14ac:dyDescent="0.3">
      <c r="A478" s="1">
        <v>1000900</v>
      </c>
      <c r="B478" s="2" t="s">
        <v>486</v>
      </c>
      <c r="C478" s="9">
        <v>10.4979996423733</v>
      </c>
    </row>
    <row r="479" spans="1:3" x14ac:dyDescent="0.3">
      <c r="A479" s="1">
        <v>1000903</v>
      </c>
      <c r="B479" s="2" t="s">
        <v>487</v>
      </c>
      <c r="C479" s="9">
        <v>17.451978864688101</v>
      </c>
    </row>
    <row r="480" spans="1:3" x14ac:dyDescent="0.3">
      <c r="A480" s="1">
        <v>1000904</v>
      </c>
      <c r="B480" s="2" t="s">
        <v>488</v>
      </c>
      <c r="C480" s="9">
        <v>0.48197465253234301</v>
      </c>
    </row>
    <row r="481" spans="1:3" x14ac:dyDescent="0.3">
      <c r="A481" s="1">
        <v>1000905</v>
      </c>
      <c r="B481" s="2" t="s">
        <v>489</v>
      </c>
      <c r="C481" s="9">
        <v>3.0291094076705498</v>
      </c>
    </row>
    <row r="482" spans="1:3" x14ac:dyDescent="0.3">
      <c r="A482" s="1">
        <v>1000908</v>
      </c>
      <c r="B482" s="2" t="s">
        <v>490</v>
      </c>
      <c r="C482" s="9">
        <v>2126.80303125</v>
      </c>
    </row>
    <row r="483" spans="1:3" x14ac:dyDescent="0.3">
      <c r="A483" s="1">
        <v>1000909</v>
      </c>
      <c r="B483" s="2" t="s">
        <v>491</v>
      </c>
      <c r="C483" s="9">
        <v>1889.55</v>
      </c>
    </row>
    <row r="484" spans="1:3" x14ac:dyDescent="0.3">
      <c r="A484" s="1">
        <v>1000911</v>
      </c>
      <c r="B484" s="2" t="s">
        <v>492</v>
      </c>
      <c r="C484" s="9">
        <v>25.445995082908802</v>
      </c>
    </row>
    <row r="485" spans="1:3" x14ac:dyDescent="0.3">
      <c r="A485" s="1">
        <v>1000916</v>
      </c>
      <c r="B485" s="2" t="s">
        <v>493</v>
      </c>
      <c r="C485" s="9">
        <v>398.99</v>
      </c>
    </row>
    <row r="486" spans="1:3" x14ac:dyDescent="0.3">
      <c r="A486" s="1">
        <v>1000917</v>
      </c>
      <c r="B486" s="2" t="s">
        <v>494</v>
      </c>
      <c r="C486" s="9">
        <v>485.99785353453302</v>
      </c>
    </row>
    <row r="487" spans="1:3" x14ac:dyDescent="0.3">
      <c r="A487" s="1">
        <v>1000919</v>
      </c>
      <c r="B487" s="2" t="s">
        <v>495</v>
      </c>
      <c r="C487" s="9">
        <v>54</v>
      </c>
    </row>
    <row r="488" spans="1:3" x14ac:dyDescent="0.3">
      <c r="A488" s="1">
        <v>1000921</v>
      </c>
      <c r="B488" s="2" t="s">
        <v>496</v>
      </c>
      <c r="C488" s="9">
        <v>125</v>
      </c>
    </row>
    <row r="489" spans="1:3" x14ac:dyDescent="0.3">
      <c r="A489" s="1">
        <v>1000922</v>
      </c>
      <c r="B489" s="2" t="s">
        <v>497</v>
      </c>
      <c r="C489" s="9">
        <v>218.07993396921299</v>
      </c>
    </row>
    <row r="490" spans="1:3" x14ac:dyDescent="0.3">
      <c r="A490" s="1">
        <v>1000923</v>
      </c>
      <c r="B490" s="2" t="s">
        <v>498</v>
      </c>
      <c r="C490" s="9">
        <v>86.146901293109295</v>
      </c>
    </row>
    <row r="491" spans="1:3" x14ac:dyDescent="0.3">
      <c r="A491" s="1">
        <v>1000925</v>
      </c>
      <c r="B491" s="2" t="s">
        <v>499</v>
      </c>
      <c r="C491" s="9">
        <v>365.00557849802402</v>
      </c>
    </row>
    <row r="492" spans="1:3" x14ac:dyDescent="0.3">
      <c r="A492" s="1">
        <v>1000927</v>
      </c>
      <c r="B492" s="2" t="s">
        <v>500</v>
      </c>
      <c r="C492" s="9">
        <v>34630.949999999997</v>
      </c>
    </row>
    <row r="493" spans="1:3" x14ac:dyDescent="0.3">
      <c r="A493" s="1">
        <v>1000928</v>
      </c>
      <c r="B493" s="2" t="s">
        <v>501</v>
      </c>
      <c r="C493" s="9">
        <v>42791.5</v>
      </c>
    </row>
    <row r="494" spans="1:3" x14ac:dyDescent="0.3">
      <c r="A494" s="1">
        <v>1000930</v>
      </c>
      <c r="B494" s="2" t="s">
        <v>502</v>
      </c>
      <c r="C494" s="9">
        <v>1348.5</v>
      </c>
    </row>
    <row r="495" spans="1:3" x14ac:dyDescent="0.3">
      <c r="A495" s="1">
        <v>1000933</v>
      </c>
      <c r="B495" s="2" t="s">
        <v>503</v>
      </c>
      <c r="C495" s="9">
        <v>9920.0877777777805</v>
      </c>
    </row>
    <row r="496" spans="1:3" x14ac:dyDescent="0.3">
      <c r="A496" s="1">
        <v>1000936</v>
      </c>
      <c r="B496" s="2" t="s">
        <v>504</v>
      </c>
      <c r="C496" s="9">
        <v>725.79316666666705</v>
      </c>
    </row>
    <row r="497" spans="1:3" x14ac:dyDescent="0.3">
      <c r="A497" s="1">
        <v>1000941</v>
      </c>
      <c r="B497" s="2" t="s">
        <v>505</v>
      </c>
      <c r="C497" s="9">
        <v>32489.0655555556</v>
      </c>
    </row>
    <row r="498" spans="1:3" x14ac:dyDescent="0.3">
      <c r="A498" s="1">
        <v>1000942</v>
      </c>
      <c r="B498" s="2" t="s">
        <v>506</v>
      </c>
      <c r="C498" s="9">
        <v>87</v>
      </c>
    </row>
    <row r="499" spans="1:3" x14ac:dyDescent="0.3">
      <c r="A499" s="1">
        <v>1000944</v>
      </c>
      <c r="B499" s="2" t="s">
        <v>507</v>
      </c>
      <c r="C499" s="9">
        <v>2176.0279999999998</v>
      </c>
    </row>
    <row r="500" spans="1:3" x14ac:dyDescent="0.3">
      <c r="A500" s="1">
        <v>1000945</v>
      </c>
      <c r="B500" s="2" t="s">
        <v>508</v>
      </c>
      <c r="C500" s="9">
        <v>2147.02766666667</v>
      </c>
    </row>
    <row r="501" spans="1:3" x14ac:dyDescent="0.3">
      <c r="A501" s="1">
        <v>1000947</v>
      </c>
      <c r="B501" s="2" t="s">
        <v>509</v>
      </c>
      <c r="C501" s="9">
        <v>1913.1718000000001</v>
      </c>
    </row>
    <row r="502" spans="1:3" x14ac:dyDescent="0.3">
      <c r="A502" s="1">
        <v>1000948</v>
      </c>
      <c r="B502" s="2" t="s">
        <v>510</v>
      </c>
      <c r="C502" s="9">
        <v>64.031999999999996</v>
      </c>
    </row>
    <row r="503" spans="1:3" x14ac:dyDescent="0.3">
      <c r="A503" s="1">
        <v>1000949</v>
      </c>
      <c r="B503" s="2" t="s">
        <v>511</v>
      </c>
      <c r="C503" s="9">
        <v>2210.4066666666699</v>
      </c>
    </row>
    <row r="504" spans="1:3" x14ac:dyDescent="0.3">
      <c r="A504" s="1">
        <v>1000962</v>
      </c>
      <c r="B504" s="2" t="s">
        <v>512</v>
      </c>
      <c r="C504" s="9">
        <v>24468.966340659299</v>
      </c>
    </row>
    <row r="505" spans="1:3" x14ac:dyDescent="0.3">
      <c r="A505" s="1">
        <v>1000966</v>
      </c>
      <c r="B505" s="2" t="s">
        <v>513</v>
      </c>
      <c r="C505" s="9">
        <v>2262</v>
      </c>
    </row>
    <row r="506" spans="1:3" x14ac:dyDescent="0.3">
      <c r="A506" s="1">
        <v>1000969</v>
      </c>
      <c r="B506" s="2" t="s">
        <v>514</v>
      </c>
      <c r="C506" s="9">
        <v>1220.0218749999999</v>
      </c>
    </row>
    <row r="507" spans="1:3" x14ac:dyDescent="0.3">
      <c r="A507" s="1">
        <v>1000972</v>
      </c>
      <c r="B507" s="2" t="s">
        <v>515</v>
      </c>
      <c r="C507" s="9">
        <v>2520.61333333333</v>
      </c>
    </row>
    <row r="508" spans="1:3" x14ac:dyDescent="0.3">
      <c r="A508" s="1">
        <v>1000973</v>
      </c>
      <c r="B508" s="2" t="s">
        <v>516</v>
      </c>
      <c r="C508" s="9">
        <v>39205.120000000003</v>
      </c>
    </row>
    <row r="509" spans="1:3" x14ac:dyDescent="0.3">
      <c r="A509" s="1">
        <v>1000974</v>
      </c>
      <c r="B509" s="2" t="s">
        <v>517</v>
      </c>
      <c r="C509" s="9">
        <v>25865.314999999999</v>
      </c>
    </row>
    <row r="510" spans="1:3" x14ac:dyDescent="0.3">
      <c r="A510" s="1">
        <v>1000977</v>
      </c>
      <c r="B510" s="2" t="s">
        <v>518</v>
      </c>
      <c r="C510" s="9">
        <v>512.5</v>
      </c>
    </row>
    <row r="511" spans="1:3" x14ac:dyDescent="0.3">
      <c r="A511" s="1">
        <v>1000990</v>
      </c>
      <c r="B511" s="2" t="s">
        <v>519</v>
      </c>
      <c r="C511" s="9">
        <v>16093.26</v>
      </c>
    </row>
    <row r="512" spans="1:3" x14ac:dyDescent="0.3">
      <c r="A512" s="1">
        <v>1000992</v>
      </c>
      <c r="B512" s="2" t="s">
        <v>520</v>
      </c>
      <c r="C512" s="9">
        <v>565.88841538461497</v>
      </c>
    </row>
    <row r="513" spans="1:3" x14ac:dyDescent="0.3">
      <c r="A513" s="1">
        <v>1000994</v>
      </c>
      <c r="B513" s="2" t="s">
        <v>521</v>
      </c>
      <c r="C513" s="9">
        <v>174.905</v>
      </c>
    </row>
    <row r="514" spans="1:3" x14ac:dyDescent="0.3">
      <c r="A514" s="1">
        <v>1000995</v>
      </c>
      <c r="B514" s="2" t="s">
        <v>522</v>
      </c>
      <c r="C514" s="9">
        <v>174.905</v>
      </c>
    </row>
    <row r="515" spans="1:3" x14ac:dyDescent="0.3">
      <c r="A515" s="1">
        <v>1001003</v>
      </c>
      <c r="B515" s="2" t="s">
        <v>523</v>
      </c>
      <c r="C515" s="9">
        <v>13243.7771769462</v>
      </c>
    </row>
    <row r="516" spans="1:3" x14ac:dyDescent="0.3">
      <c r="A516" s="1">
        <v>1001007</v>
      </c>
      <c r="B516" s="2" t="s">
        <v>524</v>
      </c>
      <c r="C516" s="9">
        <v>37529.71</v>
      </c>
    </row>
    <row r="517" spans="1:3" x14ac:dyDescent="0.3">
      <c r="A517" s="1">
        <v>1001008</v>
      </c>
      <c r="B517" s="2" t="s">
        <v>525</v>
      </c>
      <c r="C517" s="9">
        <v>2290.9266666666699</v>
      </c>
    </row>
    <row r="518" spans="1:3" x14ac:dyDescent="0.3">
      <c r="A518" s="1">
        <v>1001009</v>
      </c>
      <c r="B518" s="2" t="s">
        <v>526</v>
      </c>
      <c r="C518" s="9">
        <v>3225.7066666666701</v>
      </c>
    </row>
    <row r="519" spans="1:3" x14ac:dyDescent="0.3">
      <c r="A519" s="1">
        <v>1001010</v>
      </c>
      <c r="B519" s="2" t="s">
        <v>527</v>
      </c>
      <c r="C519" s="9">
        <v>286.346</v>
      </c>
    </row>
    <row r="520" spans="1:3" x14ac:dyDescent="0.3">
      <c r="A520" s="1">
        <v>1001013</v>
      </c>
      <c r="B520" s="2" t="s">
        <v>528</v>
      </c>
      <c r="C520" s="9">
        <v>2520.61333333333</v>
      </c>
    </row>
    <row r="521" spans="1:3" x14ac:dyDescent="0.3">
      <c r="A521" s="1">
        <v>1001014</v>
      </c>
      <c r="B521" s="2" t="s">
        <v>529</v>
      </c>
      <c r="C521" s="9">
        <v>2520.61333333333</v>
      </c>
    </row>
    <row r="522" spans="1:3" x14ac:dyDescent="0.3">
      <c r="A522" s="1">
        <v>1001015</v>
      </c>
      <c r="B522" s="2" t="s">
        <v>530</v>
      </c>
      <c r="C522" s="9">
        <v>2520.61333333333</v>
      </c>
    </row>
    <row r="523" spans="1:3" x14ac:dyDescent="0.3">
      <c r="A523" s="1">
        <v>1001021</v>
      </c>
      <c r="B523" s="2" t="s">
        <v>531</v>
      </c>
      <c r="C523" s="9">
        <v>282.51731665640818</v>
      </c>
    </row>
    <row r="524" spans="1:3" x14ac:dyDescent="0.3">
      <c r="A524" s="1">
        <v>1001024</v>
      </c>
      <c r="B524" s="2" t="s">
        <v>532</v>
      </c>
      <c r="C524" s="9">
        <v>29551</v>
      </c>
    </row>
    <row r="525" spans="1:3" x14ac:dyDescent="0.3">
      <c r="A525" s="1">
        <v>1001026</v>
      </c>
      <c r="B525" s="2" t="s">
        <v>533</v>
      </c>
      <c r="C525" s="9">
        <v>62085.52</v>
      </c>
    </row>
    <row r="526" spans="1:3" x14ac:dyDescent="0.3">
      <c r="A526" s="1">
        <v>1001027</v>
      </c>
      <c r="B526" s="2" t="s">
        <v>534</v>
      </c>
      <c r="C526" s="9">
        <v>32224.799999999999</v>
      </c>
    </row>
    <row r="527" spans="1:3" x14ac:dyDescent="0.3">
      <c r="A527" s="1">
        <v>1001035</v>
      </c>
      <c r="B527" s="2" t="s">
        <v>535</v>
      </c>
      <c r="C527" s="9">
        <v>21248.622222222199</v>
      </c>
    </row>
    <row r="528" spans="1:3" x14ac:dyDescent="0.3">
      <c r="A528" s="1">
        <v>1001036</v>
      </c>
      <c r="B528" s="2" t="s">
        <v>536</v>
      </c>
      <c r="C528" s="9">
        <v>22828.799999999999</v>
      </c>
    </row>
    <row r="529" spans="1:3" x14ac:dyDescent="0.3">
      <c r="A529" s="1">
        <v>1001041</v>
      </c>
      <c r="B529" s="2" t="s">
        <v>537</v>
      </c>
      <c r="C529" s="9">
        <v>85724</v>
      </c>
    </row>
    <row r="530" spans="1:3" x14ac:dyDescent="0.3">
      <c r="A530" s="1">
        <v>1001050</v>
      </c>
      <c r="B530" s="2" t="s">
        <v>538</v>
      </c>
      <c r="C530" s="9">
        <v>0</v>
      </c>
    </row>
    <row r="531" spans="1:3" x14ac:dyDescent="0.3">
      <c r="A531" s="1">
        <v>1001075</v>
      </c>
      <c r="B531" s="2" t="s">
        <v>539</v>
      </c>
      <c r="C531" s="9">
        <v>17525.88</v>
      </c>
    </row>
    <row r="532" spans="1:3" x14ac:dyDescent="0.3">
      <c r="A532" s="1">
        <v>1001081</v>
      </c>
      <c r="B532" s="2" t="s">
        <v>540</v>
      </c>
      <c r="C532" s="9">
        <v>247.29023809523801</v>
      </c>
    </row>
    <row r="533" spans="1:3" x14ac:dyDescent="0.3">
      <c r="A533" s="1">
        <v>1001106</v>
      </c>
      <c r="B533" s="2" t="s">
        <v>541</v>
      </c>
      <c r="C533" s="9">
        <v>51533.292396109202</v>
      </c>
    </row>
    <row r="534" spans="1:3" x14ac:dyDescent="0.3">
      <c r="A534" s="1">
        <v>1001113</v>
      </c>
      <c r="B534" s="2" t="s">
        <v>543</v>
      </c>
      <c r="C534" s="9">
        <v>34202.300000000003</v>
      </c>
    </row>
    <row r="535" spans="1:3" x14ac:dyDescent="0.3">
      <c r="A535" s="1">
        <v>1001114</v>
      </c>
      <c r="B535" s="2" t="s">
        <v>544</v>
      </c>
      <c r="C535" s="9">
        <v>777.2</v>
      </c>
    </row>
    <row r="536" spans="1:3" x14ac:dyDescent="0.3">
      <c r="A536" s="1">
        <v>1001126</v>
      </c>
      <c r="B536" s="2" t="s">
        <v>545</v>
      </c>
      <c r="C536" s="9">
        <v>13059.736000000001</v>
      </c>
    </row>
    <row r="537" spans="1:3" x14ac:dyDescent="0.3">
      <c r="A537" s="1">
        <v>1001129</v>
      </c>
      <c r="B537" s="2" t="s">
        <v>546</v>
      </c>
      <c r="C537" s="9">
        <v>8534.5</v>
      </c>
    </row>
    <row r="538" spans="1:3" x14ac:dyDescent="0.3">
      <c r="A538" s="1">
        <v>1001133</v>
      </c>
      <c r="B538" s="2" t="s">
        <v>547</v>
      </c>
      <c r="C538" s="9">
        <v>1534</v>
      </c>
    </row>
    <row r="539" spans="1:3" x14ac:dyDescent="0.3">
      <c r="A539" s="1">
        <v>1001141</v>
      </c>
      <c r="B539" s="2" t="s">
        <v>548</v>
      </c>
      <c r="C539" s="9">
        <v>21960.54</v>
      </c>
    </row>
    <row r="540" spans="1:3" x14ac:dyDescent="0.3">
      <c r="A540" s="1">
        <v>1001149</v>
      </c>
      <c r="B540" s="2" t="s">
        <v>549</v>
      </c>
      <c r="C540" s="9">
        <v>26606.388571428601</v>
      </c>
    </row>
    <row r="541" spans="1:3" x14ac:dyDescent="0.3">
      <c r="A541" s="1">
        <v>1001153</v>
      </c>
      <c r="B541" s="2" t="s">
        <v>550</v>
      </c>
      <c r="C541" s="9">
        <v>15341</v>
      </c>
    </row>
    <row r="542" spans="1:3" x14ac:dyDescent="0.3">
      <c r="A542" s="1">
        <v>1001171</v>
      </c>
      <c r="B542" s="2" t="s">
        <v>551</v>
      </c>
      <c r="C542" s="9">
        <v>3974.9103448275901</v>
      </c>
    </row>
    <row r="543" spans="1:3" x14ac:dyDescent="0.3">
      <c r="A543" s="1">
        <v>1001175</v>
      </c>
      <c r="B543" s="2" t="s">
        <v>552</v>
      </c>
      <c r="C543" s="9">
        <v>25734.6</v>
      </c>
    </row>
    <row r="544" spans="1:3" x14ac:dyDescent="0.3">
      <c r="A544" s="1">
        <v>1001178</v>
      </c>
      <c r="B544" s="2" t="s">
        <v>553</v>
      </c>
      <c r="C544" s="9">
        <v>6410.75</v>
      </c>
    </row>
    <row r="545" spans="1:3" x14ac:dyDescent="0.3">
      <c r="A545" s="1">
        <v>1001182</v>
      </c>
      <c r="B545" s="2" t="s">
        <v>554</v>
      </c>
      <c r="C545" s="9">
        <v>755.16</v>
      </c>
    </row>
    <row r="546" spans="1:3" x14ac:dyDescent="0.3">
      <c r="A546" s="1">
        <v>1001183</v>
      </c>
      <c r="B546" s="2" t="s">
        <v>555</v>
      </c>
      <c r="C546" s="9">
        <v>644.28</v>
      </c>
    </row>
    <row r="547" spans="1:3" x14ac:dyDescent="0.3">
      <c r="A547" s="1">
        <v>1001184</v>
      </c>
      <c r="B547" s="2" t="s">
        <v>556</v>
      </c>
      <c r="C547" s="9">
        <v>710.36</v>
      </c>
    </row>
    <row r="548" spans="1:3" x14ac:dyDescent="0.3">
      <c r="A548" s="1">
        <v>1001187</v>
      </c>
      <c r="B548" s="2" t="s">
        <v>557</v>
      </c>
      <c r="C548" s="9">
        <v>812.09957894736851</v>
      </c>
    </row>
    <row r="549" spans="1:3" x14ac:dyDescent="0.3">
      <c r="A549" s="1">
        <v>1001188</v>
      </c>
      <c r="B549" s="2" t="s">
        <v>558</v>
      </c>
      <c r="C549" s="9">
        <v>38.0085714285714</v>
      </c>
    </row>
    <row r="550" spans="1:3" x14ac:dyDescent="0.3">
      <c r="A550" s="1">
        <v>1001190</v>
      </c>
      <c r="B550" s="2" t="s">
        <v>559</v>
      </c>
      <c r="C550" s="9">
        <v>81.064999999999998</v>
      </c>
    </row>
    <row r="551" spans="1:3" x14ac:dyDescent="0.3">
      <c r="A551" s="1">
        <v>1001191</v>
      </c>
      <c r="B551" s="2" t="s">
        <v>560</v>
      </c>
      <c r="C551" s="9">
        <v>178.76</v>
      </c>
    </row>
    <row r="552" spans="1:3" x14ac:dyDescent="0.3">
      <c r="A552" s="1">
        <v>1001194</v>
      </c>
      <c r="B552" s="2" t="s">
        <v>561</v>
      </c>
      <c r="C552" s="9">
        <v>790.26432487468674</v>
      </c>
    </row>
    <row r="553" spans="1:3" x14ac:dyDescent="0.3">
      <c r="A553" s="1">
        <v>1001196</v>
      </c>
      <c r="B553" s="2" t="s">
        <v>562</v>
      </c>
      <c r="C553" s="9">
        <v>5.0032034294621974</v>
      </c>
    </row>
    <row r="554" spans="1:3" x14ac:dyDescent="0.3">
      <c r="A554" s="1">
        <v>1001197</v>
      </c>
      <c r="B554" s="2" t="s">
        <v>563</v>
      </c>
      <c r="C554" s="9">
        <v>1.9100000000000001</v>
      </c>
    </row>
    <row r="555" spans="1:3" x14ac:dyDescent="0.3">
      <c r="A555" s="1">
        <v>1001198</v>
      </c>
      <c r="B555" s="2" t="s">
        <v>564</v>
      </c>
      <c r="C555" s="9">
        <v>20.5750045517395</v>
      </c>
    </row>
    <row r="556" spans="1:3" x14ac:dyDescent="0.3">
      <c r="A556" s="1">
        <v>1001199</v>
      </c>
      <c r="B556" s="2" t="s">
        <v>565</v>
      </c>
      <c r="C556" s="9">
        <v>51.315151515151513</v>
      </c>
    </row>
    <row r="557" spans="1:3" x14ac:dyDescent="0.3">
      <c r="A557" s="1">
        <v>1001201</v>
      </c>
      <c r="B557" s="2" t="s">
        <v>566</v>
      </c>
      <c r="C557" s="9">
        <v>7.89</v>
      </c>
    </row>
    <row r="558" spans="1:3" x14ac:dyDescent="0.3">
      <c r="A558" s="1">
        <v>1001203</v>
      </c>
      <c r="B558" s="2" t="s">
        <v>567</v>
      </c>
      <c r="C558" s="9">
        <v>1</v>
      </c>
    </row>
    <row r="559" spans="1:3" x14ac:dyDescent="0.3">
      <c r="A559" s="1">
        <v>1001204</v>
      </c>
      <c r="B559" s="2" t="s">
        <v>568</v>
      </c>
      <c r="C559" s="9">
        <v>355.66065049614116</v>
      </c>
    </row>
    <row r="560" spans="1:3" x14ac:dyDescent="0.3">
      <c r="A560" s="1">
        <v>1001205</v>
      </c>
      <c r="B560" s="2" t="s">
        <v>569</v>
      </c>
      <c r="C560" s="9">
        <v>0.71428571428571397</v>
      </c>
    </row>
    <row r="561" spans="1:3" x14ac:dyDescent="0.3">
      <c r="A561" s="1">
        <v>1001212</v>
      </c>
      <c r="B561" s="2" t="s">
        <v>571</v>
      </c>
      <c r="C561" s="9">
        <v>0</v>
      </c>
    </row>
    <row r="562" spans="1:3" x14ac:dyDescent="0.3">
      <c r="A562" s="1">
        <v>1001217</v>
      </c>
      <c r="B562" s="2" t="s">
        <v>572</v>
      </c>
      <c r="C562" s="9">
        <v>242.84</v>
      </c>
    </row>
    <row r="563" spans="1:3" x14ac:dyDescent="0.3">
      <c r="A563" s="1">
        <v>1001219</v>
      </c>
      <c r="B563" s="2" t="s">
        <v>573</v>
      </c>
      <c r="C563" s="9">
        <v>5.45</v>
      </c>
    </row>
    <row r="564" spans="1:3" x14ac:dyDescent="0.3">
      <c r="A564" s="1">
        <v>1001220</v>
      </c>
      <c r="B564" s="2" t="s">
        <v>574</v>
      </c>
      <c r="C564" s="9">
        <v>69.25</v>
      </c>
    </row>
    <row r="565" spans="1:3" x14ac:dyDescent="0.3">
      <c r="A565" s="1">
        <v>1001221</v>
      </c>
      <c r="B565" s="2" t="s">
        <v>575</v>
      </c>
      <c r="C565" s="9">
        <v>468.66836339550002</v>
      </c>
    </row>
    <row r="566" spans="1:3" x14ac:dyDescent="0.3">
      <c r="A566" s="1">
        <v>1001222</v>
      </c>
      <c r="B566" s="2" t="s">
        <v>576</v>
      </c>
      <c r="C566" s="9">
        <v>1597.8093962264149</v>
      </c>
    </row>
    <row r="567" spans="1:3" x14ac:dyDescent="0.3">
      <c r="A567" s="1">
        <v>1001223</v>
      </c>
      <c r="B567" s="2" t="s">
        <v>577</v>
      </c>
      <c r="C567" s="9">
        <v>261.72356810381808</v>
      </c>
    </row>
    <row r="568" spans="1:3" x14ac:dyDescent="0.3">
      <c r="A568" s="1">
        <v>1001224</v>
      </c>
      <c r="B568" s="2" t="s">
        <v>578</v>
      </c>
      <c r="C568" s="9">
        <v>657.52820699708457</v>
      </c>
    </row>
    <row r="569" spans="1:3" x14ac:dyDescent="0.3">
      <c r="A569" s="1">
        <v>1001225</v>
      </c>
      <c r="B569" s="2" t="s">
        <v>579</v>
      </c>
      <c r="C569" s="9">
        <v>666.99500470366877</v>
      </c>
    </row>
    <row r="570" spans="1:3" x14ac:dyDescent="0.3">
      <c r="A570" s="1">
        <v>1001226</v>
      </c>
      <c r="B570" s="2" t="s">
        <v>580</v>
      </c>
      <c r="C570" s="9">
        <v>296.54381909547737</v>
      </c>
    </row>
    <row r="571" spans="1:3" x14ac:dyDescent="0.3">
      <c r="A571" s="1">
        <v>1001227</v>
      </c>
      <c r="B571" s="2" t="s">
        <v>581</v>
      </c>
      <c r="C571" s="9">
        <v>41.727272727272698</v>
      </c>
    </row>
    <row r="572" spans="1:3" x14ac:dyDescent="0.3">
      <c r="A572" s="1">
        <v>1001228</v>
      </c>
      <c r="B572" s="2" t="s">
        <v>582</v>
      </c>
      <c r="C572" s="9">
        <v>0</v>
      </c>
    </row>
    <row r="573" spans="1:3" x14ac:dyDescent="0.3">
      <c r="A573" s="1">
        <v>1001229</v>
      </c>
      <c r="B573" s="2" t="s">
        <v>583</v>
      </c>
      <c r="C573" s="9">
        <v>467.766152330735</v>
      </c>
    </row>
    <row r="574" spans="1:3" x14ac:dyDescent="0.3">
      <c r="A574" s="1">
        <v>1001230</v>
      </c>
      <c r="B574" s="2" t="s">
        <v>584</v>
      </c>
      <c r="C574" s="9">
        <v>330.25</v>
      </c>
    </row>
    <row r="575" spans="1:3" x14ac:dyDescent="0.3">
      <c r="A575" s="1">
        <v>1001231</v>
      </c>
      <c r="B575" s="2" t="s">
        <v>585</v>
      </c>
      <c r="C575" s="9">
        <v>851.28790216915399</v>
      </c>
    </row>
    <row r="576" spans="1:3" x14ac:dyDescent="0.3">
      <c r="A576" s="1">
        <v>1001232</v>
      </c>
      <c r="B576" s="2" t="s">
        <v>586</v>
      </c>
      <c r="C576" s="9">
        <v>747.82194492460496</v>
      </c>
    </row>
    <row r="577" spans="1:3" x14ac:dyDescent="0.3">
      <c r="A577" s="1">
        <v>1001233</v>
      </c>
      <c r="B577" s="2" t="s">
        <v>587</v>
      </c>
      <c r="C577" s="9">
        <v>9084.73</v>
      </c>
    </row>
    <row r="578" spans="1:3" x14ac:dyDescent="0.3">
      <c r="A578" s="1">
        <v>1001234</v>
      </c>
      <c r="B578" s="2" t="s">
        <v>588</v>
      </c>
      <c r="C578" s="9">
        <v>1809.5647360248447</v>
      </c>
    </row>
    <row r="579" spans="1:3" x14ac:dyDescent="0.3">
      <c r="A579" s="1">
        <v>1001235</v>
      </c>
      <c r="B579" s="2" t="s">
        <v>589</v>
      </c>
      <c r="C579" s="9">
        <v>1623.7043604645201</v>
      </c>
    </row>
    <row r="580" spans="1:3" x14ac:dyDescent="0.3">
      <c r="A580" s="1">
        <v>1001236</v>
      </c>
      <c r="B580" s="2" t="s">
        <v>590</v>
      </c>
      <c r="C580" s="9">
        <v>56.9217719527838</v>
      </c>
    </row>
    <row r="581" spans="1:3" x14ac:dyDescent="0.3">
      <c r="A581" s="1">
        <v>1001238</v>
      </c>
      <c r="B581" s="2" t="s">
        <v>591</v>
      </c>
      <c r="C581" s="9">
        <v>1354.48046689431</v>
      </c>
    </row>
    <row r="582" spans="1:3" x14ac:dyDescent="0.3">
      <c r="A582" s="1">
        <v>1001241</v>
      </c>
      <c r="B582" s="2" t="s">
        <v>592</v>
      </c>
      <c r="C582" s="9">
        <v>156.48322415660601</v>
      </c>
    </row>
    <row r="583" spans="1:3" x14ac:dyDescent="0.3">
      <c r="A583" s="1">
        <v>1001242</v>
      </c>
      <c r="B583" s="2" t="s">
        <v>593</v>
      </c>
      <c r="C583" s="9">
        <v>169.254149622048</v>
      </c>
    </row>
    <row r="584" spans="1:3" x14ac:dyDescent="0.3">
      <c r="A584" s="1">
        <v>1001243</v>
      </c>
      <c r="B584" s="2" t="s">
        <v>594</v>
      </c>
      <c r="C584" s="9">
        <v>1328.2</v>
      </c>
    </row>
    <row r="585" spans="1:3" x14ac:dyDescent="0.3">
      <c r="A585" s="1">
        <v>1001244</v>
      </c>
      <c r="B585" s="2" t="s">
        <v>595</v>
      </c>
      <c r="C585" s="9">
        <v>1642.9874902988245</v>
      </c>
    </row>
    <row r="586" spans="1:3" x14ac:dyDescent="0.3">
      <c r="A586" s="1">
        <v>1001245</v>
      </c>
      <c r="B586" s="2" t="s">
        <v>596</v>
      </c>
      <c r="C586" s="9">
        <v>688.43478260869597</v>
      </c>
    </row>
    <row r="587" spans="1:3" x14ac:dyDescent="0.3">
      <c r="A587" s="1">
        <v>1001246</v>
      </c>
      <c r="B587" s="2" t="s">
        <v>597</v>
      </c>
      <c r="C587" s="9">
        <v>3055.44</v>
      </c>
    </row>
    <row r="588" spans="1:3" x14ac:dyDescent="0.3">
      <c r="A588" s="1">
        <v>1001253</v>
      </c>
      <c r="B588" s="2" t="s">
        <v>598</v>
      </c>
      <c r="C588" s="9">
        <v>103.06</v>
      </c>
    </row>
    <row r="589" spans="1:3" x14ac:dyDescent="0.3">
      <c r="A589" s="1">
        <v>1001254</v>
      </c>
      <c r="B589" s="2" t="s">
        <v>599</v>
      </c>
      <c r="C589" s="9">
        <v>47.693999515720897</v>
      </c>
    </row>
    <row r="590" spans="1:3" x14ac:dyDescent="0.3">
      <c r="A590" s="1">
        <v>1001256</v>
      </c>
      <c r="B590" s="2" t="s">
        <v>600</v>
      </c>
      <c r="C590" s="9">
        <v>524.61339026470102</v>
      </c>
    </row>
    <row r="591" spans="1:3" x14ac:dyDescent="0.3">
      <c r="A591" s="1">
        <v>1001257</v>
      </c>
      <c r="B591" s="2" t="s">
        <v>601</v>
      </c>
      <c r="C591" s="9">
        <v>21.153241958036698</v>
      </c>
    </row>
    <row r="592" spans="1:3" x14ac:dyDescent="0.3">
      <c r="A592" s="1">
        <v>1001259</v>
      </c>
      <c r="B592" s="2" t="s">
        <v>602</v>
      </c>
      <c r="C592" s="9">
        <v>1450</v>
      </c>
    </row>
    <row r="593" spans="1:3" x14ac:dyDescent="0.3">
      <c r="A593" s="1">
        <v>1001261</v>
      </c>
      <c r="B593" s="2" t="s">
        <v>603</v>
      </c>
      <c r="C593" s="9">
        <v>865.33333333333303</v>
      </c>
    </row>
    <row r="594" spans="1:3" x14ac:dyDescent="0.3">
      <c r="A594" s="1">
        <v>1001262</v>
      </c>
      <c r="B594" s="2" t="s">
        <v>604</v>
      </c>
      <c r="C594" s="9">
        <v>0</v>
      </c>
    </row>
    <row r="595" spans="1:3" x14ac:dyDescent="0.3">
      <c r="A595" s="1">
        <v>1001263</v>
      </c>
      <c r="B595" s="2" t="s">
        <v>605</v>
      </c>
      <c r="C595" s="9">
        <v>234.20223149757999</v>
      </c>
    </row>
    <row r="596" spans="1:3" x14ac:dyDescent="0.3">
      <c r="A596" s="1">
        <v>1001264</v>
      </c>
      <c r="B596" s="2" t="s">
        <v>606</v>
      </c>
      <c r="C596" s="9">
        <v>116</v>
      </c>
    </row>
    <row r="597" spans="1:3" x14ac:dyDescent="0.3">
      <c r="A597" s="1">
        <v>1001265</v>
      </c>
      <c r="B597" s="2" t="s">
        <v>607</v>
      </c>
      <c r="C597" s="9">
        <v>101.430769230769</v>
      </c>
    </row>
    <row r="598" spans="1:3" x14ac:dyDescent="0.3">
      <c r="A598" s="1">
        <v>1001266</v>
      </c>
      <c r="B598" s="2" t="s">
        <v>608</v>
      </c>
      <c r="C598" s="9">
        <v>2335.7933333333299</v>
      </c>
    </row>
    <row r="599" spans="1:3" x14ac:dyDescent="0.3">
      <c r="A599" s="1">
        <v>1001267</v>
      </c>
      <c r="B599" s="2" t="s">
        <v>609</v>
      </c>
      <c r="C599" s="9">
        <v>2437.8760000000002</v>
      </c>
    </row>
    <row r="600" spans="1:3" x14ac:dyDescent="0.3">
      <c r="A600" s="1">
        <v>1001268</v>
      </c>
      <c r="B600" s="2" t="s">
        <v>610</v>
      </c>
      <c r="C600" s="9">
        <v>8958.0499999999902</v>
      </c>
    </row>
    <row r="601" spans="1:3" x14ac:dyDescent="0.3">
      <c r="A601" s="1">
        <v>1001269</v>
      </c>
      <c r="B601" s="2" t="s">
        <v>611</v>
      </c>
      <c r="C601" s="9">
        <v>441.1</v>
      </c>
    </row>
    <row r="602" spans="1:3" x14ac:dyDescent="0.3">
      <c r="A602" s="1">
        <v>1001270</v>
      </c>
      <c r="B602" s="2" t="s">
        <v>612</v>
      </c>
      <c r="C602" s="9">
        <v>1067.93</v>
      </c>
    </row>
    <row r="603" spans="1:3" x14ac:dyDescent="0.3">
      <c r="A603" s="1">
        <v>1001271</v>
      </c>
      <c r="B603" s="2" t="s">
        <v>613</v>
      </c>
      <c r="C603" s="9">
        <v>76.242905669915402</v>
      </c>
    </row>
    <row r="604" spans="1:3" x14ac:dyDescent="0.3">
      <c r="A604" s="1">
        <v>1001275</v>
      </c>
      <c r="B604" s="2" t="s">
        <v>614</v>
      </c>
      <c r="C604" s="9">
        <v>9001</v>
      </c>
    </row>
    <row r="605" spans="1:3" x14ac:dyDescent="0.3">
      <c r="A605" s="1">
        <v>1001276</v>
      </c>
      <c r="B605" s="2" t="s">
        <v>615</v>
      </c>
      <c r="C605" s="9">
        <v>2090.4123076923102</v>
      </c>
    </row>
    <row r="606" spans="1:3" x14ac:dyDescent="0.3">
      <c r="A606" s="1">
        <v>1001277</v>
      </c>
      <c r="B606" s="2" t="s">
        <v>616</v>
      </c>
      <c r="C606" s="9">
        <v>1082.99</v>
      </c>
    </row>
    <row r="607" spans="1:3" x14ac:dyDescent="0.3">
      <c r="A607" s="1">
        <v>1001278</v>
      </c>
      <c r="B607" s="2" t="s">
        <v>617</v>
      </c>
      <c r="C607" s="9">
        <v>230.929459746182</v>
      </c>
    </row>
    <row r="608" spans="1:3" x14ac:dyDescent="0.3">
      <c r="A608" s="1">
        <v>1001282</v>
      </c>
      <c r="B608" s="2" t="s">
        <v>619</v>
      </c>
      <c r="C608" s="9">
        <v>250</v>
      </c>
    </row>
    <row r="609" spans="1:3" x14ac:dyDescent="0.3">
      <c r="A609" s="1">
        <v>1001285</v>
      </c>
      <c r="B609" s="2" t="s">
        <v>620</v>
      </c>
      <c r="C609" s="9">
        <v>200</v>
      </c>
    </row>
    <row r="610" spans="1:3" x14ac:dyDescent="0.3">
      <c r="A610" s="1">
        <v>1001286</v>
      </c>
      <c r="B610" s="2" t="s">
        <v>621</v>
      </c>
      <c r="C610" s="9">
        <v>1025.0348582089553</v>
      </c>
    </row>
    <row r="611" spans="1:3" x14ac:dyDescent="0.3">
      <c r="A611" s="1">
        <v>1001287</v>
      </c>
      <c r="B611" s="2" t="s">
        <v>622</v>
      </c>
      <c r="C611" s="9">
        <v>429.63946106929899</v>
      </c>
    </row>
    <row r="612" spans="1:3" x14ac:dyDescent="0.3">
      <c r="A612" s="1">
        <v>1001291</v>
      </c>
      <c r="B612" s="2" t="s">
        <v>623</v>
      </c>
      <c r="C612" s="9">
        <v>35.036129032258067</v>
      </c>
    </row>
    <row r="613" spans="1:3" x14ac:dyDescent="0.3">
      <c r="A613" s="1">
        <v>1001292</v>
      </c>
      <c r="B613" s="2" t="s">
        <v>624</v>
      </c>
      <c r="C613" s="9">
        <v>35.865369915369918</v>
      </c>
    </row>
    <row r="614" spans="1:3" x14ac:dyDescent="0.3">
      <c r="A614" s="1">
        <v>1001294</v>
      </c>
      <c r="B614" s="2" t="s">
        <v>626</v>
      </c>
      <c r="C614" s="9">
        <v>71.345885032003906</v>
      </c>
    </row>
    <row r="615" spans="1:3" x14ac:dyDescent="0.3">
      <c r="A615" s="1">
        <v>1001295</v>
      </c>
      <c r="B615" s="2" t="s">
        <v>627</v>
      </c>
      <c r="C615" s="9">
        <v>2360</v>
      </c>
    </row>
    <row r="616" spans="1:3" x14ac:dyDescent="0.3">
      <c r="A616" s="1">
        <v>1001298</v>
      </c>
      <c r="B616" s="2" t="s">
        <v>628</v>
      </c>
      <c r="C616" s="9">
        <v>542.23</v>
      </c>
    </row>
    <row r="617" spans="1:3" x14ac:dyDescent="0.3">
      <c r="A617" s="1">
        <v>1001300</v>
      </c>
      <c r="B617" s="2" t="s">
        <v>629</v>
      </c>
      <c r="C617" s="9">
        <v>1183.9884</v>
      </c>
    </row>
    <row r="618" spans="1:3" x14ac:dyDescent="0.3">
      <c r="A618" s="1">
        <v>1001302</v>
      </c>
      <c r="B618" s="2" t="s">
        <v>631</v>
      </c>
      <c r="C618" s="9">
        <v>1276</v>
      </c>
    </row>
    <row r="619" spans="1:3" x14ac:dyDescent="0.3">
      <c r="A619" s="1">
        <v>1001303</v>
      </c>
      <c r="B619" s="2" t="s">
        <v>632</v>
      </c>
      <c r="C619" s="9">
        <v>12.1</v>
      </c>
    </row>
    <row r="620" spans="1:3" x14ac:dyDescent="0.3">
      <c r="A620" s="1">
        <v>1001304</v>
      </c>
      <c r="B620" s="2" t="s">
        <v>633</v>
      </c>
      <c r="C620" s="9">
        <v>0</v>
      </c>
    </row>
    <row r="621" spans="1:3" x14ac:dyDescent="0.3">
      <c r="A621" s="1">
        <v>1001305</v>
      </c>
      <c r="B621" s="2" t="s">
        <v>634</v>
      </c>
      <c r="C621" s="9">
        <v>643.76720725108203</v>
      </c>
    </row>
    <row r="622" spans="1:3" x14ac:dyDescent="0.3">
      <c r="A622" s="1">
        <v>1001306</v>
      </c>
      <c r="B622" s="2" t="s">
        <v>635</v>
      </c>
      <c r="C622" s="9">
        <v>2598.4</v>
      </c>
    </row>
    <row r="623" spans="1:3" x14ac:dyDescent="0.3">
      <c r="A623" s="1">
        <v>1001307</v>
      </c>
      <c r="B623" s="2" t="s">
        <v>636</v>
      </c>
      <c r="C623" s="9">
        <v>7670</v>
      </c>
    </row>
    <row r="624" spans="1:3" x14ac:dyDescent="0.3">
      <c r="A624" s="1">
        <v>1001308</v>
      </c>
      <c r="B624" s="2" t="s">
        <v>637</v>
      </c>
      <c r="C624" s="9">
        <v>118.15458758353708</v>
      </c>
    </row>
    <row r="625" spans="1:3" x14ac:dyDescent="0.3">
      <c r="A625" s="1">
        <v>1001309</v>
      </c>
      <c r="B625" s="2" t="s">
        <v>638</v>
      </c>
      <c r="C625" s="9">
        <v>88.633564532104401</v>
      </c>
    </row>
    <row r="626" spans="1:3" x14ac:dyDescent="0.3">
      <c r="A626" s="1">
        <v>1001311</v>
      </c>
      <c r="B626" s="2" t="s">
        <v>639</v>
      </c>
      <c r="C626" s="9">
        <v>890.59676791958304</v>
      </c>
    </row>
    <row r="627" spans="1:3" x14ac:dyDescent="0.3">
      <c r="A627" s="1">
        <v>1001312</v>
      </c>
      <c r="B627" s="2" t="s">
        <v>640</v>
      </c>
      <c r="C627" s="9">
        <v>694.19279041094796</v>
      </c>
    </row>
    <row r="628" spans="1:3" x14ac:dyDescent="0.3">
      <c r="A628" s="1">
        <v>1001313</v>
      </c>
      <c r="B628" s="2" t="s">
        <v>641</v>
      </c>
      <c r="C628" s="9">
        <v>48.388571428571403</v>
      </c>
    </row>
    <row r="629" spans="1:3" x14ac:dyDescent="0.3">
      <c r="A629" s="1">
        <v>1001314</v>
      </c>
      <c r="B629" s="2" t="s">
        <v>642</v>
      </c>
      <c r="C629" s="9">
        <v>635.83299763467392</v>
      </c>
    </row>
    <row r="630" spans="1:3" x14ac:dyDescent="0.3">
      <c r="A630" s="1">
        <v>1001315</v>
      </c>
      <c r="B630" s="2" t="s">
        <v>643</v>
      </c>
      <c r="C630" s="9">
        <v>353.28999999999996</v>
      </c>
    </row>
    <row r="631" spans="1:3" x14ac:dyDescent="0.3">
      <c r="A631" s="1">
        <v>1001318</v>
      </c>
      <c r="B631" s="2" t="s">
        <v>644</v>
      </c>
      <c r="C631" s="9">
        <v>52.031084138876203</v>
      </c>
    </row>
    <row r="632" spans="1:3" x14ac:dyDescent="0.3">
      <c r="A632" s="1">
        <v>1001319</v>
      </c>
      <c r="B632" s="2" t="s">
        <v>645</v>
      </c>
      <c r="C632" s="9">
        <v>564.31656250000003</v>
      </c>
    </row>
    <row r="633" spans="1:3" x14ac:dyDescent="0.3">
      <c r="A633" s="1">
        <v>1001320</v>
      </c>
      <c r="B633" s="2" t="s">
        <v>646</v>
      </c>
      <c r="C633" s="9">
        <v>257.88156091370558</v>
      </c>
    </row>
    <row r="634" spans="1:3" x14ac:dyDescent="0.3">
      <c r="A634" s="1">
        <v>1001322</v>
      </c>
      <c r="B634" s="2" t="s">
        <v>647</v>
      </c>
      <c r="C634" s="9">
        <v>3979.6497981103598</v>
      </c>
    </row>
    <row r="635" spans="1:3" x14ac:dyDescent="0.3">
      <c r="A635" s="1">
        <v>1001323</v>
      </c>
      <c r="B635" s="2" t="s">
        <v>648</v>
      </c>
      <c r="C635" s="9">
        <v>2546.1821800708499</v>
      </c>
    </row>
    <row r="636" spans="1:3" x14ac:dyDescent="0.3">
      <c r="A636" s="1">
        <v>1001324</v>
      </c>
      <c r="B636" s="2" t="s">
        <v>649</v>
      </c>
      <c r="C636" s="9">
        <v>1306.0386547385599</v>
      </c>
    </row>
    <row r="637" spans="1:3" x14ac:dyDescent="0.3">
      <c r="A637" s="1">
        <v>1001326</v>
      </c>
      <c r="B637" s="2" t="s">
        <v>650</v>
      </c>
      <c r="C637" s="9">
        <v>1541.54198468254</v>
      </c>
    </row>
    <row r="638" spans="1:3" x14ac:dyDescent="0.3">
      <c r="A638" s="1">
        <v>1001329</v>
      </c>
      <c r="B638" s="2" t="s">
        <v>651</v>
      </c>
      <c r="C638" s="9">
        <v>3884.8742434061701</v>
      </c>
    </row>
    <row r="639" spans="1:3" x14ac:dyDescent="0.3">
      <c r="A639" s="1">
        <v>1001330</v>
      </c>
      <c r="B639" s="2" t="s">
        <v>652</v>
      </c>
      <c r="C639" s="9">
        <v>440.8</v>
      </c>
    </row>
    <row r="640" spans="1:3" x14ac:dyDescent="0.3">
      <c r="A640" s="1">
        <v>1001333</v>
      </c>
      <c r="B640" s="2" t="s">
        <v>653</v>
      </c>
      <c r="C640" s="9">
        <v>626.82962962962995</v>
      </c>
    </row>
    <row r="641" spans="1:3" x14ac:dyDescent="0.3">
      <c r="A641" s="1">
        <v>1001341</v>
      </c>
      <c r="B641" s="2" t="s">
        <v>654</v>
      </c>
      <c r="C641" s="9">
        <v>323.142857142857</v>
      </c>
    </row>
    <row r="642" spans="1:3" x14ac:dyDescent="0.3">
      <c r="A642" s="1">
        <v>1001344</v>
      </c>
      <c r="B642" s="2" t="s">
        <v>655</v>
      </c>
      <c r="C642" s="9">
        <v>100.3</v>
      </c>
    </row>
    <row r="643" spans="1:3" x14ac:dyDescent="0.3">
      <c r="A643" s="1">
        <v>1001349</v>
      </c>
      <c r="B643" s="2" t="s">
        <v>656</v>
      </c>
      <c r="C643" s="9">
        <v>81.2</v>
      </c>
    </row>
    <row r="644" spans="1:3" x14ac:dyDescent="0.3">
      <c r="A644" s="1">
        <v>1001358</v>
      </c>
      <c r="B644" s="2" t="s">
        <v>657</v>
      </c>
      <c r="C644" s="9">
        <v>86.05</v>
      </c>
    </row>
    <row r="645" spans="1:3" x14ac:dyDescent="0.3">
      <c r="A645" s="1">
        <v>1001363</v>
      </c>
      <c r="B645" s="2" t="s">
        <v>658</v>
      </c>
      <c r="C645" s="9">
        <v>2081.94333333333</v>
      </c>
    </row>
    <row r="646" spans="1:3" x14ac:dyDescent="0.3">
      <c r="A646" s="1">
        <v>1001366</v>
      </c>
      <c r="B646" s="2" t="s">
        <v>659</v>
      </c>
      <c r="C646" s="9">
        <v>1484.84</v>
      </c>
    </row>
    <row r="647" spans="1:3" x14ac:dyDescent="0.3">
      <c r="A647" s="1">
        <v>1001374</v>
      </c>
      <c r="B647" s="2" t="s">
        <v>660</v>
      </c>
      <c r="C647" s="9">
        <v>1066.65429861194</v>
      </c>
    </row>
    <row r="648" spans="1:3" x14ac:dyDescent="0.3">
      <c r="A648" s="1">
        <v>1001378</v>
      </c>
      <c r="B648" s="2" t="s">
        <v>661</v>
      </c>
      <c r="C648" s="9">
        <v>63.8</v>
      </c>
    </row>
    <row r="649" spans="1:3" x14ac:dyDescent="0.3">
      <c r="A649" s="1">
        <v>1001383</v>
      </c>
      <c r="B649" s="2" t="s">
        <v>662</v>
      </c>
      <c r="C649" s="9">
        <v>610.00999999999897</v>
      </c>
    </row>
    <row r="650" spans="1:3" x14ac:dyDescent="0.3">
      <c r="A650" s="1">
        <v>1001386</v>
      </c>
      <c r="B650" s="2" t="s">
        <v>663</v>
      </c>
      <c r="C650" s="9">
        <v>647.22857142857094</v>
      </c>
    </row>
    <row r="651" spans="1:3" x14ac:dyDescent="0.3">
      <c r="A651" s="1">
        <v>1001387</v>
      </c>
      <c r="B651" s="2" t="s">
        <v>664</v>
      </c>
      <c r="C651" s="9">
        <v>584.1</v>
      </c>
    </row>
    <row r="652" spans="1:3" x14ac:dyDescent="0.3">
      <c r="A652" s="1">
        <v>1001389</v>
      </c>
      <c r="B652" s="2" t="s">
        <v>665</v>
      </c>
      <c r="C652" s="9">
        <v>503.44</v>
      </c>
    </row>
    <row r="653" spans="1:3" x14ac:dyDescent="0.3">
      <c r="A653" s="1">
        <v>1001390</v>
      </c>
      <c r="B653" s="2" t="s">
        <v>666</v>
      </c>
      <c r="C653" s="9">
        <v>66.099999999999994</v>
      </c>
    </row>
    <row r="654" spans="1:3" x14ac:dyDescent="0.3">
      <c r="A654" s="1">
        <v>1001393</v>
      </c>
      <c r="B654" s="2" t="s">
        <v>667</v>
      </c>
      <c r="C654" s="9">
        <v>4.3499999999999996</v>
      </c>
    </row>
    <row r="655" spans="1:3" x14ac:dyDescent="0.3">
      <c r="A655" s="1">
        <v>1001395</v>
      </c>
      <c r="B655" s="2" t="s">
        <v>668</v>
      </c>
      <c r="C655" s="9">
        <v>0</v>
      </c>
    </row>
    <row r="656" spans="1:3" x14ac:dyDescent="0.3">
      <c r="A656" s="1">
        <v>1001396</v>
      </c>
      <c r="B656" s="2" t="s">
        <v>669</v>
      </c>
      <c r="C656" s="9">
        <v>46.4</v>
      </c>
    </row>
    <row r="657" spans="1:3" x14ac:dyDescent="0.3">
      <c r="A657" s="1">
        <v>1001397</v>
      </c>
      <c r="B657" s="2" t="s">
        <v>670</v>
      </c>
      <c r="C657" s="9">
        <v>220.008088235294</v>
      </c>
    </row>
    <row r="658" spans="1:3" x14ac:dyDescent="0.3">
      <c r="A658" s="1">
        <v>1001403</v>
      </c>
      <c r="B658" s="2" t="s">
        <v>671</v>
      </c>
      <c r="C658" s="9">
        <v>27865.295019345202</v>
      </c>
    </row>
    <row r="659" spans="1:3" x14ac:dyDescent="0.3">
      <c r="A659" s="1">
        <v>1001404</v>
      </c>
      <c r="B659" s="2" t="s">
        <v>672</v>
      </c>
      <c r="C659" s="9">
        <v>52033.773111904797</v>
      </c>
    </row>
    <row r="660" spans="1:3" x14ac:dyDescent="0.3">
      <c r="A660" s="1">
        <v>1001406</v>
      </c>
      <c r="B660" s="2" t="s">
        <v>673</v>
      </c>
      <c r="C660" s="9">
        <v>1681.5</v>
      </c>
    </row>
    <row r="661" spans="1:3" x14ac:dyDescent="0.3">
      <c r="A661" s="1">
        <v>1001411</v>
      </c>
      <c r="B661" s="2" t="s">
        <v>674</v>
      </c>
      <c r="C661" s="9">
        <v>0</v>
      </c>
    </row>
    <row r="662" spans="1:3" x14ac:dyDescent="0.3">
      <c r="A662" s="1">
        <v>1001413</v>
      </c>
      <c r="B662" s="2" t="s">
        <v>675</v>
      </c>
      <c r="C662" s="9">
        <v>4096.5614863334804</v>
      </c>
    </row>
    <row r="663" spans="1:3" x14ac:dyDescent="0.3">
      <c r="A663" s="1">
        <v>1001419</v>
      </c>
      <c r="B663" s="2" t="s">
        <v>676</v>
      </c>
      <c r="C663" s="9">
        <v>2471.2369205146701</v>
      </c>
    </row>
    <row r="664" spans="1:3" x14ac:dyDescent="0.3">
      <c r="A664" s="1">
        <v>1001420</v>
      </c>
      <c r="B664" s="2" t="s">
        <v>677</v>
      </c>
      <c r="C664" s="9">
        <v>652.37142857142896</v>
      </c>
    </row>
    <row r="665" spans="1:3" x14ac:dyDescent="0.3">
      <c r="A665" s="1">
        <v>1001422</v>
      </c>
      <c r="B665" s="2" t="s">
        <v>678</v>
      </c>
      <c r="C665" s="9">
        <v>10889.51081632653</v>
      </c>
    </row>
    <row r="666" spans="1:3" x14ac:dyDescent="0.3">
      <c r="A666" s="1">
        <v>1001423</v>
      </c>
      <c r="B666" s="2" t="s">
        <v>679</v>
      </c>
      <c r="C666" s="9">
        <v>2966.5883065610901</v>
      </c>
    </row>
    <row r="667" spans="1:3" x14ac:dyDescent="0.3">
      <c r="A667" s="1">
        <v>1001425</v>
      </c>
      <c r="B667" s="2" t="s">
        <v>680</v>
      </c>
      <c r="C667" s="9">
        <v>990.02</v>
      </c>
    </row>
    <row r="668" spans="1:3" x14ac:dyDescent="0.3">
      <c r="A668" s="1">
        <v>1001430</v>
      </c>
      <c r="B668" s="2" t="s">
        <v>681</v>
      </c>
      <c r="C668" s="9">
        <v>931.32513711975798</v>
      </c>
    </row>
    <row r="669" spans="1:3" x14ac:dyDescent="0.3">
      <c r="A669" s="1">
        <v>1001431</v>
      </c>
      <c r="B669" s="2" t="s">
        <v>682</v>
      </c>
      <c r="C669" s="9">
        <v>378.16</v>
      </c>
    </row>
    <row r="670" spans="1:3" x14ac:dyDescent="0.3">
      <c r="A670" s="1">
        <v>1001438</v>
      </c>
      <c r="B670" s="2" t="s">
        <v>683</v>
      </c>
      <c r="C670" s="9">
        <v>0</v>
      </c>
    </row>
    <row r="671" spans="1:3" x14ac:dyDescent="0.3">
      <c r="A671" s="1">
        <v>1001443</v>
      </c>
      <c r="B671" s="2" t="s">
        <v>684</v>
      </c>
      <c r="C671" s="9">
        <v>5933.6743103448298</v>
      </c>
    </row>
    <row r="672" spans="1:3" x14ac:dyDescent="0.3">
      <c r="A672" s="1">
        <v>1001445</v>
      </c>
      <c r="B672" s="2" t="s">
        <v>685</v>
      </c>
      <c r="C672" s="9">
        <v>13233.901707524899</v>
      </c>
    </row>
    <row r="673" spans="1:3" x14ac:dyDescent="0.3">
      <c r="A673" s="1">
        <v>1001446</v>
      </c>
      <c r="B673" s="2" t="s">
        <v>686</v>
      </c>
      <c r="C673" s="9">
        <v>18968.5</v>
      </c>
    </row>
    <row r="674" spans="1:3" x14ac:dyDescent="0.3">
      <c r="A674" s="1">
        <v>1001447</v>
      </c>
      <c r="B674" s="2" t="s">
        <v>687</v>
      </c>
      <c r="C674" s="9">
        <v>4289.4475000000002</v>
      </c>
    </row>
    <row r="675" spans="1:3" x14ac:dyDescent="0.3">
      <c r="A675" s="1">
        <v>1001451</v>
      </c>
      <c r="B675" s="2" t="s">
        <v>688</v>
      </c>
      <c r="C675" s="9">
        <v>800.00852272727298</v>
      </c>
    </row>
    <row r="676" spans="1:3" x14ac:dyDescent="0.3">
      <c r="A676" s="1">
        <v>1001452</v>
      </c>
      <c r="B676" s="2" t="s">
        <v>689</v>
      </c>
      <c r="C676" s="9">
        <v>1883.84</v>
      </c>
    </row>
    <row r="677" spans="1:3" x14ac:dyDescent="0.3">
      <c r="A677" s="1">
        <v>1001454</v>
      </c>
      <c r="B677" s="2" t="s">
        <v>690</v>
      </c>
      <c r="C677" s="9">
        <v>363.38</v>
      </c>
    </row>
    <row r="678" spans="1:3" x14ac:dyDescent="0.3">
      <c r="A678" s="1">
        <v>1001457</v>
      </c>
      <c r="B678" s="2" t="s">
        <v>691</v>
      </c>
      <c r="C678" s="9">
        <v>14117.25</v>
      </c>
    </row>
    <row r="679" spans="1:3" x14ac:dyDescent="0.3">
      <c r="A679" s="1">
        <v>1001458</v>
      </c>
      <c r="B679" s="2" t="s">
        <v>692</v>
      </c>
      <c r="C679" s="9">
        <v>213.44</v>
      </c>
    </row>
    <row r="680" spans="1:3" x14ac:dyDescent="0.3">
      <c r="A680" s="1">
        <v>1001459</v>
      </c>
      <c r="B680" s="2" t="s">
        <v>693</v>
      </c>
      <c r="C680" s="9">
        <v>340.36322727272699</v>
      </c>
    </row>
    <row r="681" spans="1:3" x14ac:dyDescent="0.3">
      <c r="A681" s="1">
        <v>1001461</v>
      </c>
      <c r="B681" s="2" t="s">
        <v>694</v>
      </c>
      <c r="C681" s="9">
        <v>56028</v>
      </c>
    </row>
    <row r="682" spans="1:3" x14ac:dyDescent="0.3">
      <c r="A682" s="1">
        <v>1001465</v>
      </c>
      <c r="B682" s="2" t="s">
        <v>696</v>
      </c>
      <c r="C682" s="9">
        <v>40.0665897553869</v>
      </c>
    </row>
    <row r="683" spans="1:3" x14ac:dyDescent="0.3">
      <c r="A683" s="1">
        <v>1001480</v>
      </c>
      <c r="B683" s="2" t="s">
        <v>697</v>
      </c>
      <c r="C683" s="9">
        <v>139.24</v>
      </c>
    </row>
    <row r="684" spans="1:3" x14ac:dyDescent="0.3">
      <c r="A684" s="1">
        <v>1001481</v>
      </c>
      <c r="B684" s="2" t="s">
        <v>698</v>
      </c>
      <c r="C684" s="9">
        <v>1844.4</v>
      </c>
    </row>
    <row r="685" spans="1:3" x14ac:dyDescent="0.3">
      <c r="A685" s="1">
        <v>1001482</v>
      </c>
      <c r="B685" s="2" t="s">
        <v>699</v>
      </c>
      <c r="C685" s="9">
        <v>232</v>
      </c>
    </row>
    <row r="686" spans="1:3" x14ac:dyDescent="0.3">
      <c r="A686" s="1">
        <v>1001483</v>
      </c>
      <c r="B686" s="2" t="s">
        <v>700</v>
      </c>
      <c r="C686" s="9">
        <v>0</v>
      </c>
    </row>
    <row r="687" spans="1:3" x14ac:dyDescent="0.3">
      <c r="A687" s="1">
        <v>1001484</v>
      </c>
      <c r="B687" s="2" t="s">
        <v>701</v>
      </c>
      <c r="C687" s="9">
        <v>1268.5</v>
      </c>
    </row>
    <row r="688" spans="1:3" x14ac:dyDescent="0.3">
      <c r="A688" s="1">
        <v>1001485</v>
      </c>
      <c r="B688" s="2" t="s">
        <v>702</v>
      </c>
      <c r="C688" s="9">
        <v>247.8</v>
      </c>
    </row>
    <row r="689" spans="1:3" x14ac:dyDescent="0.3">
      <c r="A689" s="1">
        <v>1001486</v>
      </c>
      <c r="B689" s="2" t="s">
        <v>703</v>
      </c>
      <c r="C689" s="9">
        <v>19163.2</v>
      </c>
    </row>
    <row r="690" spans="1:3" x14ac:dyDescent="0.3">
      <c r="A690" s="1">
        <v>1001491</v>
      </c>
      <c r="B690" s="2" t="s">
        <v>704</v>
      </c>
      <c r="C690" s="9">
        <v>1183.2</v>
      </c>
    </row>
    <row r="691" spans="1:3" x14ac:dyDescent="0.3">
      <c r="A691" s="1">
        <v>1001499</v>
      </c>
      <c r="B691" s="2" t="s">
        <v>705</v>
      </c>
      <c r="C691" s="9">
        <v>145</v>
      </c>
    </row>
    <row r="692" spans="1:3" x14ac:dyDescent="0.3">
      <c r="A692" s="1">
        <v>1001501</v>
      </c>
      <c r="B692" s="2" t="s">
        <v>706</v>
      </c>
      <c r="C692" s="9">
        <v>177</v>
      </c>
    </row>
    <row r="693" spans="1:3" x14ac:dyDescent="0.3">
      <c r="A693" s="1">
        <v>1001503</v>
      </c>
      <c r="B693" s="2" t="s">
        <v>707</v>
      </c>
      <c r="C693" s="9">
        <v>213.84</v>
      </c>
    </row>
    <row r="694" spans="1:3" x14ac:dyDescent="0.3">
      <c r="A694" s="1">
        <v>1001504</v>
      </c>
      <c r="B694" s="2" t="s">
        <v>708</v>
      </c>
      <c r="C694" s="9">
        <v>66.866666666666703</v>
      </c>
    </row>
    <row r="695" spans="1:3" x14ac:dyDescent="0.3">
      <c r="A695" s="1">
        <v>1001505</v>
      </c>
      <c r="B695" s="2" t="s">
        <v>709</v>
      </c>
      <c r="C695" s="9">
        <v>394.4</v>
      </c>
    </row>
    <row r="696" spans="1:3" x14ac:dyDescent="0.3">
      <c r="A696" s="1">
        <v>1001506</v>
      </c>
      <c r="B696" s="2" t="s">
        <v>710</v>
      </c>
      <c r="C696" s="9">
        <v>2068.41303377741</v>
      </c>
    </row>
    <row r="697" spans="1:3" x14ac:dyDescent="0.3">
      <c r="A697" s="1">
        <v>1001507</v>
      </c>
      <c r="B697" s="2" t="s">
        <v>711</v>
      </c>
      <c r="C697" s="9">
        <v>616.69206896551702</v>
      </c>
    </row>
    <row r="698" spans="1:3" x14ac:dyDescent="0.3">
      <c r="A698" s="1">
        <v>1001508</v>
      </c>
      <c r="B698" s="2" t="s">
        <v>712</v>
      </c>
      <c r="C698" s="9">
        <v>920.4</v>
      </c>
    </row>
    <row r="699" spans="1:3" x14ac:dyDescent="0.3">
      <c r="A699" s="1">
        <v>1001509</v>
      </c>
      <c r="B699" s="2" t="s">
        <v>713</v>
      </c>
      <c r="C699" s="9">
        <v>0</v>
      </c>
    </row>
    <row r="700" spans="1:3" x14ac:dyDescent="0.3">
      <c r="A700" s="1">
        <v>1001511</v>
      </c>
      <c r="B700" s="2" t="s">
        <v>714</v>
      </c>
      <c r="C700" s="9">
        <v>1809.4288095238101</v>
      </c>
    </row>
    <row r="701" spans="1:3" x14ac:dyDescent="0.3">
      <c r="A701" s="1">
        <v>1001512</v>
      </c>
      <c r="B701" s="2" t="s">
        <v>715</v>
      </c>
      <c r="C701" s="9">
        <v>2241.8815454545502</v>
      </c>
    </row>
    <row r="702" spans="1:3" x14ac:dyDescent="0.3">
      <c r="A702" s="1">
        <v>1001513</v>
      </c>
      <c r="B702" s="2" t="s">
        <v>716</v>
      </c>
      <c r="C702" s="9">
        <v>2432.3174957483002</v>
      </c>
    </row>
    <row r="703" spans="1:3" x14ac:dyDescent="0.3">
      <c r="A703" s="1">
        <v>1001514</v>
      </c>
      <c r="B703" s="2" t="s">
        <v>717</v>
      </c>
      <c r="C703" s="9">
        <v>800.4</v>
      </c>
    </row>
    <row r="704" spans="1:3" x14ac:dyDescent="0.3">
      <c r="A704" s="1">
        <v>1001516</v>
      </c>
      <c r="B704" s="2" t="s">
        <v>718</v>
      </c>
      <c r="C704" s="9">
        <v>730.8</v>
      </c>
    </row>
    <row r="705" spans="1:3" x14ac:dyDescent="0.3">
      <c r="A705" s="1">
        <v>1001517</v>
      </c>
      <c r="B705" s="2" t="s">
        <v>719</v>
      </c>
      <c r="C705" s="9">
        <v>881.6</v>
      </c>
    </row>
    <row r="706" spans="1:3" x14ac:dyDescent="0.3">
      <c r="A706" s="1">
        <v>1001518</v>
      </c>
      <c r="B706" s="2" t="s">
        <v>720</v>
      </c>
      <c r="C706" s="9">
        <v>2145.9201373675801</v>
      </c>
    </row>
    <row r="707" spans="1:3" x14ac:dyDescent="0.3">
      <c r="A707" s="1">
        <v>1001523</v>
      </c>
      <c r="B707" s="2" t="s">
        <v>721</v>
      </c>
      <c r="C707" s="9">
        <v>7316</v>
      </c>
    </row>
    <row r="708" spans="1:3" x14ac:dyDescent="0.3">
      <c r="A708" s="1">
        <v>1001524</v>
      </c>
      <c r="B708" s="2" t="s">
        <v>722</v>
      </c>
      <c r="C708" s="9">
        <v>3426.9751777777801</v>
      </c>
    </row>
    <row r="709" spans="1:3" x14ac:dyDescent="0.3">
      <c r="A709" s="1">
        <v>1001526</v>
      </c>
      <c r="B709" s="2" t="s">
        <v>723</v>
      </c>
      <c r="C709" s="9">
        <v>2342.9326666666698</v>
      </c>
    </row>
    <row r="710" spans="1:3" x14ac:dyDescent="0.3">
      <c r="A710" s="1">
        <v>1001527</v>
      </c>
      <c r="B710" s="2" t="s">
        <v>724</v>
      </c>
      <c r="C710" s="9">
        <v>1794.1386155555599</v>
      </c>
    </row>
    <row r="711" spans="1:3" x14ac:dyDescent="0.3">
      <c r="A711" s="1">
        <v>1001528</v>
      </c>
      <c r="B711" s="2" t="s">
        <v>725</v>
      </c>
      <c r="C711" s="9">
        <v>2342.9288571428601</v>
      </c>
    </row>
    <row r="712" spans="1:3" x14ac:dyDescent="0.3">
      <c r="A712" s="1">
        <v>1001529</v>
      </c>
      <c r="B712" s="2" t="s">
        <v>726</v>
      </c>
      <c r="C712" s="9">
        <v>2126.33559254183</v>
      </c>
    </row>
    <row r="713" spans="1:3" x14ac:dyDescent="0.3">
      <c r="A713" s="1">
        <v>1001531</v>
      </c>
      <c r="B713" s="2" t="s">
        <v>727</v>
      </c>
      <c r="C713" s="9">
        <v>282.06</v>
      </c>
    </row>
    <row r="714" spans="1:3" x14ac:dyDescent="0.3">
      <c r="A714" s="1">
        <v>1001536</v>
      </c>
      <c r="B714" s="2" t="s">
        <v>728</v>
      </c>
      <c r="C714" s="9">
        <v>846.8</v>
      </c>
    </row>
    <row r="715" spans="1:3" x14ac:dyDescent="0.3">
      <c r="A715" s="1">
        <v>1001537</v>
      </c>
      <c r="B715" s="2" t="s">
        <v>729</v>
      </c>
      <c r="C715" s="9">
        <v>173.34</v>
      </c>
    </row>
    <row r="716" spans="1:3" x14ac:dyDescent="0.3">
      <c r="A716" s="1">
        <v>1001543</v>
      </c>
      <c r="B716" s="2" t="s">
        <v>730</v>
      </c>
      <c r="C716" s="9">
        <v>126.9</v>
      </c>
    </row>
    <row r="717" spans="1:3" x14ac:dyDescent="0.3">
      <c r="A717" s="1">
        <v>1001544</v>
      </c>
      <c r="B717" s="2" t="s">
        <v>731</v>
      </c>
      <c r="C717" s="9">
        <v>242.921781257487</v>
      </c>
    </row>
    <row r="718" spans="1:3" x14ac:dyDescent="0.3">
      <c r="A718" s="1">
        <v>1001546</v>
      </c>
      <c r="B718" s="2" t="s">
        <v>732</v>
      </c>
      <c r="C718" s="9">
        <v>18073.76152777778</v>
      </c>
    </row>
    <row r="719" spans="1:3" x14ac:dyDescent="0.3">
      <c r="A719" s="1">
        <v>1001552</v>
      </c>
      <c r="B719" s="2" t="s">
        <v>733</v>
      </c>
      <c r="C719" s="9">
        <v>7177.5</v>
      </c>
    </row>
    <row r="720" spans="1:3" x14ac:dyDescent="0.3">
      <c r="A720" s="1">
        <v>1001554</v>
      </c>
      <c r="B720" s="2" t="s">
        <v>734</v>
      </c>
      <c r="C720" s="9">
        <v>3986.7469206349201</v>
      </c>
    </row>
    <row r="721" spans="1:3" x14ac:dyDescent="0.3">
      <c r="A721" s="1">
        <v>1001556</v>
      </c>
      <c r="B721" s="2" t="s">
        <v>735</v>
      </c>
      <c r="C721" s="9">
        <v>268.998260869565</v>
      </c>
    </row>
    <row r="722" spans="1:3" x14ac:dyDescent="0.3">
      <c r="A722" s="1">
        <v>1001558</v>
      </c>
      <c r="B722" s="2" t="s">
        <v>736</v>
      </c>
      <c r="C722" s="9">
        <v>145</v>
      </c>
    </row>
    <row r="723" spans="1:3" x14ac:dyDescent="0.3">
      <c r="A723" s="1">
        <v>1001562</v>
      </c>
      <c r="B723" s="2" t="s">
        <v>737</v>
      </c>
      <c r="C723" s="9">
        <v>0</v>
      </c>
    </row>
    <row r="724" spans="1:3" x14ac:dyDescent="0.3">
      <c r="A724" s="1">
        <v>1001563</v>
      </c>
      <c r="B724" s="2" t="s">
        <v>738</v>
      </c>
      <c r="C724" s="9">
        <v>3639.2912704365099</v>
      </c>
    </row>
    <row r="725" spans="1:3" x14ac:dyDescent="0.3">
      <c r="A725" s="1">
        <v>1001566</v>
      </c>
      <c r="B725" s="2" t="s">
        <v>739</v>
      </c>
      <c r="C725" s="9">
        <v>494.1</v>
      </c>
    </row>
    <row r="726" spans="1:3" x14ac:dyDescent="0.3">
      <c r="A726" s="1">
        <v>1001567</v>
      </c>
      <c r="B726" s="2" t="s">
        <v>740</v>
      </c>
      <c r="C726" s="9">
        <v>628.85454545454502</v>
      </c>
    </row>
    <row r="727" spans="1:3" x14ac:dyDescent="0.3">
      <c r="A727" s="1">
        <v>1001570</v>
      </c>
      <c r="B727" s="2" t="s">
        <v>741</v>
      </c>
      <c r="C727" s="9">
        <v>121.8</v>
      </c>
    </row>
    <row r="728" spans="1:3" x14ac:dyDescent="0.3">
      <c r="A728" s="1">
        <v>1001571</v>
      </c>
      <c r="B728" s="2" t="s">
        <v>742</v>
      </c>
      <c r="C728" s="9">
        <v>201.04223404255299</v>
      </c>
    </row>
    <row r="729" spans="1:3" x14ac:dyDescent="0.3">
      <c r="A729" s="1">
        <v>1001572</v>
      </c>
      <c r="B729" s="2" t="s">
        <v>743</v>
      </c>
      <c r="C729" s="9">
        <v>266.8</v>
      </c>
    </row>
    <row r="730" spans="1:3" x14ac:dyDescent="0.3">
      <c r="A730" s="1">
        <v>1001573</v>
      </c>
      <c r="B730" s="2" t="s">
        <v>744</v>
      </c>
      <c r="C730" s="9">
        <v>211.826086956522</v>
      </c>
    </row>
    <row r="731" spans="1:3" x14ac:dyDescent="0.3">
      <c r="A731" s="1">
        <v>1001574</v>
      </c>
      <c r="B731" s="2" t="s">
        <v>745</v>
      </c>
      <c r="C731" s="9">
        <v>3000</v>
      </c>
    </row>
    <row r="732" spans="1:3" x14ac:dyDescent="0.3">
      <c r="A732" s="1">
        <v>1001575</v>
      </c>
      <c r="B732" s="2" t="s">
        <v>746</v>
      </c>
      <c r="C732" s="9">
        <v>122.96</v>
      </c>
    </row>
    <row r="733" spans="1:3" x14ac:dyDescent="0.3">
      <c r="A733" s="1">
        <v>1001576</v>
      </c>
      <c r="B733" s="2" t="s">
        <v>747</v>
      </c>
      <c r="C733" s="9">
        <v>0</v>
      </c>
    </row>
    <row r="734" spans="1:3" x14ac:dyDescent="0.3">
      <c r="A734" s="1">
        <v>1001585</v>
      </c>
      <c r="B734" s="2" t="s">
        <v>748</v>
      </c>
      <c r="C734" s="9">
        <v>398.79030092592598</v>
      </c>
    </row>
    <row r="735" spans="1:3" x14ac:dyDescent="0.3">
      <c r="A735" s="1">
        <v>1001586</v>
      </c>
      <c r="B735" s="2" t="s">
        <v>749</v>
      </c>
      <c r="C735" s="9">
        <v>309.31</v>
      </c>
    </row>
    <row r="736" spans="1:3" x14ac:dyDescent="0.3">
      <c r="A736" s="1">
        <v>1001587</v>
      </c>
      <c r="B736" s="2" t="s">
        <v>750</v>
      </c>
      <c r="C736" s="9">
        <v>320.81333333333299</v>
      </c>
    </row>
    <row r="737" spans="1:3" x14ac:dyDescent="0.3">
      <c r="A737" s="1">
        <v>1001588</v>
      </c>
      <c r="B737" s="2" t="s">
        <v>751</v>
      </c>
      <c r="C737" s="9">
        <v>2076.4</v>
      </c>
    </row>
    <row r="738" spans="1:3" x14ac:dyDescent="0.3">
      <c r="A738" s="1">
        <v>1001589</v>
      </c>
      <c r="B738" s="2" t="s">
        <v>752</v>
      </c>
      <c r="C738" s="9">
        <v>1003</v>
      </c>
    </row>
    <row r="739" spans="1:3" x14ac:dyDescent="0.3">
      <c r="A739" s="1">
        <v>1001590</v>
      </c>
      <c r="B739" s="2" t="s">
        <v>753</v>
      </c>
      <c r="C739" s="9">
        <v>423.32499999999999</v>
      </c>
    </row>
    <row r="740" spans="1:3" x14ac:dyDescent="0.3">
      <c r="A740" s="1">
        <v>1001592</v>
      </c>
      <c r="B740" s="2" t="s">
        <v>754</v>
      </c>
      <c r="C740" s="9">
        <v>888.83999999999992</v>
      </c>
    </row>
    <row r="741" spans="1:3" x14ac:dyDescent="0.3">
      <c r="A741" s="1">
        <v>1001593</v>
      </c>
      <c r="B741" s="2" t="s">
        <v>755</v>
      </c>
      <c r="C741" s="9">
        <v>136.88</v>
      </c>
    </row>
    <row r="742" spans="1:3" x14ac:dyDescent="0.3">
      <c r="A742" s="1">
        <v>1001594</v>
      </c>
      <c r="B742" s="2" t="s">
        <v>756</v>
      </c>
      <c r="C742" s="9">
        <v>1125.2</v>
      </c>
    </row>
    <row r="743" spans="1:3" x14ac:dyDescent="0.3">
      <c r="A743" s="1">
        <v>1001598</v>
      </c>
      <c r="B743" s="2" t="s">
        <v>757</v>
      </c>
      <c r="C743" s="9">
        <v>9842.6</v>
      </c>
    </row>
    <row r="744" spans="1:3" x14ac:dyDescent="0.3">
      <c r="A744" s="1">
        <v>1001600</v>
      </c>
      <c r="B744" s="2" t="s">
        <v>759</v>
      </c>
      <c r="C744" s="9">
        <v>12876</v>
      </c>
    </row>
    <row r="745" spans="1:3" x14ac:dyDescent="0.3">
      <c r="A745" s="1">
        <v>1001601</v>
      </c>
      <c r="B745" s="2" t="s">
        <v>760</v>
      </c>
      <c r="C745" s="9">
        <v>89.433333333333294</v>
      </c>
    </row>
    <row r="746" spans="1:3" x14ac:dyDescent="0.3">
      <c r="A746" s="1">
        <v>1001606</v>
      </c>
      <c r="B746" s="2" t="s">
        <v>761</v>
      </c>
      <c r="C746" s="9">
        <v>2536.8490000000002</v>
      </c>
    </row>
    <row r="747" spans="1:3" x14ac:dyDescent="0.3">
      <c r="A747" s="1">
        <v>1001607</v>
      </c>
      <c r="B747" s="2" t="s">
        <v>762</v>
      </c>
      <c r="C747" s="9">
        <v>2939.386</v>
      </c>
    </row>
    <row r="748" spans="1:3" x14ac:dyDescent="0.3">
      <c r="A748" s="1">
        <v>1001609</v>
      </c>
      <c r="B748" s="2" t="s">
        <v>763</v>
      </c>
      <c r="C748" s="9">
        <v>350</v>
      </c>
    </row>
    <row r="749" spans="1:3" x14ac:dyDescent="0.3">
      <c r="A749" s="1">
        <v>1001612</v>
      </c>
      <c r="B749" s="2" t="s">
        <v>764</v>
      </c>
      <c r="C749" s="9">
        <v>141.6</v>
      </c>
    </row>
    <row r="750" spans="1:3" x14ac:dyDescent="0.3">
      <c r="A750" s="1">
        <v>1001620</v>
      </c>
      <c r="B750" s="2" t="s">
        <v>765</v>
      </c>
      <c r="C750" s="9">
        <v>767</v>
      </c>
    </row>
    <row r="751" spans="1:3" x14ac:dyDescent="0.3">
      <c r="A751" s="1">
        <v>1001634</v>
      </c>
      <c r="B751" s="2" t="s">
        <v>766</v>
      </c>
      <c r="C751" s="9">
        <v>25379.063516741098</v>
      </c>
    </row>
    <row r="752" spans="1:3" x14ac:dyDescent="0.3">
      <c r="A752" s="1">
        <v>1001637</v>
      </c>
      <c r="B752" s="2" t="s">
        <v>767</v>
      </c>
      <c r="C752" s="9">
        <v>8700</v>
      </c>
    </row>
    <row r="753" spans="1:3" x14ac:dyDescent="0.3">
      <c r="A753" s="1">
        <v>1001639</v>
      </c>
      <c r="B753" s="2" t="s">
        <v>768</v>
      </c>
      <c r="C753" s="9">
        <v>22626.7862916667</v>
      </c>
    </row>
    <row r="754" spans="1:3" x14ac:dyDescent="0.3">
      <c r="A754" s="1">
        <v>1001651</v>
      </c>
      <c r="B754" s="2" t="s">
        <v>769</v>
      </c>
      <c r="C754" s="9">
        <v>22562.1771068376</v>
      </c>
    </row>
    <row r="755" spans="1:3" x14ac:dyDescent="0.3">
      <c r="A755" s="1">
        <v>1001652</v>
      </c>
      <c r="B755" s="2" t="s">
        <v>770</v>
      </c>
      <c r="C755" s="9">
        <v>25871.6333752137</v>
      </c>
    </row>
    <row r="756" spans="1:3" x14ac:dyDescent="0.3">
      <c r="A756" s="1">
        <v>1001653</v>
      </c>
      <c r="B756" s="2" t="s">
        <v>771</v>
      </c>
      <c r="C756" s="9">
        <v>21617.124700309501</v>
      </c>
    </row>
    <row r="757" spans="1:3" x14ac:dyDescent="0.3">
      <c r="A757" s="1">
        <v>1001654</v>
      </c>
      <c r="B757" s="2" t="s">
        <v>772</v>
      </c>
      <c r="C757" s="9">
        <v>12959.509681818199</v>
      </c>
    </row>
    <row r="758" spans="1:3" x14ac:dyDescent="0.3">
      <c r="A758" s="1">
        <v>1001664</v>
      </c>
      <c r="B758" s="2" t="s">
        <v>773</v>
      </c>
      <c r="C758" s="9">
        <v>64730.414285714302</v>
      </c>
    </row>
    <row r="759" spans="1:3" x14ac:dyDescent="0.3">
      <c r="A759" s="1">
        <v>1001670</v>
      </c>
      <c r="B759" s="2" t="s">
        <v>774</v>
      </c>
      <c r="C759" s="9">
        <v>1</v>
      </c>
    </row>
    <row r="760" spans="1:3" x14ac:dyDescent="0.3">
      <c r="A760" s="1">
        <v>1001681</v>
      </c>
      <c r="B760" s="2" t="s">
        <v>775</v>
      </c>
      <c r="C760" s="9">
        <v>17215.656275113099</v>
      </c>
    </row>
    <row r="761" spans="1:3" x14ac:dyDescent="0.3">
      <c r="A761" s="1">
        <v>1001682</v>
      </c>
      <c r="B761" s="2" t="s">
        <v>776</v>
      </c>
      <c r="C761" s="9">
        <v>4560.81606584362</v>
      </c>
    </row>
    <row r="762" spans="1:3" x14ac:dyDescent="0.3">
      <c r="A762" s="1">
        <v>1001684</v>
      </c>
      <c r="B762" s="2" t="s">
        <v>777</v>
      </c>
      <c r="C762" s="9">
        <v>3196.7280000000001</v>
      </c>
    </row>
    <row r="763" spans="1:3" x14ac:dyDescent="0.3">
      <c r="A763" s="1">
        <v>1001687</v>
      </c>
      <c r="B763" s="2" t="s">
        <v>778</v>
      </c>
      <c r="C763" s="9">
        <v>590</v>
      </c>
    </row>
    <row r="764" spans="1:3" x14ac:dyDescent="0.3">
      <c r="A764" s="1">
        <v>1001697</v>
      </c>
      <c r="B764" s="2" t="s">
        <v>779</v>
      </c>
      <c r="C764" s="9">
        <v>245067.25907894701</v>
      </c>
    </row>
    <row r="765" spans="1:3" x14ac:dyDescent="0.3">
      <c r="A765" s="1">
        <v>1001702</v>
      </c>
      <c r="B765" s="2" t="s">
        <v>780</v>
      </c>
      <c r="C765" s="9">
        <v>12552.708124999999</v>
      </c>
    </row>
    <row r="766" spans="1:3" x14ac:dyDescent="0.3">
      <c r="A766" s="1">
        <v>1001703</v>
      </c>
      <c r="B766" s="2" t="s">
        <v>781</v>
      </c>
      <c r="C766" s="9">
        <v>6558</v>
      </c>
    </row>
    <row r="767" spans="1:3" x14ac:dyDescent="0.3">
      <c r="A767" s="1">
        <v>1001707</v>
      </c>
      <c r="B767" s="2" t="s">
        <v>782</v>
      </c>
      <c r="C767" s="9">
        <v>661.19999999999993</v>
      </c>
    </row>
    <row r="768" spans="1:3" x14ac:dyDescent="0.3">
      <c r="A768" s="1">
        <v>1001708</v>
      </c>
      <c r="B768" s="2" t="s">
        <v>783</v>
      </c>
      <c r="C768" s="9">
        <v>672.76324312575002</v>
      </c>
    </row>
    <row r="769" spans="1:3" x14ac:dyDescent="0.3">
      <c r="A769" s="1">
        <v>1001710</v>
      </c>
      <c r="B769" s="2" t="s">
        <v>784</v>
      </c>
      <c r="C769" s="9">
        <v>2.4312499999999999</v>
      </c>
    </row>
    <row r="770" spans="1:3" x14ac:dyDescent="0.3">
      <c r="A770" s="1">
        <v>1001711</v>
      </c>
      <c r="B770" s="2" t="s">
        <v>785</v>
      </c>
      <c r="C770" s="9">
        <v>63.683080030721968</v>
      </c>
    </row>
    <row r="771" spans="1:3" x14ac:dyDescent="0.3">
      <c r="A771" s="1">
        <v>1001712</v>
      </c>
      <c r="B771" s="2" t="s">
        <v>786</v>
      </c>
      <c r="C771" s="9">
        <v>24.65</v>
      </c>
    </row>
    <row r="772" spans="1:3" x14ac:dyDescent="0.3">
      <c r="A772" s="1">
        <v>1001713</v>
      </c>
      <c r="B772" s="2" t="s">
        <v>787</v>
      </c>
      <c r="C772" s="9">
        <v>345.49</v>
      </c>
    </row>
    <row r="773" spans="1:3" x14ac:dyDescent="0.3">
      <c r="A773" s="1">
        <v>1001715</v>
      </c>
      <c r="B773" s="2" t="s">
        <v>788</v>
      </c>
      <c r="C773" s="9">
        <v>2073.4066666666699</v>
      </c>
    </row>
    <row r="774" spans="1:3" x14ac:dyDescent="0.3">
      <c r="A774" s="1">
        <v>1001717</v>
      </c>
      <c r="B774" s="2" t="s">
        <v>789</v>
      </c>
      <c r="C774" s="9">
        <v>384.75080000000003</v>
      </c>
    </row>
    <row r="775" spans="1:3" x14ac:dyDescent="0.3">
      <c r="A775" s="1">
        <v>1001718</v>
      </c>
      <c r="B775" s="2" t="s">
        <v>790</v>
      </c>
      <c r="C775" s="9">
        <v>2027.4567460317501</v>
      </c>
    </row>
    <row r="776" spans="1:3" x14ac:dyDescent="0.3">
      <c r="A776" s="1">
        <v>1001719</v>
      </c>
      <c r="B776" s="2" t="s">
        <v>791</v>
      </c>
      <c r="C776" s="9">
        <v>1180.92857142857</v>
      </c>
    </row>
    <row r="777" spans="1:3" x14ac:dyDescent="0.3">
      <c r="A777" s="1">
        <v>1001720</v>
      </c>
      <c r="B777" s="2" t="s">
        <v>792</v>
      </c>
      <c r="C777" s="9">
        <v>1110.9114736363399</v>
      </c>
    </row>
    <row r="778" spans="1:3" x14ac:dyDescent="0.3">
      <c r="A778" s="1">
        <v>1001722</v>
      </c>
      <c r="B778" s="2" t="s">
        <v>793</v>
      </c>
      <c r="C778" s="9">
        <v>1529.2442901371301</v>
      </c>
    </row>
    <row r="779" spans="1:3" x14ac:dyDescent="0.3">
      <c r="A779" s="1">
        <v>1001726</v>
      </c>
      <c r="B779" s="2" t="s">
        <v>794</v>
      </c>
      <c r="C779" s="9">
        <v>37.799999999999997</v>
      </c>
    </row>
    <row r="780" spans="1:3" x14ac:dyDescent="0.3">
      <c r="A780" s="1">
        <v>1001727</v>
      </c>
      <c r="B780" s="2" t="s">
        <v>795</v>
      </c>
      <c r="C780" s="9">
        <v>350</v>
      </c>
    </row>
    <row r="781" spans="1:3" x14ac:dyDescent="0.3">
      <c r="A781" s="1">
        <v>1001730</v>
      </c>
      <c r="B781" s="2" t="s">
        <v>796</v>
      </c>
      <c r="C781" s="9">
        <v>61.280116190476186</v>
      </c>
    </row>
    <row r="782" spans="1:3" x14ac:dyDescent="0.3">
      <c r="A782" s="1">
        <v>1001731</v>
      </c>
      <c r="B782" s="2" t="s">
        <v>797</v>
      </c>
      <c r="C782" s="9">
        <v>50.931855910887535</v>
      </c>
    </row>
    <row r="783" spans="1:3" x14ac:dyDescent="0.3">
      <c r="A783" s="1">
        <v>1001732</v>
      </c>
      <c r="B783" s="2" t="s">
        <v>798</v>
      </c>
      <c r="C783" s="9">
        <v>58.184102838778792</v>
      </c>
    </row>
    <row r="784" spans="1:3" x14ac:dyDescent="0.3">
      <c r="A784" s="1">
        <v>1001733</v>
      </c>
      <c r="B784" s="2" t="s">
        <v>799</v>
      </c>
      <c r="C784" s="9">
        <v>3712.9701886792454</v>
      </c>
    </row>
    <row r="785" spans="1:3" x14ac:dyDescent="0.3">
      <c r="A785" s="1">
        <v>1001734</v>
      </c>
      <c r="B785" s="2" t="s">
        <v>800</v>
      </c>
      <c r="C785" s="9">
        <v>96.08</v>
      </c>
    </row>
    <row r="786" spans="1:3" x14ac:dyDescent="0.3">
      <c r="A786" s="1">
        <v>1001738</v>
      </c>
      <c r="B786" s="2" t="s">
        <v>801</v>
      </c>
      <c r="C786" s="9">
        <v>2766.6</v>
      </c>
    </row>
    <row r="787" spans="1:3" x14ac:dyDescent="0.3">
      <c r="A787" s="1">
        <v>1001739</v>
      </c>
      <c r="B787" s="2" t="s">
        <v>802</v>
      </c>
      <c r="C787" s="9">
        <v>40.050584098951298</v>
      </c>
    </row>
    <row r="788" spans="1:3" x14ac:dyDescent="0.3">
      <c r="A788" s="1">
        <v>1001740</v>
      </c>
      <c r="B788" s="2" t="s">
        <v>803</v>
      </c>
      <c r="C788" s="9">
        <v>34.745706901622299</v>
      </c>
    </row>
    <row r="789" spans="1:3" x14ac:dyDescent="0.3">
      <c r="A789" s="1">
        <v>1001741</v>
      </c>
      <c r="B789" s="2" t="s">
        <v>804</v>
      </c>
      <c r="C789" s="9">
        <v>22.1428571428571</v>
      </c>
    </row>
    <row r="790" spans="1:3" x14ac:dyDescent="0.3">
      <c r="A790" s="1">
        <v>1001743</v>
      </c>
      <c r="B790" s="2" t="s">
        <v>805</v>
      </c>
      <c r="C790" s="9">
        <v>8.625</v>
      </c>
    </row>
    <row r="791" spans="1:3" x14ac:dyDescent="0.3">
      <c r="A791" s="1">
        <v>1001744</v>
      </c>
      <c r="B791" s="2" t="s">
        <v>806</v>
      </c>
      <c r="C791" s="9">
        <v>11.26667746209333</v>
      </c>
    </row>
    <row r="792" spans="1:3" x14ac:dyDescent="0.3">
      <c r="A792" s="1">
        <v>1001745</v>
      </c>
      <c r="B792" s="2" t="s">
        <v>807</v>
      </c>
      <c r="C792" s="9">
        <v>21.84</v>
      </c>
    </row>
    <row r="793" spans="1:3" x14ac:dyDescent="0.3">
      <c r="A793" s="1">
        <v>1001746</v>
      </c>
      <c r="B793" s="2" t="s">
        <v>808</v>
      </c>
      <c r="C793" s="9">
        <v>35.96</v>
      </c>
    </row>
    <row r="794" spans="1:3" x14ac:dyDescent="0.3">
      <c r="A794" s="1">
        <v>1001747</v>
      </c>
      <c r="B794" s="2" t="s">
        <v>809</v>
      </c>
      <c r="C794" s="9">
        <v>45.280642935935703</v>
      </c>
    </row>
    <row r="795" spans="1:3" x14ac:dyDescent="0.3">
      <c r="A795" s="1">
        <v>1001748</v>
      </c>
      <c r="B795" s="2" t="s">
        <v>810</v>
      </c>
      <c r="C795" s="9">
        <v>8.92</v>
      </c>
    </row>
    <row r="796" spans="1:3" x14ac:dyDescent="0.3">
      <c r="A796" s="1">
        <v>1001749</v>
      </c>
      <c r="B796" s="2" t="s">
        <v>811</v>
      </c>
      <c r="C796" s="9">
        <v>20.254999999999999</v>
      </c>
    </row>
    <row r="797" spans="1:3" x14ac:dyDescent="0.3">
      <c r="A797" s="1">
        <v>1001750</v>
      </c>
      <c r="B797" s="2" t="s">
        <v>812</v>
      </c>
      <c r="C797" s="9">
        <v>4.9874866045831103</v>
      </c>
    </row>
    <row r="798" spans="1:3" x14ac:dyDescent="0.3">
      <c r="A798" s="1">
        <v>1001753</v>
      </c>
      <c r="B798" s="2" t="s">
        <v>813</v>
      </c>
      <c r="C798" s="9">
        <v>65.613540762767443</v>
      </c>
    </row>
    <row r="799" spans="1:3" x14ac:dyDescent="0.3">
      <c r="A799" s="1">
        <v>1001754</v>
      </c>
      <c r="B799" s="2" t="s">
        <v>814</v>
      </c>
      <c r="C799" s="9">
        <v>80.995915419166394</v>
      </c>
    </row>
    <row r="800" spans="1:3" x14ac:dyDescent="0.3">
      <c r="A800" s="1">
        <v>1001755</v>
      </c>
      <c r="B800" s="2" t="s">
        <v>815</v>
      </c>
      <c r="C800" s="9">
        <v>224.20000000000002</v>
      </c>
    </row>
    <row r="801" spans="1:3" x14ac:dyDescent="0.3">
      <c r="A801" s="1">
        <v>1001756</v>
      </c>
      <c r="B801" s="2" t="s">
        <v>816</v>
      </c>
      <c r="C801" s="9">
        <v>995.92590909090904</v>
      </c>
    </row>
    <row r="802" spans="1:3" x14ac:dyDescent="0.3">
      <c r="A802" s="1">
        <v>1001757</v>
      </c>
      <c r="B802" s="2" t="s">
        <v>817</v>
      </c>
      <c r="C802" s="9">
        <v>0</v>
      </c>
    </row>
    <row r="803" spans="1:3" x14ac:dyDescent="0.3">
      <c r="A803" s="1">
        <v>1001758</v>
      </c>
      <c r="B803" s="2" t="s">
        <v>818</v>
      </c>
      <c r="C803" s="9">
        <v>98.955961538461537</v>
      </c>
    </row>
    <row r="804" spans="1:3" x14ac:dyDescent="0.3">
      <c r="A804" s="1">
        <v>1001759</v>
      </c>
      <c r="B804" s="2" t="s">
        <v>819</v>
      </c>
      <c r="C804" s="9">
        <v>0</v>
      </c>
    </row>
    <row r="805" spans="1:3" x14ac:dyDescent="0.3">
      <c r="A805" s="1">
        <v>1001760</v>
      </c>
      <c r="B805" s="2" t="s">
        <v>820</v>
      </c>
      <c r="C805" s="9">
        <v>212.4</v>
      </c>
    </row>
    <row r="806" spans="1:3" x14ac:dyDescent="0.3">
      <c r="A806" s="1">
        <v>1001761</v>
      </c>
      <c r="B806" s="2" t="s">
        <v>821</v>
      </c>
      <c r="C806" s="9">
        <v>0</v>
      </c>
    </row>
    <row r="807" spans="1:3" x14ac:dyDescent="0.3">
      <c r="A807" s="1">
        <v>1001762</v>
      </c>
      <c r="B807" s="2" t="s">
        <v>822</v>
      </c>
      <c r="C807" s="9">
        <v>313.41000000000003</v>
      </c>
    </row>
    <row r="808" spans="1:3" x14ac:dyDescent="0.3">
      <c r="A808" s="1">
        <v>1001763</v>
      </c>
      <c r="B808" s="2" t="s">
        <v>823</v>
      </c>
      <c r="C808" s="9">
        <v>621.99904608456291</v>
      </c>
    </row>
    <row r="809" spans="1:3" x14ac:dyDescent="0.3">
      <c r="A809" s="1">
        <v>1001764</v>
      </c>
      <c r="B809" s="2" t="s">
        <v>824</v>
      </c>
      <c r="C809" s="9">
        <v>27.387203389830511</v>
      </c>
    </row>
    <row r="810" spans="1:3" x14ac:dyDescent="0.3">
      <c r="A810" s="1">
        <v>1001765</v>
      </c>
      <c r="B810" s="2" t="s">
        <v>825</v>
      </c>
      <c r="C810" s="9">
        <v>1.6815672722652777</v>
      </c>
    </row>
    <row r="811" spans="1:3" x14ac:dyDescent="0.3">
      <c r="A811" s="1">
        <v>1001766</v>
      </c>
      <c r="B811" s="2" t="s">
        <v>826</v>
      </c>
      <c r="C811" s="9">
        <v>0</v>
      </c>
    </row>
    <row r="812" spans="1:3" x14ac:dyDescent="0.3">
      <c r="A812" s="1">
        <v>1001767</v>
      </c>
      <c r="B812" s="2" t="s">
        <v>827</v>
      </c>
      <c r="C812" s="9">
        <v>0</v>
      </c>
    </row>
    <row r="813" spans="1:3" x14ac:dyDescent="0.3">
      <c r="A813" s="1">
        <v>1001768</v>
      </c>
      <c r="B813" s="2" t="s">
        <v>828</v>
      </c>
      <c r="C813" s="9">
        <v>0</v>
      </c>
    </row>
    <row r="814" spans="1:3" x14ac:dyDescent="0.3">
      <c r="A814" s="1">
        <v>1001771</v>
      </c>
      <c r="B814" s="2" t="s">
        <v>830</v>
      </c>
      <c r="C814" s="9">
        <v>333.74383859074146</v>
      </c>
    </row>
    <row r="815" spans="1:3" x14ac:dyDescent="0.3">
      <c r="A815" s="1">
        <v>1001772</v>
      </c>
      <c r="B815" s="2" t="s">
        <v>831</v>
      </c>
      <c r="C815" s="9">
        <v>670.27581205866375</v>
      </c>
    </row>
    <row r="816" spans="1:3" x14ac:dyDescent="0.3">
      <c r="A816" s="1">
        <v>1001777</v>
      </c>
      <c r="B816" s="2" t="s">
        <v>832</v>
      </c>
      <c r="C816" s="9">
        <v>0</v>
      </c>
    </row>
    <row r="817" spans="1:3" x14ac:dyDescent="0.3">
      <c r="A817" s="1">
        <v>1001778</v>
      </c>
      <c r="B817" s="2" t="s">
        <v>833</v>
      </c>
      <c r="C817" s="9">
        <v>201.10813559322034</v>
      </c>
    </row>
    <row r="818" spans="1:3" x14ac:dyDescent="0.3">
      <c r="A818" s="1">
        <v>1001780</v>
      </c>
      <c r="B818" s="2" t="s">
        <v>834</v>
      </c>
      <c r="C818" s="9">
        <v>139.66867924528302</v>
      </c>
    </row>
    <row r="819" spans="1:3" x14ac:dyDescent="0.3">
      <c r="A819" s="1">
        <v>1001781</v>
      </c>
      <c r="B819" s="2" t="s">
        <v>835</v>
      </c>
      <c r="C819" s="9">
        <v>94.690767160161514</v>
      </c>
    </row>
    <row r="820" spans="1:3" x14ac:dyDescent="0.3">
      <c r="A820" s="1">
        <v>1001786</v>
      </c>
      <c r="B820" s="2" t="s">
        <v>836</v>
      </c>
      <c r="C820" s="9">
        <v>0</v>
      </c>
    </row>
    <row r="821" spans="1:3" x14ac:dyDescent="0.3">
      <c r="A821" s="1">
        <v>1001787</v>
      </c>
      <c r="B821" s="2" t="s">
        <v>837</v>
      </c>
      <c r="C821" s="9">
        <v>45.541428394603294</v>
      </c>
    </row>
    <row r="822" spans="1:3" x14ac:dyDescent="0.3">
      <c r="A822" s="1">
        <v>1001789</v>
      </c>
      <c r="B822" s="2" t="s">
        <v>838</v>
      </c>
      <c r="C822" s="9">
        <v>0</v>
      </c>
    </row>
    <row r="823" spans="1:3" x14ac:dyDescent="0.3">
      <c r="A823" s="1">
        <v>1001791</v>
      </c>
      <c r="B823" s="2" t="s">
        <v>839</v>
      </c>
      <c r="C823" s="9">
        <v>65.490000000000009</v>
      </c>
    </row>
    <row r="824" spans="1:3" x14ac:dyDescent="0.3">
      <c r="A824" s="1">
        <v>1001794</v>
      </c>
      <c r="B824" s="2" t="s">
        <v>841</v>
      </c>
      <c r="C824" s="9">
        <v>0</v>
      </c>
    </row>
    <row r="825" spans="1:3" x14ac:dyDescent="0.3">
      <c r="A825" s="1">
        <v>1001795</v>
      </c>
      <c r="B825" s="2" t="s">
        <v>842</v>
      </c>
      <c r="C825" s="9">
        <v>0</v>
      </c>
    </row>
    <row r="826" spans="1:3" x14ac:dyDescent="0.3">
      <c r="A826" s="1">
        <v>1001800</v>
      </c>
      <c r="B826" s="2" t="s">
        <v>843</v>
      </c>
      <c r="C826" s="9">
        <v>0</v>
      </c>
    </row>
    <row r="827" spans="1:3" x14ac:dyDescent="0.3">
      <c r="A827" s="1">
        <v>1001804</v>
      </c>
      <c r="B827" s="2" t="s">
        <v>844</v>
      </c>
      <c r="C827" s="9">
        <v>0</v>
      </c>
    </row>
    <row r="828" spans="1:3" x14ac:dyDescent="0.3">
      <c r="A828" s="1">
        <v>1001806</v>
      </c>
      <c r="B828" s="2" t="s">
        <v>845</v>
      </c>
      <c r="C828" s="9">
        <v>6.46</v>
      </c>
    </row>
    <row r="829" spans="1:3" x14ac:dyDescent="0.3">
      <c r="A829" s="1">
        <v>1001807</v>
      </c>
      <c r="B829" s="2" t="s">
        <v>846</v>
      </c>
      <c r="C829" s="9">
        <v>0</v>
      </c>
    </row>
    <row r="830" spans="1:3" x14ac:dyDescent="0.3">
      <c r="A830" s="1">
        <v>1001817</v>
      </c>
      <c r="B830" s="2" t="s">
        <v>847</v>
      </c>
      <c r="C830" s="9">
        <v>70.220679718125808</v>
      </c>
    </row>
    <row r="831" spans="1:3" x14ac:dyDescent="0.3">
      <c r="A831" s="1">
        <v>1001818</v>
      </c>
      <c r="B831" s="2" t="s">
        <v>848</v>
      </c>
      <c r="C831" s="9">
        <v>140.10876212023271</v>
      </c>
    </row>
    <row r="832" spans="1:3" x14ac:dyDescent="0.3">
      <c r="A832" s="1">
        <v>1001821</v>
      </c>
      <c r="B832" s="2" t="s">
        <v>849</v>
      </c>
      <c r="C832" s="9">
        <v>0</v>
      </c>
    </row>
    <row r="833" spans="1:3" x14ac:dyDescent="0.3">
      <c r="A833" s="1">
        <v>1001831</v>
      </c>
      <c r="B833" s="2" t="s">
        <v>850</v>
      </c>
      <c r="C833" s="9">
        <v>64.960000000000008</v>
      </c>
    </row>
    <row r="834" spans="1:3" x14ac:dyDescent="0.3">
      <c r="A834" s="1">
        <v>1001832</v>
      </c>
      <c r="B834" s="2" t="s">
        <v>851</v>
      </c>
      <c r="C834" s="9">
        <v>87</v>
      </c>
    </row>
    <row r="835" spans="1:3" x14ac:dyDescent="0.3">
      <c r="A835" s="1">
        <v>1001834</v>
      </c>
      <c r="B835" s="2" t="s">
        <v>852</v>
      </c>
      <c r="C835" s="9">
        <v>1</v>
      </c>
    </row>
    <row r="836" spans="1:3" x14ac:dyDescent="0.3">
      <c r="A836" s="1">
        <v>1001835</v>
      </c>
      <c r="B836" s="2" t="s">
        <v>853</v>
      </c>
      <c r="C836" s="9">
        <v>0</v>
      </c>
    </row>
    <row r="837" spans="1:3" x14ac:dyDescent="0.3">
      <c r="A837" s="1">
        <v>1001836</v>
      </c>
      <c r="B837" s="2" t="s">
        <v>854</v>
      </c>
      <c r="C837" s="9">
        <v>0</v>
      </c>
    </row>
    <row r="838" spans="1:3" x14ac:dyDescent="0.3">
      <c r="A838" s="1">
        <v>1001837</v>
      </c>
      <c r="B838" s="2" t="s">
        <v>855</v>
      </c>
      <c r="C838" s="9">
        <v>0</v>
      </c>
    </row>
    <row r="839" spans="1:3" x14ac:dyDescent="0.3">
      <c r="A839" s="1">
        <v>1001840</v>
      </c>
      <c r="B839" s="2" t="s">
        <v>856</v>
      </c>
      <c r="C839" s="9">
        <v>158.45635574018127</v>
      </c>
    </row>
    <row r="840" spans="1:3" x14ac:dyDescent="0.3">
      <c r="A840" s="1">
        <v>1001845</v>
      </c>
      <c r="B840" s="2" t="s">
        <v>857</v>
      </c>
      <c r="C840" s="9">
        <v>0</v>
      </c>
    </row>
    <row r="841" spans="1:3" x14ac:dyDescent="0.3">
      <c r="A841" s="1">
        <v>1001847</v>
      </c>
      <c r="B841" s="2" t="s">
        <v>858</v>
      </c>
      <c r="C841" s="9">
        <v>153.73688545688546</v>
      </c>
    </row>
    <row r="842" spans="1:3" x14ac:dyDescent="0.3">
      <c r="A842" s="1">
        <v>1001848</v>
      </c>
      <c r="B842" s="2" t="s">
        <v>859</v>
      </c>
      <c r="C842" s="9">
        <v>0</v>
      </c>
    </row>
    <row r="843" spans="1:3" x14ac:dyDescent="0.3">
      <c r="A843" s="1">
        <v>1001849</v>
      </c>
      <c r="B843" s="2" t="s">
        <v>860</v>
      </c>
      <c r="C843" s="9">
        <v>0</v>
      </c>
    </row>
    <row r="844" spans="1:3" x14ac:dyDescent="0.3">
      <c r="A844" s="1">
        <v>1001850</v>
      </c>
      <c r="B844" s="2" t="s">
        <v>861</v>
      </c>
      <c r="C844" s="9">
        <v>1</v>
      </c>
    </row>
    <row r="845" spans="1:3" x14ac:dyDescent="0.3">
      <c r="A845" s="1">
        <v>1001851</v>
      </c>
      <c r="B845" s="2" t="s">
        <v>862</v>
      </c>
      <c r="C845" s="9">
        <v>1038.2</v>
      </c>
    </row>
    <row r="846" spans="1:3" x14ac:dyDescent="0.3">
      <c r="A846" s="1">
        <v>1001854</v>
      </c>
      <c r="B846" s="2" t="s">
        <v>863</v>
      </c>
      <c r="C846" s="9">
        <v>0</v>
      </c>
    </row>
    <row r="847" spans="1:3" x14ac:dyDescent="0.3">
      <c r="A847" s="1">
        <v>1001856</v>
      </c>
      <c r="B847" s="2" t="s">
        <v>864</v>
      </c>
      <c r="C847" s="9">
        <v>0</v>
      </c>
    </row>
    <row r="848" spans="1:3" x14ac:dyDescent="0.3">
      <c r="A848" s="1">
        <v>1001865</v>
      </c>
      <c r="B848" s="2" t="s">
        <v>865</v>
      </c>
      <c r="C848" s="9">
        <v>0</v>
      </c>
    </row>
    <row r="849" spans="1:3" x14ac:dyDescent="0.3">
      <c r="A849" s="1">
        <v>1001867</v>
      </c>
      <c r="B849" s="2" t="s">
        <v>866</v>
      </c>
      <c r="C849" s="9">
        <v>0</v>
      </c>
    </row>
    <row r="850" spans="1:3" x14ac:dyDescent="0.3">
      <c r="A850" s="1">
        <v>1001871</v>
      </c>
      <c r="B850" s="2" t="s">
        <v>867</v>
      </c>
      <c r="C850" s="9">
        <v>0</v>
      </c>
    </row>
    <row r="851" spans="1:3" x14ac:dyDescent="0.3">
      <c r="A851" s="1">
        <v>1001873</v>
      </c>
      <c r="B851" s="2" t="s">
        <v>868</v>
      </c>
      <c r="C851" s="9">
        <v>0</v>
      </c>
    </row>
    <row r="852" spans="1:3" x14ac:dyDescent="0.3">
      <c r="A852" s="1">
        <v>1001875</v>
      </c>
      <c r="B852" s="2" t="s">
        <v>869</v>
      </c>
      <c r="C852" s="9">
        <v>0</v>
      </c>
    </row>
    <row r="853" spans="1:3" x14ac:dyDescent="0.3">
      <c r="A853" s="1">
        <v>1001883</v>
      </c>
      <c r="B853" s="2" t="s">
        <v>870</v>
      </c>
      <c r="C853" s="9">
        <v>0</v>
      </c>
    </row>
    <row r="854" spans="1:3" x14ac:dyDescent="0.3">
      <c r="A854" s="1">
        <v>1001884</v>
      </c>
      <c r="B854" s="2" t="s">
        <v>871</v>
      </c>
      <c r="C854" s="9">
        <v>15.430357826688292</v>
      </c>
    </row>
    <row r="855" spans="1:3" x14ac:dyDescent="0.3">
      <c r="A855" s="1">
        <v>1001889</v>
      </c>
      <c r="B855" s="2" t="s">
        <v>872</v>
      </c>
      <c r="C855" s="9">
        <v>0</v>
      </c>
    </row>
    <row r="856" spans="1:3" x14ac:dyDescent="0.3">
      <c r="A856" s="1">
        <v>1001891</v>
      </c>
      <c r="B856" s="2" t="s">
        <v>873</v>
      </c>
      <c r="C856" s="9">
        <v>184.39650023663037</v>
      </c>
    </row>
    <row r="857" spans="1:3" x14ac:dyDescent="0.3">
      <c r="A857" s="1">
        <v>1001892</v>
      </c>
      <c r="B857" s="2" t="s">
        <v>874</v>
      </c>
      <c r="C857" s="9">
        <v>279.63047211407684</v>
      </c>
    </row>
    <row r="858" spans="1:3" x14ac:dyDescent="0.3">
      <c r="A858" s="1">
        <v>1001894</v>
      </c>
      <c r="B858" s="2" t="s">
        <v>875</v>
      </c>
      <c r="C858" s="9">
        <v>7.218231971867807</v>
      </c>
    </row>
    <row r="859" spans="1:3" x14ac:dyDescent="0.3">
      <c r="A859" s="1">
        <v>1001899</v>
      </c>
      <c r="B859" s="2" t="s">
        <v>876</v>
      </c>
      <c r="C859" s="9">
        <v>0</v>
      </c>
    </row>
    <row r="860" spans="1:3" x14ac:dyDescent="0.3">
      <c r="A860" s="1">
        <v>1001901</v>
      </c>
      <c r="B860" s="2" t="s">
        <v>877</v>
      </c>
      <c r="C860" s="9">
        <v>0</v>
      </c>
    </row>
    <row r="861" spans="1:3" x14ac:dyDescent="0.3">
      <c r="A861" s="1">
        <v>1001902</v>
      </c>
      <c r="B861" s="2" t="s">
        <v>878</v>
      </c>
      <c r="C861" s="9">
        <v>0</v>
      </c>
    </row>
    <row r="862" spans="1:3" x14ac:dyDescent="0.3">
      <c r="A862" s="1">
        <v>1001903</v>
      </c>
      <c r="B862" s="2" t="s">
        <v>879</v>
      </c>
      <c r="C862" s="9">
        <v>2805.6116347826087</v>
      </c>
    </row>
    <row r="863" spans="1:3" x14ac:dyDescent="0.3">
      <c r="A863" s="1">
        <v>1001904</v>
      </c>
      <c r="B863" s="2" t="s">
        <v>880</v>
      </c>
      <c r="C863" s="9">
        <v>1086.7612783171521</v>
      </c>
    </row>
    <row r="864" spans="1:3" x14ac:dyDescent="0.3">
      <c r="A864" s="1">
        <v>1001906</v>
      </c>
      <c r="B864" s="2" t="s">
        <v>881</v>
      </c>
      <c r="C864" s="9">
        <v>1</v>
      </c>
    </row>
    <row r="865" spans="1:3" x14ac:dyDescent="0.3">
      <c r="A865" s="1">
        <v>1001907</v>
      </c>
      <c r="B865" s="2" t="s">
        <v>882</v>
      </c>
      <c r="C865" s="9">
        <v>1953.61331300813</v>
      </c>
    </row>
    <row r="866" spans="1:3" x14ac:dyDescent="0.3">
      <c r="A866" s="1">
        <v>1001908</v>
      </c>
      <c r="B866" s="2" t="s">
        <v>883</v>
      </c>
      <c r="C866" s="9">
        <v>1990.482303030303</v>
      </c>
    </row>
    <row r="867" spans="1:3" x14ac:dyDescent="0.3">
      <c r="A867" s="1">
        <v>1001909</v>
      </c>
      <c r="B867" s="2" t="s">
        <v>884</v>
      </c>
      <c r="C867" s="9">
        <v>0</v>
      </c>
    </row>
    <row r="868" spans="1:3" x14ac:dyDescent="0.3">
      <c r="A868" s="1">
        <v>1001910</v>
      </c>
      <c r="B868" s="2" t="s">
        <v>885</v>
      </c>
      <c r="C868" s="9">
        <v>65.88</v>
      </c>
    </row>
    <row r="869" spans="1:3" x14ac:dyDescent="0.3">
      <c r="A869" s="1">
        <v>1001911</v>
      </c>
      <c r="B869" s="2" t="s">
        <v>886</v>
      </c>
      <c r="C869" s="9">
        <v>87.48</v>
      </c>
    </row>
    <row r="870" spans="1:3" x14ac:dyDescent="0.3">
      <c r="A870" s="1">
        <v>1001912</v>
      </c>
      <c r="B870" s="2" t="s">
        <v>887</v>
      </c>
      <c r="C870" s="9">
        <v>64.599999999999994</v>
      </c>
    </row>
    <row r="871" spans="1:3" x14ac:dyDescent="0.3">
      <c r="A871" s="1">
        <v>1001913</v>
      </c>
      <c r="B871" s="2" t="s">
        <v>888</v>
      </c>
      <c r="C871" s="9">
        <v>299.05454545454501</v>
      </c>
    </row>
    <row r="872" spans="1:3" x14ac:dyDescent="0.3">
      <c r="A872" s="1">
        <v>1001914</v>
      </c>
      <c r="B872" s="2" t="s">
        <v>889</v>
      </c>
      <c r="C872" s="9">
        <v>45.4</v>
      </c>
    </row>
    <row r="873" spans="1:3" x14ac:dyDescent="0.3">
      <c r="A873" s="1">
        <v>1001915</v>
      </c>
      <c r="B873" s="2" t="s">
        <v>890</v>
      </c>
      <c r="C873" s="9">
        <v>45.4</v>
      </c>
    </row>
    <row r="874" spans="1:3" x14ac:dyDescent="0.3">
      <c r="A874" s="1">
        <v>1001916</v>
      </c>
      <c r="B874" s="2" t="s">
        <v>891</v>
      </c>
      <c r="C874" s="9">
        <v>1</v>
      </c>
    </row>
    <row r="875" spans="1:3" x14ac:dyDescent="0.3">
      <c r="A875" s="1">
        <v>1001917</v>
      </c>
      <c r="B875" s="2" t="s">
        <v>892</v>
      </c>
      <c r="C875" s="9">
        <v>898</v>
      </c>
    </row>
    <row r="876" spans="1:3" x14ac:dyDescent="0.3">
      <c r="A876" s="1">
        <v>1001919</v>
      </c>
      <c r="B876" s="2" t="s">
        <v>893</v>
      </c>
      <c r="C876" s="9">
        <v>0</v>
      </c>
    </row>
    <row r="877" spans="1:3" x14ac:dyDescent="0.3">
      <c r="A877" s="1">
        <v>1001921</v>
      </c>
      <c r="B877" s="2" t="s">
        <v>894</v>
      </c>
      <c r="C877" s="9">
        <v>124.33999999999999</v>
      </c>
    </row>
    <row r="878" spans="1:3" x14ac:dyDescent="0.3">
      <c r="A878" s="1">
        <v>1001922</v>
      </c>
      <c r="B878" s="2" t="s">
        <v>895</v>
      </c>
      <c r="C878" s="9">
        <v>212.28000000000003</v>
      </c>
    </row>
    <row r="879" spans="1:3" x14ac:dyDescent="0.3">
      <c r="A879" s="1">
        <v>1001925</v>
      </c>
      <c r="B879" s="2" t="s">
        <v>896</v>
      </c>
      <c r="C879" s="9">
        <v>23.3333333333333</v>
      </c>
    </row>
    <row r="880" spans="1:3" x14ac:dyDescent="0.3">
      <c r="A880" s="1">
        <v>1001926</v>
      </c>
      <c r="B880" s="2" t="s">
        <v>897</v>
      </c>
      <c r="C880" s="9">
        <v>30</v>
      </c>
    </row>
    <row r="881" spans="1:3" x14ac:dyDescent="0.3">
      <c r="A881" s="1">
        <v>1001927</v>
      </c>
      <c r="B881" s="2" t="s">
        <v>898</v>
      </c>
      <c r="C881" s="9">
        <v>26</v>
      </c>
    </row>
    <row r="882" spans="1:3" x14ac:dyDescent="0.3">
      <c r="A882" s="1">
        <v>1001928</v>
      </c>
      <c r="B882" s="2" t="s">
        <v>899</v>
      </c>
      <c r="C882" s="9">
        <v>260.98265362318801</v>
      </c>
    </row>
    <row r="883" spans="1:3" x14ac:dyDescent="0.3">
      <c r="A883" s="1">
        <v>1001930</v>
      </c>
      <c r="B883" s="2" t="s">
        <v>900</v>
      </c>
      <c r="C883" s="9">
        <v>1267.4970712316201</v>
      </c>
    </row>
    <row r="884" spans="1:3" x14ac:dyDescent="0.3">
      <c r="A884" s="1">
        <v>1001933</v>
      </c>
      <c r="B884" s="2" t="s">
        <v>901</v>
      </c>
      <c r="C884" s="9">
        <v>378.1074553571429</v>
      </c>
    </row>
    <row r="885" spans="1:3" x14ac:dyDescent="0.3">
      <c r="A885" s="1">
        <v>1001934</v>
      </c>
      <c r="B885" s="2" t="s">
        <v>902</v>
      </c>
      <c r="C885" s="9">
        <v>22.1428571428571</v>
      </c>
    </row>
    <row r="886" spans="1:3" x14ac:dyDescent="0.3">
      <c r="A886" s="1">
        <v>1001936</v>
      </c>
      <c r="B886" s="2" t="s">
        <v>903</v>
      </c>
      <c r="C886" s="9">
        <v>580.35950769230794</v>
      </c>
    </row>
    <row r="887" spans="1:3" x14ac:dyDescent="0.3">
      <c r="A887" s="1">
        <v>1001937</v>
      </c>
      <c r="B887" s="2" t="s">
        <v>904</v>
      </c>
      <c r="C887" s="9">
        <v>51.300981818181803</v>
      </c>
    </row>
    <row r="888" spans="1:3" x14ac:dyDescent="0.3">
      <c r="A888" s="1">
        <v>1001938</v>
      </c>
      <c r="B888" s="2" t="s">
        <v>905</v>
      </c>
      <c r="C888" s="9">
        <v>301.608</v>
      </c>
    </row>
    <row r="889" spans="1:3" x14ac:dyDescent="0.3">
      <c r="A889" s="1">
        <v>1001939</v>
      </c>
      <c r="B889" s="2" t="s">
        <v>906</v>
      </c>
      <c r="C889" s="9">
        <v>1091.5487796735899</v>
      </c>
    </row>
    <row r="890" spans="1:3" x14ac:dyDescent="0.3">
      <c r="A890" s="1">
        <v>1001940</v>
      </c>
      <c r="B890" s="2" t="s">
        <v>907</v>
      </c>
      <c r="C890" s="9">
        <v>410.32309999999995</v>
      </c>
    </row>
    <row r="891" spans="1:3" x14ac:dyDescent="0.3">
      <c r="A891" s="1">
        <v>1001941</v>
      </c>
      <c r="B891" s="2" t="s">
        <v>908</v>
      </c>
      <c r="C891" s="9">
        <v>50</v>
      </c>
    </row>
    <row r="892" spans="1:3" x14ac:dyDescent="0.3">
      <c r="A892" s="1">
        <v>1001942</v>
      </c>
      <c r="B892" s="2" t="s">
        <v>909</v>
      </c>
      <c r="C892" s="9">
        <v>4.96428571428571</v>
      </c>
    </row>
    <row r="893" spans="1:3" x14ac:dyDescent="0.3">
      <c r="A893" s="1">
        <v>1001943</v>
      </c>
      <c r="B893" s="2" t="s">
        <v>910</v>
      </c>
      <c r="C893" s="9">
        <v>25.066398465446628</v>
      </c>
    </row>
    <row r="894" spans="1:3" x14ac:dyDescent="0.3">
      <c r="A894" s="1">
        <v>1001945</v>
      </c>
      <c r="B894" s="2" t="s">
        <v>911</v>
      </c>
      <c r="C894" s="9">
        <v>12.6421129069151</v>
      </c>
    </row>
    <row r="895" spans="1:3" x14ac:dyDescent="0.3">
      <c r="A895" s="1">
        <v>1001948</v>
      </c>
      <c r="B895" s="2" t="s">
        <v>912</v>
      </c>
      <c r="C895" s="9">
        <v>2.259245068823613</v>
      </c>
    </row>
    <row r="896" spans="1:3" x14ac:dyDescent="0.3">
      <c r="A896" s="1">
        <v>1001949</v>
      </c>
      <c r="B896" s="2" t="s">
        <v>913</v>
      </c>
      <c r="C896" s="9">
        <v>234.76</v>
      </c>
    </row>
    <row r="897" spans="1:3" x14ac:dyDescent="0.3">
      <c r="A897" s="1">
        <v>1001950</v>
      </c>
      <c r="B897" s="2" t="s">
        <v>914</v>
      </c>
      <c r="C897" s="9">
        <v>3588.5833333333298</v>
      </c>
    </row>
    <row r="898" spans="1:3" x14ac:dyDescent="0.3">
      <c r="A898" s="1">
        <v>1001952</v>
      </c>
      <c r="B898" s="2" t="s">
        <v>915</v>
      </c>
      <c r="C898" s="9">
        <v>2600.3255072463767</v>
      </c>
    </row>
    <row r="899" spans="1:3" x14ac:dyDescent="0.3">
      <c r="A899" s="1">
        <v>1001953</v>
      </c>
      <c r="B899" s="2" t="s">
        <v>916</v>
      </c>
      <c r="C899" s="9">
        <v>105.02</v>
      </c>
    </row>
    <row r="900" spans="1:3" x14ac:dyDescent="0.3">
      <c r="A900" s="1">
        <v>1001955</v>
      </c>
      <c r="B900" s="2" t="s">
        <v>917</v>
      </c>
      <c r="C900" s="9">
        <v>1365.9771369980499</v>
      </c>
    </row>
    <row r="901" spans="1:3" x14ac:dyDescent="0.3">
      <c r="A901" s="1">
        <v>1001956</v>
      </c>
      <c r="B901" s="2" t="s">
        <v>918</v>
      </c>
      <c r="C901" s="9">
        <v>1348.8893163570201</v>
      </c>
    </row>
    <row r="902" spans="1:3" x14ac:dyDescent="0.3">
      <c r="A902" s="1">
        <v>1001959</v>
      </c>
      <c r="B902" s="2" t="s">
        <v>919</v>
      </c>
      <c r="C902" s="9">
        <v>119.48</v>
      </c>
    </row>
    <row r="903" spans="1:3" x14ac:dyDescent="0.3">
      <c r="A903" s="1">
        <v>1001960</v>
      </c>
      <c r="B903" s="2" t="s">
        <v>920</v>
      </c>
      <c r="C903" s="9">
        <v>1342.00545454545</v>
      </c>
    </row>
    <row r="904" spans="1:3" x14ac:dyDescent="0.3">
      <c r="A904" s="1">
        <v>1001964</v>
      </c>
      <c r="B904" s="2" t="s">
        <v>921</v>
      </c>
      <c r="C904" s="9">
        <v>0</v>
      </c>
    </row>
    <row r="905" spans="1:3" x14ac:dyDescent="0.3">
      <c r="A905" s="1">
        <v>1001966</v>
      </c>
      <c r="B905" s="2" t="s">
        <v>922</v>
      </c>
      <c r="C905" s="9">
        <v>4248</v>
      </c>
    </row>
    <row r="906" spans="1:3" x14ac:dyDescent="0.3">
      <c r="A906" s="1">
        <v>1001967</v>
      </c>
      <c r="B906" s="2" t="s">
        <v>923</v>
      </c>
      <c r="C906" s="9">
        <v>1152.1924071856299</v>
      </c>
    </row>
    <row r="907" spans="1:3" x14ac:dyDescent="0.3">
      <c r="A907" s="1">
        <v>1001968</v>
      </c>
      <c r="B907" s="2" t="s">
        <v>924</v>
      </c>
      <c r="C907" s="9">
        <v>103.032353367618</v>
      </c>
    </row>
    <row r="908" spans="1:3" x14ac:dyDescent="0.3">
      <c r="A908" s="1">
        <v>1001970</v>
      </c>
      <c r="B908" s="2" t="s">
        <v>925</v>
      </c>
      <c r="C908" s="9">
        <v>442.34666666666698</v>
      </c>
    </row>
    <row r="909" spans="1:3" x14ac:dyDescent="0.3">
      <c r="A909" s="1">
        <v>1001971</v>
      </c>
      <c r="B909" s="2" t="s">
        <v>926</v>
      </c>
      <c r="C909" s="9">
        <v>1572.36</v>
      </c>
    </row>
    <row r="910" spans="1:3" x14ac:dyDescent="0.3">
      <c r="A910" s="1">
        <v>1001972</v>
      </c>
      <c r="B910" s="2" t="s">
        <v>927</v>
      </c>
      <c r="C910" s="9">
        <v>812.86916264687704</v>
      </c>
    </row>
    <row r="911" spans="1:3" x14ac:dyDescent="0.3">
      <c r="A911" s="1">
        <v>1001973</v>
      </c>
      <c r="B911" s="2" t="s">
        <v>928</v>
      </c>
      <c r="C911" s="9">
        <v>106.2</v>
      </c>
    </row>
    <row r="912" spans="1:3" x14ac:dyDescent="0.3">
      <c r="A912" s="1">
        <v>1001975</v>
      </c>
      <c r="B912" s="2" t="s">
        <v>929</v>
      </c>
      <c r="C912" s="9">
        <v>40.802744144940348</v>
      </c>
    </row>
    <row r="913" spans="1:3" x14ac:dyDescent="0.3">
      <c r="A913" s="1">
        <v>1001976</v>
      </c>
      <c r="B913" s="2" t="s">
        <v>930</v>
      </c>
      <c r="C913" s="9">
        <v>765.30738773686005</v>
      </c>
    </row>
    <row r="914" spans="1:3" x14ac:dyDescent="0.3">
      <c r="A914" s="1">
        <v>1001977</v>
      </c>
      <c r="B914" s="2" t="s">
        <v>931</v>
      </c>
      <c r="C914" s="9">
        <v>1358.9214285714299</v>
      </c>
    </row>
    <row r="915" spans="1:3" x14ac:dyDescent="0.3">
      <c r="A915" s="1">
        <v>1001978</v>
      </c>
      <c r="B915" s="2" t="s">
        <v>932</v>
      </c>
      <c r="C915" s="9">
        <v>1591.4178947368421</v>
      </c>
    </row>
    <row r="916" spans="1:3" x14ac:dyDescent="0.3">
      <c r="A916" s="1">
        <v>1001982</v>
      </c>
      <c r="B916" s="2" t="s">
        <v>934</v>
      </c>
      <c r="C916" s="9">
        <v>335.97623327044101</v>
      </c>
    </row>
    <row r="917" spans="1:3" x14ac:dyDescent="0.3">
      <c r="A917" s="1">
        <v>1001986</v>
      </c>
      <c r="B917" s="2" t="s">
        <v>936</v>
      </c>
      <c r="C917" s="9">
        <v>1.46</v>
      </c>
    </row>
    <row r="918" spans="1:3" x14ac:dyDescent="0.3">
      <c r="A918" s="1">
        <v>1001989</v>
      </c>
      <c r="B918" s="2" t="s">
        <v>938</v>
      </c>
      <c r="C918" s="9">
        <v>4.5725950978025596</v>
      </c>
    </row>
    <row r="919" spans="1:3" x14ac:dyDescent="0.3">
      <c r="A919" s="1">
        <v>1001990</v>
      </c>
      <c r="B919" s="2" t="s">
        <v>939</v>
      </c>
      <c r="C919" s="9">
        <v>3.1152000000000002</v>
      </c>
    </row>
    <row r="920" spans="1:3" x14ac:dyDescent="0.3">
      <c r="A920" s="1">
        <v>1001994</v>
      </c>
      <c r="B920" s="2" t="s">
        <v>940</v>
      </c>
      <c r="C920" s="9">
        <v>5083.77264731589</v>
      </c>
    </row>
    <row r="921" spans="1:3" x14ac:dyDescent="0.3">
      <c r="A921" s="1">
        <v>1001998</v>
      </c>
      <c r="B921" s="2" t="s">
        <v>941</v>
      </c>
      <c r="C921" s="9">
        <v>1664.7447358003401</v>
      </c>
    </row>
    <row r="922" spans="1:3" x14ac:dyDescent="0.3">
      <c r="A922" s="1">
        <v>1001999</v>
      </c>
      <c r="B922" s="2" t="s">
        <v>942</v>
      </c>
      <c r="C922" s="9">
        <v>1090.5999999999999</v>
      </c>
    </row>
    <row r="923" spans="1:3" x14ac:dyDescent="0.3">
      <c r="A923" s="1">
        <v>1002003</v>
      </c>
      <c r="B923" s="2" t="s">
        <v>943</v>
      </c>
      <c r="C923" s="9">
        <v>313.95891764705902</v>
      </c>
    </row>
    <row r="924" spans="1:3" x14ac:dyDescent="0.3">
      <c r="A924" s="1">
        <v>1002008</v>
      </c>
      <c r="B924" s="2" t="s">
        <v>944</v>
      </c>
      <c r="C924" s="9">
        <v>3.1151039501039501</v>
      </c>
    </row>
    <row r="925" spans="1:3" x14ac:dyDescent="0.3">
      <c r="A925" s="1">
        <v>1002010</v>
      </c>
      <c r="B925" s="2" t="s">
        <v>945</v>
      </c>
      <c r="C925" s="9">
        <v>1627.6351368599801</v>
      </c>
    </row>
    <row r="926" spans="1:3" x14ac:dyDescent="0.3">
      <c r="A926" s="1">
        <v>1002012</v>
      </c>
      <c r="B926" s="2" t="s">
        <v>946</v>
      </c>
      <c r="C926" s="9">
        <v>1</v>
      </c>
    </row>
    <row r="927" spans="1:3" x14ac:dyDescent="0.3">
      <c r="A927" s="1">
        <v>1002013</v>
      </c>
      <c r="B927" s="2" t="s">
        <v>947</v>
      </c>
      <c r="C927" s="9">
        <v>0.77777777777777801</v>
      </c>
    </row>
    <row r="928" spans="1:3" x14ac:dyDescent="0.3">
      <c r="A928" s="1">
        <v>1002015</v>
      </c>
      <c r="B928" s="2" t="s">
        <v>948</v>
      </c>
      <c r="C928" s="9">
        <v>94.05</v>
      </c>
    </row>
    <row r="929" spans="1:3" x14ac:dyDescent="0.3">
      <c r="A929" s="1">
        <v>1002016</v>
      </c>
      <c r="B929" s="2" t="s">
        <v>949</v>
      </c>
      <c r="C929" s="9">
        <v>544.24357138269397</v>
      </c>
    </row>
    <row r="930" spans="1:3" x14ac:dyDescent="0.3">
      <c r="A930" s="1">
        <v>1002019</v>
      </c>
      <c r="B930" s="2" t="s">
        <v>950</v>
      </c>
      <c r="C930" s="9">
        <v>146.96724427083333</v>
      </c>
    </row>
    <row r="931" spans="1:3" x14ac:dyDescent="0.3">
      <c r="A931" s="1">
        <v>1002020</v>
      </c>
      <c r="B931" s="2" t="s">
        <v>951</v>
      </c>
      <c r="C931" s="9">
        <v>301.183280966361</v>
      </c>
    </row>
    <row r="932" spans="1:3" x14ac:dyDescent="0.3">
      <c r="A932" s="1">
        <v>1002021</v>
      </c>
      <c r="B932" s="2" t="s">
        <v>952</v>
      </c>
      <c r="C932" s="9">
        <v>1562.7605997855001</v>
      </c>
    </row>
    <row r="933" spans="1:3" x14ac:dyDescent="0.3">
      <c r="A933" s="1">
        <v>1002022</v>
      </c>
      <c r="B933" s="2" t="s">
        <v>953</v>
      </c>
      <c r="C933" s="9">
        <v>2205.30125</v>
      </c>
    </row>
    <row r="934" spans="1:3" x14ac:dyDescent="0.3">
      <c r="A934" s="1">
        <v>1002023</v>
      </c>
      <c r="B934" s="2" t="s">
        <v>954</v>
      </c>
      <c r="C934" s="9">
        <v>478.72</v>
      </c>
    </row>
    <row r="935" spans="1:3" x14ac:dyDescent="0.3">
      <c r="A935" s="1">
        <v>1002024</v>
      </c>
      <c r="B935" s="2" t="s">
        <v>955</v>
      </c>
      <c r="C935" s="9">
        <v>720.71627185548596</v>
      </c>
    </row>
    <row r="936" spans="1:3" x14ac:dyDescent="0.3">
      <c r="A936" s="1">
        <v>1002028</v>
      </c>
      <c r="B936" s="2" t="s">
        <v>956</v>
      </c>
      <c r="C936" s="9">
        <v>1146.9314179273699</v>
      </c>
    </row>
    <row r="937" spans="1:3" x14ac:dyDescent="0.3">
      <c r="A937" s="1">
        <v>1002029</v>
      </c>
      <c r="B937" s="2" t="s">
        <v>957</v>
      </c>
      <c r="C937" s="9">
        <v>0.77777777777777801</v>
      </c>
    </row>
    <row r="938" spans="1:3" x14ac:dyDescent="0.3">
      <c r="A938" s="1">
        <v>1002038</v>
      </c>
      <c r="B938" s="2" t="s">
        <v>959</v>
      </c>
      <c r="C938" s="9">
        <v>1482.29</v>
      </c>
    </row>
    <row r="939" spans="1:3" x14ac:dyDescent="0.3">
      <c r="A939" s="1">
        <v>1002039</v>
      </c>
      <c r="B939" s="2" t="s">
        <v>960</v>
      </c>
      <c r="C939" s="9">
        <v>1169.0261540959</v>
      </c>
    </row>
    <row r="940" spans="1:3" x14ac:dyDescent="0.3">
      <c r="A940" s="1">
        <v>1002040</v>
      </c>
      <c r="B940" s="2" t="s">
        <v>961</v>
      </c>
      <c r="C940" s="9">
        <v>26.431999999999999</v>
      </c>
    </row>
    <row r="941" spans="1:3" x14ac:dyDescent="0.3">
      <c r="A941" s="1">
        <v>1002048</v>
      </c>
      <c r="B941" s="2" t="s">
        <v>962</v>
      </c>
      <c r="C941" s="9">
        <v>0</v>
      </c>
    </row>
    <row r="942" spans="1:3" x14ac:dyDescent="0.3">
      <c r="A942" s="1">
        <v>1002049</v>
      </c>
      <c r="B942" s="2" t="s">
        <v>963</v>
      </c>
      <c r="C942" s="9">
        <v>991.69999999999993</v>
      </c>
    </row>
    <row r="943" spans="1:3" x14ac:dyDescent="0.3">
      <c r="A943" s="1">
        <v>1002050</v>
      </c>
      <c r="B943" s="2" t="s">
        <v>964</v>
      </c>
      <c r="C943" s="9">
        <v>44.538133333333299</v>
      </c>
    </row>
    <row r="944" spans="1:3" x14ac:dyDescent="0.3">
      <c r="A944" s="1">
        <v>1002051</v>
      </c>
      <c r="B944" s="2" t="s">
        <v>965</v>
      </c>
      <c r="C944" s="9">
        <v>135.24</v>
      </c>
    </row>
    <row r="945" spans="1:3" x14ac:dyDescent="0.3">
      <c r="A945" s="1">
        <v>1002052</v>
      </c>
      <c r="B945" s="2" t="s">
        <v>966</v>
      </c>
      <c r="C945" s="9">
        <v>963.58465517241382</v>
      </c>
    </row>
    <row r="946" spans="1:3" x14ac:dyDescent="0.3">
      <c r="A946" s="1">
        <v>1002053</v>
      </c>
      <c r="B946" s="2" t="s">
        <v>967</v>
      </c>
      <c r="C946" s="9">
        <v>30452.81</v>
      </c>
    </row>
    <row r="947" spans="1:3" x14ac:dyDescent="0.3">
      <c r="A947" s="1">
        <v>1002068</v>
      </c>
      <c r="B947" s="2" t="s">
        <v>968</v>
      </c>
      <c r="C947" s="9">
        <v>5758.73</v>
      </c>
    </row>
    <row r="948" spans="1:3" x14ac:dyDescent="0.3">
      <c r="A948" s="1">
        <v>1002069</v>
      </c>
      <c r="B948" s="2" t="s">
        <v>969</v>
      </c>
      <c r="C948" s="9">
        <v>5313.2940812013303</v>
      </c>
    </row>
    <row r="949" spans="1:3" x14ac:dyDescent="0.3">
      <c r="A949" s="1">
        <v>1002073</v>
      </c>
      <c r="B949" s="2" t="s">
        <v>970</v>
      </c>
      <c r="C949" s="9">
        <v>5583.89</v>
      </c>
    </row>
    <row r="950" spans="1:3" x14ac:dyDescent="0.3">
      <c r="A950" s="1">
        <v>1002074</v>
      </c>
      <c r="B950" s="2" t="s">
        <v>971</v>
      </c>
      <c r="C950" s="9">
        <v>10996.97</v>
      </c>
    </row>
    <row r="951" spans="1:3" x14ac:dyDescent="0.3">
      <c r="A951" s="1">
        <v>1002075</v>
      </c>
      <c r="B951" s="2" t="s">
        <v>972</v>
      </c>
      <c r="C951" s="9">
        <v>10996.97</v>
      </c>
    </row>
    <row r="952" spans="1:3" x14ac:dyDescent="0.3">
      <c r="A952" s="1">
        <v>1002076</v>
      </c>
      <c r="B952" s="2" t="s">
        <v>973</v>
      </c>
      <c r="C952" s="9">
        <v>147.918662222222</v>
      </c>
    </row>
    <row r="953" spans="1:3" x14ac:dyDescent="0.3">
      <c r="A953" s="1">
        <v>1002077</v>
      </c>
      <c r="B953" s="2" t="s">
        <v>974</v>
      </c>
      <c r="C953" s="9">
        <v>502.677970767555</v>
      </c>
    </row>
    <row r="954" spans="1:3" x14ac:dyDescent="0.3">
      <c r="A954" s="1">
        <v>1002079</v>
      </c>
      <c r="B954" s="2" t="s">
        <v>975</v>
      </c>
      <c r="C954" s="9">
        <v>0</v>
      </c>
    </row>
    <row r="955" spans="1:3" x14ac:dyDescent="0.3">
      <c r="A955" s="1">
        <v>1002080</v>
      </c>
      <c r="B955" s="2" t="s">
        <v>976</v>
      </c>
      <c r="C955" s="9">
        <v>1909.42035087719</v>
      </c>
    </row>
    <row r="956" spans="1:3" x14ac:dyDescent="0.3">
      <c r="A956" s="1">
        <v>1002082</v>
      </c>
      <c r="B956" s="2" t="s">
        <v>977</v>
      </c>
      <c r="C956" s="9">
        <v>1659.91264428107</v>
      </c>
    </row>
    <row r="957" spans="1:3" x14ac:dyDescent="0.3">
      <c r="A957" s="1">
        <v>1002083</v>
      </c>
      <c r="B957" s="2" t="s">
        <v>978</v>
      </c>
      <c r="C957" s="9">
        <v>2361.6746982230002</v>
      </c>
    </row>
    <row r="958" spans="1:3" x14ac:dyDescent="0.3">
      <c r="A958" s="1">
        <v>1002084</v>
      </c>
      <c r="B958" s="2" t="s">
        <v>979</v>
      </c>
      <c r="C958" s="9">
        <v>30560.880937499998</v>
      </c>
    </row>
    <row r="959" spans="1:3" x14ac:dyDescent="0.3">
      <c r="A959" s="1">
        <v>1002085</v>
      </c>
      <c r="B959" s="2" t="s">
        <v>980</v>
      </c>
      <c r="C959" s="9">
        <v>2265.50073385013</v>
      </c>
    </row>
    <row r="960" spans="1:3" x14ac:dyDescent="0.3">
      <c r="A960" s="1">
        <v>1002087</v>
      </c>
      <c r="B960" s="2" t="s">
        <v>981</v>
      </c>
      <c r="C960" s="9">
        <v>1272.5381463378701</v>
      </c>
    </row>
    <row r="961" spans="1:3" x14ac:dyDescent="0.3">
      <c r="A961" s="1">
        <v>1002088</v>
      </c>
      <c r="B961" s="2" t="s">
        <v>982</v>
      </c>
      <c r="C961" s="9">
        <v>5774.8357203672804</v>
      </c>
    </row>
    <row r="962" spans="1:3" x14ac:dyDescent="0.3">
      <c r="A962" s="1">
        <v>1002089</v>
      </c>
      <c r="B962" s="2" t="s">
        <v>983</v>
      </c>
      <c r="C962" s="9">
        <v>1937.9574207297001</v>
      </c>
    </row>
    <row r="963" spans="1:3" x14ac:dyDescent="0.3">
      <c r="A963" s="1">
        <v>1002095</v>
      </c>
      <c r="B963" s="2" t="s">
        <v>984</v>
      </c>
      <c r="C963" s="9">
        <v>10281.369999999999</v>
      </c>
    </row>
    <row r="964" spans="1:3" x14ac:dyDescent="0.3">
      <c r="A964" s="1">
        <v>1002097</v>
      </c>
      <c r="B964" s="2" t="s">
        <v>985</v>
      </c>
      <c r="C964" s="9">
        <v>15254.4743041208</v>
      </c>
    </row>
    <row r="965" spans="1:3" x14ac:dyDescent="0.3">
      <c r="A965" s="1">
        <v>1002098</v>
      </c>
      <c r="B965" s="2" t="s">
        <v>986</v>
      </c>
      <c r="C965" s="9">
        <v>21266.626139494801</v>
      </c>
    </row>
    <row r="966" spans="1:3" x14ac:dyDescent="0.3">
      <c r="A966" s="1">
        <v>1002099</v>
      </c>
      <c r="B966" s="2" t="s">
        <v>987</v>
      </c>
      <c r="C966" s="9">
        <v>38599.595833333296</v>
      </c>
    </row>
    <row r="967" spans="1:3" x14ac:dyDescent="0.3">
      <c r="A967" s="1">
        <v>1002100</v>
      </c>
      <c r="B967" s="2" t="s">
        <v>988</v>
      </c>
      <c r="C967" s="9">
        <v>27564.3</v>
      </c>
    </row>
    <row r="968" spans="1:3" x14ac:dyDescent="0.3">
      <c r="A968" s="1">
        <v>1002101</v>
      </c>
      <c r="B968" s="2" t="s">
        <v>989</v>
      </c>
      <c r="C968" s="9">
        <v>35203.22</v>
      </c>
    </row>
    <row r="969" spans="1:3" x14ac:dyDescent="0.3">
      <c r="A969" s="1">
        <v>1002102</v>
      </c>
      <c r="B969" s="2" t="s">
        <v>990</v>
      </c>
      <c r="C969" s="9">
        <v>33611.491072069897</v>
      </c>
    </row>
    <row r="970" spans="1:3" x14ac:dyDescent="0.3">
      <c r="A970" s="1">
        <v>1002103</v>
      </c>
      <c r="B970" s="2" t="s">
        <v>991</v>
      </c>
      <c r="C970" s="9">
        <v>37886.506886415402</v>
      </c>
    </row>
    <row r="971" spans="1:3" x14ac:dyDescent="0.3">
      <c r="A971" s="1">
        <v>1002104</v>
      </c>
      <c r="B971" s="2" t="s">
        <v>992</v>
      </c>
      <c r="C971" s="9">
        <v>40997.8014422263</v>
      </c>
    </row>
    <row r="972" spans="1:3" x14ac:dyDescent="0.3">
      <c r="A972" s="1">
        <v>1002105</v>
      </c>
      <c r="B972" s="2" t="s">
        <v>993</v>
      </c>
      <c r="C972" s="9">
        <v>0</v>
      </c>
    </row>
    <row r="973" spans="1:3" x14ac:dyDescent="0.3">
      <c r="A973" s="1">
        <v>1002106</v>
      </c>
      <c r="B973" s="2" t="s">
        <v>994</v>
      </c>
      <c r="C973" s="9">
        <v>0</v>
      </c>
    </row>
    <row r="974" spans="1:3" x14ac:dyDescent="0.3">
      <c r="A974" s="1">
        <v>1002107</v>
      </c>
      <c r="B974" s="2" t="s">
        <v>995</v>
      </c>
      <c r="C974" s="9">
        <v>15304.02</v>
      </c>
    </row>
    <row r="975" spans="1:3" x14ac:dyDescent="0.3">
      <c r="A975" s="1">
        <v>1002108</v>
      </c>
      <c r="B975" s="2" t="s">
        <v>996</v>
      </c>
      <c r="C975" s="9">
        <v>18500.519710775101</v>
      </c>
    </row>
    <row r="976" spans="1:3" x14ac:dyDescent="0.3">
      <c r="A976" s="1">
        <v>1002109</v>
      </c>
      <c r="B976" s="2" t="s">
        <v>997</v>
      </c>
      <c r="C976" s="9">
        <v>24531.732743447701</v>
      </c>
    </row>
    <row r="977" spans="1:3" x14ac:dyDescent="0.3">
      <c r="A977" s="1">
        <v>1002110</v>
      </c>
      <c r="B977" s="2" t="s">
        <v>998</v>
      </c>
      <c r="C977" s="9">
        <v>26889.285357917572</v>
      </c>
    </row>
    <row r="978" spans="1:3" x14ac:dyDescent="0.3">
      <c r="A978" s="1">
        <v>1002111</v>
      </c>
      <c r="B978" s="2" t="s">
        <v>999</v>
      </c>
      <c r="C978" s="9">
        <v>0</v>
      </c>
    </row>
    <row r="979" spans="1:3" x14ac:dyDescent="0.3">
      <c r="A979" s="1">
        <v>1002112</v>
      </c>
      <c r="B979" s="2" t="s">
        <v>1000</v>
      </c>
      <c r="C979" s="9">
        <v>33950.442644721399</v>
      </c>
    </row>
    <row r="980" spans="1:3" x14ac:dyDescent="0.3">
      <c r="A980" s="1">
        <v>1002113</v>
      </c>
      <c r="B980" s="2" t="s">
        <v>1001</v>
      </c>
      <c r="C980" s="9">
        <v>0</v>
      </c>
    </row>
    <row r="981" spans="1:3" x14ac:dyDescent="0.3">
      <c r="A981" s="1">
        <v>1002116</v>
      </c>
      <c r="B981" s="2" t="s">
        <v>1002</v>
      </c>
      <c r="C981" s="9">
        <v>0</v>
      </c>
    </row>
    <row r="982" spans="1:3" x14ac:dyDescent="0.3">
      <c r="A982" s="1">
        <v>1002117</v>
      </c>
      <c r="B982" s="2" t="s">
        <v>1003</v>
      </c>
      <c r="C982" s="9">
        <v>0</v>
      </c>
    </row>
    <row r="983" spans="1:3" x14ac:dyDescent="0.3">
      <c r="A983" s="1">
        <v>1002118</v>
      </c>
      <c r="B983" s="2" t="s">
        <v>1004</v>
      </c>
      <c r="C983" s="9">
        <v>0</v>
      </c>
    </row>
    <row r="984" spans="1:3" x14ac:dyDescent="0.3">
      <c r="A984" s="1">
        <v>1002119</v>
      </c>
      <c r="B984" s="2" t="s">
        <v>1005</v>
      </c>
      <c r="C984" s="9">
        <v>0</v>
      </c>
    </row>
    <row r="985" spans="1:3" x14ac:dyDescent="0.3">
      <c r="A985" s="1">
        <v>1002120</v>
      </c>
      <c r="B985" s="2" t="s">
        <v>1006</v>
      </c>
      <c r="C985" s="9">
        <v>0</v>
      </c>
    </row>
    <row r="986" spans="1:3" x14ac:dyDescent="0.3">
      <c r="A986" s="1">
        <v>1002121</v>
      </c>
      <c r="B986" s="2" t="s">
        <v>1007</v>
      </c>
      <c r="C986" s="9">
        <v>0</v>
      </c>
    </row>
    <row r="987" spans="1:3" x14ac:dyDescent="0.3">
      <c r="A987" s="1">
        <v>1002122</v>
      </c>
      <c r="B987" s="2" t="s">
        <v>1008</v>
      </c>
      <c r="C987" s="9">
        <v>0</v>
      </c>
    </row>
    <row r="988" spans="1:3" x14ac:dyDescent="0.3">
      <c r="A988" s="1">
        <v>1002124</v>
      </c>
      <c r="B988" s="2" t="s">
        <v>1009</v>
      </c>
      <c r="C988" s="9">
        <v>0</v>
      </c>
    </row>
    <row r="989" spans="1:3" x14ac:dyDescent="0.3">
      <c r="A989" s="1">
        <v>1002127</v>
      </c>
      <c r="B989" s="2" t="s">
        <v>1011</v>
      </c>
      <c r="C989" s="9">
        <v>34810</v>
      </c>
    </row>
    <row r="990" spans="1:3" x14ac:dyDescent="0.3">
      <c r="A990" s="1">
        <v>1002129</v>
      </c>
      <c r="B990" s="2" t="s">
        <v>1012</v>
      </c>
      <c r="C990" s="9">
        <v>60921.05</v>
      </c>
    </row>
    <row r="991" spans="1:3" x14ac:dyDescent="0.3">
      <c r="A991" s="1">
        <v>1002130</v>
      </c>
      <c r="B991" s="2" t="s">
        <v>1013</v>
      </c>
      <c r="C991" s="9">
        <v>5129.8222222222203</v>
      </c>
    </row>
    <row r="992" spans="1:3" x14ac:dyDescent="0.3">
      <c r="A992" s="1">
        <v>1002131</v>
      </c>
      <c r="B992" s="2" t="s">
        <v>1014</v>
      </c>
      <c r="C992" s="9">
        <v>540.47507683982701</v>
      </c>
    </row>
    <row r="993" spans="1:3" x14ac:dyDescent="0.3">
      <c r="A993" s="1">
        <v>1002132</v>
      </c>
      <c r="B993" s="2" t="s">
        <v>1015</v>
      </c>
      <c r="C993" s="9">
        <v>69.143193717277484</v>
      </c>
    </row>
    <row r="994" spans="1:3" x14ac:dyDescent="0.3">
      <c r="A994" s="1">
        <v>1002137</v>
      </c>
      <c r="B994" s="2" t="s">
        <v>1016</v>
      </c>
      <c r="C994" s="9">
        <v>158099.85775</v>
      </c>
    </row>
    <row r="995" spans="1:3" x14ac:dyDescent="0.3">
      <c r="A995" s="1">
        <v>1002140</v>
      </c>
      <c r="B995" s="2" t="s">
        <v>1017</v>
      </c>
      <c r="C995" s="9">
        <v>63.839999999999996</v>
      </c>
    </row>
    <row r="996" spans="1:3" x14ac:dyDescent="0.3">
      <c r="A996" s="1">
        <v>1002147</v>
      </c>
      <c r="B996" s="2" t="s">
        <v>1018</v>
      </c>
      <c r="C996" s="9">
        <v>28436.18</v>
      </c>
    </row>
    <row r="997" spans="1:3" x14ac:dyDescent="0.3">
      <c r="A997" s="1">
        <v>1002148</v>
      </c>
      <c r="B997" s="2" t="s">
        <v>1019</v>
      </c>
      <c r="C997" s="9">
        <v>7576.6789644073397</v>
      </c>
    </row>
    <row r="998" spans="1:3" x14ac:dyDescent="0.3">
      <c r="A998" s="1">
        <v>1002149</v>
      </c>
      <c r="B998" s="2" t="s">
        <v>1020</v>
      </c>
      <c r="C998" s="9">
        <v>7931.8999415296103</v>
      </c>
    </row>
    <row r="999" spans="1:3" x14ac:dyDescent="0.3">
      <c r="A999" s="1">
        <v>1002150</v>
      </c>
      <c r="B999" s="2" t="s">
        <v>1021</v>
      </c>
      <c r="C999" s="9">
        <v>9076.7635486302297</v>
      </c>
    </row>
    <row r="1000" spans="1:3" x14ac:dyDescent="0.3">
      <c r="A1000" s="1">
        <v>1002155</v>
      </c>
      <c r="B1000" s="2" t="s">
        <v>1022</v>
      </c>
      <c r="C1000" s="9">
        <v>21761.919510815402</v>
      </c>
    </row>
    <row r="1001" spans="1:3" x14ac:dyDescent="0.3">
      <c r="A1001" s="1">
        <v>1002156</v>
      </c>
      <c r="B1001" s="2" t="s">
        <v>1023</v>
      </c>
      <c r="C1001" s="9">
        <v>13518.28</v>
      </c>
    </row>
    <row r="1002" spans="1:3" x14ac:dyDescent="0.3">
      <c r="A1002" s="1">
        <v>1002158</v>
      </c>
      <c r="B1002" s="2" t="s">
        <v>1024</v>
      </c>
      <c r="C1002" s="9">
        <v>537202.07999999996</v>
      </c>
    </row>
    <row r="1003" spans="1:3" x14ac:dyDescent="0.3">
      <c r="A1003" s="1">
        <v>1002159</v>
      </c>
      <c r="B1003" s="2" t="s">
        <v>1025</v>
      </c>
      <c r="C1003" s="9">
        <v>112949.79</v>
      </c>
    </row>
    <row r="1004" spans="1:3" x14ac:dyDescent="0.3">
      <c r="A1004" s="1">
        <v>1002171</v>
      </c>
      <c r="B1004" s="2" t="s">
        <v>1026</v>
      </c>
      <c r="C1004" s="9">
        <v>15114.5053691021</v>
      </c>
    </row>
    <row r="1005" spans="1:3" x14ac:dyDescent="0.3">
      <c r="A1005" s="1">
        <v>1002172</v>
      </c>
      <c r="B1005" s="2" t="s">
        <v>1027</v>
      </c>
      <c r="C1005" s="9">
        <v>884.98517500000003</v>
      </c>
    </row>
    <row r="1006" spans="1:3" x14ac:dyDescent="0.3">
      <c r="A1006" s="1">
        <v>1002174</v>
      </c>
      <c r="B1006" s="2" t="s">
        <v>1028</v>
      </c>
      <c r="C1006" s="9">
        <v>15156.2755</v>
      </c>
    </row>
    <row r="1007" spans="1:3" x14ac:dyDescent="0.3">
      <c r="A1007" s="1">
        <v>1002183</v>
      </c>
      <c r="B1007" s="2" t="s">
        <v>1030</v>
      </c>
      <c r="C1007" s="9">
        <v>11.139454028558299</v>
      </c>
    </row>
    <row r="1008" spans="1:3" x14ac:dyDescent="0.3">
      <c r="A1008" s="1">
        <v>1002184</v>
      </c>
      <c r="B1008" s="2" t="s">
        <v>1031</v>
      </c>
      <c r="C1008" s="9">
        <v>14.6468214285714</v>
      </c>
    </row>
    <row r="1009" spans="1:3" x14ac:dyDescent="0.3">
      <c r="A1009" s="1">
        <v>1002185</v>
      </c>
      <c r="B1009" s="2" t="s">
        <v>1032</v>
      </c>
      <c r="C1009" s="9">
        <v>62.407627356026602</v>
      </c>
    </row>
    <row r="1010" spans="1:3" x14ac:dyDescent="0.3">
      <c r="A1010" s="1">
        <v>1002186</v>
      </c>
      <c r="B1010" s="2" t="s">
        <v>1033</v>
      </c>
      <c r="C1010" s="9">
        <v>325.80137483476199</v>
      </c>
    </row>
    <row r="1011" spans="1:3" x14ac:dyDescent="0.3">
      <c r="A1011" s="1">
        <v>1002187</v>
      </c>
      <c r="B1011" s="2" t="s">
        <v>1034</v>
      </c>
      <c r="C1011" s="9">
        <v>33.002001640689095</v>
      </c>
    </row>
    <row r="1012" spans="1:3" x14ac:dyDescent="0.3">
      <c r="A1012" s="1">
        <v>1002190</v>
      </c>
      <c r="B1012" s="2" t="s">
        <v>1035</v>
      </c>
      <c r="C1012" s="9">
        <v>22.093587310021192</v>
      </c>
    </row>
    <row r="1013" spans="1:3" x14ac:dyDescent="0.3">
      <c r="A1013" s="1">
        <v>1002191</v>
      </c>
      <c r="B1013" s="2" t="s">
        <v>1036</v>
      </c>
      <c r="C1013" s="9">
        <v>15.0759493794506</v>
      </c>
    </row>
    <row r="1014" spans="1:3" x14ac:dyDescent="0.3">
      <c r="A1014" s="1">
        <v>1002192</v>
      </c>
      <c r="B1014" s="2" t="s">
        <v>1037</v>
      </c>
      <c r="C1014" s="9">
        <v>247.8</v>
      </c>
    </row>
    <row r="1015" spans="1:3" x14ac:dyDescent="0.3">
      <c r="A1015" s="1">
        <v>1002194</v>
      </c>
      <c r="B1015" s="2" t="s">
        <v>1038</v>
      </c>
      <c r="C1015" s="9">
        <v>13.077598752598799</v>
      </c>
    </row>
    <row r="1016" spans="1:3" x14ac:dyDescent="0.3">
      <c r="A1016" s="1">
        <v>1002195</v>
      </c>
      <c r="B1016" s="2" t="s">
        <v>1039</v>
      </c>
      <c r="C1016" s="9">
        <v>0</v>
      </c>
    </row>
    <row r="1017" spans="1:3" x14ac:dyDescent="0.3">
      <c r="A1017" s="1">
        <v>1002196</v>
      </c>
      <c r="B1017" s="2" t="s">
        <v>1040</v>
      </c>
      <c r="C1017" s="9">
        <v>3.6830460304110302</v>
      </c>
    </row>
    <row r="1018" spans="1:3" x14ac:dyDescent="0.3">
      <c r="A1018" s="1">
        <v>1002197</v>
      </c>
      <c r="B1018" s="2" t="s">
        <v>1041</v>
      </c>
      <c r="C1018" s="9">
        <v>0.55000000000000004</v>
      </c>
    </row>
    <row r="1019" spans="1:3" x14ac:dyDescent="0.3">
      <c r="A1019" s="1">
        <v>1002198</v>
      </c>
      <c r="B1019" s="2" t="s">
        <v>1042</v>
      </c>
      <c r="C1019" s="9">
        <v>17.789077525805901</v>
      </c>
    </row>
    <row r="1020" spans="1:3" x14ac:dyDescent="0.3">
      <c r="A1020" s="1">
        <v>1002199</v>
      </c>
      <c r="B1020" s="2" t="s">
        <v>1043</v>
      </c>
      <c r="C1020" s="9">
        <v>6.5611220111127002</v>
      </c>
    </row>
    <row r="1021" spans="1:3" x14ac:dyDescent="0.3">
      <c r="A1021" s="1">
        <v>1002200</v>
      </c>
      <c r="B1021" s="2" t="s">
        <v>1044</v>
      </c>
      <c r="C1021" s="9">
        <v>4.8070500000000003</v>
      </c>
    </row>
    <row r="1022" spans="1:3" x14ac:dyDescent="0.3">
      <c r="A1022" s="1">
        <v>1002201</v>
      </c>
      <c r="B1022" s="2" t="s">
        <v>1045</v>
      </c>
      <c r="C1022" s="9">
        <v>19.7801197806643</v>
      </c>
    </row>
    <row r="1023" spans="1:3" x14ac:dyDescent="0.3">
      <c r="A1023" s="1">
        <v>1002203</v>
      </c>
      <c r="B1023" s="2" t="s">
        <v>1046</v>
      </c>
      <c r="C1023" s="9">
        <v>4.5962546893746596</v>
      </c>
    </row>
    <row r="1024" spans="1:3" x14ac:dyDescent="0.3">
      <c r="A1024" s="1">
        <v>1002204</v>
      </c>
      <c r="B1024" s="2" t="s">
        <v>1047</v>
      </c>
      <c r="C1024" s="9">
        <v>2.3196965300904102</v>
      </c>
    </row>
    <row r="1025" spans="1:3" x14ac:dyDescent="0.3">
      <c r="A1025" s="1">
        <v>1002205</v>
      </c>
      <c r="B1025" s="2" t="s">
        <v>1048</v>
      </c>
      <c r="C1025" s="9">
        <v>6.2595323335075825</v>
      </c>
    </row>
    <row r="1026" spans="1:3" x14ac:dyDescent="0.3">
      <c r="A1026" s="1">
        <v>1002207</v>
      </c>
      <c r="B1026" s="2" t="s">
        <v>1049</v>
      </c>
      <c r="C1026" s="9">
        <v>1</v>
      </c>
    </row>
    <row r="1027" spans="1:3" x14ac:dyDescent="0.3">
      <c r="A1027" s="1">
        <v>1002209</v>
      </c>
      <c r="B1027" s="2" t="s">
        <v>1050</v>
      </c>
      <c r="C1027" s="9">
        <v>29.217959702364134</v>
      </c>
    </row>
    <row r="1028" spans="1:3" x14ac:dyDescent="0.3">
      <c r="A1028" s="1">
        <v>1002216</v>
      </c>
      <c r="B1028" s="2" t="s">
        <v>1051</v>
      </c>
      <c r="C1028" s="9">
        <v>0.1</v>
      </c>
    </row>
    <row r="1029" spans="1:3" x14ac:dyDescent="0.3">
      <c r="A1029" s="1">
        <v>1002217</v>
      </c>
      <c r="B1029" s="2" t="s">
        <v>1052</v>
      </c>
      <c r="C1029" s="9">
        <v>171.13860661874699</v>
      </c>
    </row>
    <row r="1030" spans="1:3" x14ac:dyDescent="0.3">
      <c r="A1030" s="1">
        <v>1002218</v>
      </c>
      <c r="B1030" s="2" t="s">
        <v>1053</v>
      </c>
      <c r="C1030" s="9">
        <v>67.110642033271901</v>
      </c>
    </row>
    <row r="1031" spans="1:3" x14ac:dyDescent="0.3">
      <c r="A1031" s="1">
        <v>1002222</v>
      </c>
      <c r="B1031" s="2" t="s">
        <v>1054</v>
      </c>
      <c r="C1031" s="9">
        <v>185.78662464985999</v>
      </c>
    </row>
    <row r="1032" spans="1:3" x14ac:dyDescent="0.3">
      <c r="A1032" s="1">
        <v>1002223</v>
      </c>
      <c r="B1032" s="2" t="s">
        <v>1055</v>
      </c>
      <c r="C1032" s="9">
        <v>281.95794814814815</v>
      </c>
    </row>
    <row r="1033" spans="1:3" x14ac:dyDescent="0.3">
      <c r="A1033" s="1">
        <v>1002224</v>
      </c>
      <c r="B1033" s="2" t="s">
        <v>1056</v>
      </c>
      <c r="C1033" s="9">
        <v>278.68349978918201</v>
      </c>
    </row>
    <row r="1034" spans="1:3" x14ac:dyDescent="0.3">
      <c r="A1034" s="1">
        <v>1002225</v>
      </c>
      <c r="B1034" s="2" t="s">
        <v>1057</v>
      </c>
      <c r="C1034" s="9">
        <v>296.16872454819281</v>
      </c>
    </row>
    <row r="1035" spans="1:3" x14ac:dyDescent="0.3">
      <c r="A1035" s="1">
        <v>1002228</v>
      </c>
      <c r="B1035" s="2" t="s">
        <v>1058</v>
      </c>
      <c r="C1035" s="9">
        <v>11.386105971687124</v>
      </c>
    </row>
    <row r="1036" spans="1:3" x14ac:dyDescent="0.3">
      <c r="A1036" s="1">
        <v>1002229</v>
      </c>
      <c r="B1036" s="2" t="s">
        <v>1059</v>
      </c>
      <c r="C1036" s="9">
        <v>0.8</v>
      </c>
    </row>
    <row r="1037" spans="1:3" x14ac:dyDescent="0.3">
      <c r="A1037" s="1">
        <v>1002230</v>
      </c>
      <c r="B1037" s="2" t="s">
        <v>1060</v>
      </c>
      <c r="C1037" s="9">
        <v>1.427799043062201</v>
      </c>
    </row>
    <row r="1038" spans="1:3" x14ac:dyDescent="0.3">
      <c r="A1038" s="1">
        <v>1002231</v>
      </c>
      <c r="B1038" s="2" t="s">
        <v>1061</v>
      </c>
      <c r="C1038" s="9">
        <v>50.003799953299222</v>
      </c>
    </row>
    <row r="1039" spans="1:3" x14ac:dyDescent="0.3">
      <c r="A1039" s="1">
        <v>1002232</v>
      </c>
      <c r="B1039" s="2" t="s">
        <v>1062</v>
      </c>
      <c r="C1039" s="9">
        <v>17.585358503122698</v>
      </c>
    </row>
    <row r="1040" spans="1:3" x14ac:dyDescent="0.3">
      <c r="A1040" s="1">
        <v>1002233</v>
      </c>
      <c r="B1040" s="2" t="s">
        <v>1064</v>
      </c>
      <c r="C1040" s="9">
        <v>162.88076233183855</v>
      </c>
    </row>
    <row r="1041" spans="1:3" x14ac:dyDescent="0.3">
      <c r="A1041" s="1">
        <v>1002235</v>
      </c>
      <c r="B1041" s="2" t="s">
        <v>1065</v>
      </c>
      <c r="C1041" s="9">
        <v>0</v>
      </c>
    </row>
    <row r="1042" spans="1:3" x14ac:dyDescent="0.3">
      <c r="A1042" s="1">
        <v>1002236</v>
      </c>
      <c r="B1042" s="2" t="s">
        <v>1066</v>
      </c>
      <c r="C1042" s="9">
        <v>0.358333333333333</v>
      </c>
    </row>
    <row r="1043" spans="1:3" x14ac:dyDescent="0.3">
      <c r="A1043" s="1">
        <v>1002237</v>
      </c>
      <c r="B1043" s="2" t="s">
        <v>1067</v>
      </c>
      <c r="C1043" s="9">
        <v>1.0029999999999999</v>
      </c>
    </row>
    <row r="1044" spans="1:3" x14ac:dyDescent="0.3">
      <c r="A1044" s="1">
        <v>1002238</v>
      </c>
      <c r="B1044" s="2" t="s">
        <v>1068</v>
      </c>
      <c r="C1044" s="9">
        <v>3.5172744995940901</v>
      </c>
    </row>
    <row r="1045" spans="1:3" x14ac:dyDescent="0.3">
      <c r="A1045" s="1">
        <v>1002239</v>
      </c>
      <c r="B1045" s="2" t="s">
        <v>1069</v>
      </c>
      <c r="C1045" s="9">
        <v>1.1815875447535182</v>
      </c>
    </row>
    <row r="1046" spans="1:3" x14ac:dyDescent="0.3">
      <c r="A1046" s="1">
        <v>1002241</v>
      </c>
      <c r="B1046" s="2" t="s">
        <v>1070</v>
      </c>
      <c r="C1046" s="9">
        <v>1.78474028442475</v>
      </c>
    </row>
    <row r="1047" spans="1:3" x14ac:dyDescent="0.3">
      <c r="A1047" s="1">
        <v>1002243</v>
      </c>
      <c r="B1047" s="2" t="s">
        <v>1071</v>
      </c>
      <c r="C1047" s="9">
        <v>8.3521282051282046</v>
      </c>
    </row>
    <row r="1048" spans="1:3" x14ac:dyDescent="0.3">
      <c r="A1048" s="1">
        <v>1002247</v>
      </c>
      <c r="B1048" s="2" t="s">
        <v>1072</v>
      </c>
      <c r="C1048" s="9">
        <v>58</v>
      </c>
    </row>
    <row r="1049" spans="1:3" x14ac:dyDescent="0.3">
      <c r="A1049" s="1">
        <v>1002250</v>
      </c>
      <c r="B1049" s="2" t="s">
        <v>1073</v>
      </c>
      <c r="C1049" s="9">
        <v>40.002000000000002</v>
      </c>
    </row>
    <row r="1050" spans="1:3" x14ac:dyDescent="0.3">
      <c r="A1050" s="1">
        <v>1002251</v>
      </c>
      <c r="B1050" s="2" t="s">
        <v>1074</v>
      </c>
      <c r="C1050" s="9">
        <v>7.4857142857142804</v>
      </c>
    </row>
    <row r="1051" spans="1:3" x14ac:dyDescent="0.3">
      <c r="A1051" s="1">
        <v>1002257</v>
      </c>
      <c r="B1051" s="2" t="s">
        <v>1075</v>
      </c>
      <c r="C1051" s="9">
        <v>1.74</v>
      </c>
    </row>
    <row r="1052" spans="1:3" x14ac:dyDescent="0.3">
      <c r="A1052" s="1">
        <v>1002258</v>
      </c>
      <c r="B1052" s="2" t="s">
        <v>1076</v>
      </c>
      <c r="C1052" s="9">
        <v>0.24</v>
      </c>
    </row>
    <row r="1053" spans="1:3" x14ac:dyDescent="0.3">
      <c r="A1053" s="1">
        <v>1002262</v>
      </c>
      <c r="B1053" s="2" t="s">
        <v>1077</v>
      </c>
      <c r="C1053" s="9">
        <v>0</v>
      </c>
    </row>
    <row r="1054" spans="1:3" x14ac:dyDescent="0.3">
      <c r="A1054" s="1">
        <v>1002265</v>
      </c>
      <c r="B1054" s="2" t="s">
        <v>1078</v>
      </c>
      <c r="C1054" s="9">
        <v>0</v>
      </c>
    </row>
    <row r="1055" spans="1:3" x14ac:dyDescent="0.3">
      <c r="A1055" s="1">
        <v>1002267</v>
      </c>
      <c r="B1055" s="2" t="s">
        <v>1079</v>
      </c>
      <c r="C1055" s="9">
        <v>35.315406026027802</v>
      </c>
    </row>
    <row r="1056" spans="1:3" x14ac:dyDescent="0.3">
      <c r="A1056" s="1">
        <v>1002269</v>
      </c>
      <c r="B1056" s="2" t="s">
        <v>1080</v>
      </c>
      <c r="C1056" s="9">
        <v>6.6866666666666701</v>
      </c>
    </row>
    <row r="1057" spans="1:3" x14ac:dyDescent="0.3">
      <c r="A1057" s="1">
        <v>1002270</v>
      </c>
      <c r="B1057" s="2" t="s">
        <v>1081</v>
      </c>
      <c r="C1057" s="9">
        <v>6.5900000000000007</v>
      </c>
    </row>
    <row r="1058" spans="1:3" x14ac:dyDescent="0.3">
      <c r="A1058" s="1">
        <v>1002271</v>
      </c>
      <c r="B1058" s="2" t="s">
        <v>1082</v>
      </c>
      <c r="C1058" s="9">
        <v>4.5</v>
      </c>
    </row>
    <row r="1059" spans="1:3" x14ac:dyDescent="0.3">
      <c r="A1059" s="1">
        <v>1002272</v>
      </c>
      <c r="B1059" s="2" t="s">
        <v>1083</v>
      </c>
      <c r="C1059" s="9">
        <v>19.45</v>
      </c>
    </row>
    <row r="1060" spans="1:3" x14ac:dyDescent="0.3">
      <c r="A1060" s="1">
        <v>1002274</v>
      </c>
      <c r="B1060" s="2" t="s">
        <v>1084</v>
      </c>
      <c r="C1060" s="9">
        <v>1.25</v>
      </c>
    </row>
    <row r="1061" spans="1:3" x14ac:dyDescent="0.3">
      <c r="A1061" s="1">
        <v>1002275</v>
      </c>
      <c r="B1061" s="2" t="s">
        <v>1085</v>
      </c>
      <c r="C1061" s="9">
        <v>0</v>
      </c>
    </row>
    <row r="1062" spans="1:3" x14ac:dyDescent="0.3">
      <c r="A1062" s="1">
        <v>1002276</v>
      </c>
      <c r="B1062" s="2" t="s">
        <v>1086</v>
      </c>
      <c r="C1062" s="9">
        <v>0</v>
      </c>
    </row>
    <row r="1063" spans="1:3" x14ac:dyDescent="0.3">
      <c r="A1063" s="1">
        <v>1002282</v>
      </c>
      <c r="B1063" s="2" t="s">
        <v>1087</v>
      </c>
      <c r="C1063" s="9">
        <v>33.665660611766199</v>
      </c>
    </row>
    <row r="1064" spans="1:3" x14ac:dyDescent="0.3">
      <c r="A1064" s="1">
        <v>1002283</v>
      </c>
      <c r="B1064" s="2" t="s">
        <v>1088</v>
      </c>
      <c r="C1064" s="9">
        <v>65.751932074074901</v>
      </c>
    </row>
    <row r="1065" spans="1:3" x14ac:dyDescent="0.3">
      <c r="A1065" s="1">
        <v>1002284</v>
      </c>
      <c r="B1065" s="2" t="s">
        <v>1089</v>
      </c>
      <c r="C1065" s="9">
        <v>151.46285714285716</v>
      </c>
    </row>
    <row r="1066" spans="1:3" x14ac:dyDescent="0.3">
      <c r="A1066" s="1">
        <v>1002285</v>
      </c>
      <c r="B1066" s="2" t="s">
        <v>1090</v>
      </c>
      <c r="C1066" s="9">
        <v>23.159575781105101</v>
      </c>
    </row>
    <row r="1067" spans="1:3" x14ac:dyDescent="0.3">
      <c r="A1067" s="1">
        <v>1002286</v>
      </c>
      <c r="B1067" s="2" t="s">
        <v>1091</v>
      </c>
      <c r="C1067" s="9">
        <v>187.97400000000002</v>
      </c>
    </row>
    <row r="1068" spans="1:3" x14ac:dyDescent="0.3">
      <c r="A1068" s="1">
        <v>1002287</v>
      </c>
      <c r="B1068" s="2" t="s">
        <v>1092</v>
      </c>
      <c r="C1068" s="9">
        <v>187.32498507462688</v>
      </c>
    </row>
    <row r="1069" spans="1:3" x14ac:dyDescent="0.3">
      <c r="A1069" s="1">
        <v>1002288</v>
      </c>
      <c r="B1069" s="2" t="s">
        <v>1093</v>
      </c>
      <c r="C1069" s="9">
        <v>120.994973430043</v>
      </c>
    </row>
    <row r="1070" spans="1:3" x14ac:dyDescent="0.3">
      <c r="A1070" s="1">
        <v>1002290</v>
      </c>
      <c r="B1070" s="2" t="s">
        <v>1094</v>
      </c>
      <c r="C1070" s="9">
        <v>159.1819975490196</v>
      </c>
    </row>
    <row r="1071" spans="1:3" x14ac:dyDescent="0.3">
      <c r="A1071" s="1">
        <v>1002291</v>
      </c>
      <c r="B1071" s="2" t="s">
        <v>1095</v>
      </c>
      <c r="C1071" s="9">
        <v>83.16</v>
      </c>
    </row>
    <row r="1072" spans="1:3" x14ac:dyDescent="0.3">
      <c r="A1072" s="1">
        <v>1002294</v>
      </c>
      <c r="B1072" s="2" t="s">
        <v>1096</v>
      </c>
      <c r="C1072" s="9">
        <v>140.265681470467</v>
      </c>
    </row>
    <row r="1073" spans="1:3" x14ac:dyDescent="0.3">
      <c r="A1073" s="1">
        <v>1002295</v>
      </c>
      <c r="B1073" s="2" t="s">
        <v>1097</v>
      </c>
      <c r="C1073" s="9">
        <v>344.65436657681943</v>
      </c>
    </row>
    <row r="1074" spans="1:3" x14ac:dyDescent="0.3">
      <c r="A1074" s="1">
        <v>1002298</v>
      </c>
      <c r="B1074" s="2" t="s">
        <v>1098</v>
      </c>
      <c r="C1074" s="9">
        <v>143.08677478580171</v>
      </c>
    </row>
    <row r="1075" spans="1:3" x14ac:dyDescent="0.3">
      <c r="A1075" s="1">
        <v>1002299</v>
      </c>
      <c r="B1075" s="2" t="s">
        <v>1099</v>
      </c>
      <c r="C1075" s="9">
        <v>281.62</v>
      </c>
    </row>
    <row r="1076" spans="1:3" x14ac:dyDescent="0.3">
      <c r="A1076" s="1">
        <v>1002300</v>
      </c>
      <c r="B1076" s="2" t="s">
        <v>1100</v>
      </c>
      <c r="C1076" s="9">
        <v>1</v>
      </c>
    </row>
    <row r="1077" spans="1:3" x14ac:dyDescent="0.3">
      <c r="A1077" s="1">
        <v>1002301</v>
      </c>
      <c r="B1077" s="2" t="s">
        <v>1101</v>
      </c>
      <c r="C1077" s="9">
        <v>147.5</v>
      </c>
    </row>
    <row r="1078" spans="1:3" x14ac:dyDescent="0.3">
      <c r="A1078" s="1">
        <v>1002303</v>
      </c>
      <c r="B1078" s="2" t="s">
        <v>1102</v>
      </c>
      <c r="C1078" s="9">
        <v>48.97</v>
      </c>
    </row>
    <row r="1079" spans="1:3" x14ac:dyDescent="0.3">
      <c r="A1079" s="1">
        <v>1002305</v>
      </c>
      <c r="B1079" s="2" t="s">
        <v>1103</v>
      </c>
      <c r="C1079" s="9">
        <v>24.62</v>
      </c>
    </row>
    <row r="1080" spans="1:3" x14ac:dyDescent="0.3">
      <c r="A1080" s="1">
        <v>1002306</v>
      </c>
      <c r="B1080" s="2" t="s">
        <v>1104</v>
      </c>
      <c r="C1080" s="9">
        <v>170.56289046744791</v>
      </c>
    </row>
    <row r="1081" spans="1:3" x14ac:dyDescent="0.3">
      <c r="A1081" s="1">
        <v>1002307</v>
      </c>
      <c r="B1081" s="2" t="s">
        <v>1105</v>
      </c>
      <c r="C1081" s="9">
        <v>36.310469629737398</v>
      </c>
    </row>
    <row r="1082" spans="1:3" x14ac:dyDescent="0.3">
      <c r="A1082" s="1">
        <v>1002308</v>
      </c>
      <c r="B1082" s="2" t="s">
        <v>1106</v>
      </c>
      <c r="C1082" s="9">
        <v>71.459597483905981</v>
      </c>
    </row>
    <row r="1083" spans="1:3" x14ac:dyDescent="0.3">
      <c r="A1083" s="1">
        <v>1002310</v>
      </c>
      <c r="B1083" s="2" t="s">
        <v>1107</v>
      </c>
      <c r="C1083" s="9">
        <v>43.680012787723783</v>
      </c>
    </row>
    <row r="1084" spans="1:3" x14ac:dyDescent="0.3">
      <c r="A1084" s="1">
        <v>1002311</v>
      </c>
      <c r="B1084" s="2" t="s">
        <v>1108</v>
      </c>
      <c r="C1084" s="9">
        <v>35.1808351088427</v>
      </c>
    </row>
    <row r="1085" spans="1:3" x14ac:dyDescent="0.3">
      <c r="A1085" s="1">
        <v>1002313</v>
      </c>
      <c r="B1085" s="2" t="s">
        <v>1109</v>
      </c>
      <c r="C1085" s="9">
        <v>54.895876923076926</v>
      </c>
    </row>
    <row r="1086" spans="1:3" x14ac:dyDescent="0.3">
      <c r="A1086" s="1">
        <v>1002314</v>
      </c>
      <c r="B1086" s="2" t="s">
        <v>1110</v>
      </c>
      <c r="C1086" s="9">
        <v>19.0154866666667</v>
      </c>
    </row>
    <row r="1087" spans="1:3" x14ac:dyDescent="0.3">
      <c r="A1087" s="1">
        <v>1002317</v>
      </c>
      <c r="B1087" s="2" t="s">
        <v>1111</v>
      </c>
      <c r="C1087" s="9">
        <v>70.27866860983778</v>
      </c>
    </row>
    <row r="1088" spans="1:3" x14ac:dyDescent="0.3">
      <c r="A1088" s="1">
        <v>1002318</v>
      </c>
      <c r="B1088" s="2" t="s">
        <v>1112</v>
      </c>
      <c r="C1088" s="9">
        <v>471.37457906976738</v>
      </c>
    </row>
    <row r="1089" spans="1:3" x14ac:dyDescent="0.3">
      <c r="A1089" s="1">
        <v>1002319</v>
      </c>
      <c r="B1089" s="2" t="s">
        <v>1113</v>
      </c>
      <c r="C1089" s="9">
        <v>309.76179261862916</v>
      </c>
    </row>
    <row r="1090" spans="1:3" x14ac:dyDescent="0.3">
      <c r="A1090" s="1">
        <v>1002321</v>
      </c>
      <c r="B1090" s="2" t="s">
        <v>1114</v>
      </c>
      <c r="C1090" s="9">
        <v>29</v>
      </c>
    </row>
    <row r="1091" spans="1:3" x14ac:dyDescent="0.3">
      <c r="A1091" s="1">
        <v>1002322</v>
      </c>
      <c r="B1091" s="2" t="s">
        <v>1115</v>
      </c>
      <c r="C1091" s="9">
        <v>81</v>
      </c>
    </row>
    <row r="1092" spans="1:3" x14ac:dyDescent="0.3">
      <c r="A1092" s="1">
        <v>1002325</v>
      </c>
      <c r="B1092" s="2" t="s">
        <v>1117</v>
      </c>
      <c r="C1092" s="9">
        <v>23.356116244600798</v>
      </c>
    </row>
    <row r="1093" spans="1:3" x14ac:dyDescent="0.3">
      <c r="A1093" s="1">
        <v>1002327</v>
      </c>
      <c r="B1093" s="2" t="s">
        <v>1118</v>
      </c>
      <c r="C1093" s="9">
        <v>3.6</v>
      </c>
    </row>
    <row r="1094" spans="1:3" x14ac:dyDescent="0.3">
      <c r="A1094" s="1">
        <v>1002328</v>
      </c>
      <c r="B1094" s="2" t="s">
        <v>1119</v>
      </c>
      <c r="C1094" s="9">
        <v>18.985785408640055</v>
      </c>
    </row>
    <row r="1095" spans="1:3" x14ac:dyDescent="0.3">
      <c r="A1095" s="1">
        <v>1002329</v>
      </c>
      <c r="B1095" s="2" t="s">
        <v>1120</v>
      </c>
      <c r="C1095" s="9">
        <v>109.55696019318759</v>
      </c>
    </row>
    <row r="1096" spans="1:3" x14ac:dyDescent="0.3">
      <c r="A1096" s="1">
        <v>1002330</v>
      </c>
      <c r="B1096" s="2" t="s">
        <v>1121</v>
      </c>
      <c r="C1096" s="9">
        <v>103.292543928917</v>
      </c>
    </row>
    <row r="1097" spans="1:3" x14ac:dyDescent="0.3">
      <c r="A1097" s="1">
        <v>1002331</v>
      </c>
      <c r="B1097" s="2" t="s">
        <v>1122</v>
      </c>
      <c r="C1097" s="9">
        <v>114.23508177267701</v>
      </c>
    </row>
    <row r="1098" spans="1:3" x14ac:dyDescent="0.3">
      <c r="A1098" s="1">
        <v>1002332</v>
      </c>
      <c r="B1098" s="2" t="s">
        <v>1123</v>
      </c>
      <c r="C1098" s="9">
        <v>69.153846153846203</v>
      </c>
    </row>
    <row r="1099" spans="1:3" x14ac:dyDescent="0.3">
      <c r="A1099" s="1">
        <v>1002333</v>
      </c>
      <c r="B1099" s="2" t="s">
        <v>1124</v>
      </c>
      <c r="C1099" s="9">
        <v>31.5578001125726</v>
      </c>
    </row>
    <row r="1100" spans="1:3" x14ac:dyDescent="0.3">
      <c r="A1100" s="1">
        <v>1002334</v>
      </c>
      <c r="B1100" s="2" t="s">
        <v>1125</v>
      </c>
      <c r="C1100" s="9">
        <v>101.21000000000001</v>
      </c>
    </row>
    <row r="1101" spans="1:3" x14ac:dyDescent="0.3">
      <c r="A1101" s="1">
        <v>1002336</v>
      </c>
      <c r="B1101" s="2" t="s">
        <v>1126</v>
      </c>
      <c r="C1101" s="9">
        <v>31.467757099531291</v>
      </c>
    </row>
    <row r="1102" spans="1:3" x14ac:dyDescent="0.3">
      <c r="A1102" s="1">
        <v>1002338</v>
      </c>
      <c r="B1102" s="2" t="s">
        <v>1127</v>
      </c>
      <c r="C1102" s="9">
        <v>50.858000626762774</v>
      </c>
    </row>
    <row r="1103" spans="1:3" x14ac:dyDescent="0.3">
      <c r="A1103" s="1">
        <v>1002341</v>
      </c>
      <c r="B1103" s="2" t="s">
        <v>1129</v>
      </c>
      <c r="C1103" s="9">
        <v>0</v>
      </c>
    </row>
    <row r="1104" spans="1:3" x14ac:dyDescent="0.3">
      <c r="A1104" s="1">
        <v>1002343</v>
      </c>
      <c r="B1104" s="2" t="s">
        <v>1130</v>
      </c>
      <c r="C1104" s="9">
        <v>0</v>
      </c>
    </row>
    <row r="1105" spans="1:3" x14ac:dyDescent="0.3">
      <c r="A1105" s="1">
        <v>1002344</v>
      </c>
      <c r="B1105" s="2" t="s">
        <v>1131</v>
      </c>
      <c r="C1105" s="9">
        <v>49.88</v>
      </c>
    </row>
    <row r="1106" spans="1:3" x14ac:dyDescent="0.3">
      <c r="A1106" s="1">
        <v>1002346</v>
      </c>
      <c r="B1106" s="2" t="s">
        <v>1132</v>
      </c>
      <c r="C1106" s="9">
        <v>0</v>
      </c>
    </row>
    <row r="1107" spans="1:3" x14ac:dyDescent="0.3">
      <c r="A1107" s="1">
        <v>1002347</v>
      </c>
      <c r="B1107" s="2" t="s">
        <v>1133</v>
      </c>
      <c r="C1107" s="9">
        <v>251.60557502815399</v>
      </c>
    </row>
    <row r="1108" spans="1:3" x14ac:dyDescent="0.3">
      <c r="A1108" s="1">
        <v>1002348</v>
      </c>
      <c r="B1108" s="2" t="s">
        <v>1134</v>
      </c>
      <c r="C1108" s="9">
        <v>417.55571013041299</v>
      </c>
    </row>
    <row r="1109" spans="1:3" x14ac:dyDescent="0.3">
      <c r="A1109" s="1">
        <v>1002349</v>
      </c>
      <c r="B1109" s="2" t="s">
        <v>1135</v>
      </c>
      <c r="C1109" s="9">
        <v>230.92512351124401</v>
      </c>
    </row>
    <row r="1110" spans="1:3" x14ac:dyDescent="0.3">
      <c r="A1110" s="1">
        <v>1002350</v>
      </c>
      <c r="B1110" s="2" t="s">
        <v>1136</v>
      </c>
      <c r="C1110" s="9">
        <v>146.014187139917</v>
      </c>
    </row>
    <row r="1111" spans="1:3" x14ac:dyDescent="0.3">
      <c r="A1111" s="1">
        <v>1002355</v>
      </c>
      <c r="B1111" s="2" t="s">
        <v>1137</v>
      </c>
      <c r="C1111" s="9">
        <v>171.84452807646355</v>
      </c>
    </row>
    <row r="1112" spans="1:3" x14ac:dyDescent="0.3">
      <c r="A1112" s="1">
        <v>1002372</v>
      </c>
      <c r="B1112" s="2" t="s">
        <v>1138</v>
      </c>
      <c r="C1112" s="9">
        <v>8.1357091405432911</v>
      </c>
    </row>
    <row r="1113" spans="1:3" x14ac:dyDescent="0.3">
      <c r="A1113" s="1">
        <v>1002373</v>
      </c>
      <c r="B1113" s="2" t="s">
        <v>1139</v>
      </c>
      <c r="C1113" s="9">
        <v>10.119999999999999</v>
      </c>
    </row>
    <row r="1114" spans="1:3" x14ac:dyDescent="0.3">
      <c r="A1114" s="1">
        <v>1002375</v>
      </c>
      <c r="B1114" s="2" t="s">
        <v>1140</v>
      </c>
      <c r="C1114" s="9">
        <v>7.9135646687697161</v>
      </c>
    </row>
    <row r="1115" spans="1:3" x14ac:dyDescent="0.3">
      <c r="A1115" s="1">
        <v>1002377</v>
      </c>
      <c r="B1115" s="2" t="s">
        <v>1141</v>
      </c>
      <c r="C1115" s="9">
        <v>9.2799999999999994</v>
      </c>
    </row>
    <row r="1116" spans="1:3" x14ac:dyDescent="0.3">
      <c r="A1116" s="1">
        <v>1002383</v>
      </c>
      <c r="B1116" s="2" t="s">
        <v>1142</v>
      </c>
      <c r="C1116" s="9">
        <v>1.25</v>
      </c>
    </row>
    <row r="1117" spans="1:3" x14ac:dyDescent="0.3">
      <c r="A1117" s="1">
        <v>1002387</v>
      </c>
      <c r="B1117" s="2" t="s">
        <v>1143</v>
      </c>
      <c r="C1117" s="9">
        <v>2.95</v>
      </c>
    </row>
    <row r="1118" spans="1:3" x14ac:dyDescent="0.3">
      <c r="A1118" s="1">
        <v>1002388</v>
      </c>
      <c r="B1118" s="2" t="s">
        <v>1144</v>
      </c>
      <c r="C1118" s="9">
        <v>49.438398675642603</v>
      </c>
    </row>
    <row r="1119" spans="1:3" x14ac:dyDescent="0.3">
      <c r="A1119" s="1">
        <v>1002390</v>
      </c>
      <c r="B1119" s="2" t="s">
        <v>1145</v>
      </c>
      <c r="C1119" s="9">
        <v>413.53401098901099</v>
      </c>
    </row>
    <row r="1120" spans="1:3" x14ac:dyDescent="0.3">
      <c r="A1120" s="1">
        <v>1002391</v>
      </c>
      <c r="B1120" s="2" t="s">
        <v>1146</v>
      </c>
      <c r="C1120" s="9">
        <v>172.71659624413101</v>
      </c>
    </row>
    <row r="1121" spans="1:3" x14ac:dyDescent="0.3">
      <c r="A1121" s="1">
        <v>1002392</v>
      </c>
      <c r="B1121" s="2" t="s">
        <v>1147</v>
      </c>
      <c r="C1121" s="9">
        <v>70.8</v>
      </c>
    </row>
    <row r="1122" spans="1:3" x14ac:dyDescent="0.3">
      <c r="A1122" s="1">
        <v>1002393</v>
      </c>
      <c r="B1122" s="2" t="s">
        <v>1148</v>
      </c>
      <c r="C1122" s="9">
        <v>29.240400000000001</v>
      </c>
    </row>
    <row r="1123" spans="1:3" x14ac:dyDescent="0.3">
      <c r="A1123" s="1">
        <v>1002394</v>
      </c>
      <c r="B1123" s="2" t="s">
        <v>1149</v>
      </c>
      <c r="C1123" s="9">
        <v>157.13233041575492</v>
      </c>
    </row>
    <row r="1124" spans="1:3" x14ac:dyDescent="0.3">
      <c r="A1124" s="1">
        <v>1002395</v>
      </c>
      <c r="B1124" s="2" t="s">
        <v>1150</v>
      </c>
      <c r="C1124" s="9">
        <v>116.16863198689956</v>
      </c>
    </row>
    <row r="1125" spans="1:3" x14ac:dyDescent="0.3">
      <c r="A1125" s="1">
        <v>1002396</v>
      </c>
      <c r="B1125" s="2" t="s">
        <v>1151</v>
      </c>
      <c r="C1125" s="9">
        <v>94.200991388827546</v>
      </c>
    </row>
    <row r="1126" spans="1:3" x14ac:dyDescent="0.3">
      <c r="A1126" s="1">
        <v>1002397</v>
      </c>
      <c r="B1126" s="2" t="s">
        <v>1152</v>
      </c>
      <c r="C1126" s="9">
        <v>122.07000000000001</v>
      </c>
    </row>
    <row r="1127" spans="1:3" x14ac:dyDescent="0.3">
      <c r="A1127" s="1">
        <v>1002398</v>
      </c>
      <c r="B1127" s="2" t="s">
        <v>1153</v>
      </c>
      <c r="C1127" s="9">
        <v>116.0680297059715</v>
      </c>
    </row>
    <row r="1128" spans="1:3" x14ac:dyDescent="0.3">
      <c r="A1128" s="1">
        <v>1002400</v>
      </c>
      <c r="B1128" s="2" t="s">
        <v>1155</v>
      </c>
      <c r="C1128" s="9">
        <v>1374.2826592503438</v>
      </c>
    </row>
    <row r="1129" spans="1:3" x14ac:dyDescent="0.3">
      <c r="A1129" s="1">
        <v>1002401</v>
      </c>
      <c r="B1129" s="2" t="s">
        <v>1156</v>
      </c>
      <c r="C1129" s="9">
        <v>967.41636005902603</v>
      </c>
    </row>
    <row r="1130" spans="1:3" x14ac:dyDescent="0.3">
      <c r="A1130" s="1">
        <v>1002402</v>
      </c>
      <c r="B1130" s="2" t="s">
        <v>1157</v>
      </c>
      <c r="C1130" s="9">
        <v>1765.570884871551</v>
      </c>
    </row>
    <row r="1131" spans="1:3" x14ac:dyDescent="0.3">
      <c r="A1131" s="1">
        <v>1002404</v>
      </c>
      <c r="B1131" s="2" t="s">
        <v>1158</v>
      </c>
      <c r="C1131" s="9">
        <v>3822.6866096518024</v>
      </c>
    </row>
    <row r="1132" spans="1:3" x14ac:dyDescent="0.3">
      <c r="A1132" s="1">
        <v>1002405</v>
      </c>
      <c r="B1132" s="2" t="s">
        <v>1159</v>
      </c>
      <c r="C1132" s="9">
        <v>23392.31</v>
      </c>
    </row>
    <row r="1133" spans="1:3" x14ac:dyDescent="0.3">
      <c r="A1133" s="1">
        <v>1002413</v>
      </c>
      <c r="B1133" s="2" t="s">
        <v>1160</v>
      </c>
      <c r="C1133" s="9">
        <v>1011.85</v>
      </c>
    </row>
    <row r="1134" spans="1:3" x14ac:dyDescent="0.3">
      <c r="A1134" s="1">
        <v>1002419</v>
      </c>
      <c r="B1134" s="2" t="s">
        <v>1161</v>
      </c>
      <c r="C1134" s="9">
        <v>1766.48</v>
      </c>
    </row>
    <row r="1135" spans="1:3" x14ac:dyDescent="0.3">
      <c r="A1135" s="1">
        <v>1002421</v>
      </c>
      <c r="B1135" s="2" t="s">
        <v>1162</v>
      </c>
      <c r="C1135" s="9">
        <v>596.6554625</v>
      </c>
    </row>
    <row r="1136" spans="1:3" x14ac:dyDescent="0.3">
      <c r="A1136" s="1">
        <v>1002422</v>
      </c>
      <c r="B1136" s="2" t="s">
        <v>1163</v>
      </c>
      <c r="C1136" s="9">
        <v>28592.83065359477</v>
      </c>
    </row>
    <row r="1137" spans="1:3" x14ac:dyDescent="0.3">
      <c r="A1137" s="1">
        <v>1002423</v>
      </c>
      <c r="B1137" s="2" t="s">
        <v>1164</v>
      </c>
      <c r="C1137" s="9">
        <v>37815.297595533499</v>
      </c>
    </row>
    <row r="1138" spans="1:3" x14ac:dyDescent="0.3">
      <c r="A1138" s="1">
        <v>1002424</v>
      </c>
      <c r="B1138" s="2" t="s">
        <v>1165</v>
      </c>
      <c r="C1138" s="9">
        <v>63544.9656963097</v>
      </c>
    </row>
    <row r="1139" spans="1:3" x14ac:dyDescent="0.3">
      <c r="A1139" s="1">
        <v>1002426</v>
      </c>
      <c r="B1139" s="2" t="s">
        <v>1166</v>
      </c>
      <c r="C1139" s="9">
        <v>66862.606666666703</v>
      </c>
    </row>
    <row r="1140" spans="1:3" x14ac:dyDescent="0.3">
      <c r="A1140" s="1">
        <v>1002427</v>
      </c>
      <c r="B1140" s="2" t="s">
        <v>1167</v>
      </c>
      <c r="C1140" s="9">
        <v>67825.146041666696</v>
      </c>
    </row>
    <row r="1141" spans="1:3" x14ac:dyDescent="0.3">
      <c r="A1141" s="1">
        <v>1002428</v>
      </c>
      <c r="B1141" s="2" t="s">
        <v>1168</v>
      </c>
      <c r="C1141" s="9">
        <v>68844.179999999993</v>
      </c>
    </row>
    <row r="1142" spans="1:3" x14ac:dyDescent="0.3">
      <c r="A1142" s="1">
        <v>1002431</v>
      </c>
      <c r="B1142" s="2" t="s">
        <v>1169</v>
      </c>
      <c r="C1142" s="9">
        <v>22912.49</v>
      </c>
    </row>
    <row r="1143" spans="1:3" x14ac:dyDescent="0.3">
      <c r="A1143" s="1">
        <v>1002432</v>
      </c>
      <c r="B1143" s="2" t="s">
        <v>1170</v>
      </c>
      <c r="C1143" s="9">
        <v>2787.4754597936198</v>
      </c>
    </row>
    <row r="1144" spans="1:3" x14ac:dyDescent="0.3">
      <c r="A1144" s="1">
        <v>1002433</v>
      </c>
      <c r="B1144" s="2" t="s">
        <v>1171</v>
      </c>
      <c r="C1144" s="9">
        <v>22607.968287037002</v>
      </c>
    </row>
    <row r="1145" spans="1:3" x14ac:dyDescent="0.3">
      <c r="A1145" s="1">
        <v>1002434</v>
      </c>
      <c r="B1145" s="2" t="s">
        <v>1172</v>
      </c>
      <c r="C1145" s="9">
        <v>17737.378990643301</v>
      </c>
    </row>
    <row r="1146" spans="1:3" x14ac:dyDescent="0.3">
      <c r="A1146" s="1">
        <v>1002435</v>
      </c>
      <c r="B1146" s="2" t="s">
        <v>1173</v>
      </c>
      <c r="C1146" s="9">
        <v>958</v>
      </c>
    </row>
    <row r="1147" spans="1:3" x14ac:dyDescent="0.3">
      <c r="A1147" s="1">
        <v>1002436</v>
      </c>
      <c r="B1147" s="2" t="s">
        <v>1174</v>
      </c>
      <c r="C1147" s="9">
        <v>29642.631138631001</v>
      </c>
    </row>
    <row r="1148" spans="1:3" x14ac:dyDescent="0.3">
      <c r="A1148" s="1">
        <v>1002437</v>
      </c>
      <c r="B1148" s="2" t="s">
        <v>1175</v>
      </c>
      <c r="C1148" s="9">
        <v>55480.79</v>
      </c>
    </row>
    <row r="1149" spans="1:3" x14ac:dyDescent="0.3">
      <c r="A1149" s="1">
        <v>1002438</v>
      </c>
      <c r="B1149" s="2" t="s">
        <v>1176</v>
      </c>
      <c r="C1149" s="9">
        <v>65392.79</v>
      </c>
    </row>
    <row r="1150" spans="1:3" x14ac:dyDescent="0.3">
      <c r="A1150" s="1">
        <v>1002439</v>
      </c>
      <c r="B1150" s="2" t="s">
        <v>1177</v>
      </c>
      <c r="C1150" s="9">
        <v>2869.9146000000001</v>
      </c>
    </row>
    <row r="1151" spans="1:3" x14ac:dyDescent="0.3">
      <c r="A1151" s="1">
        <v>1002440</v>
      </c>
      <c r="B1151" s="2" t="s">
        <v>1178</v>
      </c>
      <c r="C1151" s="9">
        <v>25380.735095238098</v>
      </c>
    </row>
    <row r="1152" spans="1:3" x14ac:dyDescent="0.3">
      <c r="A1152" s="1">
        <v>1002442</v>
      </c>
      <c r="B1152" s="2" t="s">
        <v>1179</v>
      </c>
      <c r="C1152" s="9">
        <v>2647.3425000000002</v>
      </c>
    </row>
    <row r="1153" spans="1:3" x14ac:dyDescent="0.3">
      <c r="A1153" s="1">
        <v>1002443</v>
      </c>
      <c r="B1153" s="2" t="s">
        <v>1180</v>
      </c>
      <c r="C1153" s="9">
        <v>23239.812114361001</v>
      </c>
    </row>
    <row r="1154" spans="1:3" x14ac:dyDescent="0.3">
      <c r="A1154" s="1">
        <v>1002444</v>
      </c>
      <c r="B1154" s="2" t="s">
        <v>1181</v>
      </c>
      <c r="C1154" s="9">
        <v>22826.0978215584</v>
      </c>
    </row>
    <row r="1155" spans="1:3" x14ac:dyDescent="0.3">
      <c r="A1155" s="1">
        <v>1002445</v>
      </c>
      <c r="B1155" s="2" t="s">
        <v>1182</v>
      </c>
      <c r="C1155" s="9">
        <v>36458.3427059202</v>
      </c>
    </row>
    <row r="1156" spans="1:3" x14ac:dyDescent="0.3">
      <c r="A1156" s="1">
        <v>1002447</v>
      </c>
      <c r="B1156" s="2" t="s">
        <v>1183</v>
      </c>
      <c r="C1156" s="9">
        <v>1608.1598200604301</v>
      </c>
    </row>
    <row r="1157" spans="1:3" x14ac:dyDescent="0.3">
      <c r="A1157" s="1">
        <v>1002448</v>
      </c>
      <c r="B1157" s="2" t="s">
        <v>1184</v>
      </c>
      <c r="C1157" s="9">
        <v>161481.24</v>
      </c>
    </row>
    <row r="1158" spans="1:3" x14ac:dyDescent="0.3">
      <c r="A1158" s="1">
        <v>1002449</v>
      </c>
      <c r="B1158" s="2" t="s">
        <v>1185</v>
      </c>
      <c r="C1158" s="9">
        <v>17042.189999999999</v>
      </c>
    </row>
    <row r="1159" spans="1:3" x14ac:dyDescent="0.3">
      <c r="A1159" s="1">
        <v>1002450</v>
      </c>
      <c r="B1159" s="2" t="s">
        <v>1186</v>
      </c>
      <c r="C1159" s="9">
        <v>1657.3714935897437</v>
      </c>
    </row>
    <row r="1160" spans="1:3" x14ac:dyDescent="0.3">
      <c r="A1160" s="1">
        <v>1002451</v>
      </c>
      <c r="B1160" s="2" t="s">
        <v>1187</v>
      </c>
      <c r="C1160" s="9">
        <v>182789.92857142858</v>
      </c>
    </row>
    <row r="1161" spans="1:3" x14ac:dyDescent="0.3">
      <c r="A1161" s="1">
        <v>1002452</v>
      </c>
      <c r="B1161" s="2" t="s">
        <v>1188</v>
      </c>
      <c r="C1161" s="9">
        <v>18531.4411111111</v>
      </c>
    </row>
    <row r="1162" spans="1:3" x14ac:dyDescent="0.3">
      <c r="A1162" s="1">
        <v>1002453</v>
      </c>
      <c r="B1162" s="2" t="s">
        <v>1189</v>
      </c>
      <c r="C1162" s="9">
        <v>14380.784</v>
      </c>
    </row>
    <row r="1163" spans="1:3" x14ac:dyDescent="0.3">
      <c r="A1163" s="1">
        <v>1002454</v>
      </c>
      <c r="B1163" s="2" t="s">
        <v>1190</v>
      </c>
      <c r="C1163" s="9">
        <v>19311.689047618998</v>
      </c>
    </row>
    <row r="1164" spans="1:3" x14ac:dyDescent="0.3">
      <c r="A1164" s="1">
        <v>1002455</v>
      </c>
      <c r="B1164" s="2" t="s">
        <v>1191</v>
      </c>
      <c r="C1164" s="9">
        <v>2326.2647685185202</v>
      </c>
    </row>
    <row r="1165" spans="1:3" x14ac:dyDescent="0.3">
      <c r="A1165" s="1">
        <v>1002456</v>
      </c>
      <c r="B1165" s="2" t="s">
        <v>1192</v>
      </c>
      <c r="C1165" s="9">
        <v>16138.17661971831</v>
      </c>
    </row>
    <row r="1166" spans="1:3" x14ac:dyDescent="0.3">
      <c r="A1166" s="1">
        <v>1002457</v>
      </c>
      <c r="B1166" s="2" t="s">
        <v>1193</v>
      </c>
      <c r="C1166" s="9">
        <v>48148.343333333331</v>
      </c>
    </row>
    <row r="1167" spans="1:3" x14ac:dyDescent="0.3">
      <c r="A1167" s="1">
        <v>1002459</v>
      </c>
      <c r="B1167" s="2" t="s">
        <v>1194</v>
      </c>
      <c r="C1167" s="9">
        <v>1718.5815440115439</v>
      </c>
    </row>
    <row r="1168" spans="1:3" x14ac:dyDescent="0.3">
      <c r="A1168" s="1">
        <v>1002461</v>
      </c>
      <c r="B1168" s="2" t="s">
        <v>1195</v>
      </c>
      <c r="C1168" s="9">
        <v>19106.405000000002</v>
      </c>
    </row>
    <row r="1169" spans="1:3" x14ac:dyDescent="0.3">
      <c r="A1169" s="1">
        <v>1002463</v>
      </c>
      <c r="B1169" s="2" t="s">
        <v>1196</v>
      </c>
      <c r="C1169" s="9">
        <v>2678.9694594594594</v>
      </c>
    </row>
    <row r="1170" spans="1:3" x14ac:dyDescent="0.3">
      <c r="A1170" s="1">
        <v>1002466</v>
      </c>
      <c r="B1170" s="2" t="s">
        <v>1197</v>
      </c>
      <c r="C1170" s="9">
        <v>2405.1638461538464</v>
      </c>
    </row>
    <row r="1171" spans="1:3" x14ac:dyDescent="0.3">
      <c r="A1171" s="1">
        <v>1002467</v>
      </c>
      <c r="B1171" s="2" t="s">
        <v>1198</v>
      </c>
      <c r="C1171" s="9">
        <v>2647.3425000000002</v>
      </c>
    </row>
    <row r="1172" spans="1:3" x14ac:dyDescent="0.3">
      <c r="A1172" s="1">
        <v>1002472</v>
      </c>
      <c r="B1172" s="2" t="s">
        <v>1199</v>
      </c>
      <c r="C1172" s="9">
        <v>605</v>
      </c>
    </row>
    <row r="1173" spans="1:3" x14ac:dyDescent="0.3">
      <c r="A1173" s="1">
        <v>1002473</v>
      </c>
      <c r="B1173" s="2" t="s">
        <v>1200</v>
      </c>
      <c r="C1173" s="9">
        <v>678.08</v>
      </c>
    </row>
    <row r="1174" spans="1:3" x14ac:dyDescent="0.3">
      <c r="A1174" s="1">
        <v>1002475</v>
      </c>
      <c r="B1174" s="2" t="s">
        <v>1201</v>
      </c>
      <c r="C1174" s="9">
        <v>38521.215227272725</v>
      </c>
    </row>
    <row r="1175" spans="1:3" x14ac:dyDescent="0.3">
      <c r="A1175" s="1">
        <v>1002477</v>
      </c>
      <c r="B1175" s="2" t="s">
        <v>1202</v>
      </c>
      <c r="C1175" s="9">
        <v>35055.181818181816</v>
      </c>
    </row>
    <row r="1176" spans="1:3" x14ac:dyDescent="0.3">
      <c r="A1176" s="1">
        <v>1002479</v>
      </c>
      <c r="B1176" s="2" t="s">
        <v>1203</v>
      </c>
      <c r="C1176" s="9">
        <v>37375.785571428598</v>
      </c>
    </row>
    <row r="1177" spans="1:3" x14ac:dyDescent="0.3">
      <c r="A1177" s="1">
        <v>1002480</v>
      </c>
      <c r="B1177" s="2" t="s">
        <v>1204</v>
      </c>
      <c r="C1177" s="9">
        <v>37375.78510638298</v>
      </c>
    </row>
    <row r="1178" spans="1:3" x14ac:dyDescent="0.3">
      <c r="A1178" s="1">
        <v>1002483</v>
      </c>
      <c r="B1178" s="2" t="s">
        <v>1205</v>
      </c>
      <c r="C1178" s="9">
        <v>11.849044669057712</v>
      </c>
    </row>
    <row r="1179" spans="1:3" x14ac:dyDescent="0.3">
      <c r="A1179" s="1">
        <v>1002484</v>
      </c>
      <c r="B1179" s="2" t="s">
        <v>1206</v>
      </c>
      <c r="C1179" s="9">
        <v>7.9343866500976388</v>
      </c>
    </row>
    <row r="1180" spans="1:3" x14ac:dyDescent="0.3">
      <c r="A1180" s="1">
        <v>1002485</v>
      </c>
      <c r="B1180" s="2" t="s">
        <v>1207</v>
      </c>
      <c r="C1180" s="9">
        <v>2.73</v>
      </c>
    </row>
    <row r="1181" spans="1:3" x14ac:dyDescent="0.3">
      <c r="A1181" s="1">
        <v>1002486</v>
      </c>
      <c r="B1181" s="2" t="s">
        <v>1208</v>
      </c>
      <c r="C1181" s="9">
        <v>20.594124999999998</v>
      </c>
    </row>
    <row r="1182" spans="1:3" x14ac:dyDescent="0.3">
      <c r="A1182" s="1">
        <v>1002487</v>
      </c>
      <c r="B1182" s="2" t="s">
        <v>1209</v>
      </c>
      <c r="C1182" s="9">
        <v>6.6032705050641312</v>
      </c>
    </row>
    <row r="1183" spans="1:3" x14ac:dyDescent="0.3">
      <c r="A1183" s="1">
        <v>1002488</v>
      </c>
      <c r="B1183" s="2" t="s">
        <v>1210</v>
      </c>
      <c r="C1183" s="9">
        <v>2.4010157618213661</v>
      </c>
    </row>
    <row r="1184" spans="1:3" x14ac:dyDescent="0.3">
      <c r="A1184" s="1">
        <v>1002489</v>
      </c>
      <c r="B1184" s="2" t="s">
        <v>1211</v>
      </c>
      <c r="C1184" s="9">
        <v>19.66</v>
      </c>
    </row>
    <row r="1185" spans="1:3" x14ac:dyDescent="0.3">
      <c r="A1185" s="1">
        <v>1002490</v>
      </c>
      <c r="B1185" s="2" t="s">
        <v>1212</v>
      </c>
      <c r="C1185" s="9">
        <v>375.92609446774799</v>
      </c>
    </row>
    <row r="1186" spans="1:3" x14ac:dyDescent="0.3">
      <c r="A1186" s="1">
        <v>1002491</v>
      </c>
      <c r="B1186" s="2" t="s">
        <v>1213</v>
      </c>
      <c r="C1186" s="9">
        <v>546.60359626864295</v>
      </c>
    </row>
    <row r="1187" spans="1:3" x14ac:dyDescent="0.3">
      <c r="A1187" s="1">
        <v>1002492</v>
      </c>
      <c r="B1187" s="2" t="s">
        <v>1214</v>
      </c>
      <c r="C1187" s="9">
        <v>0</v>
      </c>
    </row>
    <row r="1188" spans="1:3" x14ac:dyDescent="0.3">
      <c r="A1188" s="1">
        <v>1002494</v>
      </c>
      <c r="B1188" s="2" t="s">
        <v>1215</v>
      </c>
      <c r="C1188" s="9">
        <v>1175.95681766394</v>
      </c>
    </row>
    <row r="1189" spans="1:3" x14ac:dyDescent="0.3">
      <c r="A1189" s="1">
        <v>1002498</v>
      </c>
      <c r="B1189" s="2" t="s">
        <v>1216</v>
      </c>
      <c r="C1189" s="9">
        <v>605.24400000000003</v>
      </c>
    </row>
    <row r="1190" spans="1:3" x14ac:dyDescent="0.3">
      <c r="A1190" s="1">
        <v>1002502</v>
      </c>
      <c r="B1190" s="2" t="s">
        <v>1217</v>
      </c>
      <c r="C1190" s="9">
        <v>22.129788468007501</v>
      </c>
    </row>
    <row r="1191" spans="1:3" x14ac:dyDescent="0.3">
      <c r="A1191" s="1">
        <v>1002503</v>
      </c>
      <c r="B1191" s="2" t="s">
        <v>1218</v>
      </c>
      <c r="C1191" s="9">
        <v>116.13536585365856</v>
      </c>
    </row>
    <row r="1192" spans="1:3" x14ac:dyDescent="0.3">
      <c r="A1192" s="1">
        <v>1002505</v>
      </c>
      <c r="B1192" s="2" t="s">
        <v>1219</v>
      </c>
      <c r="C1192" s="9">
        <v>50.691737089201879</v>
      </c>
    </row>
    <row r="1193" spans="1:3" x14ac:dyDescent="0.3">
      <c r="A1193" s="1">
        <v>1002506</v>
      </c>
      <c r="B1193" s="2" t="s">
        <v>1220</v>
      </c>
      <c r="C1193" s="9">
        <v>146.52271094324399</v>
      </c>
    </row>
    <row r="1194" spans="1:3" x14ac:dyDescent="0.3">
      <c r="A1194" s="1">
        <v>1002507</v>
      </c>
      <c r="B1194" s="2" t="s">
        <v>1221</v>
      </c>
      <c r="C1194" s="9">
        <v>304.80917142857101</v>
      </c>
    </row>
    <row r="1195" spans="1:3" x14ac:dyDescent="0.3">
      <c r="A1195" s="1">
        <v>1002510</v>
      </c>
      <c r="B1195" s="2" t="s">
        <v>1222</v>
      </c>
      <c r="C1195" s="9">
        <v>188.85232071713148</v>
      </c>
    </row>
    <row r="1196" spans="1:3" x14ac:dyDescent="0.3">
      <c r="A1196" s="1">
        <v>1002511</v>
      </c>
      <c r="B1196" s="2" t="s">
        <v>1223</v>
      </c>
      <c r="C1196" s="9">
        <v>78.5075976738934</v>
      </c>
    </row>
    <row r="1197" spans="1:3" x14ac:dyDescent="0.3">
      <c r="A1197" s="1">
        <v>1002512</v>
      </c>
      <c r="B1197" s="2" t="s">
        <v>1224</v>
      </c>
      <c r="C1197" s="9">
        <v>276.86506296918799</v>
      </c>
    </row>
    <row r="1198" spans="1:3" x14ac:dyDescent="0.3">
      <c r="A1198" s="1">
        <v>1002513</v>
      </c>
      <c r="B1198" s="2" t="s">
        <v>1225</v>
      </c>
      <c r="C1198" s="9">
        <v>1387.28635605881</v>
      </c>
    </row>
    <row r="1199" spans="1:3" x14ac:dyDescent="0.3">
      <c r="A1199" s="1">
        <v>1002514</v>
      </c>
      <c r="B1199" s="2" t="s">
        <v>1226</v>
      </c>
      <c r="C1199" s="9">
        <v>1016.16</v>
      </c>
    </row>
    <row r="1200" spans="1:3" x14ac:dyDescent="0.3">
      <c r="A1200" s="1">
        <v>1002516</v>
      </c>
      <c r="B1200" s="2" t="s">
        <v>1227</v>
      </c>
      <c r="C1200" s="9">
        <v>1805.8543245798301</v>
      </c>
    </row>
    <row r="1201" spans="1:3" x14ac:dyDescent="0.3">
      <c r="A1201" s="1">
        <v>1002522</v>
      </c>
      <c r="B1201" s="2" t="s">
        <v>1228</v>
      </c>
      <c r="C1201" s="9">
        <v>680.21118116129503</v>
      </c>
    </row>
    <row r="1202" spans="1:3" x14ac:dyDescent="0.3">
      <c r="A1202" s="1">
        <v>1002523</v>
      </c>
      <c r="B1202" s="2" t="s">
        <v>1229</v>
      </c>
      <c r="C1202" s="9">
        <v>5422.1472058823529</v>
      </c>
    </row>
    <row r="1203" spans="1:3" x14ac:dyDescent="0.3">
      <c r="A1203" s="1">
        <v>1002524</v>
      </c>
      <c r="B1203" s="2" t="s">
        <v>1230</v>
      </c>
      <c r="C1203" s="9">
        <v>2090.6353949866898</v>
      </c>
    </row>
    <row r="1204" spans="1:3" x14ac:dyDescent="0.3">
      <c r="A1204" s="1">
        <v>1002525</v>
      </c>
      <c r="B1204" s="2" t="s">
        <v>1231</v>
      </c>
      <c r="C1204" s="9">
        <v>556.12703889980901</v>
      </c>
    </row>
    <row r="1205" spans="1:3" x14ac:dyDescent="0.3">
      <c r="A1205" s="1">
        <v>1002532</v>
      </c>
      <c r="B1205" s="2" t="s">
        <v>1232</v>
      </c>
      <c r="C1205" s="9">
        <v>52481.658496983502</v>
      </c>
    </row>
    <row r="1206" spans="1:3" x14ac:dyDescent="0.3">
      <c r="A1206" s="1">
        <v>1002533</v>
      </c>
      <c r="B1206" s="2" t="s">
        <v>1233</v>
      </c>
      <c r="C1206" s="9">
        <v>24418.1804933846</v>
      </c>
    </row>
    <row r="1207" spans="1:3" x14ac:dyDescent="0.3">
      <c r="A1207" s="1">
        <v>1002534</v>
      </c>
      <c r="B1207" s="2" t="s">
        <v>1234</v>
      </c>
      <c r="C1207" s="9">
        <v>15515.0602475498</v>
      </c>
    </row>
    <row r="1208" spans="1:3" x14ac:dyDescent="0.3">
      <c r="A1208" s="1">
        <v>1002542</v>
      </c>
      <c r="B1208" s="2" t="s">
        <v>1235</v>
      </c>
      <c r="C1208" s="9">
        <v>17337.321176470588</v>
      </c>
    </row>
    <row r="1209" spans="1:3" x14ac:dyDescent="0.3">
      <c r="A1209" s="1">
        <v>1002545</v>
      </c>
      <c r="B1209" s="2" t="s">
        <v>1236</v>
      </c>
      <c r="C1209" s="9">
        <v>19615.978099743701</v>
      </c>
    </row>
    <row r="1210" spans="1:3" x14ac:dyDescent="0.3">
      <c r="A1210" s="1">
        <v>1002561</v>
      </c>
      <c r="B1210" s="2" t="s">
        <v>1237</v>
      </c>
      <c r="C1210" s="9">
        <v>1074.0375419176601</v>
      </c>
    </row>
    <row r="1211" spans="1:3" x14ac:dyDescent="0.3">
      <c r="A1211" s="1">
        <v>1002562</v>
      </c>
      <c r="B1211" s="2" t="s">
        <v>1238</v>
      </c>
      <c r="C1211" s="9">
        <v>12264.873355699099</v>
      </c>
    </row>
    <row r="1212" spans="1:3" x14ac:dyDescent="0.3">
      <c r="A1212" s="1">
        <v>1002563</v>
      </c>
      <c r="B1212" s="2" t="s">
        <v>1239</v>
      </c>
      <c r="C1212" s="9">
        <v>95406.009227272705</v>
      </c>
    </row>
    <row r="1213" spans="1:3" x14ac:dyDescent="0.3">
      <c r="A1213" s="1">
        <v>1002564</v>
      </c>
      <c r="B1213" s="2" t="s">
        <v>1240</v>
      </c>
      <c r="C1213" s="9">
        <v>4068.1988235601402</v>
      </c>
    </row>
    <row r="1214" spans="1:3" x14ac:dyDescent="0.3">
      <c r="A1214" s="1">
        <v>1002565</v>
      </c>
      <c r="B1214" s="2" t="s">
        <v>1241</v>
      </c>
      <c r="C1214" s="9">
        <v>24986.991424848002</v>
      </c>
    </row>
    <row r="1215" spans="1:3" x14ac:dyDescent="0.3">
      <c r="A1215" s="1">
        <v>1002568</v>
      </c>
      <c r="B1215" s="2" t="s">
        <v>1242</v>
      </c>
      <c r="C1215" s="9">
        <v>10470.982222222199</v>
      </c>
    </row>
    <row r="1216" spans="1:3" x14ac:dyDescent="0.3">
      <c r="A1216" s="1">
        <v>1002569</v>
      </c>
      <c r="B1216" s="2" t="s">
        <v>1243</v>
      </c>
      <c r="C1216" s="9">
        <v>42557.430368000001</v>
      </c>
    </row>
    <row r="1217" spans="1:3" x14ac:dyDescent="0.3">
      <c r="A1217" s="1">
        <v>1002571</v>
      </c>
      <c r="B1217" s="2" t="s">
        <v>1244</v>
      </c>
      <c r="C1217" s="9">
        <v>10143.9457185142</v>
      </c>
    </row>
    <row r="1218" spans="1:3" x14ac:dyDescent="0.3">
      <c r="A1218" s="1">
        <v>1002572</v>
      </c>
      <c r="B1218" s="2" t="s">
        <v>1245</v>
      </c>
      <c r="C1218" s="9">
        <v>13088.893738914099</v>
      </c>
    </row>
    <row r="1219" spans="1:3" x14ac:dyDescent="0.3">
      <c r="A1219" s="1">
        <v>1002576</v>
      </c>
      <c r="B1219" s="2" t="s">
        <v>1246</v>
      </c>
      <c r="C1219" s="9">
        <v>30053.8076766667</v>
      </c>
    </row>
    <row r="1220" spans="1:3" x14ac:dyDescent="0.3">
      <c r="A1220" s="1">
        <v>1002577</v>
      </c>
      <c r="B1220" s="2" t="s">
        <v>1247</v>
      </c>
      <c r="C1220" s="9">
        <v>30647.365021757101</v>
      </c>
    </row>
    <row r="1221" spans="1:3" x14ac:dyDescent="0.3">
      <c r="A1221" s="1">
        <v>1002585</v>
      </c>
      <c r="B1221" s="2" t="s">
        <v>1248</v>
      </c>
      <c r="C1221" s="9">
        <v>3604.5462090730298</v>
      </c>
    </row>
    <row r="1222" spans="1:3" x14ac:dyDescent="0.3">
      <c r="A1222" s="1">
        <v>1002586</v>
      </c>
      <c r="B1222" s="2" t="s">
        <v>1249</v>
      </c>
      <c r="C1222" s="9">
        <v>3806.3442571428573</v>
      </c>
    </row>
    <row r="1223" spans="1:3" x14ac:dyDescent="0.3">
      <c r="A1223" s="1">
        <v>1002589</v>
      </c>
      <c r="B1223" s="2" t="s">
        <v>1250</v>
      </c>
      <c r="C1223" s="9">
        <v>85365.11</v>
      </c>
    </row>
    <row r="1224" spans="1:3" x14ac:dyDescent="0.3">
      <c r="A1224" s="1">
        <v>1002591</v>
      </c>
      <c r="B1224" s="2" t="s">
        <v>1251</v>
      </c>
      <c r="C1224" s="9">
        <v>77604.649999999994</v>
      </c>
    </row>
    <row r="1225" spans="1:3" x14ac:dyDescent="0.3">
      <c r="A1225" s="1">
        <v>1002592</v>
      </c>
      <c r="B1225" s="2" t="s">
        <v>1252</v>
      </c>
      <c r="C1225" s="9">
        <v>77171.66</v>
      </c>
    </row>
    <row r="1226" spans="1:3" x14ac:dyDescent="0.3">
      <c r="A1226" s="1">
        <v>1002594</v>
      </c>
      <c r="B1226" s="2" t="s">
        <v>1253</v>
      </c>
      <c r="C1226" s="9">
        <v>570.90603953046832</v>
      </c>
    </row>
    <row r="1227" spans="1:3" x14ac:dyDescent="0.3">
      <c r="A1227" s="1">
        <v>1002595</v>
      </c>
      <c r="B1227" s="2" t="s">
        <v>1254</v>
      </c>
      <c r="C1227" s="9">
        <v>1156.4589973070017</v>
      </c>
    </row>
    <row r="1228" spans="1:3" x14ac:dyDescent="0.3">
      <c r="A1228" s="1">
        <v>1002596</v>
      </c>
      <c r="B1228" s="2" t="s">
        <v>1255</v>
      </c>
      <c r="C1228" s="9">
        <v>1067.45</v>
      </c>
    </row>
    <row r="1229" spans="1:3" x14ac:dyDescent="0.3">
      <c r="A1229" s="1">
        <v>1002597</v>
      </c>
      <c r="B1229" s="2" t="s">
        <v>1256</v>
      </c>
      <c r="C1229" s="9">
        <v>678.07084690060697</v>
      </c>
    </row>
    <row r="1230" spans="1:3" x14ac:dyDescent="0.3">
      <c r="A1230" s="1">
        <v>1002598</v>
      </c>
      <c r="B1230" s="2" t="s">
        <v>1257</v>
      </c>
      <c r="C1230" s="9">
        <v>807.05063013698623</v>
      </c>
    </row>
    <row r="1231" spans="1:3" x14ac:dyDescent="0.3">
      <c r="A1231" s="1">
        <v>1002602</v>
      </c>
      <c r="B1231" s="2" t="s">
        <v>1258</v>
      </c>
      <c r="C1231" s="9">
        <v>3399540.59</v>
      </c>
    </row>
    <row r="1232" spans="1:3" x14ac:dyDescent="0.3">
      <c r="A1232" s="1">
        <v>1002604</v>
      </c>
      <c r="B1232" s="2" t="s">
        <v>1259</v>
      </c>
      <c r="C1232" s="9">
        <v>2925550.4</v>
      </c>
    </row>
    <row r="1233" spans="1:3" x14ac:dyDescent="0.3">
      <c r="A1233" s="1">
        <v>1002605</v>
      </c>
      <c r="B1233" s="2" t="s">
        <v>1260</v>
      </c>
      <c r="C1233" s="9">
        <v>1089219.70875</v>
      </c>
    </row>
    <row r="1234" spans="1:3" x14ac:dyDescent="0.3">
      <c r="A1234" s="1">
        <v>1002606</v>
      </c>
      <c r="B1234" s="2" t="s">
        <v>1261</v>
      </c>
      <c r="C1234" s="9">
        <v>179161.7</v>
      </c>
    </row>
    <row r="1235" spans="1:3" x14ac:dyDescent="0.3">
      <c r="A1235" s="1">
        <v>1002609</v>
      </c>
      <c r="B1235" s="2" t="s">
        <v>1262</v>
      </c>
      <c r="C1235" s="9">
        <v>40088.879999999997</v>
      </c>
    </row>
    <row r="1236" spans="1:3" x14ac:dyDescent="0.3">
      <c r="A1236" s="1">
        <v>1002610</v>
      </c>
      <c r="B1236" s="2" t="s">
        <v>1263</v>
      </c>
      <c r="C1236" s="9">
        <v>50424.425999999999</v>
      </c>
    </row>
    <row r="1237" spans="1:3" x14ac:dyDescent="0.3">
      <c r="A1237" s="1">
        <v>1002612</v>
      </c>
      <c r="B1237" s="2" t="s">
        <v>1265</v>
      </c>
      <c r="C1237" s="9">
        <v>224159.04</v>
      </c>
    </row>
    <row r="1238" spans="1:3" x14ac:dyDescent="0.3">
      <c r="A1238" s="1">
        <v>1002616</v>
      </c>
      <c r="B1238" s="2" t="s">
        <v>1266</v>
      </c>
      <c r="C1238" s="9">
        <v>1765620.2875000001</v>
      </c>
    </row>
    <row r="1239" spans="1:3" x14ac:dyDescent="0.3">
      <c r="A1239" s="1">
        <v>1002617</v>
      </c>
      <c r="B1239" s="2" t="s">
        <v>1267</v>
      </c>
      <c r="C1239" s="9">
        <v>1395437.3892857099</v>
      </c>
    </row>
    <row r="1240" spans="1:3" x14ac:dyDescent="0.3">
      <c r="A1240" s="1">
        <v>1002618</v>
      </c>
      <c r="B1240" s="2" t="s">
        <v>1268</v>
      </c>
      <c r="C1240" s="9">
        <v>4465918.1900000004</v>
      </c>
    </row>
    <row r="1241" spans="1:3" x14ac:dyDescent="0.3">
      <c r="A1241" s="1">
        <v>1002619</v>
      </c>
      <c r="B1241" s="2" t="s">
        <v>1269</v>
      </c>
      <c r="C1241" s="9">
        <v>201108.565</v>
      </c>
    </row>
    <row r="1242" spans="1:3" x14ac:dyDescent="0.3">
      <c r="A1242" s="1">
        <v>1002623</v>
      </c>
      <c r="B1242" s="2" t="s">
        <v>1270</v>
      </c>
      <c r="C1242" s="9">
        <v>523510.75783333299</v>
      </c>
    </row>
    <row r="1243" spans="1:3" x14ac:dyDescent="0.3">
      <c r="A1243" s="1">
        <v>1002624</v>
      </c>
      <c r="B1243" s="2" t="s">
        <v>1271</v>
      </c>
      <c r="C1243" s="9">
        <v>14852.21</v>
      </c>
    </row>
    <row r="1244" spans="1:3" x14ac:dyDescent="0.3">
      <c r="A1244" s="1">
        <v>1002625</v>
      </c>
      <c r="B1244" s="2" t="s">
        <v>1272</v>
      </c>
      <c r="C1244" s="9">
        <v>40611.379999999997</v>
      </c>
    </row>
    <row r="1245" spans="1:3" x14ac:dyDescent="0.3">
      <c r="A1245" s="1">
        <v>1002628</v>
      </c>
      <c r="B1245" s="2" t="s">
        <v>1274</v>
      </c>
      <c r="C1245" s="9">
        <v>370452.395571428</v>
      </c>
    </row>
    <row r="1246" spans="1:3" x14ac:dyDescent="0.3">
      <c r="A1246" s="1">
        <v>1002632</v>
      </c>
      <c r="B1246" s="2" t="s">
        <v>1275</v>
      </c>
      <c r="C1246" s="9">
        <v>658728</v>
      </c>
    </row>
    <row r="1247" spans="1:3" x14ac:dyDescent="0.3">
      <c r="A1247" s="1">
        <v>1002633</v>
      </c>
      <c r="B1247" s="2" t="s">
        <v>1276</v>
      </c>
      <c r="C1247" s="9">
        <v>1394162.348</v>
      </c>
    </row>
    <row r="1248" spans="1:3" x14ac:dyDescent="0.3">
      <c r="A1248" s="1">
        <v>1002634</v>
      </c>
      <c r="B1248" s="2" t="s">
        <v>1277</v>
      </c>
      <c r="C1248" s="9">
        <v>667629.77</v>
      </c>
    </row>
    <row r="1249" spans="1:3" x14ac:dyDescent="0.3">
      <c r="A1249" s="1">
        <v>1002635</v>
      </c>
      <c r="B1249" s="2" t="s">
        <v>1278</v>
      </c>
      <c r="C1249" s="9">
        <v>572017.5625</v>
      </c>
    </row>
    <row r="1250" spans="1:3" x14ac:dyDescent="0.3">
      <c r="A1250" s="1">
        <v>1002636</v>
      </c>
      <c r="B1250" s="2" t="s">
        <v>1279</v>
      </c>
      <c r="C1250" s="9">
        <v>238929.343333333</v>
      </c>
    </row>
    <row r="1251" spans="1:3" x14ac:dyDescent="0.3">
      <c r="A1251" s="1">
        <v>1002637</v>
      </c>
      <c r="B1251" s="2" t="s">
        <v>1280</v>
      </c>
      <c r="C1251" s="9">
        <v>244655.71</v>
      </c>
    </row>
    <row r="1252" spans="1:3" x14ac:dyDescent="0.3">
      <c r="A1252" s="1">
        <v>1002639</v>
      </c>
      <c r="B1252" s="2" t="s">
        <v>1281</v>
      </c>
      <c r="C1252" s="9">
        <v>357551.90125</v>
      </c>
    </row>
    <row r="1253" spans="1:3" x14ac:dyDescent="0.3">
      <c r="A1253" s="1">
        <v>1002641</v>
      </c>
      <c r="B1253" s="2" t="s">
        <v>1282</v>
      </c>
      <c r="C1253" s="9">
        <v>180653.89333333334</v>
      </c>
    </row>
    <row r="1254" spans="1:3" x14ac:dyDescent="0.3">
      <c r="A1254" s="1">
        <v>1002642</v>
      </c>
      <c r="B1254" s="2" t="s">
        <v>1283</v>
      </c>
      <c r="C1254" s="9">
        <v>184117.32</v>
      </c>
    </row>
    <row r="1255" spans="1:3" x14ac:dyDescent="0.3">
      <c r="A1255" s="1">
        <v>1002643</v>
      </c>
      <c r="B1255" s="2" t="s">
        <v>1284</v>
      </c>
      <c r="C1255" s="9">
        <v>167260.26999999999</v>
      </c>
    </row>
    <row r="1256" spans="1:3" x14ac:dyDescent="0.3">
      <c r="A1256" s="1">
        <v>1002645</v>
      </c>
      <c r="B1256" s="2" t="s">
        <v>1285</v>
      </c>
      <c r="C1256" s="9">
        <v>421260.97</v>
      </c>
    </row>
    <row r="1257" spans="1:3" x14ac:dyDescent="0.3">
      <c r="A1257" s="1">
        <v>1002649</v>
      </c>
      <c r="B1257" s="2" t="s">
        <v>1286</v>
      </c>
      <c r="C1257" s="9">
        <v>263366.91666666669</v>
      </c>
    </row>
    <row r="1258" spans="1:3" x14ac:dyDescent="0.3">
      <c r="A1258" s="1">
        <v>1002650</v>
      </c>
      <c r="B1258" s="2" t="s">
        <v>1287</v>
      </c>
      <c r="C1258" s="9">
        <v>366563.09222222224</v>
      </c>
    </row>
    <row r="1259" spans="1:3" x14ac:dyDescent="0.3">
      <c r="A1259" s="1">
        <v>1002652</v>
      </c>
      <c r="B1259" s="2" t="s">
        <v>1288</v>
      </c>
      <c r="C1259" s="9">
        <v>341821.330625</v>
      </c>
    </row>
    <row r="1260" spans="1:3" x14ac:dyDescent="0.3">
      <c r="A1260" s="1">
        <v>1002653</v>
      </c>
      <c r="B1260" s="2" t="s">
        <v>1289</v>
      </c>
      <c r="C1260" s="9">
        <v>240673.3252777778</v>
      </c>
    </row>
    <row r="1261" spans="1:3" x14ac:dyDescent="0.3">
      <c r="A1261" s="1">
        <v>1002654</v>
      </c>
      <c r="B1261" s="2" t="s">
        <v>1290</v>
      </c>
      <c r="C1261" s="9">
        <v>649930.65666666662</v>
      </c>
    </row>
    <row r="1262" spans="1:3" x14ac:dyDescent="0.3">
      <c r="A1262" s="1">
        <v>1002655</v>
      </c>
      <c r="B1262" s="2" t="s">
        <v>1291</v>
      </c>
      <c r="C1262" s="9">
        <v>711327.07</v>
      </c>
    </row>
    <row r="1263" spans="1:3" x14ac:dyDescent="0.3">
      <c r="A1263" s="1">
        <v>1002656</v>
      </c>
      <c r="B1263" s="2" t="s">
        <v>1292</v>
      </c>
      <c r="C1263" s="9">
        <v>797803.11125000007</v>
      </c>
    </row>
    <row r="1264" spans="1:3" x14ac:dyDescent="0.3">
      <c r="A1264" s="1">
        <v>1002662</v>
      </c>
      <c r="B1264" s="2" t="s">
        <v>1293</v>
      </c>
      <c r="C1264" s="9">
        <v>3297347.926</v>
      </c>
    </row>
    <row r="1265" spans="1:3" x14ac:dyDescent="0.3">
      <c r="A1265" s="1">
        <v>1002663</v>
      </c>
      <c r="B1265" s="2" t="s">
        <v>1294</v>
      </c>
      <c r="C1265" s="9">
        <v>369.6</v>
      </c>
    </row>
    <row r="1266" spans="1:3" x14ac:dyDescent="0.3">
      <c r="A1266" s="1">
        <v>1002664</v>
      </c>
      <c r="B1266" s="2" t="s">
        <v>1295</v>
      </c>
      <c r="C1266" s="9">
        <v>62331.41333333333</v>
      </c>
    </row>
    <row r="1267" spans="1:3" x14ac:dyDescent="0.3">
      <c r="A1267" s="1">
        <v>1002665</v>
      </c>
      <c r="B1267" s="2" t="s">
        <v>1296</v>
      </c>
      <c r="C1267" s="9">
        <v>0</v>
      </c>
    </row>
    <row r="1268" spans="1:3" x14ac:dyDescent="0.3">
      <c r="A1268" s="1">
        <v>1002666</v>
      </c>
      <c r="B1268" s="2" t="s">
        <v>1297</v>
      </c>
      <c r="C1268" s="9">
        <v>59590.51</v>
      </c>
    </row>
    <row r="1269" spans="1:3" x14ac:dyDescent="0.3">
      <c r="A1269" s="1">
        <v>1002671</v>
      </c>
      <c r="B1269" s="2" t="s">
        <v>1298</v>
      </c>
      <c r="C1269" s="9">
        <v>62750.5561904762</v>
      </c>
    </row>
    <row r="1270" spans="1:3" x14ac:dyDescent="0.3">
      <c r="A1270" s="1">
        <v>1002672</v>
      </c>
      <c r="B1270" s="2" t="s">
        <v>1299</v>
      </c>
      <c r="C1270" s="9">
        <v>52265.763737373702</v>
      </c>
    </row>
    <row r="1271" spans="1:3" x14ac:dyDescent="0.3">
      <c r="A1271" s="1">
        <v>1002677</v>
      </c>
      <c r="B1271" s="2" t="s">
        <v>1300</v>
      </c>
      <c r="C1271" s="9">
        <v>63550</v>
      </c>
    </row>
    <row r="1272" spans="1:3" x14ac:dyDescent="0.3">
      <c r="A1272" s="1">
        <v>1002678</v>
      </c>
      <c r="B1272" s="2" t="s">
        <v>1301</v>
      </c>
      <c r="C1272" s="9">
        <v>0</v>
      </c>
    </row>
    <row r="1273" spans="1:3" x14ac:dyDescent="0.3">
      <c r="A1273" s="1">
        <v>1002681</v>
      </c>
      <c r="B1273" s="2" t="s">
        <v>1302</v>
      </c>
      <c r="C1273" s="9">
        <v>65600</v>
      </c>
    </row>
    <row r="1274" spans="1:3" x14ac:dyDescent="0.3">
      <c r="A1274" s="1">
        <v>1002683</v>
      </c>
      <c r="B1274" s="2" t="s">
        <v>1303</v>
      </c>
      <c r="C1274" s="9">
        <v>47068.542857142857</v>
      </c>
    </row>
    <row r="1275" spans="1:3" x14ac:dyDescent="0.3">
      <c r="A1275" s="1">
        <v>1002684</v>
      </c>
      <c r="B1275" s="2" t="s">
        <v>1304</v>
      </c>
      <c r="C1275" s="9">
        <v>69849.646666666697</v>
      </c>
    </row>
    <row r="1276" spans="1:3" x14ac:dyDescent="0.3">
      <c r="A1276" s="1">
        <v>1002685</v>
      </c>
      <c r="B1276" s="2" t="s">
        <v>1305</v>
      </c>
      <c r="C1276" s="9">
        <v>701392</v>
      </c>
    </row>
    <row r="1277" spans="1:3" x14ac:dyDescent="0.3">
      <c r="A1277" s="1">
        <v>1002687</v>
      </c>
      <c r="B1277" s="2" t="s">
        <v>1306</v>
      </c>
      <c r="C1277" s="9">
        <v>148058.54656626499</v>
      </c>
    </row>
    <row r="1278" spans="1:3" x14ac:dyDescent="0.3">
      <c r="A1278" s="1">
        <v>1002688</v>
      </c>
      <c r="B1278" s="2" t="s">
        <v>1307</v>
      </c>
      <c r="C1278" s="9">
        <v>256085.42499999999</v>
      </c>
    </row>
    <row r="1279" spans="1:3" x14ac:dyDescent="0.3">
      <c r="A1279" s="1">
        <v>1002689</v>
      </c>
      <c r="B1279" s="2" t="s">
        <v>1308</v>
      </c>
      <c r="C1279" s="9">
        <v>87659.506393681499</v>
      </c>
    </row>
    <row r="1280" spans="1:3" x14ac:dyDescent="0.3">
      <c r="A1280" s="1">
        <v>1002690</v>
      </c>
      <c r="B1280" s="2" t="s">
        <v>1309</v>
      </c>
      <c r="C1280" s="9">
        <v>0</v>
      </c>
    </row>
    <row r="1281" spans="1:3" x14ac:dyDescent="0.3">
      <c r="A1281" s="1">
        <v>1002693</v>
      </c>
      <c r="B1281" s="2" t="s">
        <v>1310</v>
      </c>
      <c r="C1281" s="9">
        <v>31403.2155045871</v>
      </c>
    </row>
    <row r="1282" spans="1:3" x14ac:dyDescent="0.3">
      <c r="A1282" s="1">
        <v>1002694</v>
      </c>
      <c r="B1282" s="2" t="s">
        <v>1311</v>
      </c>
      <c r="C1282" s="9">
        <v>0</v>
      </c>
    </row>
    <row r="1283" spans="1:3" x14ac:dyDescent="0.3">
      <c r="A1283" s="1">
        <v>1002695</v>
      </c>
      <c r="B1283" s="2" t="s">
        <v>1312</v>
      </c>
      <c r="C1283" s="9">
        <v>0</v>
      </c>
    </row>
    <row r="1284" spans="1:3" x14ac:dyDescent="0.3">
      <c r="A1284" s="1">
        <v>1002696</v>
      </c>
      <c r="B1284" s="2" t="s">
        <v>1313</v>
      </c>
      <c r="C1284" s="9">
        <v>22276.799999999999</v>
      </c>
    </row>
    <row r="1285" spans="1:3" x14ac:dyDescent="0.3">
      <c r="A1285" s="1">
        <v>1002697</v>
      </c>
      <c r="B1285" s="2" t="s">
        <v>1314</v>
      </c>
      <c r="C1285" s="9">
        <v>227686.48833333299</v>
      </c>
    </row>
    <row r="1286" spans="1:3" x14ac:dyDescent="0.3">
      <c r="A1286" s="1">
        <v>1002698</v>
      </c>
      <c r="B1286" s="2" t="s">
        <v>1315</v>
      </c>
      <c r="C1286" s="9">
        <v>31320</v>
      </c>
    </row>
    <row r="1287" spans="1:3" x14ac:dyDescent="0.3">
      <c r="A1287" s="1">
        <v>1002700</v>
      </c>
      <c r="B1287" s="2" t="s">
        <v>1316</v>
      </c>
      <c r="C1287" s="9">
        <v>133968.4</v>
      </c>
    </row>
    <row r="1288" spans="1:3" x14ac:dyDescent="0.3">
      <c r="A1288" s="1">
        <v>1002703</v>
      </c>
      <c r="B1288" s="2" t="s">
        <v>1317</v>
      </c>
      <c r="C1288" s="9">
        <v>0</v>
      </c>
    </row>
    <row r="1289" spans="1:3" x14ac:dyDescent="0.3">
      <c r="A1289" s="1">
        <v>1002704</v>
      </c>
      <c r="B1289" s="2" t="s">
        <v>1318</v>
      </c>
      <c r="C1289" s="9">
        <v>324500</v>
      </c>
    </row>
    <row r="1290" spans="1:3" x14ac:dyDescent="0.3">
      <c r="A1290" s="1">
        <v>1002706</v>
      </c>
      <c r="B1290" s="2" t="s">
        <v>1319</v>
      </c>
      <c r="C1290" s="9">
        <v>53430.178507442899</v>
      </c>
    </row>
    <row r="1291" spans="1:3" x14ac:dyDescent="0.3">
      <c r="A1291" s="1">
        <v>1002707</v>
      </c>
      <c r="B1291" s="2" t="s">
        <v>1320</v>
      </c>
      <c r="C1291" s="9">
        <v>48898.465374149702</v>
      </c>
    </row>
    <row r="1292" spans="1:3" x14ac:dyDescent="0.3">
      <c r="A1292" s="1">
        <v>1002708</v>
      </c>
      <c r="B1292" s="2" t="s">
        <v>1321</v>
      </c>
      <c r="C1292" s="9">
        <v>10342.956521739099</v>
      </c>
    </row>
    <row r="1293" spans="1:3" x14ac:dyDescent="0.3">
      <c r="A1293" s="1">
        <v>1002709</v>
      </c>
      <c r="B1293" s="2" t="s">
        <v>1322</v>
      </c>
      <c r="C1293" s="9">
        <v>30998.4859988756</v>
      </c>
    </row>
    <row r="1294" spans="1:3" x14ac:dyDescent="0.3">
      <c r="A1294" s="1">
        <v>1002710</v>
      </c>
      <c r="B1294" s="2" t="s">
        <v>1323</v>
      </c>
      <c r="C1294" s="9">
        <v>53767.249149612602</v>
      </c>
    </row>
    <row r="1295" spans="1:3" x14ac:dyDescent="0.3">
      <c r="A1295" s="1">
        <v>1002711</v>
      </c>
      <c r="B1295" s="2" t="s">
        <v>1324</v>
      </c>
      <c r="C1295" s="9">
        <v>0</v>
      </c>
    </row>
    <row r="1296" spans="1:3" x14ac:dyDescent="0.3">
      <c r="A1296" s="1">
        <v>1002712</v>
      </c>
      <c r="B1296" s="2" t="s">
        <v>1325</v>
      </c>
      <c r="C1296" s="9">
        <v>50350.353037288398</v>
      </c>
    </row>
    <row r="1297" spans="1:3" x14ac:dyDescent="0.3">
      <c r="A1297" s="1">
        <v>1002713</v>
      </c>
      <c r="B1297" s="2" t="s">
        <v>1326</v>
      </c>
      <c r="C1297" s="9">
        <v>41976.677954545499</v>
      </c>
    </row>
    <row r="1298" spans="1:3" x14ac:dyDescent="0.3">
      <c r="A1298" s="1">
        <v>1002714</v>
      </c>
      <c r="B1298" s="2" t="s">
        <v>1327</v>
      </c>
      <c r="C1298" s="9">
        <v>9097.7800000000007</v>
      </c>
    </row>
    <row r="1299" spans="1:3" x14ac:dyDescent="0.3">
      <c r="A1299" s="1">
        <v>1002715</v>
      </c>
      <c r="B1299" s="2" t="s">
        <v>1328</v>
      </c>
      <c r="C1299" s="9">
        <v>60342.931641704403</v>
      </c>
    </row>
    <row r="1300" spans="1:3" x14ac:dyDescent="0.3">
      <c r="A1300" s="1">
        <v>1002717</v>
      </c>
      <c r="B1300" s="2" t="s">
        <v>1329</v>
      </c>
      <c r="C1300" s="9">
        <v>44469.627333518401</v>
      </c>
    </row>
    <row r="1301" spans="1:3" x14ac:dyDescent="0.3">
      <c r="A1301" s="1">
        <v>1002718</v>
      </c>
      <c r="B1301" s="2" t="s">
        <v>1330</v>
      </c>
      <c r="C1301" s="9">
        <v>42973.659693181799</v>
      </c>
    </row>
    <row r="1302" spans="1:3" x14ac:dyDescent="0.3">
      <c r="A1302" s="1">
        <v>1002719</v>
      </c>
      <c r="B1302" s="2" t="s">
        <v>1331</v>
      </c>
      <c r="C1302" s="9">
        <v>0</v>
      </c>
    </row>
    <row r="1303" spans="1:3" x14ac:dyDescent="0.3">
      <c r="A1303" s="1">
        <v>1002720</v>
      </c>
      <c r="B1303" s="2" t="s">
        <v>1332</v>
      </c>
      <c r="C1303" s="9">
        <v>102076.70666666667</v>
      </c>
    </row>
    <row r="1304" spans="1:3" x14ac:dyDescent="0.3">
      <c r="A1304" s="1">
        <v>1002721</v>
      </c>
      <c r="B1304" s="2" t="s">
        <v>1333</v>
      </c>
      <c r="C1304" s="9">
        <v>49139.959283720898</v>
      </c>
    </row>
    <row r="1305" spans="1:3" x14ac:dyDescent="0.3">
      <c r="A1305" s="1">
        <v>1002722</v>
      </c>
      <c r="B1305" s="2" t="s">
        <v>1334</v>
      </c>
      <c r="C1305" s="9">
        <v>77027.195000000007</v>
      </c>
    </row>
    <row r="1306" spans="1:3" x14ac:dyDescent="0.3">
      <c r="A1306" s="1">
        <v>1002723</v>
      </c>
      <c r="B1306" s="2" t="s">
        <v>1335</v>
      </c>
      <c r="C1306" s="9">
        <v>0</v>
      </c>
    </row>
    <row r="1307" spans="1:3" x14ac:dyDescent="0.3">
      <c r="A1307" s="1">
        <v>1002724</v>
      </c>
      <c r="B1307" s="2" t="s">
        <v>1336</v>
      </c>
      <c r="C1307" s="9">
        <v>63837.961109059397</v>
      </c>
    </row>
    <row r="1308" spans="1:3" x14ac:dyDescent="0.3">
      <c r="A1308" s="1">
        <v>1002725</v>
      </c>
      <c r="B1308" s="2" t="s">
        <v>1337</v>
      </c>
      <c r="C1308" s="9">
        <v>56773.2931246386</v>
      </c>
    </row>
    <row r="1309" spans="1:3" x14ac:dyDescent="0.3">
      <c r="A1309" s="1">
        <v>1002726</v>
      </c>
      <c r="B1309" s="2" t="s">
        <v>1338</v>
      </c>
      <c r="C1309" s="9">
        <v>0</v>
      </c>
    </row>
    <row r="1310" spans="1:3" x14ac:dyDescent="0.3">
      <c r="A1310" s="1">
        <v>1002727</v>
      </c>
      <c r="B1310" s="2" t="s">
        <v>1339</v>
      </c>
      <c r="C1310" s="9">
        <v>0</v>
      </c>
    </row>
    <row r="1311" spans="1:3" x14ac:dyDescent="0.3">
      <c r="A1311" s="1">
        <v>1002728</v>
      </c>
      <c r="B1311" s="2" t="s">
        <v>1340</v>
      </c>
      <c r="C1311" s="9">
        <v>0</v>
      </c>
    </row>
    <row r="1312" spans="1:3" x14ac:dyDescent="0.3">
      <c r="A1312" s="1">
        <v>1002729</v>
      </c>
      <c r="B1312" s="2" t="s">
        <v>1341</v>
      </c>
      <c r="C1312" s="9">
        <v>0</v>
      </c>
    </row>
    <row r="1313" spans="1:3" x14ac:dyDescent="0.3">
      <c r="A1313" s="1">
        <v>1002730</v>
      </c>
      <c r="B1313" s="2" t="s">
        <v>1342</v>
      </c>
      <c r="C1313" s="9">
        <v>107278.79876294501</v>
      </c>
    </row>
    <row r="1314" spans="1:3" x14ac:dyDescent="0.3">
      <c r="A1314" s="1">
        <v>1002731</v>
      </c>
      <c r="B1314" s="2" t="s">
        <v>1343</v>
      </c>
      <c r="C1314" s="9">
        <v>152414.38</v>
      </c>
    </row>
    <row r="1315" spans="1:3" x14ac:dyDescent="0.3">
      <c r="A1315" s="1">
        <v>1002732</v>
      </c>
      <c r="B1315" s="2" t="s">
        <v>1344</v>
      </c>
      <c r="C1315" s="9">
        <v>0</v>
      </c>
    </row>
    <row r="1316" spans="1:3" x14ac:dyDescent="0.3">
      <c r="A1316" s="1">
        <v>1002733</v>
      </c>
      <c r="B1316" s="2" t="s">
        <v>1345</v>
      </c>
      <c r="C1316" s="9">
        <v>67917.086508716704</v>
      </c>
    </row>
    <row r="1317" spans="1:3" x14ac:dyDescent="0.3">
      <c r="A1317" s="1">
        <v>1002736</v>
      </c>
      <c r="B1317" s="2" t="s">
        <v>1346</v>
      </c>
      <c r="C1317" s="9">
        <v>361767.22808510601</v>
      </c>
    </row>
    <row r="1318" spans="1:3" x14ac:dyDescent="0.3">
      <c r="A1318" s="1">
        <v>1002737</v>
      </c>
      <c r="B1318" s="2" t="s">
        <v>1347</v>
      </c>
      <c r="C1318" s="9">
        <v>233948.99</v>
      </c>
    </row>
    <row r="1319" spans="1:3" x14ac:dyDescent="0.3">
      <c r="A1319" s="1">
        <v>1002739</v>
      </c>
      <c r="B1319" s="2" t="s">
        <v>1348</v>
      </c>
      <c r="C1319" s="9">
        <v>451090.13457017503</v>
      </c>
    </row>
    <row r="1320" spans="1:3" x14ac:dyDescent="0.3">
      <c r="A1320" s="1">
        <v>1002740</v>
      </c>
      <c r="B1320" s="2" t="s">
        <v>1349</v>
      </c>
      <c r="C1320" s="9">
        <v>0</v>
      </c>
    </row>
    <row r="1321" spans="1:3" x14ac:dyDescent="0.3">
      <c r="A1321" s="1">
        <v>1002741</v>
      </c>
      <c r="B1321" s="2" t="s">
        <v>1350</v>
      </c>
      <c r="C1321" s="9">
        <v>391691.6</v>
      </c>
    </row>
    <row r="1322" spans="1:3" x14ac:dyDescent="0.3">
      <c r="A1322" s="1">
        <v>1002742</v>
      </c>
      <c r="B1322" s="2" t="s">
        <v>1351</v>
      </c>
      <c r="C1322" s="9">
        <v>459244.683163265</v>
      </c>
    </row>
    <row r="1323" spans="1:3" x14ac:dyDescent="0.3">
      <c r="A1323" s="1">
        <v>1002744</v>
      </c>
      <c r="B1323" s="2" t="s">
        <v>1352</v>
      </c>
      <c r="C1323" s="9">
        <v>320223.24</v>
      </c>
    </row>
    <row r="1324" spans="1:3" x14ac:dyDescent="0.3">
      <c r="A1324" s="1">
        <v>1002751</v>
      </c>
      <c r="B1324" s="2" t="s">
        <v>1353</v>
      </c>
      <c r="C1324" s="9">
        <v>636958.34499999997</v>
      </c>
    </row>
    <row r="1325" spans="1:3" x14ac:dyDescent="0.3">
      <c r="A1325" s="1">
        <v>1002754</v>
      </c>
      <c r="B1325" s="2" t="s">
        <v>1354</v>
      </c>
      <c r="C1325" s="9">
        <v>116434.21</v>
      </c>
    </row>
    <row r="1326" spans="1:3" x14ac:dyDescent="0.3">
      <c r="A1326" s="1">
        <v>1002755</v>
      </c>
      <c r="B1326" s="2" t="s">
        <v>1355</v>
      </c>
      <c r="C1326" s="9">
        <v>105848.28</v>
      </c>
    </row>
    <row r="1327" spans="1:3" x14ac:dyDescent="0.3">
      <c r="A1327" s="1">
        <v>1002756</v>
      </c>
      <c r="B1327" s="2" t="s">
        <v>1356</v>
      </c>
      <c r="C1327" s="9">
        <v>0</v>
      </c>
    </row>
    <row r="1328" spans="1:3" x14ac:dyDescent="0.3">
      <c r="A1328" s="1">
        <v>1002758</v>
      </c>
      <c r="B1328" s="2" t="s">
        <v>1357</v>
      </c>
      <c r="C1328" s="9">
        <v>0</v>
      </c>
    </row>
    <row r="1329" spans="1:3" x14ac:dyDescent="0.3">
      <c r="A1329" s="1">
        <v>1002760</v>
      </c>
      <c r="B1329" s="2" t="s">
        <v>1358</v>
      </c>
      <c r="C1329" s="9">
        <v>694102.53642857145</v>
      </c>
    </row>
    <row r="1330" spans="1:3" x14ac:dyDescent="0.3">
      <c r="A1330" s="1">
        <v>1002763</v>
      </c>
      <c r="B1330" s="2" t="s">
        <v>1359</v>
      </c>
      <c r="C1330" s="9">
        <v>164848.240540984</v>
      </c>
    </row>
    <row r="1331" spans="1:3" x14ac:dyDescent="0.3">
      <c r="A1331" s="1">
        <v>1002770</v>
      </c>
      <c r="B1331" s="2" t="s">
        <v>1360</v>
      </c>
      <c r="C1331" s="9">
        <v>367856.23</v>
      </c>
    </row>
    <row r="1332" spans="1:3" x14ac:dyDescent="0.3">
      <c r="A1332" s="1">
        <v>1002773</v>
      </c>
      <c r="B1332" s="2" t="s">
        <v>1361</v>
      </c>
      <c r="C1332" s="9">
        <v>853822.57833333337</v>
      </c>
    </row>
    <row r="1333" spans="1:3" x14ac:dyDescent="0.3">
      <c r="A1333" s="1">
        <v>1002774</v>
      </c>
      <c r="B1333" s="2" t="s">
        <v>1362</v>
      </c>
      <c r="C1333" s="9">
        <v>857351.25</v>
      </c>
    </row>
    <row r="1334" spans="1:3" x14ac:dyDescent="0.3">
      <c r="A1334" s="1">
        <v>1002777</v>
      </c>
      <c r="B1334" s="2" t="s">
        <v>1363</v>
      </c>
      <c r="C1334" s="9">
        <v>138874.29236204701</v>
      </c>
    </row>
    <row r="1335" spans="1:3" x14ac:dyDescent="0.3">
      <c r="A1335" s="1">
        <v>1002779</v>
      </c>
      <c r="B1335" s="2" t="s">
        <v>1364</v>
      </c>
      <c r="C1335" s="9">
        <v>187736.620436709</v>
      </c>
    </row>
    <row r="1336" spans="1:3" x14ac:dyDescent="0.3">
      <c r="A1336" s="1">
        <v>1002782</v>
      </c>
      <c r="B1336" s="2" t="s">
        <v>1365</v>
      </c>
      <c r="C1336" s="9">
        <v>14500</v>
      </c>
    </row>
    <row r="1337" spans="1:3" x14ac:dyDescent="0.3">
      <c r="A1337" s="1">
        <v>1002787</v>
      </c>
      <c r="B1337" s="2" t="s">
        <v>1366</v>
      </c>
      <c r="C1337" s="9">
        <v>11480</v>
      </c>
    </row>
    <row r="1338" spans="1:3" x14ac:dyDescent="0.3">
      <c r="A1338" s="1">
        <v>1002790</v>
      </c>
      <c r="B1338" s="2" t="s">
        <v>1367</v>
      </c>
      <c r="C1338" s="9">
        <v>35573.240226052498</v>
      </c>
    </row>
    <row r="1339" spans="1:3" x14ac:dyDescent="0.3">
      <c r="A1339" s="1">
        <v>1002793</v>
      </c>
      <c r="B1339" s="2" t="s">
        <v>1368</v>
      </c>
      <c r="C1339" s="9">
        <v>0</v>
      </c>
    </row>
    <row r="1340" spans="1:3" x14ac:dyDescent="0.3">
      <c r="A1340" s="1">
        <v>1002794</v>
      </c>
      <c r="B1340" s="2" t="s">
        <v>1369</v>
      </c>
      <c r="C1340" s="9">
        <v>24477.84</v>
      </c>
    </row>
    <row r="1341" spans="1:3" x14ac:dyDescent="0.3">
      <c r="A1341" s="1">
        <v>1002796</v>
      </c>
      <c r="B1341" s="2" t="s">
        <v>1370</v>
      </c>
      <c r="C1341" s="9">
        <v>23124.592105263157</v>
      </c>
    </row>
    <row r="1342" spans="1:3" x14ac:dyDescent="0.3">
      <c r="A1342" s="1">
        <v>1002797</v>
      </c>
      <c r="B1342" s="2" t="s">
        <v>1371</v>
      </c>
      <c r="C1342" s="9">
        <v>30149.123673047699</v>
      </c>
    </row>
    <row r="1343" spans="1:3" x14ac:dyDescent="0.3">
      <c r="A1343" s="1">
        <v>1002800</v>
      </c>
      <c r="B1343" s="2" t="s">
        <v>1372</v>
      </c>
      <c r="C1343" s="9">
        <v>336400</v>
      </c>
    </row>
    <row r="1344" spans="1:3" x14ac:dyDescent="0.3">
      <c r="A1344" s="1">
        <v>1002801</v>
      </c>
      <c r="B1344" s="2" t="s">
        <v>1373</v>
      </c>
      <c r="C1344" s="9">
        <v>107242.150810778</v>
      </c>
    </row>
    <row r="1345" spans="1:3" x14ac:dyDescent="0.3">
      <c r="A1345" s="1">
        <v>1002802</v>
      </c>
      <c r="B1345" s="2" t="s">
        <v>1374</v>
      </c>
      <c r="C1345" s="9">
        <v>0</v>
      </c>
    </row>
    <row r="1346" spans="1:3" x14ac:dyDescent="0.3">
      <c r="A1346" s="1">
        <v>1002803</v>
      </c>
      <c r="B1346" s="2" t="s">
        <v>1375</v>
      </c>
      <c r="C1346" s="9">
        <v>48768.459741603801</v>
      </c>
    </row>
    <row r="1347" spans="1:3" x14ac:dyDescent="0.3">
      <c r="A1347" s="1">
        <v>1002804</v>
      </c>
      <c r="B1347" s="2" t="s">
        <v>1376</v>
      </c>
      <c r="C1347" s="9">
        <v>75762.87</v>
      </c>
    </row>
    <row r="1348" spans="1:3" x14ac:dyDescent="0.3">
      <c r="A1348" s="1">
        <v>1002805</v>
      </c>
      <c r="B1348" s="2" t="s">
        <v>1377</v>
      </c>
      <c r="C1348" s="9">
        <v>0</v>
      </c>
    </row>
    <row r="1349" spans="1:3" x14ac:dyDescent="0.3">
      <c r="A1349" s="1">
        <v>1002806</v>
      </c>
      <c r="B1349" s="2" t="s">
        <v>1378</v>
      </c>
      <c r="C1349" s="9">
        <v>0</v>
      </c>
    </row>
    <row r="1350" spans="1:3" x14ac:dyDescent="0.3">
      <c r="A1350" s="1">
        <v>1002807</v>
      </c>
      <c r="B1350" s="2" t="s">
        <v>1379</v>
      </c>
      <c r="C1350" s="9">
        <v>145814.80468517699</v>
      </c>
    </row>
    <row r="1351" spans="1:3" x14ac:dyDescent="0.3">
      <c r="A1351" s="1">
        <v>1002809</v>
      </c>
      <c r="B1351" s="2" t="s">
        <v>1380</v>
      </c>
      <c r="C1351" s="9">
        <v>53931.212602813903</v>
      </c>
    </row>
    <row r="1352" spans="1:3" x14ac:dyDescent="0.3">
      <c r="A1352" s="1">
        <v>1002810</v>
      </c>
      <c r="B1352" s="2" t="s">
        <v>1381</v>
      </c>
      <c r="C1352" s="9">
        <v>80182.976937281099</v>
      </c>
    </row>
    <row r="1353" spans="1:3" x14ac:dyDescent="0.3">
      <c r="A1353" s="1">
        <v>1002812</v>
      </c>
      <c r="B1353" s="2" t="s">
        <v>1382</v>
      </c>
      <c r="C1353" s="9">
        <v>21049907.530000001</v>
      </c>
    </row>
    <row r="1354" spans="1:3" x14ac:dyDescent="0.3">
      <c r="A1354" s="1">
        <v>1002814</v>
      </c>
      <c r="B1354" s="2" t="s">
        <v>1383</v>
      </c>
      <c r="C1354" s="9">
        <v>0</v>
      </c>
    </row>
    <row r="1355" spans="1:3" x14ac:dyDescent="0.3">
      <c r="A1355" s="1">
        <v>1002817</v>
      </c>
      <c r="B1355" s="2" t="s">
        <v>1384</v>
      </c>
      <c r="C1355" s="9">
        <v>45284945.590000004</v>
      </c>
    </row>
    <row r="1356" spans="1:3" x14ac:dyDescent="0.3">
      <c r="A1356" s="1">
        <v>1002818</v>
      </c>
      <c r="B1356" s="2" t="s">
        <v>1385</v>
      </c>
      <c r="C1356" s="9">
        <v>54804593.783</v>
      </c>
    </row>
    <row r="1357" spans="1:3" x14ac:dyDescent="0.3">
      <c r="A1357" s="1">
        <v>1002839</v>
      </c>
      <c r="B1357" s="2" t="s">
        <v>1386</v>
      </c>
      <c r="C1357" s="9">
        <v>2100.1490629370801</v>
      </c>
    </row>
    <row r="1358" spans="1:3" x14ac:dyDescent="0.3">
      <c r="A1358" s="1">
        <v>1002883</v>
      </c>
      <c r="B1358" s="2" t="s">
        <v>1388</v>
      </c>
      <c r="C1358" s="9">
        <v>13924</v>
      </c>
    </row>
    <row r="1359" spans="1:3" x14ac:dyDescent="0.3">
      <c r="A1359" s="1">
        <v>1002987</v>
      </c>
      <c r="B1359" s="2" t="s">
        <v>1389</v>
      </c>
      <c r="C1359" s="9">
        <v>1799.5</v>
      </c>
    </row>
    <row r="1360" spans="1:3" x14ac:dyDescent="0.3">
      <c r="A1360" s="1">
        <v>1002996</v>
      </c>
      <c r="B1360" s="2" t="s">
        <v>1390</v>
      </c>
      <c r="C1360" s="9">
        <v>849.6</v>
      </c>
    </row>
    <row r="1361" spans="1:3" x14ac:dyDescent="0.3">
      <c r="A1361" s="1">
        <v>1003071</v>
      </c>
      <c r="B1361" s="2" t="s">
        <v>1391</v>
      </c>
      <c r="C1361" s="9">
        <v>31848.2</v>
      </c>
    </row>
    <row r="1362" spans="1:3" x14ac:dyDescent="0.3">
      <c r="A1362" s="1">
        <v>1003156</v>
      </c>
      <c r="B1362" s="2" t="s">
        <v>1392</v>
      </c>
      <c r="C1362" s="9">
        <v>86.848021362829101</v>
      </c>
    </row>
    <row r="1363" spans="1:3" x14ac:dyDescent="0.3">
      <c r="A1363" s="1">
        <v>1003372</v>
      </c>
      <c r="B1363" s="2" t="s">
        <v>1393</v>
      </c>
      <c r="C1363" s="9">
        <v>1593</v>
      </c>
    </row>
    <row r="1364" spans="1:3" x14ac:dyDescent="0.3">
      <c r="A1364" s="1">
        <v>1003703</v>
      </c>
      <c r="B1364" s="2" t="s">
        <v>1394</v>
      </c>
      <c r="C1364" s="9">
        <v>16.685199999999998</v>
      </c>
    </row>
    <row r="1365" spans="1:3" x14ac:dyDescent="0.3">
      <c r="A1365" s="1">
        <v>1003956</v>
      </c>
      <c r="B1365" s="2" t="s">
        <v>1395</v>
      </c>
      <c r="C1365" s="9">
        <v>2009.9134058479499</v>
      </c>
    </row>
    <row r="1366" spans="1:3" x14ac:dyDescent="0.3">
      <c r="A1366" s="1">
        <v>1003960</v>
      </c>
      <c r="B1366" s="2" t="s">
        <v>1396</v>
      </c>
      <c r="C1366" s="9">
        <v>3000</v>
      </c>
    </row>
    <row r="1367" spans="1:3" x14ac:dyDescent="0.3">
      <c r="A1367" s="1">
        <v>1003961</v>
      </c>
      <c r="B1367" s="2" t="s">
        <v>1397</v>
      </c>
      <c r="C1367" s="9">
        <v>3000</v>
      </c>
    </row>
    <row r="1368" spans="1:3" x14ac:dyDescent="0.3">
      <c r="A1368" s="1">
        <v>1004097</v>
      </c>
      <c r="B1368" s="2" t="s">
        <v>1399</v>
      </c>
      <c r="C1368" s="9">
        <v>6</v>
      </c>
    </row>
    <row r="1369" spans="1:3" x14ac:dyDescent="0.3">
      <c r="A1369" s="1">
        <v>1004402</v>
      </c>
      <c r="B1369" s="2" t="s">
        <v>1401</v>
      </c>
      <c r="C1369" s="9">
        <v>12791.2</v>
      </c>
    </row>
    <row r="1370" spans="1:3" x14ac:dyDescent="0.3">
      <c r="A1370" s="1">
        <v>1004587</v>
      </c>
      <c r="B1370" s="2" t="s">
        <v>1402</v>
      </c>
      <c r="C1370" s="9">
        <v>283.2</v>
      </c>
    </row>
    <row r="1371" spans="1:3" x14ac:dyDescent="0.3">
      <c r="A1371" s="1">
        <v>1004654</v>
      </c>
      <c r="B1371" s="2" t="s">
        <v>1403</v>
      </c>
      <c r="C1371" s="9">
        <v>3677.1700887468101</v>
      </c>
    </row>
    <row r="1372" spans="1:3" x14ac:dyDescent="0.3">
      <c r="A1372" s="1">
        <v>1004656</v>
      </c>
      <c r="B1372" s="2" t="s">
        <v>1404</v>
      </c>
      <c r="C1372" s="9">
        <v>4766.7547983348104</v>
      </c>
    </row>
    <row r="1373" spans="1:3" x14ac:dyDescent="0.3">
      <c r="A1373" s="1">
        <v>1004657</v>
      </c>
      <c r="B1373" s="2" t="s">
        <v>1405</v>
      </c>
      <c r="C1373" s="9">
        <v>5081.5976000000001</v>
      </c>
    </row>
    <row r="1374" spans="1:3" x14ac:dyDescent="0.3">
      <c r="A1374" s="1">
        <v>1004658</v>
      </c>
      <c r="B1374" s="2" t="s">
        <v>1406</v>
      </c>
      <c r="C1374" s="9">
        <v>38990.1176923077</v>
      </c>
    </row>
    <row r="1375" spans="1:3" x14ac:dyDescent="0.3">
      <c r="A1375" s="1">
        <v>1004659</v>
      </c>
      <c r="B1375" s="2" t="s">
        <v>1407</v>
      </c>
      <c r="C1375" s="9">
        <v>25129.8728454497</v>
      </c>
    </row>
    <row r="1376" spans="1:3" x14ac:dyDescent="0.3">
      <c r="A1376" s="1">
        <v>1004660</v>
      </c>
      <c r="B1376" s="2" t="s">
        <v>1408</v>
      </c>
      <c r="C1376" s="9">
        <v>21447.126702615798</v>
      </c>
    </row>
    <row r="1377" spans="1:3" x14ac:dyDescent="0.3">
      <c r="A1377" s="1">
        <v>1004661</v>
      </c>
      <c r="B1377" s="2" t="s">
        <v>1409</v>
      </c>
      <c r="C1377" s="9">
        <v>5882.8377823691499</v>
      </c>
    </row>
    <row r="1378" spans="1:3" x14ac:dyDescent="0.3">
      <c r="A1378" s="1">
        <v>1004662</v>
      </c>
      <c r="B1378" s="2" t="s">
        <v>1410</v>
      </c>
      <c r="C1378" s="9">
        <v>2081.9807142857098</v>
      </c>
    </row>
    <row r="1379" spans="1:3" x14ac:dyDescent="0.3">
      <c r="A1379" s="1">
        <v>1004663</v>
      </c>
      <c r="B1379" s="2" t="s">
        <v>1411</v>
      </c>
      <c r="C1379" s="9">
        <v>4021.2918627450899</v>
      </c>
    </row>
    <row r="1380" spans="1:3" x14ac:dyDescent="0.3">
      <c r="A1380" s="1">
        <v>1004664</v>
      </c>
      <c r="B1380" s="2" t="s">
        <v>1412</v>
      </c>
      <c r="C1380" s="9">
        <v>4124.1524816849796</v>
      </c>
    </row>
    <row r="1381" spans="1:3" x14ac:dyDescent="0.3">
      <c r="A1381" s="1">
        <v>1004667</v>
      </c>
      <c r="B1381" s="2" t="s">
        <v>1413</v>
      </c>
      <c r="C1381" s="9">
        <v>2899.7241008440101</v>
      </c>
    </row>
    <row r="1382" spans="1:3" x14ac:dyDescent="0.3">
      <c r="A1382" s="1">
        <v>1004672</v>
      </c>
      <c r="B1382" s="2" t="s">
        <v>1414</v>
      </c>
      <c r="C1382" s="9">
        <v>5986.8184560439604</v>
      </c>
    </row>
    <row r="1383" spans="1:3" x14ac:dyDescent="0.3">
      <c r="A1383" s="1">
        <v>1004673</v>
      </c>
      <c r="B1383" s="2" t="s">
        <v>1415</v>
      </c>
      <c r="C1383" s="9">
        <v>49.321911111111099</v>
      </c>
    </row>
    <row r="1384" spans="1:3" x14ac:dyDescent="0.3">
      <c r="A1384" s="1">
        <v>1004674</v>
      </c>
      <c r="B1384" s="2" t="s">
        <v>1416</v>
      </c>
      <c r="C1384" s="9">
        <v>133.040172839506</v>
      </c>
    </row>
    <row r="1385" spans="1:3" x14ac:dyDescent="0.3">
      <c r="A1385" s="1">
        <v>1004675</v>
      </c>
      <c r="B1385" s="2" t="s">
        <v>1417</v>
      </c>
      <c r="C1385" s="9">
        <v>297.98070000000001</v>
      </c>
    </row>
    <row r="1386" spans="1:3" x14ac:dyDescent="0.3">
      <c r="A1386" s="1">
        <v>1004680</v>
      </c>
      <c r="B1386" s="2" t="s">
        <v>1418</v>
      </c>
      <c r="C1386" s="9">
        <v>21021.044999999998</v>
      </c>
    </row>
    <row r="1387" spans="1:3" x14ac:dyDescent="0.3">
      <c r="A1387" s="1">
        <v>1004681</v>
      </c>
      <c r="B1387" s="2" t="s">
        <v>1419</v>
      </c>
      <c r="C1387" s="9">
        <v>35492.258750000001</v>
      </c>
    </row>
    <row r="1388" spans="1:3" x14ac:dyDescent="0.3">
      <c r="A1388" s="1">
        <v>1004682</v>
      </c>
      <c r="B1388" s="2" t="s">
        <v>1420</v>
      </c>
      <c r="C1388" s="9">
        <v>60431.385000000002</v>
      </c>
    </row>
    <row r="1389" spans="1:3" x14ac:dyDescent="0.3">
      <c r="A1389" s="1">
        <v>1004683</v>
      </c>
      <c r="B1389" s="2" t="s">
        <v>1421</v>
      </c>
      <c r="C1389" s="9">
        <v>2296.8000000000002</v>
      </c>
    </row>
    <row r="1390" spans="1:3" x14ac:dyDescent="0.3">
      <c r="A1390" s="1">
        <v>1004684</v>
      </c>
      <c r="B1390" s="2" t="s">
        <v>1422</v>
      </c>
      <c r="C1390" s="9">
        <v>132.82</v>
      </c>
    </row>
    <row r="1391" spans="1:3" x14ac:dyDescent="0.3">
      <c r="A1391" s="1">
        <v>1004685</v>
      </c>
      <c r="B1391" s="2" t="s">
        <v>1423</v>
      </c>
      <c r="C1391" s="9">
        <v>313.90800000000002</v>
      </c>
    </row>
    <row r="1392" spans="1:3" x14ac:dyDescent="0.3">
      <c r="A1392" s="1">
        <v>1004686</v>
      </c>
      <c r="B1392" s="2" t="s">
        <v>1424</v>
      </c>
      <c r="C1392" s="9">
        <v>0</v>
      </c>
    </row>
    <row r="1393" spans="1:3" x14ac:dyDescent="0.3">
      <c r="A1393" s="1">
        <v>1004687</v>
      </c>
      <c r="B1393" s="2" t="s">
        <v>1425</v>
      </c>
      <c r="C1393" s="9">
        <v>10268.77</v>
      </c>
    </row>
    <row r="1394" spans="1:3" x14ac:dyDescent="0.3">
      <c r="A1394" s="1">
        <v>1004688</v>
      </c>
      <c r="B1394" s="2" t="s">
        <v>1426</v>
      </c>
      <c r="C1394" s="9">
        <v>9389.2950000000001</v>
      </c>
    </row>
    <row r="1395" spans="1:3" x14ac:dyDescent="0.3">
      <c r="A1395" s="1">
        <v>1004689</v>
      </c>
      <c r="B1395" s="2" t="s">
        <v>1427</v>
      </c>
      <c r="C1395" s="9">
        <v>4740.9089999999997</v>
      </c>
    </row>
    <row r="1396" spans="1:3" x14ac:dyDescent="0.3">
      <c r="A1396" s="1">
        <v>1004690</v>
      </c>
      <c r="B1396" s="2" t="s">
        <v>1428</v>
      </c>
      <c r="C1396" s="9">
        <v>242551.3725</v>
      </c>
    </row>
    <row r="1397" spans="1:3" x14ac:dyDescent="0.3">
      <c r="A1397" s="1">
        <v>1004691</v>
      </c>
      <c r="B1397" s="2" t="s">
        <v>1429</v>
      </c>
      <c r="C1397" s="9">
        <v>55834.496249999997</v>
      </c>
    </row>
    <row r="1398" spans="1:3" x14ac:dyDescent="0.3">
      <c r="A1398" s="1">
        <v>1004692</v>
      </c>
      <c r="B1398" s="2" t="s">
        <v>1430</v>
      </c>
      <c r="C1398" s="9">
        <v>4416.5723749999997</v>
      </c>
    </row>
    <row r="1399" spans="1:3" x14ac:dyDescent="0.3">
      <c r="A1399" s="1">
        <v>1004693</v>
      </c>
      <c r="B1399" s="2" t="s">
        <v>1431</v>
      </c>
      <c r="C1399" s="9">
        <v>8153.41</v>
      </c>
    </row>
    <row r="1400" spans="1:3" x14ac:dyDescent="0.3">
      <c r="A1400" s="1">
        <v>1004694</v>
      </c>
      <c r="B1400" s="2" t="s">
        <v>1432</v>
      </c>
      <c r="C1400" s="9">
        <v>17.806000000000001</v>
      </c>
    </row>
    <row r="1401" spans="1:3" x14ac:dyDescent="0.3">
      <c r="A1401" s="1">
        <v>1004695</v>
      </c>
      <c r="B1401" s="2" t="s">
        <v>1433</v>
      </c>
      <c r="C1401" s="9">
        <v>44.509</v>
      </c>
    </row>
    <row r="1402" spans="1:3" x14ac:dyDescent="0.3">
      <c r="A1402" s="1">
        <v>1004696</v>
      </c>
      <c r="B1402" s="2" t="s">
        <v>1434</v>
      </c>
      <c r="C1402" s="9">
        <v>89.018500000000003</v>
      </c>
    </row>
    <row r="1403" spans="1:3" x14ac:dyDescent="0.3">
      <c r="A1403" s="1">
        <v>1004697</v>
      </c>
      <c r="B1403" s="2" t="s">
        <v>1435</v>
      </c>
      <c r="C1403" s="9">
        <v>44.5092</v>
      </c>
    </row>
    <row r="1404" spans="1:3" x14ac:dyDescent="0.3">
      <c r="A1404" s="1">
        <v>1004698</v>
      </c>
      <c r="B1404" s="2" t="s">
        <v>1436</v>
      </c>
      <c r="C1404" s="9">
        <v>73.845555555555507</v>
      </c>
    </row>
    <row r="1405" spans="1:3" x14ac:dyDescent="0.3">
      <c r="A1405" s="1">
        <v>1004699</v>
      </c>
      <c r="B1405" s="2" t="s">
        <v>1437</v>
      </c>
      <c r="C1405" s="9">
        <v>329.37033333333301</v>
      </c>
    </row>
    <row r="1406" spans="1:3" x14ac:dyDescent="0.3">
      <c r="A1406" s="1">
        <v>1004700</v>
      </c>
      <c r="B1406" s="2" t="s">
        <v>1438</v>
      </c>
      <c r="C1406" s="9">
        <v>202.392577777778</v>
      </c>
    </row>
    <row r="1407" spans="1:3" x14ac:dyDescent="0.3">
      <c r="A1407" s="1">
        <v>1004701</v>
      </c>
      <c r="B1407" s="2" t="s">
        <v>1439</v>
      </c>
      <c r="C1407" s="9">
        <v>206.19946666666701</v>
      </c>
    </row>
    <row r="1408" spans="1:3" x14ac:dyDescent="0.3">
      <c r="A1408" s="1">
        <v>1004702</v>
      </c>
      <c r="B1408" s="2" t="s">
        <v>1440</v>
      </c>
      <c r="C1408" s="9">
        <v>258.22863333333299</v>
      </c>
    </row>
    <row r="1409" spans="1:3" x14ac:dyDescent="0.3">
      <c r="A1409" s="1">
        <v>1004703</v>
      </c>
      <c r="B1409" s="2" t="s">
        <v>1441</v>
      </c>
      <c r="C1409" s="9">
        <v>398.35566666666699</v>
      </c>
    </row>
    <row r="1410" spans="1:3" x14ac:dyDescent="0.3">
      <c r="A1410" s="1">
        <v>1004704</v>
      </c>
      <c r="B1410" s="2" t="s">
        <v>1442</v>
      </c>
      <c r="C1410" s="9">
        <v>1182.9219000000001</v>
      </c>
    </row>
    <row r="1411" spans="1:3" x14ac:dyDescent="0.3">
      <c r="A1411" s="1">
        <v>1004708</v>
      </c>
      <c r="B1411" s="2" t="s">
        <v>1443</v>
      </c>
      <c r="C1411" s="9">
        <v>334.46666666666698</v>
      </c>
    </row>
    <row r="1412" spans="1:3" x14ac:dyDescent="0.3">
      <c r="A1412" s="1">
        <v>1004709</v>
      </c>
      <c r="B1412" s="2" t="s">
        <v>1444</v>
      </c>
      <c r="C1412" s="9">
        <v>841</v>
      </c>
    </row>
    <row r="1413" spans="1:3" x14ac:dyDescent="0.3">
      <c r="A1413" s="1">
        <v>1004752</v>
      </c>
      <c r="B1413" s="2" t="s">
        <v>1446</v>
      </c>
      <c r="C1413" s="9">
        <v>313.60761030302098</v>
      </c>
    </row>
    <row r="1414" spans="1:3" x14ac:dyDescent="0.3">
      <c r="A1414" s="1">
        <v>1004753</v>
      </c>
      <c r="B1414" s="2" t="s">
        <v>1447</v>
      </c>
      <c r="C1414" s="9">
        <v>154.72657398680488</v>
      </c>
    </row>
    <row r="1415" spans="1:3" x14ac:dyDescent="0.3">
      <c r="A1415" s="1">
        <v>1004754</v>
      </c>
      <c r="B1415" s="2" t="s">
        <v>1449</v>
      </c>
      <c r="C1415" s="9">
        <v>321.163995011743</v>
      </c>
    </row>
    <row r="1416" spans="1:3" x14ac:dyDescent="0.3">
      <c r="A1416" s="1">
        <v>1004797</v>
      </c>
      <c r="B1416" s="2" t="s">
        <v>1450</v>
      </c>
      <c r="C1416" s="9">
        <v>93.511158405141899</v>
      </c>
    </row>
    <row r="1417" spans="1:3" x14ac:dyDescent="0.3">
      <c r="A1417" s="1">
        <v>1004798</v>
      </c>
      <c r="B1417" s="2" t="s">
        <v>1451</v>
      </c>
      <c r="C1417" s="9">
        <v>252.27875817506001</v>
      </c>
    </row>
    <row r="1418" spans="1:3" x14ac:dyDescent="0.3">
      <c r="A1418" s="1">
        <v>1004807</v>
      </c>
      <c r="B1418" s="2" t="s">
        <v>1452</v>
      </c>
      <c r="C1418" s="9">
        <v>398</v>
      </c>
    </row>
    <row r="1419" spans="1:3" x14ac:dyDescent="0.3">
      <c r="A1419" s="1">
        <v>1004813</v>
      </c>
      <c r="B1419" s="2" t="s">
        <v>1453</v>
      </c>
      <c r="C1419" s="9">
        <v>393.75</v>
      </c>
    </row>
    <row r="1420" spans="1:3" x14ac:dyDescent="0.3">
      <c r="A1420" s="1">
        <v>1004814</v>
      </c>
      <c r="B1420" s="2" t="s">
        <v>1454</v>
      </c>
      <c r="C1420" s="9">
        <v>367.59987877071597</v>
      </c>
    </row>
    <row r="1421" spans="1:3" x14ac:dyDescent="0.3">
      <c r="A1421" s="1">
        <v>1004818</v>
      </c>
      <c r="B1421" s="2" t="s">
        <v>1455</v>
      </c>
      <c r="C1421" s="9">
        <v>173.074584289927</v>
      </c>
    </row>
    <row r="1422" spans="1:3" x14ac:dyDescent="0.3">
      <c r="A1422" s="1">
        <v>1004822</v>
      </c>
      <c r="B1422" s="2" t="s">
        <v>1456</v>
      </c>
      <c r="C1422" s="9">
        <v>577.19795454545499</v>
      </c>
    </row>
    <row r="1423" spans="1:3" x14ac:dyDescent="0.3">
      <c r="A1423" s="1">
        <v>1004827</v>
      </c>
      <c r="B1423" s="2" t="s">
        <v>1457</v>
      </c>
      <c r="C1423" s="9">
        <v>539.92245107176143</v>
      </c>
    </row>
    <row r="1424" spans="1:3" x14ac:dyDescent="0.3">
      <c r="A1424" s="1">
        <v>1004830</v>
      </c>
      <c r="B1424" s="2" t="s">
        <v>1458</v>
      </c>
      <c r="C1424" s="9">
        <v>40.401434054649499</v>
      </c>
    </row>
    <row r="1425" spans="1:3" x14ac:dyDescent="0.3">
      <c r="A1425" s="1">
        <v>1004836</v>
      </c>
      <c r="B1425" s="2" t="s">
        <v>1459</v>
      </c>
      <c r="C1425" s="9">
        <v>150</v>
      </c>
    </row>
    <row r="1426" spans="1:3" x14ac:dyDescent="0.3">
      <c r="A1426" s="1">
        <v>1004837</v>
      </c>
      <c r="B1426" s="2" t="s">
        <v>1460</v>
      </c>
      <c r="C1426" s="9">
        <v>1431.8924311926601</v>
      </c>
    </row>
    <row r="1427" spans="1:3" x14ac:dyDescent="0.3">
      <c r="A1427" s="1">
        <v>1004839</v>
      </c>
      <c r="B1427" s="2" t="s">
        <v>1461</v>
      </c>
      <c r="C1427" s="9">
        <v>91.9388183612988</v>
      </c>
    </row>
    <row r="1428" spans="1:3" x14ac:dyDescent="0.3">
      <c r="A1428" s="1">
        <v>1004850</v>
      </c>
      <c r="B1428" s="2" t="s">
        <v>1462</v>
      </c>
      <c r="C1428" s="9">
        <v>465206.4</v>
      </c>
    </row>
    <row r="1429" spans="1:3" x14ac:dyDescent="0.3">
      <c r="A1429" s="1">
        <v>1004857</v>
      </c>
      <c r="B1429" s="2" t="s">
        <v>1463</v>
      </c>
      <c r="C1429" s="9">
        <v>3485.3423602020698</v>
      </c>
    </row>
    <row r="1430" spans="1:3" x14ac:dyDescent="0.3">
      <c r="A1430" s="1">
        <v>1004863</v>
      </c>
      <c r="B1430" s="2" t="s">
        <v>1464</v>
      </c>
      <c r="C1430" s="9">
        <v>512.12</v>
      </c>
    </row>
    <row r="1431" spans="1:3" x14ac:dyDescent="0.3">
      <c r="A1431" s="1">
        <v>1004865</v>
      </c>
      <c r="B1431" s="2" t="s">
        <v>1465</v>
      </c>
      <c r="C1431" s="9">
        <v>9979.26</v>
      </c>
    </row>
    <row r="1432" spans="1:3" x14ac:dyDescent="0.3">
      <c r="A1432" s="1">
        <v>1004868</v>
      </c>
      <c r="B1432" s="2" t="s">
        <v>1466</v>
      </c>
      <c r="C1432" s="9">
        <v>23.2</v>
      </c>
    </row>
    <row r="1433" spans="1:3" x14ac:dyDescent="0.3">
      <c r="A1433" s="1">
        <v>1004883</v>
      </c>
      <c r="B1433" s="2" t="s">
        <v>1467</v>
      </c>
      <c r="C1433" s="9">
        <v>70</v>
      </c>
    </row>
    <row r="1434" spans="1:3" x14ac:dyDescent="0.3">
      <c r="A1434" s="1">
        <v>1004894</v>
      </c>
      <c r="B1434" s="2" t="s">
        <v>1468</v>
      </c>
      <c r="C1434" s="9">
        <v>123476.29</v>
      </c>
    </row>
    <row r="1435" spans="1:3" x14ac:dyDescent="0.3">
      <c r="A1435" s="1">
        <v>1004915</v>
      </c>
      <c r="B1435" s="2" t="s">
        <v>1469</v>
      </c>
      <c r="C1435" s="9">
        <v>892.66807894500198</v>
      </c>
    </row>
    <row r="1436" spans="1:3" x14ac:dyDescent="0.3">
      <c r="A1436" s="1">
        <v>1004916</v>
      </c>
      <c r="B1436" s="2" t="s">
        <v>1470</v>
      </c>
      <c r="C1436" s="9">
        <v>89.933621405821697</v>
      </c>
    </row>
    <row r="1437" spans="1:3" x14ac:dyDescent="0.3">
      <c r="A1437" s="1">
        <v>1004918</v>
      </c>
      <c r="B1437" s="2" t="s">
        <v>1471</v>
      </c>
      <c r="C1437" s="9">
        <v>14975.0714285714</v>
      </c>
    </row>
    <row r="1438" spans="1:3" x14ac:dyDescent="0.3">
      <c r="A1438" s="1">
        <v>1004921</v>
      </c>
      <c r="B1438" s="2" t="s">
        <v>1472</v>
      </c>
      <c r="C1438" s="9">
        <v>3835</v>
      </c>
    </row>
    <row r="1439" spans="1:3" x14ac:dyDescent="0.3">
      <c r="A1439" s="1">
        <v>1004928</v>
      </c>
      <c r="B1439" s="2" t="s">
        <v>1473</v>
      </c>
      <c r="C1439" s="9">
        <v>3094.998</v>
      </c>
    </row>
    <row r="1440" spans="1:3" x14ac:dyDescent="0.3">
      <c r="A1440" s="1">
        <v>1004932</v>
      </c>
      <c r="B1440" s="2" t="s">
        <v>1474</v>
      </c>
      <c r="C1440" s="9">
        <v>1103.3</v>
      </c>
    </row>
    <row r="1441" spans="1:3" x14ac:dyDescent="0.3">
      <c r="A1441" s="1">
        <v>1004933</v>
      </c>
      <c r="B1441" s="2" t="s">
        <v>1475</v>
      </c>
      <c r="C1441" s="9">
        <v>19714</v>
      </c>
    </row>
    <row r="1442" spans="1:3" x14ac:dyDescent="0.3">
      <c r="A1442" s="1">
        <v>1005041</v>
      </c>
      <c r="B1442" s="2" t="s">
        <v>1476</v>
      </c>
      <c r="C1442" s="9">
        <v>6960</v>
      </c>
    </row>
    <row r="1443" spans="1:3" x14ac:dyDescent="0.3">
      <c r="A1443" s="1">
        <v>1005050</v>
      </c>
      <c r="B1443" s="2" t="s">
        <v>1477</v>
      </c>
      <c r="C1443" s="9">
        <v>183280</v>
      </c>
    </row>
    <row r="1444" spans="1:3" x14ac:dyDescent="0.3">
      <c r="A1444" s="1">
        <v>1005092</v>
      </c>
      <c r="B1444" s="2" t="s">
        <v>1479</v>
      </c>
      <c r="C1444" s="9">
        <v>171492.23125000001</v>
      </c>
    </row>
    <row r="1445" spans="1:3" x14ac:dyDescent="0.3">
      <c r="A1445" s="1">
        <v>1005093</v>
      </c>
      <c r="B1445" s="2" t="s">
        <v>1480</v>
      </c>
      <c r="C1445" s="9">
        <v>26000</v>
      </c>
    </row>
    <row r="1446" spans="1:3" x14ac:dyDescent="0.3">
      <c r="A1446" s="1">
        <v>1005094</v>
      </c>
      <c r="B1446" s="2" t="s">
        <v>1481</v>
      </c>
      <c r="C1446" s="9">
        <v>12400</v>
      </c>
    </row>
    <row r="1447" spans="1:3" x14ac:dyDescent="0.3">
      <c r="A1447" s="1">
        <v>1005096</v>
      </c>
      <c r="B1447" s="2" t="s">
        <v>1482</v>
      </c>
      <c r="C1447" s="9">
        <v>150023.15419354799</v>
      </c>
    </row>
    <row r="1448" spans="1:3" x14ac:dyDescent="0.3">
      <c r="A1448" s="1">
        <v>1005097</v>
      </c>
      <c r="B1448" s="2" t="s">
        <v>1483</v>
      </c>
      <c r="C1448" s="9">
        <v>25</v>
      </c>
    </row>
    <row r="1449" spans="1:3" x14ac:dyDescent="0.3">
      <c r="A1449" s="1">
        <v>1005099</v>
      </c>
      <c r="B1449" s="2" t="s">
        <v>1484</v>
      </c>
      <c r="C1449" s="9">
        <v>1324654.5019999999</v>
      </c>
    </row>
    <row r="1450" spans="1:3" x14ac:dyDescent="0.3">
      <c r="A1450" s="1">
        <v>1005100</v>
      </c>
      <c r="B1450" s="2" t="s">
        <v>1485</v>
      </c>
      <c r="C1450" s="9">
        <v>732831.87</v>
      </c>
    </row>
    <row r="1451" spans="1:3" x14ac:dyDescent="0.3">
      <c r="A1451" s="1">
        <v>1005110</v>
      </c>
      <c r="B1451" s="2" t="s">
        <v>1486</v>
      </c>
      <c r="C1451" s="9">
        <v>164.56</v>
      </c>
    </row>
    <row r="1452" spans="1:3" x14ac:dyDescent="0.3">
      <c r="A1452" s="1">
        <v>1005142</v>
      </c>
      <c r="B1452" s="2" t="s">
        <v>1487</v>
      </c>
      <c r="C1452" s="9">
        <v>4408.6031666666704</v>
      </c>
    </row>
    <row r="1453" spans="1:3" x14ac:dyDescent="0.3">
      <c r="A1453" s="1">
        <v>1005230</v>
      </c>
      <c r="B1453" s="2" t="s">
        <v>1488</v>
      </c>
      <c r="C1453" s="9">
        <v>26700</v>
      </c>
    </row>
    <row r="1454" spans="1:3" x14ac:dyDescent="0.3">
      <c r="A1454" s="1">
        <v>1005421</v>
      </c>
      <c r="B1454" s="2" t="s">
        <v>1489</v>
      </c>
      <c r="C1454" s="9">
        <v>6591.6760000000004</v>
      </c>
    </row>
    <row r="1455" spans="1:3" x14ac:dyDescent="0.3">
      <c r="A1455" s="1">
        <v>1005555</v>
      </c>
      <c r="B1455" s="2" t="s">
        <v>1490</v>
      </c>
      <c r="C1455" s="9">
        <v>24408.18</v>
      </c>
    </row>
    <row r="1456" spans="1:3" x14ac:dyDescent="0.3">
      <c r="A1456" s="1">
        <v>1005663</v>
      </c>
      <c r="B1456" s="2" t="s">
        <v>1491</v>
      </c>
      <c r="C1456" s="9">
        <v>0</v>
      </c>
    </row>
    <row r="1457" spans="1:3" x14ac:dyDescent="0.3">
      <c r="A1457" s="1">
        <v>1005668</v>
      </c>
      <c r="B1457" s="2" t="s">
        <v>1492</v>
      </c>
      <c r="C1457" s="9">
        <v>6350.42</v>
      </c>
    </row>
    <row r="1458" spans="1:3" x14ac:dyDescent="0.3">
      <c r="A1458" s="1">
        <v>1005804</v>
      </c>
      <c r="B1458" s="2" t="s">
        <v>1493</v>
      </c>
      <c r="C1458" s="9">
        <v>2297.6014426322399</v>
      </c>
    </row>
    <row r="1459" spans="1:3" x14ac:dyDescent="0.3">
      <c r="A1459" s="1">
        <v>1005835</v>
      </c>
      <c r="B1459" s="2" t="s">
        <v>1494</v>
      </c>
      <c r="C1459" s="9">
        <v>6171.4</v>
      </c>
    </row>
    <row r="1460" spans="1:3" x14ac:dyDescent="0.3">
      <c r="A1460" s="1">
        <v>1005838</v>
      </c>
      <c r="B1460" s="2" t="s">
        <v>1495</v>
      </c>
      <c r="C1460" s="9">
        <v>2784</v>
      </c>
    </row>
    <row r="1461" spans="1:3" x14ac:dyDescent="0.3">
      <c r="A1461" s="1">
        <v>1005942</v>
      </c>
      <c r="B1461" s="2" t="s">
        <v>1496</v>
      </c>
      <c r="C1461" s="9">
        <v>3686.8881690140802</v>
      </c>
    </row>
    <row r="1462" spans="1:3" x14ac:dyDescent="0.3">
      <c r="A1462" s="1">
        <v>1006027</v>
      </c>
      <c r="B1462" s="2" t="s">
        <v>1497</v>
      </c>
      <c r="C1462" s="9">
        <v>512.12</v>
      </c>
    </row>
    <row r="1463" spans="1:3" x14ac:dyDescent="0.3">
      <c r="A1463" s="1">
        <v>1006051</v>
      </c>
      <c r="B1463" s="2" t="s">
        <v>1498</v>
      </c>
      <c r="C1463" s="9">
        <v>574.80160000000001</v>
      </c>
    </row>
    <row r="1464" spans="1:3" x14ac:dyDescent="0.3">
      <c r="A1464" s="1">
        <v>1006090</v>
      </c>
      <c r="B1464" s="2" t="s">
        <v>1499</v>
      </c>
      <c r="C1464" s="9">
        <v>139.63333333333301</v>
      </c>
    </row>
    <row r="1465" spans="1:3" x14ac:dyDescent="0.3">
      <c r="A1465" s="1">
        <v>1006192</v>
      </c>
      <c r="B1465" s="2" t="s">
        <v>1500</v>
      </c>
      <c r="C1465" s="9">
        <v>1904.0550481278001</v>
      </c>
    </row>
    <row r="1466" spans="1:3" x14ac:dyDescent="0.3">
      <c r="A1466" s="1">
        <v>1006368</v>
      </c>
      <c r="B1466" s="2" t="s">
        <v>1502</v>
      </c>
      <c r="C1466" s="9">
        <v>112.1</v>
      </c>
    </row>
    <row r="1467" spans="1:3" x14ac:dyDescent="0.3">
      <c r="A1467" s="1">
        <v>1006740</v>
      </c>
      <c r="B1467" s="2" t="s">
        <v>1505</v>
      </c>
      <c r="C1467" s="9">
        <v>6136</v>
      </c>
    </row>
    <row r="1468" spans="1:3" x14ac:dyDescent="0.3">
      <c r="A1468" s="1">
        <v>1006760</v>
      </c>
      <c r="B1468" s="2" t="s">
        <v>1506</v>
      </c>
      <c r="C1468" s="9">
        <v>146.32</v>
      </c>
    </row>
    <row r="1469" spans="1:3" x14ac:dyDescent="0.3">
      <c r="A1469" s="1">
        <v>1006818</v>
      </c>
      <c r="B1469" s="2" t="s">
        <v>1507</v>
      </c>
      <c r="C1469" s="9">
        <v>1101.35294117647</v>
      </c>
    </row>
    <row r="1470" spans="1:3" x14ac:dyDescent="0.3">
      <c r="A1470" s="1">
        <v>1006874</v>
      </c>
      <c r="B1470" s="2" t="s">
        <v>1508</v>
      </c>
      <c r="C1470" s="9">
        <v>696.2</v>
      </c>
    </row>
    <row r="1471" spans="1:3" x14ac:dyDescent="0.3">
      <c r="A1471" s="1">
        <v>1006892</v>
      </c>
      <c r="B1471" s="2" t="s">
        <v>1509</v>
      </c>
      <c r="C1471" s="9">
        <v>468.066666666667</v>
      </c>
    </row>
    <row r="1472" spans="1:3" x14ac:dyDescent="0.3">
      <c r="A1472" s="1">
        <v>1007237</v>
      </c>
      <c r="B1472" s="2" t="s">
        <v>1510</v>
      </c>
      <c r="C1472" s="9">
        <v>1327.5</v>
      </c>
    </row>
    <row r="1473" spans="1:3" x14ac:dyDescent="0.3">
      <c r="A1473" s="1">
        <v>1007404</v>
      </c>
      <c r="B1473" s="2" t="s">
        <v>1511</v>
      </c>
      <c r="C1473" s="9">
        <v>803.60155555555605</v>
      </c>
    </row>
    <row r="1474" spans="1:3" x14ac:dyDescent="0.3">
      <c r="A1474" s="1">
        <v>1007546</v>
      </c>
      <c r="B1474" s="2" t="s">
        <v>1512</v>
      </c>
      <c r="C1474" s="9">
        <v>407.9</v>
      </c>
    </row>
    <row r="1475" spans="1:3" x14ac:dyDescent="0.3">
      <c r="A1475" s="1">
        <v>1007762</v>
      </c>
      <c r="B1475" s="2" t="s">
        <v>1513</v>
      </c>
      <c r="C1475" s="9">
        <v>1976.5</v>
      </c>
    </row>
    <row r="1476" spans="1:3" x14ac:dyDescent="0.3">
      <c r="A1476" s="1">
        <v>1007893</v>
      </c>
      <c r="B1476" s="2" t="s">
        <v>1514</v>
      </c>
      <c r="C1476" s="9">
        <v>796.5</v>
      </c>
    </row>
    <row r="1477" spans="1:3" x14ac:dyDescent="0.3">
      <c r="A1477" s="1">
        <v>1007966</v>
      </c>
      <c r="B1477" s="2" t="s">
        <v>1515</v>
      </c>
      <c r="C1477" s="9">
        <v>330.4</v>
      </c>
    </row>
    <row r="1478" spans="1:3" x14ac:dyDescent="0.3">
      <c r="A1478" s="1">
        <v>1007995</v>
      </c>
      <c r="B1478" s="2" t="s">
        <v>1516</v>
      </c>
      <c r="C1478" s="9">
        <v>240120</v>
      </c>
    </row>
    <row r="1479" spans="1:3" x14ac:dyDescent="0.3">
      <c r="A1479" s="1">
        <v>1008102</v>
      </c>
      <c r="B1479" s="2" t="s">
        <v>1517</v>
      </c>
      <c r="C1479" s="9">
        <v>206146.81797485999</v>
      </c>
    </row>
    <row r="1480" spans="1:3" x14ac:dyDescent="0.3">
      <c r="A1480" s="1">
        <v>1008139</v>
      </c>
      <c r="B1480" s="2" t="s">
        <v>1518</v>
      </c>
      <c r="C1480" s="9">
        <v>17953.7</v>
      </c>
    </row>
    <row r="1481" spans="1:3" x14ac:dyDescent="0.3">
      <c r="A1481" s="1">
        <v>1008194</v>
      </c>
      <c r="B1481" s="2" t="s">
        <v>1519</v>
      </c>
      <c r="C1481" s="9">
        <v>8317.2592166666709</v>
      </c>
    </row>
    <row r="1482" spans="1:3" x14ac:dyDescent="0.3">
      <c r="A1482" s="1">
        <v>1008202</v>
      </c>
      <c r="B1482" s="2" t="s">
        <v>1520</v>
      </c>
      <c r="C1482" s="9">
        <v>15060</v>
      </c>
    </row>
    <row r="1483" spans="1:3" x14ac:dyDescent="0.3">
      <c r="A1483" s="1">
        <v>1008203</v>
      </c>
      <c r="B1483" s="2" t="s">
        <v>1521</v>
      </c>
      <c r="C1483" s="9">
        <v>41.068524946638803</v>
      </c>
    </row>
    <row r="1484" spans="1:3" x14ac:dyDescent="0.3">
      <c r="A1484" s="1">
        <v>1008245</v>
      </c>
      <c r="B1484" s="2" t="s">
        <v>1522</v>
      </c>
      <c r="C1484" s="9">
        <v>505343.64</v>
      </c>
    </row>
    <row r="1485" spans="1:3" x14ac:dyDescent="0.3">
      <c r="A1485" s="1">
        <v>1008247</v>
      </c>
      <c r="B1485" s="2" t="s">
        <v>1523</v>
      </c>
      <c r="C1485" s="9">
        <v>64900</v>
      </c>
    </row>
    <row r="1486" spans="1:3" x14ac:dyDescent="0.3">
      <c r="A1486" s="1">
        <v>1008248</v>
      </c>
      <c r="B1486" s="2" t="s">
        <v>1524</v>
      </c>
      <c r="C1486" s="9">
        <v>182.85664102955801</v>
      </c>
    </row>
    <row r="1487" spans="1:3" x14ac:dyDescent="0.3">
      <c r="A1487" s="1">
        <v>1008279</v>
      </c>
      <c r="B1487" s="2" t="s">
        <v>1525</v>
      </c>
      <c r="C1487" s="9">
        <v>612.13214130434801</v>
      </c>
    </row>
    <row r="1488" spans="1:3" x14ac:dyDescent="0.3">
      <c r="A1488" s="1">
        <v>1008280</v>
      </c>
      <c r="B1488" s="2" t="s">
        <v>1526</v>
      </c>
      <c r="C1488" s="9">
        <v>933.8</v>
      </c>
    </row>
    <row r="1489" spans="1:3" x14ac:dyDescent="0.3">
      <c r="A1489" s="1">
        <v>1008282</v>
      </c>
      <c r="B1489" s="2" t="s">
        <v>1527</v>
      </c>
      <c r="C1489" s="9">
        <v>166.445333333333</v>
      </c>
    </row>
    <row r="1490" spans="1:3" x14ac:dyDescent="0.3">
      <c r="A1490" s="1">
        <v>1008283</v>
      </c>
      <c r="B1490" s="2" t="s">
        <v>1528</v>
      </c>
      <c r="C1490" s="9">
        <v>2298.5071212121202</v>
      </c>
    </row>
    <row r="1491" spans="1:3" x14ac:dyDescent="0.3">
      <c r="A1491" s="1">
        <v>1008306</v>
      </c>
      <c r="B1491" s="2" t="s">
        <v>1529</v>
      </c>
      <c r="C1491" s="9">
        <v>1273306.93</v>
      </c>
    </row>
    <row r="1492" spans="1:3" x14ac:dyDescent="0.3">
      <c r="A1492" s="1">
        <v>1008321</v>
      </c>
      <c r="B1492" s="2" t="s">
        <v>1530</v>
      </c>
      <c r="C1492" s="9">
        <v>597.4</v>
      </c>
    </row>
    <row r="1493" spans="1:3" x14ac:dyDescent="0.3">
      <c r="A1493" s="1">
        <v>1008327</v>
      </c>
      <c r="B1493" s="2" t="s">
        <v>1531</v>
      </c>
      <c r="C1493" s="9">
        <v>6601.56</v>
      </c>
    </row>
    <row r="1494" spans="1:3" x14ac:dyDescent="0.3">
      <c r="A1494" s="1">
        <v>1008330</v>
      </c>
      <c r="B1494" s="2" t="s">
        <v>1532</v>
      </c>
      <c r="C1494" s="9">
        <v>2187.1640256340602</v>
      </c>
    </row>
    <row r="1495" spans="1:3" x14ac:dyDescent="0.3">
      <c r="A1495" s="1">
        <v>1008340</v>
      </c>
      <c r="B1495" s="2" t="s">
        <v>1533</v>
      </c>
      <c r="C1495" s="9">
        <v>8121.1021739130401</v>
      </c>
    </row>
    <row r="1496" spans="1:3" x14ac:dyDescent="0.3">
      <c r="A1496" s="1">
        <v>1008344</v>
      </c>
      <c r="B1496" s="2" t="s">
        <v>1534</v>
      </c>
      <c r="C1496" s="9">
        <v>20767.1971798864</v>
      </c>
    </row>
    <row r="1497" spans="1:3" x14ac:dyDescent="0.3">
      <c r="A1497" s="1">
        <v>1008345</v>
      </c>
      <c r="B1497" s="2" t="s">
        <v>1535</v>
      </c>
      <c r="C1497" s="9">
        <v>22436.164188492101</v>
      </c>
    </row>
    <row r="1498" spans="1:3" x14ac:dyDescent="0.3">
      <c r="A1498" s="1">
        <v>1008346</v>
      </c>
      <c r="B1498" s="2" t="s">
        <v>1536</v>
      </c>
      <c r="C1498" s="9">
        <v>43771.874555255301</v>
      </c>
    </row>
    <row r="1499" spans="1:3" x14ac:dyDescent="0.3">
      <c r="A1499" s="1">
        <v>1008349</v>
      </c>
      <c r="B1499" s="2" t="s">
        <v>1537</v>
      </c>
      <c r="C1499" s="9">
        <v>8879.7166666666708</v>
      </c>
    </row>
    <row r="1500" spans="1:3" x14ac:dyDescent="0.3">
      <c r="A1500" s="1">
        <v>1008350</v>
      </c>
      <c r="B1500" s="2" t="s">
        <v>1538</v>
      </c>
      <c r="C1500" s="9">
        <v>127785.60000000001</v>
      </c>
    </row>
    <row r="1501" spans="1:3" x14ac:dyDescent="0.3">
      <c r="A1501" s="1">
        <v>1008351</v>
      </c>
      <c r="B1501" s="2" t="s">
        <v>1539</v>
      </c>
      <c r="C1501" s="9">
        <v>6494.66</v>
      </c>
    </row>
    <row r="1502" spans="1:3" x14ac:dyDescent="0.3">
      <c r="A1502" s="1">
        <v>1008353</v>
      </c>
      <c r="B1502" s="2" t="s">
        <v>1540</v>
      </c>
      <c r="C1502" s="9">
        <v>171.60354228515399</v>
      </c>
    </row>
    <row r="1503" spans="1:3" x14ac:dyDescent="0.3">
      <c r="A1503" s="1">
        <v>1008420</v>
      </c>
      <c r="B1503" s="2" t="s">
        <v>1541</v>
      </c>
      <c r="C1503" s="9">
        <v>183.75</v>
      </c>
    </row>
    <row r="1504" spans="1:3" x14ac:dyDescent="0.3">
      <c r="A1504" s="1">
        <v>1008435</v>
      </c>
      <c r="B1504" s="2" t="s">
        <v>1542</v>
      </c>
      <c r="C1504" s="9">
        <v>24980.4411486395</v>
      </c>
    </row>
    <row r="1505" spans="1:3" x14ac:dyDescent="0.3">
      <c r="A1505" s="1">
        <v>1008451</v>
      </c>
      <c r="B1505" s="2" t="s">
        <v>1543</v>
      </c>
      <c r="C1505" s="9">
        <v>551</v>
      </c>
    </row>
    <row r="1506" spans="1:3" x14ac:dyDescent="0.3">
      <c r="A1506" s="1">
        <v>1008504</v>
      </c>
      <c r="B1506" s="2" t="s">
        <v>1544</v>
      </c>
      <c r="C1506" s="9">
        <v>1515.6045624032799</v>
      </c>
    </row>
    <row r="1507" spans="1:3" x14ac:dyDescent="0.3">
      <c r="A1507" s="1">
        <v>1008505</v>
      </c>
      <c r="B1507" s="2" t="s">
        <v>1545</v>
      </c>
      <c r="C1507" s="9">
        <v>3359.2824903846199</v>
      </c>
    </row>
    <row r="1508" spans="1:3" x14ac:dyDescent="0.3">
      <c r="A1508" s="1">
        <v>1008506</v>
      </c>
      <c r="B1508" s="2" t="s">
        <v>1546</v>
      </c>
      <c r="C1508" s="9">
        <v>1358.15131666667</v>
      </c>
    </row>
    <row r="1509" spans="1:3" x14ac:dyDescent="0.3">
      <c r="A1509" s="1">
        <v>1008508</v>
      </c>
      <c r="B1509" s="2" t="s">
        <v>1547</v>
      </c>
      <c r="C1509" s="9">
        <v>545.27895391763195</v>
      </c>
    </row>
    <row r="1510" spans="1:3" x14ac:dyDescent="0.3">
      <c r="A1510" s="1">
        <v>1008509</v>
      </c>
      <c r="B1510" s="2" t="s">
        <v>1548</v>
      </c>
      <c r="C1510" s="9">
        <v>269.71428571428601</v>
      </c>
    </row>
    <row r="1511" spans="1:3" x14ac:dyDescent="0.3">
      <c r="A1511" s="1">
        <v>1008512</v>
      </c>
      <c r="B1511" s="2" t="s">
        <v>1549</v>
      </c>
      <c r="C1511" s="9">
        <v>2694.2171981455999</v>
      </c>
    </row>
    <row r="1512" spans="1:3" x14ac:dyDescent="0.3">
      <c r="A1512" s="1">
        <v>1008517</v>
      </c>
      <c r="B1512" s="2" t="s">
        <v>1550</v>
      </c>
      <c r="C1512" s="9">
        <v>12040.12875</v>
      </c>
    </row>
    <row r="1513" spans="1:3" x14ac:dyDescent="0.3">
      <c r="A1513" s="1">
        <v>1008534</v>
      </c>
      <c r="B1513" s="2" t="s">
        <v>1551</v>
      </c>
      <c r="C1513" s="9">
        <v>247.08</v>
      </c>
    </row>
    <row r="1514" spans="1:3" x14ac:dyDescent="0.3">
      <c r="A1514" s="1">
        <v>1008539</v>
      </c>
      <c r="B1514" s="2" t="s">
        <v>1552</v>
      </c>
      <c r="C1514" s="9">
        <v>117011.52</v>
      </c>
    </row>
    <row r="1515" spans="1:3" x14ac:dyDescent="0.3">
      <c r="A1515" s="1">
        <v>1008540</v>
      </c>
      <c r="B1515" s="2" t="s">
        <v>1553</v>
      </c>
      <c r="C1515" s="9">
        <v>1480.5631000000001</v>
      </c>
    </row>
    <row r="1516" spans="1:3" x14ac:dyDescent="0.3">
      <c r="A1516" s="1">
        <v>1008541</v>
      </c>
      <c r="B1516" s="2" t="s">
        <v>1554</v>
      </c>
      <c r="C1516" s="9">
        <v>4060</v>
      </c>
    </row>
    <row r="1517" spans="1:3" x14ac:dyDescent="0.3">
      <c r="A1517" s="1">
        <v>1008543</v>
      </c>
      <c r="B1517" s="2" t="s">
        <v>1555</v>
      </c>
      <c r="C1517" s="9">
        <v>231.76329999999999</v>
      </c>
    </row>
    <row r="1518" spans="1:3" x14ac:dyDescent="0.3">
      <c r="A1518" s="1">
        <v>1008544</v>
      </c>
      <c r="B1518" s="2" t="s">
        <v>1556</v>
      </c>
      <c r="C1518" s="9">
        <v>51852</v>
      </c>
    </row>
    <row r="1519" spans="1:3" x14ac:dyDescent="0.3">
      <c r="A1519" s="1">
        <v>1008545</v>
      </c>
      <c r="B1519" s="2" t="s">
        <v>1557</v>
      </c>
      <c r="C1519" s="9">
        <v>1624</v>
      </c>
    </row>
    <row r="1520" spans="1:3" x14ac:dyDescent="0.3">
      <c r="A1520" s="1">
        <v>1008546</v>
      </c>
      <c r="B1520" s="2" t="s">
        <v>1558</v>
      </c>
      <c r="C1520" s="9">
        <v>4421.3468292682901</v>
      </c>
    </row>
    <row r="1521" spans="1:3" x14ac:dyDescent="0.3">
      <c r="A1521" s="1">
        <v>1008550</v>
      </c>
      <c r="B1521" s="2" t="s">
        <v>1559</v>
      </c>
      <c r="C1521" s="9">
        <v>584.72028152966698</v>
      </c>
    </row>
    <row r="1522" spans="1:3" x14ac:dyDescent="0.3">
      <c r="A1522" s="1">
        <v>1008552</v>
      </c>
      <c r="B1522" s="2" t="s">
        <v>1560</v>
      </c>
      <c r="C1522" s="9">
        <v>761.47338549990502</v>
      </c>
    </row>
    <row r="1523" spans="1:3" x14ac:dyDescent="0.3">
      <c r="A1523" s="1">
        <v>1008553</v>
      </c>
      <c r="B1523" s="2" t="s">
        <v>1561</v>
      </c>
      <c r="C1523" s="9">
        <v>714.555555555556</v>
      </c>
    </row>
    <row r="1524" spans="1:3" x14ac:dyDescent="0.3">
      <c r="A1524" s="1">
        <v>1008554</v>
      </c>
      <c r="B1524" s="2" t="s">
        <v>1562</v>
      </c>
      <c r="C1524" s="9">
        <v>775.94091795613497</v>
      </c>
    </row>
    <row r="1525" spans="1:3" x14ac:dyDescent="0.3">
      <c r="A1525" s="1">
        <v>1008555</v>
      </c>
      <c r="B1525" s="2" t="s">
        <v>1563</v>
      </c>
      <c r="C1525" s="9">
        <v>678.5</v>
      </c>
    </row>
    <row r="1526" spans="1:3" x14ac:dyDescent="0.3">
      <c r="A1526" s="1">
        <v>1008668</v>
      </c>
      <c r="B1526" s="2" t="s">
        <v>1564</v>
      </c>
      <c r="C1526" s="9">
        <v>220.4</v>
      </c>
    </row>
    <row r="1527" spans="1:3" x14ac:dyDescent="0.3">
      <c r="A1527" s="1">
        <v>1008687</v>
      </c>
      <c r="B1527" s="2" t="s">
        <v>1565</v>
      </c>
      <c r="C1527" s="9">
        <v>165.72500108134099</v>
      </c>
    </row>
    <row r="1528" spans="1:3" x14ac:dyDescent="0.3">
      <c r="A1528" s="1">
        <v>1008701</v>
      </c>
      <c r="B1528" s="2" t="s">
        <v>1566</v>
      </c>
      <c r="C1528" s="9">
        <v>1622.5</v>
      </c>
    </row>
    <row r="1529" spans="1:3" x14ac:dyDescent="0.3">
      <c r="A1529" s="1">
        <v>1008814</v>
      </c>
      <c r="B1529" s="2" t="s">
        <v>1567</v>
      </c>
      <c r="C1529" s="9">
        <v>530.83198589743597</v>
      </c>
    </row>
    <row r="1530" spans="1:3" x14ac:dyDescent="0.3">
      <c r="A1530" s="1">
        <v>1008815</v>
      </c>
      <c r="B1530" s="2" t="s">
        <v>1568</v>
      </c>
      <c r="C1530" s="9">
        <v>535.80873567493097</v>
      </c>
    </row>
    <row r="1531" spans="1:3" x14ac:dyDescent="0.3">
      <c r="A1531" s="1">
        <v>1008840</v>
      </c>
      <c r="B1531" s="2" t="s">
        <v>1569</v>
      </c>
      <c r="C1531" s="9">
        <v>159416.49575757599</v>
      </c>
    </row>
    <row r="1532" spans="1:3" x14ac:dyDescent="0.3">
      <c r="A1532" s="1">
        <v>1008841</v>
      </c>
      <c r="B1532" s="2" t="s">
        <v>1570</v>
      </c>
      <c r="C1532" s="9">
        <v>154388.29250000001</v>
      </c>
    </row>
    <row r="1533" spans="1:3" x14ac:dyDescent="0.3">
      <c r="A1533" s="1">
        <v>1008842</v>
      </c>
      <c r="B1533" s="2" t="s">
        <v>1571</v>
      </c>
      <c r="C1533" s="9">
        <v>223172.41641666699</v>
      </c>
    </row>
    <row r="1534" spans="1:3" x14ac:dyDescent="0.3">
      <c r="A1534" s="1">
        <v>1008843</v>
      </c>
      <c r="B1534" s="2" t="s">
        <v>1572</v>
      </c>
      <c r="C1534" s="9">
        <v>250502.660117647</v>
      </c>
    </row>
    <row r="1535" spans="1:3" x14ac:dyDescent="0.3">
      <c r="A1535" s="1">
        <v>1008879</v>
      </c>
      <c r="B1535" s="2" t="s">
        <v>1573</v>
      </c>
      <c r="C1535" s="9">
        <v>0</v>
      </c>
    </row>
    <row r="1536" spans="1:3" x14ac:dyDescent="0.3">
      <c r="A1536" s="1">
        <v>1008884</v>
      </c>
      <c r="B1536" s="2" t="s">
        <v>1574</v>
      </c>
      <c r="C1536" s="9">
        <v>3986.8941741071399</v>
      </c>
    </row>
    <row r="1537" spans="1:3" x14ac:dyDescent="0.3">
      <c r="A1537" s="1">
        <v>1008900</v>
      </c>
      <c r="B1537" s="2" t="s">
        <v>1575</v>
      </c>
      <c r="C1537" s="9">
        <v>3401.03</v>
      </c>
    </row>
    <row r="1538" spans="1:3" x14ac:dyDescent="0.3">
      <c r="A1538" s="1">
        <v>1008901</v>
      </c>
      <c r="B1538" s="2" t="s">
        <v>1576</v>
      </c>
      <c r="C1538" s="9">
        <v>777.37824999999998</v>
      </c>
    </row>
    <row r="1539" spans="1:3" x14ac:dyDescent="0.3">
      <c r="A1539" s="1">
        <v>1008902</v>
      </c>
      <c r="B1539" s="2" t="s">
        <v>1577</v>
      </c>
      <c r="C1539" s="9">
        <v>728.79250000000002</v>
      </c>
    </row>
    <row r="1540" spans="1:3" x14ac:dyDescent="0.3">
      <c r="A1540" s="1">
        <v>1008973</v>
      </c>
      <c r="B1540" s="2" t="s">
        <v>1578</v>
      </c>
      <c r="C1540" s="9">
        <v>1210.6749363368201</v>
      </c>
    </row>
    <row r="1541" spans="1:3" x14ac:dyDescent="0.3">
      <c r="A1541" s="1">
        <v>1008975</v>
      </c>
      <c r="B1541" s="2" t="s">
        <v>1579</v>
      </c>
      <c r="C1541" s="9">
        <v>1059.43266145949</v>
      </c>
    </row>
    <row r="1542" spans="1:3" x14ac:dyDescent="0.3">
      <c r="A1542" s="1">
        <v>1008976</v>
      </c>
      <c r="B1542" s="2" t="s">
        <v>1580</v>
      </c>
      <c r="C1542" s="9">
        <v>1049.88711248956</v>
      </c>
    </row>
    <row r="1543" spans="1:3" x14ac:dyDescent="0.3">
      <c r="A1543" s="1">
        <v>1008977</v>
      </c>
      <c r="B1543" s="2" t="s">
        <v>1581</v>
      </c>
      <c r="C1543" s="9">
        <v>1163.16160606061</v>
      </c>
    </row>
    <row r="1544" spans="1:3" x14ac:dyDescent="0.3">
      <c r="A1544" s="1">
        <v>1008982</v>
      </c>
      <c r="B1544" s="2" t="s">
        <v>1582</v>
      </c>
      <c r="C1544" s="9">
        <v>4329.5195999999996</v>
      </c>
    </row>
    <row r="1545" spans="1:3" x14ac:dyDescent="0.3">
      <c r="A1545" s="1">
        <v>1009010</v>
      </c>
      <c r="B1545" s="2" t="s">
        <v>1583</v>
      </c>
      <c r="C1545" s="9">
        <v>4212.6000000000004</v>
      </c>
    </row>
    <row r="1546" spans="1:3" x14ac:dyDescent="0.3">
      <c r="A1546" s="1">
        <v>1009014</v>
      </c>
      <c r="B1546" s="2" t="s">
        <v>1584</v>
      </c>
      <c r="C1546" s="9">
        <v>10053.326933333299</v>
      </c>
    </row>
    <row r="1547" spans="1:3" x14ac:dyDescent="0.3">
      <c r="A1547" s="1">
        <v>1009015</v>
      </c>
      <c r="B1547" s="2" t="s">
        <v>1585</v>
      </c>
      <c r="C1547" s="9">
        <v>280.25</v>
      </c>
    </row>
    <row r="1548" spans="1:3" x14ac:dyDescent="0.3">
      <c r="A1548" s="1">
        <v>1009027</v>
      </c>
      <c r="B1548" s="2" t="s">
        <v>1586</v>
      </c>
      <c r="C1548" s="9">
        <v>4554.7578571428603</v>
      </c>
    </row>
    <row r="1549" spans="1:3" x14ac:dyDescent="0.3">
      <c r="A1549" s="1">
        <v>1009028</v>
      </c>
      <c r="B1549" s="2" t="s">
        <v>1587</v>
      </c>
      <c r="C1549" s="9">
        <v>4285.0519999999997</v>
      </c>
    </row>
    <row r="1550" spans="1:3" x14ac:dyDescent="0.3">
      <c r="A1550" s="1">
        <v>1009029</v>
      </c>
      <c r="B1550" s="2" t="s">
        <v>1588</v>
      </c>
      <c r="C1550" s="9">
        <v>425</v>
      </c>
    </row>
    <row r="1551" spans="1:3" x14ac:dyDescent="0.3">
      <c r="A1551" s="1">
        <v>1009036</v>
      </c>
      <c r="B1551" s="2" t="s">
        <v>1589</v>
      </c>
      <c r="C1551" s="9">
        <v>0</v>
      </c>
    </row>
    <row r="1552" spans="1:3" x14ac:dyDescent="0.3">
      <c r="A1552" s="1">
        <v>1009037</v>
      </c>
      <c r="B1552" s="2" t="s">
        <v>1590</v>
      </c>
      <c r="C1552" s="9">
        <v>474.62419583333298</v>
      </c>
    </row>
    <row r="1553" spans="1:3" x14ac:dyDescent="0.3">
      <c r="A1553" s="1">
        <v>1009063</v>
      </c>
      <c r="B1553" s="2" t="s">
        <v>1591</v>
      </c>
      <c r="C1553" s="9">
        <v>1460.25</v>
      </c>
    </row>
    <row r="1554" spans="1:3" x14ac:dyDescent="0.3">
      <c r="A1554" s="1">
        <v>1009069</v>
      </c>
      <c r="B1554" s="2" t="s">
        <v>1592</v>
      </c>
      <c r="C1554" s="9">
        <v>16.035926091825299</v>
      </c>
    </row>
    <row r="1555" spans="1:3" x14ac:dyDescent="0.3">
      <c r="A1555" s="1">
        <v>1009070</v>
      </c>
      <c r="B1555" s="2" t="s">
        <v>1593</v>
      </c>
      <c r="C1555" s="9">
        <v>1758.2</v>
      </c>
    </row>
    <row r="1556" spans="1:3" x14ac:dyDescent="0.3">
      <c r="A1556" s="1">
        <v>1009071</v>
      </c>
      <c r="B1556" s="2" t="s">
        <v>1594</v>
      </c>
      <c r="C1556" s="9">
        <v>1758.2</v>
      </c>
    </row>
    <row r="1557" spans="1:3" x14ac:dyDescent="0.3">
      <c r="A1557" s="1">
        <v>1009079</v>
      </c>
      <c r="B1557" s="2" t="s">
        <v>1595</v>
      </c>
      <c r="C1557" s="9">
        <v>111864</v>
      </c>
    </row>
    <row r="1558" spans="1:3" x14ac:dyDescent="0.3">
      <c r="A1558" s="1">
        <v>1009192</v>
      </c>
      <c r="B1558" s="2" t="s">
        <v>1596</v>
      </c>
      <c r="C1558" s="9">
        <v>2289.3653030302999</v>
      </c>
    </row>
    <row r="1559" spans="1:3" x14ac:dyDescent="0.3">
      <c r="A1559" s="1">
        <v>1009197</v>
      </c>
      <c r="B1559" s="2" t="s">
        <v>1597</v>
      </c>
      <c r="C1559" s="9">
        <v>11021.082</v>
      </c>
    </row>
    <row r="1560" spans="1:3" x14ac:dyDescent="0.3">
      <c r="A1560" s="1">
        <v>1009198</v>
      </c>
      <c r="B1560" s="2" t="s">
        <v>1598</v>
      </c>
      <c r="C1560" s="9">
        <v>1817.2</v>
      </c>
    </row>
    <row r="1561" spans="1:3" x14ac:dyDescent="0.3">
      <c r="A1561" s="1">
        <v>1009200</v>
      </c>
      <c r="B1561" s="2" t="s">
        <v>1599</v>
      </c>
      <c r="C1561" s="9">
        <v>890.45121463077999</v>
      </c>
    </row>
    <row r="1562" spans="1:3" x14ac:dyDescent="0.3">
      <c r="A1562" s="1">
        <v>1009201</v>
      </c>
      <c r="B1562" s="2" t="s">
        <v>1600</v>
      </c>
      <c r="C1562" s="9">
        <v>890.45111455108395</v>
      </c>
    </row>
    <row r="1563" spans="1:3" x14ac:dyDescent="0.3">
      <c r="A1563" s="1">
        <v>1009202</v>
      </c>
      <c r="B1563" s="2" t="s">
        <v>1601</v>
      </c>
      <c r="C1563" s="9">
        <v>890.451818181818</v>
      </c>
    </row>
    <row r="1564" spans="1:3" x14ac:dyDescent="0.3">
      <c r="A1564" s="1">
        <v>1009203</v>
      </c>
      <c r="B1564" s="2" t="s">
        <v>1602</v>
      </c>
      <c r="C1564" s="9">
        <v>890.451470588235</v>
      </c>
    </row>
    <row r="1565" spans="1:3" x14ac:dyDescent="0.3">
      <c r="A1565" s="1">
        <v>1009204</v>
      </c>
      <c r="B1565" s="2" t="s">
        <v>1603</v>
      </c>
      <c r="C1565" s="9">
        <v>468.01623931623902</v>
      </c>
    </row>
    <row r="1566" spans="1:3" x14ac:dyDescent="0.3">
      <c r="A1566" s="1">
        <v>1009205</v>
      </c>
      <c r="B1566" s="2" t="s">
        <v>1604</v>
      </c>
      <c r="C1566" s="9">
        <v>501.5</v>
      </c>
    </row>
    <row r="1567" spans="1:3" x14ac:dyDescent="0.3">
      <c r="A1567" s="1">
        <v>1009209</v>
      </c>
      <c r="B1567" s="2" t="s">
        <v>1605</v>
      </c>
      <c r="C1567" s="9">
        <v>768.13972222222196</v>
      </c>
    </row>
    <row r="1568" spans="1:3" x14ac:dyDescent="0.3">
      <c r="A1568" s="1">
        <v>1009211</v>
      </c>
      <c r="B1568" s="2" t="s">
        <v>1606</v>
      </c>
      <c r="C1568" s="9">
        <v>2065</v>
      </c>
    </row>
    <row r="1569" spans="1:3" x14ac:dyDescent="0.3">
      <c r="A1569" s="1">
        <v>1009215</v>
      </c>
      <c r="B1569" s="2" t="s">
        <v>1607</v>
      </c>
      <c r="C1569" s="9">
        <v>215.102214814815</v>
      </c>
    </row>
    <row r="1570" spans="1:3" x14ac:dyDescent="0.3">
      <c r="A1570" s="1">
        <v>1009216</v>
      </c>
      <c r="B1570" s="2" t="s">
        <v>1608</v>
      </c>
      <c r="C1570" s="9">
        <v>259.60000000000002</v>
      </c>
    </row>
    <row r="1571" spans="1:3" x14ac:dyDescent="0.3">
      <c r="A1571" s="1">
        <v>1009217</v>
      </c>
      <c r="B1571" s="2" t="s">
        <v>1609</v>
      </c>
      <c r="C1571" s="9">
        <v>1267.32</v>
      </c>
    </row>
    <row r="1572" spans="1:3" x14ac:dyDescent="0.3">
      <c r="A1572" s="1">
        <v>1009218</v>
      </c>
      <c r="B1572" s="2" t="s">
        <v>1610</v>
      </c>
      <c r="C1572" s="9">
        <v>1770</v>
      </c>
    </row>
    <row r="1573" spans="1:3" x14ac:dyDescent="0.3">
      <c r="A1573" s="1">
        <v>1009223</v>
      </c>
      <c r="B1573" s="2" t="s">
        <v>1611</v>
      </c>
      <c r="C1573" s="9">
        <v>4217.9496328502401</v>
      </c>
    </row>
    <row r="1574" spans="1:3" x14ac:dyDescent="0.3">
      <c r="A1574" s="1">
        <v>1009224</v>
      </c>
      <c r="B1574" s="2" t="s">
        <v>1612</v>
      </c>
      <c r="C1574" s="9">
        <v>2008.8805452961701</v>
      </c>
    </row>
    <row r="1575" spans="1:3" x14ac:dyDescent="0.3">
      <c r="A1575" s="1">
        <v>1009225</v>
      </c>
      <c r="B1575" s="2" t="s">
        <v>1613</v>
      </c>
      <c r="C1575" s="9">
        <v>2346.1176470588198</v>
      </c>
    </row>
    <row r="1576" spans="1:3" x14ac:dyDescent="0.3">
      <c r="A1576" s="1">
        <v>1009229</v>
      </c>
      <c r="B1576" s="2" t="s">
        <v>1614</v>
      </c>
      <c r="C1576" s="9">
        <v>0</v>
      </c>
    </row>
    <row r="1577" spans="1:3" x14ac:dyDescent="0.3">
      <c r="A1577" s="1">
        <v>1009292</v>
      </c>
      <c r="B1577" s="2" t="s">
        <v>1615</v>
      </c>
      <c r="C1577" s="9">
        <v>1356.528</v>
      </c>
    </row>
    <row r="1578" spans="1:3" x14ac:dyDescent="0.3">
      <c r="A1578" s="1">
        <v>1009294</v>
      </c>
      <c r="B1578" s="2" t="s">
        <v>1616</v>
      </c>
      <c r="C1578" s="9">
        <v>2115.9772631578899</v>
      </c>
    </row>
    <row r="1579" spans="1:3" x14ac:dyDescent="0.3">
      <c r="A1579" s="1">
        <v>1009297</v>
      </c>
      <c r="B1579" s="2" t="s">
        <v>1617</v>
      </c>
      <c r="C1579" s="9">
        <v>4096.2857142857101</v>
      </c>
    </row>
    <row r="1580" spans="1:3" x14ac:dyDescent="0.3">
      <c r="A1580" s="1">
        <v>1009300</v>
      </c>
      <c r="B1580" s="2" t="s">
        <v>1618</v>
      </c>
      <c r="C1580" s="9">
        <v>2321.68067990891</v>
      </c>
    </row>
    <row r="1581" spans="1:3" x14ac:dyDescent="0.3">
      <c r="A1581" s="1">
        <v>1009301</v>
      </c>
      <c r="B1581" s="2" t="s">
        <v>1619</v>
      </c>
      <c r="C1581" s="9">
        <v>8230.5</v>
      </c>
    </row>
    <row r="1582" spans="1:3" x14ac:dyDescent="0.3">
      <c r="A1582" s="1">
        <v>1009302</v>
      </c>
      <c r="B1582" s="2" t="s">
        <v>1620</v>
      </c>
      <c r="C1582" s="9">
        <v>2091.12857142857</v>
      </c>
    </row>
    <row r="1583" spans="1:3" x14ac:dyDescent="0.3">
      <c r="A1583" s="1">
        <v>1009303</v>
      </c>
      <c r="B1583" s="2" t="s">
        <v>1621</v>
      </c>
      <c r="C1583" s="9">
        <v>10726.2</v>
      </c>
    </row>
    <row r="1584" spans="1:3" x14ac:dyDescent="0.3">
      <c r="A1584" s="1">
        <v>1009304</v>
      </c>
      <c r="B1584" s="2" t="s">
        <v>1622</v>
      </c>
      <c r="C1584" s="9">
        <v>80.239999999999995</v>
      </c>
    </row>
    <row r="1585" spans="1:3" x14ac:dyDescent="0.3">
      <c r="A1585" s="1">
        <v>1009305</v>
      </c>
      <c r="B1585" s="2" t="s">
        <v>1623</v>
      </c>
      <c r="C1585" s="9">
        <v>2800.9659090909099</v>
      </c>
    </row>
    <row r="1586" spans="1:3" x14ac:dyDescent="0.3">
      <c r="A1586" s="1">
        <v>1009306</v>
      </c>
      <c r="B1586" s="2" t="s">
        <v>1624</v>
      </c>
      <c r="C1586" s="9">
        <v>265.5</v>
      </c>
    </row>
    <row r="1587" spans="1:3" x14ac:dyDescent="0.3">
      <c r="A1587" s="1">
        <v>1009307</v>
      </c>
      <c r="B1587" s="2" t="s">
        <v>1625</v>
      </c>
      <c r="C1587" s="9">
        <v>147.5</v>
      </c>
    </row>
    <row r="1588" spans="1:3" x14ac:dyDescent="0.3">
      <c r="A1588" s="1">
        <v>1009308</v>
      </c>
      <c r="B1588" s="2" t="s">
        <v>1626</v>
      </c>
      <c r="C1588" s="9">
        <v>10065.549999999999</v>
      </c>
    </row>
    <row r="1589" spans="1:3" x14ac:dyDescent="0.3">
      <c r="A1589" s="1">
        <v>1009327</v>
      </c>
      <c r="B1589" s="2" t="s">
        <v>1627</v>
      </c>
      <c r="C1589" s="9">
        <v>260.93342857142898</v>
      </c>
    </row>
    <row r="1590" spans="1:3" x14ac:dyDescent="0.3">
      <c r="A1590" s="1">
        <v>1009329</v>
      </c>
      <c r="B1590" s="2" t="s">
        <v>1629</v>
      </c>
      <c r="C1590" s="9">
        <v>5010.5789333333296</v>
      </c>
    </row>
    <row r="1591" spans="1:3" x14ac:dyDescent="0.3">
      <c r="A1591" s="1">
        <v>1009330</v>
      </c>
      <c r="B1591" s="2" t="s">
        <v>1630</v>
      </c>
      <c r="C1591" s="9">
        <v>120484.94</v>
      </c>
    </row>
    <row r="1592" spans="1:3" x14ac:dyDescent="0.3">
      <c r="A1592" s="1">
        <v>1009331</v>
      </c>
      <c r="B1592" s="2" t="s">
        <v>1631</v>
      </c>
      <c r="C1592" s="9">
        <v>189.98</v>
      </c>
    </row>
    <row r="1593" spans="1:3" x14ac:dyDescent="0.3">
      <c r="A1593" s="1">
        <v>1009338</v>
      </c>
      <c r="B1593" s="2" t="s">
        <v>1632</v>
      </c>
      <c r="C1593" s="9">
        <v>0</v>
      </c>
    </row>
    <row r="1594" spans="1:3" x14ac:dyDescent="0.3">
      <c r="A1594" s="1">
        <v>1009339</v>
      </c>
      <c r="B1594" s="2" t="s">
        <v>1633</v>
      </c>
      <c r="C1594" s="9">
        <v>0</v>
      </c>
    </row>
    <row r="1595" spans="1:3" x14ac:dyDescent="0.3">
      <c r="A1595" s="1">
        <v>1009340</v>
      </c>
      <c r="B1595" s="2" t="s">
        <v>1634</v>
      </c>
      <c r="C1595" s="9">
        <v>0</v>
      </c>
    </row>
    <row r="1596" spans="1:3" x14ac:dyDescent="0.3">
      <c r="A1596" s="1">
        <v>1009341</v>
      </c>
      <c r="B1596" s="2" t="s">
        <v>1635</v>
      </c>
      <c r="C1596" s="9">
        <v>0</v>
      </c>
    </row>
    <row r="1597" spans="1:3" x14ac:dyDescent="0.3">
      <c r="A1597" s="1">
        <v>1009342</v>
      </c>
      <c r="B1597" s="2" t="s">
        <v>1636</v>
      </c>
      <c r="C1597" s="9">
        <v>0</v>
      </c>
    </row>
    <row r="1598" spans="1:3" x14ac:dyDescent="0.3">
      <c r="A1598" s="1">
        <v>1009343</v>
      </c>
      <c r="B1598" s="2" t="s">
        <v>1637</v>
      </c>
      <c r="C1598" s="9">
        <v>0</v>
      </c>
    </row>
    <row r="1599" spans="1:3" x14ac:dyDescent="0.3">
      <c r="A1599" s="1">
        <v>1009344</v>
      </c>
      <c r="B1599" s="2" t="s">
        <v>1638</v>
      </c>
      <c r="C1599" s="9">
        <v>0</v>
      </c>
    </row>
    <row r="1600" spans="1:3" x14ac:dyDescent="0.3">
      <c r="A1600" s="1">
        <v>1009345</v>
      </c>
      <c r="B1600" s="2" t="s">
        <v>1639</v>
      </c>
      <c r="C1600" s="9">
        <v>0</v>
      </c>
    </row>
    <row r="1601" spans="1:3" x14ac:dyDescent="0.3">
      <c r="A1601" s="1">
        <v>1009346</v>
      </c>
      <c r="B1601" s="2" t="s">
        <v>1640</v>
      </c>
      <c r="C1601" s="9">
        <v>0</v>
      </c>
    </row>
    <row r="1602" spans="1:3" x14ac:dyDescent="0.3">
      <c r="A1602" s="1">
        <v>1009347</v>
      </c>
      <c r="B1602" s="2" t="s">
        <v>1641</v>
      </c>
      <c r="C1602" s="9">
        <v>0</v>
      </c>
    </row>
    <row r="1603" spans="1:3" x14ac:dyDescent="0.3">
      <c r="A1603" s="1">
        <v>1009348</v>
      </c>
      <c r="B1603" s="2" t="s">
        <v>1642</v>
      </c>
      <c r="C1603" s="9">
        <v>0</v>
      </c>
    </row>
    <row r="1604" spans="1:3" x14ac:dyDescent="0.3">
      <c r="A1604" s="1">
        <v>1009349</v>
      </c>
      <c r="B1604" s="2" t="s">
        <v>1643</v>
      </c>
      <c r="C1604" s="9">
        <v>0</v>
      </c>
    </row>
    <row r="1605" spans="1:3" x14ac:dyDescent="0.3">
      <c r="A1605" s="1">
        <v>1009352</v>
      </c>
      <c r="B1605" s="2" t="s">
        <v>1644</v>
      </c>
      <c r="C1605" s="9">
        <v>268.21009222919901</v>
      </c>
    </row>
    <row r="1606" spans="1:3" x14ac:dyDescent="0.3">
      <c r="A1606" s="1">
        <v>1009353</v>
      </c>
      <c r="B1606" s="2" t="s">
        <v>1645</v>
      </c>
      <c r="C1606" s="9">
        <v>0</v>
      </c>
    </row>
    <row r="1607" spans="1:3" x14ac:dyDescent="0.3">
      <c r="A1607" s="1">
        <v>1009355</v>
      </c>
      <c r="B1607" s="2" t="s">
        <v>1646</v>
      </c>
      <c r="C1607" s="9">
        <v>0</v>
      </c>
    </row>
    <row r="1608" spans="1:3" x14ac:dyDescent="0.3">
      <c r="A1608" s="1">
        <v>1009356</v>
      </c>
      <c r="B1608" s="2" t="s">
        <v>1647</v>
      </c>
      <c r="C1608" s="9">
        <v>0</v>
      </c>
    </row>
    <row r="1609" spans="1:3" x14ac:dyDescent="0.3">
      <c r="A1609" s="1">
        <v>1009357</v>
      </c>
      <c r="B1609" s="2" t="s">
        <v>1648</v>
      </c>
      <c r="C1609" s="9">
        <v>0</v>
      </c>
    </row>
    <row r="1610" spans="1:3" x14ac:dyDescent="0.3">
      <c r="A1610" s="1">
        <v>1009358</v>
      </c>
      <c r="B1610" s="2" t="s">
        <v>1649</v>
      </c>
      <c r="C1610" s="9">
        <v>554.15946666666696</v>
      </c>
    </row>
    <row r="1611" spans="1:3" x14ac:dyDescent="0.3">
      <c r="A1611" s="1">
        <v>1009359</v>
      </c>
      <c r="B1611" s="2" t="s">
        <v>1650</v>
      </c>
      <c r="C1611" s="9">
        <v>0</v>
      </c>
    </row>
    <row r="1612" spans="1:3" x14ac:dyDescent="0.3">
      <c r="A1612" s="1">
        <v>1009360</v>
      </c>
      <c r="B1612" s="2" t="s">
        <v>1651</v>
      </c>
      <c r="C1612" s="9">
        <v>31.636870026525202</v>
      </c>
    </row>
    <row r="1613" spans="1:3" x14ac:dyDescent="0.3">
      <c r="A1613" s="1">
        <v>1009361</v>
      </c>
      <c r="B1613" s="2" t="s">
        <v>1652</v>
      </c>
      <c r="C1613" s="9">
        <v>0</v>
      </c>
    </row>
    <row r="1614" spans="1:3" x14ac:dyDescent="0.3">
      <c r="A1614" s="1">
        <v>1009364</v>
      </c>
      <c r="B1614" s="2" t="s">
        <v>1653</v>
      </c>
      <c r="C1614" s="9">
        <v>2490.2424999999998</v>
      </c>
    </row>
    <row r="1615" spans="1:3" x14ac:dyDescent="0.3">
      <c r="A1615" s="1">
        <v>1009382</v>
      </c>
      <c r="B1615" s="2" t="s">
        <v>1654</v>
      </c>
      <c r="C1615" s="9">
        <v>0.66079996474867408</v>
      </c>
    </row>
    <row r="1616" spans="1:3" x14ac:dyDescent="0.3">
      <c r="A1616" s="1">
        <v>1009400</v>
      </c>
      <c r="B1616" s="2" t="s">
        <v>1655</v>
      </c>
      <c r="C1616" s="9">
        <v>2860518.21</v>
      </c>
    </row>
    <row r="1617" spans="1:3" x14ac:dyDescent="0.3">
      <c r="A1617" s="1">
        <v>1009401</v>
      </c>
      <c r="B1617" s="2" t="s">
        <v>1656</v>
      </c>
      <c r="C1617" s="9">
        <v>17919.055142857145</v>
      </c>
    </row>
    <row r="1618" spans="1:3" x14ac:dyDescent="0.3">
      <c r="A1618" s="1">
        <v>1009402</v>
      </c>
      <c r="B1618" s="2" t="s">
        <v>1657</v>
      </c>
      <c r="C1618" s="9">
        <v>3329.7750286094501</v>
      </c>
    </row>
    <row r="1619" spans="1:3" x14ac:dyDescent="0.3">
      <c r="A1619" s="1">
        <v>1009437</v>
      </c>
      <c r="B1619" s="2" t="s">
        <v>1658</v>
      </c>
      <c r="C1619" s="9">
        <v>28472.455999999998</v>
      </c>
    </row>
    <row r="1620" spans="1:3" x14ac:dyDescent="0.3">
      <c r="A1620" s="1">
        <v>1009438</v>
      </c>
      <c r="B1620" s="2" t="s">
        <v>1659</v>
      </c>
      <c r="C1620" s="9">
        <v>13743.165000000001</v>
      </c>
    </row>
    <row r="1621" spans="1:3" x14ac:dyDescent="0.3">
      <c r="A1621" s="1">
        <v>1009573</v>
      </c>
      <c r="B1621" s="2" t="s">
        <v>1661</v>
      </c>
      <c r="C1621" s="9">
        <v>6.1359999189068644</v>
      </c>
    </row>
    <row r="1622" spans="1:3" x14ac:dyDescent="0.3">
      <c r="A1622" s="1">
        <v>1009574</v>
      </c>
      <c r="B1622" s="2" t="s">
        <v>1662</v>
      </c>
      <c r="C1622" s="9">
        <v>34.113800042363906</v>
      </c>
    </row>
    <row r="1623" spans="1:3" x14ac:dyDescent="0.3">
      <c r="A1623" s="1">
        <v>1009576</v>
      </c>
      <c r="B1623" s="2" t="s">
        <v>1663</v>
      </c>
      <c r="C1623" s="9">
        <v>27.151800098445143</v>
      </c>
    </row>
    <row r="1624" spans="1:3" x14ac:dyDescent="0.3">
      <c r="A1624" s="1">
        <v>1009578</v>
      </c>
      <c r="B1624" s="2" t="s">
        <v>1664</v>
      </c>
      <c r="C1624" s="9">
        <v>10571.833765290499</v>
      </c>
    </row>
    <row r="1625" spans="1:3" x14ac:dyDescent="0.3">
      <c r="A1625" s="1">
        <v>1009580</v>
      </c>
      <c r="B1625" s="2" t="s">
        <v>1665</v>
      </c>
      <c r="C1625" s="9">
        <v>6937.7644151971499</v>
      </c>
    </row>
    <row r="1626" spans="1:3" x14ac:dyDescent="0.3">
      <c r="A1626" s="1">
        <v>1009584</v>
      </c>
      <c r="B1626" s="2" t="s">
        <v>1666</v>
      </c>
      <c r="C1626" s="9">
        <v>391097.23333333334</v>
      </c>
    </row>
    <row r="1627" spans="1:3" x14ac:dyDescent="0.3">
      <c r="A1627" s="1">
        <v>1009585</v>
      </c>
      <c r="B1627" s="2" t="s">
        <v>1667</v>
      </c>
      <c r="C1627" s="9">
        <v>905355</v>
      </c>
    </row>
    <row r="1628" spans="1:3" x14ac:dyDescent="0.3">
      <c r="A1628" s="1">
        <v>1009587</v>
      </c>
      <c r="B1628" s="2" t="s">
        <v>1668</v>
      </c>
      <c r="C1628" s="9">
        <v>503.69425000000001</v>
      </c>
    </row>
    <row r="1629" spans="1:3" x14ac:dyDescent="0.3">
      <c r="A1629" s="1">
        <v>1009588</v>
      </c>
      <c r="B1629" s="2" t="s">
        <v>1669</v>
      </c>
      <c r="C1629" s="9">
        <v>259.01</v>
      </c>
    </row>
    <row r="1630" spans="1:3" x14ac:dyDescent="0.3">
      <c r="A1630" s="1">
        <v>1009589</v>
      </c>
      <c r="B1630" s="2" t="s">
        <v>1670</v>
      </c>
      <c r="C1630" s="9">
        <v>31886036.215</v>
      </c>
    </row>
    <row r="1631" spans="1:3" x14ac:dyDescent="0.3">
      <c r="A1631" s="1">
        <v>1009591</v>
      </c>
      <c r="B1631" s="2" t="s">
        <v>1671</v>
      </c>
      <c r="C1631" s="9">
        <v>33102628.329999998</v>
      </c>
    </row>
    <row r="1632" spans="1:3" x14ac:dyDescent="0.3">
      <c r="A1632" s="1">
        <v>1009592</v>
      </c>
      <c r="B1632" s="2" t="s">
        <v>1672</v>
      </c>
      <c r="C1632" s="9">
        <v>27790627.890000001</v>
      </c>
    </row>
    <row r="1633" spans="1:3" x14ac:dyDescent="0.3">
      <c r="A1633" s="1">
        <v>1009593</v>
      </c>
      <c r="B1633" s="2" t="s">
        <v>1673</v>
      </c>
      <c r="C1633" s="9">
        <v>17159.0979321267</v>
      </c>
    </row>
    <row r="1634" spans="1:3" x14ac:dyDescent="0.3">
      <c r="A1634" s="1">
        <v>1009594</v>
      </c>
      <c r="B1634" s="2" t="s">
        <v>1674</v>
      </c>
      <c r="C1634" s="9">
        <v>61776.81</v>
      </c>
    </row>
    <row r="1635" spans="1:3" x14ac:dyDescent="0.3">
      <c r="A1635" s="1">
        <v>1009595</v>
      </c>
      <c r="B1635" s="2" t="s">
        <v>1675</v>
      </c>
      <c r="C1635" s="9">
        <v>600.7970015948963</v>
      </c>
    </row>
    <row r="1636" spans="1:3" x14ac:dyDescent="0.3">
      <c r="A1636" s="1">
        <v>1009596</v>
      </c>
      <c r="B1636" s="2" t="s">
        <v>1676</v>
      </c>
      <c r="C1636" s="9">
        <v>55925.43</v>
      </c>
    </row>
    <row r="1637" spans="1:3" x14ac:dyDescent="0.3">
      <c r="A1637" s="1">
        <v>1009597</v>
      </c>
      <c r="B1637" s="2" t="s">
        <v>1677</v>
      </c>
      <c r="C1637" s="9">
        <v>70175</v>
      </c>
    </row>
    <row r="1638" spans="1:3" x14ac:dyDescent="0.3">
      <c r="A1638" s="1">
        <v>1009598</v>
      </c>
      <c r="B1638" s="2" t="s">
        <v>1678</v>
      </c>
      <c r="C1638" s="9">
        <v>80115.58</v>
      </c>
    </row>
    <row r="1639" spans="1:3" x14ac:dyDescent="0.3">
      <c r="A1639" s="1">
        <v>1009599</v>
      </c>
      <c r="B1639" s="2" t="s">
        <v>1679</v>
      </c>
      <c r="C1639" s="9">
        <v>116167.5</v>
      </c>
    </row>
    <row r="1640" spans="1:3" x14ac:dyDescent="0.3">
      <c r="A1640" s="1">
        <v>1009631</v>
      </c>
      <c r="B1640" s="2" t="s">
        <v>1680</v>
      </c>
      <c r="C1640" s="9">
        <v>702548.4</v>
      </c>
    </row>
    <row r="1641" spans="1:3" x14ac:dyDescent="0.3">
      <c r="A1641" s="1">
        <v>1009664</v>
      </c>
      <c r="B1641" s="2" t="s">
        <v>1681</v>
      </c>
      <c r="C1641" s="9">
        <v>3340.2862500000001</v>
      </c>
    </row>
    <row r="1642" spans="1:3" x14ac:dyDescent="0.3">
      <c r="A1642" s="1">
        <v>1009670</v>
      </c>
      <c r="B1642" s="2" t="s">
        <v>1682</v>
      </c>
      <c r="C1642" s="9">
        <v>230.1</v>
      </c>
    </row>
    <row r="1643" spans="1:3" x14ac:dyDescent="0.3">
      <c r="A1643" s="1">
        <v>1009706</v>
      </c>
      <c r="B1643" s="2" t="s">
        <v>1683</v>
      </c>
      <c r="C1643" s="9">
        <v>96.553826679649461</v>
      </c>
    </row>
    <row r="1644" spans="1:3" x14ac:dyDescent="0.3">
      <c r="A1644" s="1">
        <v>1009715</v>
      </c>
      <c r="B1644" s="2" t="s">
        <v>1684</v>
      </c>
      <c r="C1644" s="9">
        <v>1444.2711538461499</v>
      </c>
    </row>
    <row r="1645" spans="1:3" x14ac:dyDescent="0.3">
      <c r="A1645" s="1">
        <v>1009734</v>
      </c>
      <c r="B1645" s="2" t="s">
        <v>1685</v>
      </c>
      <c r="C1645" s="9">
        <v>48148.372222222199</v>
      </c>
    </row>
    <row r="1646" spans="1:3" x14ac:dyDescent="0.3">
      <c r="A1646" s="1">
        <v>1009736</v>
      </c>
      <c r="B1646" s="2" t="s">
        <v>1686</v>
      </c>
      <c r="C1646" s="9">
        <v>64361.595000000001</v>
      </c>
    </row>
    <row r="1647" spans="1:3" x14ac:dyDescent="0.3">
      <c r="A1647" s="1">
        <v>1009737</v>
      </c>
      <c r="B1647" s="2" t="s">
        <v>1687</v>
      </c>
      <c r="C1647" s="9">
        <v>384306.74285714288</v>
      </c>
    </row>
    <row r="1648" spans="1:3" x14ac:dyDescent="0.3">
      <c r="A1648" s="1">
        <v>1009739</v>
      </c>
      <c r="B1648" s="2" t="s">
        <v>1688</v>
      </c>
      <c r="C1648" s="9">
        <v>384306.7415</v>
      </c>
    </row>
    <row r="1649" spans="1:3" x14ac:dyDescent="0.3">
      <c r="A1649" s="1">
        <v>1009741</v>
      </c>
      <c r="B1649" s="2" t="s">
        <v>1689</v>
      </c>
      <c r="C1649" s="9">
        <v>561063.18181818177</v>
      </c>
    </row>
    <row r="1650" spans="1:3" x14ac:dyDescent="0.3">
      <c r="A1650" s="1">
        <v>1009742</v>
      </c>
      <c r="B1650" s="2" t="s">
        <v>1690</v>
      </c>
      <c r="C1650" s="9">
        <v>1233100</v>
      </c>
    </row>
    <row r="1651" spans="1:3" x14ac:dyDescent="0.3">
      <c r="A1651" s="1">
        <v>1009743</v>
      </c>
      <c r="B1651" s="2" t="s">
        <v>1691</v>
      </c>
      <c r="C1651" s="9">
        <v>1233.7923333333299</v>
      </c>
    </row>
    <row r="1652" spans="1:3" x14ac:dyDescent="0.3">
      <c r="A1652" s="1">
        <v>1009745</v>
      </c>
      <c r="B1652" s="2" t="s">
        <v>1692</v>
      </c>
      <c r="C1652" s="9">
        <v>270.37135779816498</v>
      </c>
    </row>
    <row r="1653" spans="1:3" x14ac:dyDescent="0.3">
      <c r="A1653" s="1">
        <v>1009746</v>
      </c>
      <c r="B1653" s="2" t="s">
        <v>1693</v>
      </c>
      <c r="C1653" s="9">
        <v>121.285257936508</v>
      </c>
    </row>
    <row r="1654" spans="1:3" x14ac:dyDescent="0.3">
      <c r="A1654" s="1">
        <v>1009747</v>
      </c>
      <c r="B1654" s="2" t="s">
        <v>1694</v>
      </c>
      <c r="C1654" s="9">
        <v>113.756774124003</v>
      </c>
    </row>
    <row r="1655" spans="1:3" x14ac:dyDescent="0.3">
      <c r="A1655" s="1">
        <v>1009748</v>
      </c>
      <c r="B1655" s="2" t="s">
        <v>1693</v>
      </c>
      <c r="C1655" s="9">
        <v>223.23240074392999</v>
      </c>
    </row>
    <row r="1656" spans="1:3" x14ac:dyDescent="0.3">
      <c r="A1656" s="1">
        <v>1009749</v>
      </c>
      <c r="B1656" s="2" t="s">
        <v>1694</v>
      </c>
      <c r="C1656" s="9">
        <v>228.77839449541301</v>
      </c>
    </row>
    <row r="1657" spans="1:3" x14ac:dyDescent="0.3">
      <c r="A1657" s="1">
        <v>1009750</v>
      </c>
      <c r="B1657" s="2" t="s">
        <v>1695</v>
      </c>
      <c r="C1657" s="9">
        <v>298.93</v>
      </c>
    </row>
    <row r="1658" spans="1:3" x14ac:dyDescent="0.3">
      <c r="A1658" s="1">
        <v>1009751</v>
      </c>
      <c r="B1658" s="2" t="s">
        <v>1696</v>
      </c>
      <c r="C1658" s="9">
        <v>988.25</v>
      </c>
    </row>
    <row r="1659" spans="1:3" x14ac:dyDescent="0.3">
      <c r="A1659" s="1">
        <v>1009752</v>
      </c>
      <c r="B1659" s="2" t="s">
        <v>1697</v>
      </c>
      <c r="C1659" s="9">
        <v>793.56007399272903</v>
      </c>
    </row>
    <row r="1660" spans="1:3" x14ac:dyDescent="0.3">
      <c r="A1660" s="1">
        <v>1009754</v>
      </c>
      <c r="B1660" s="2" t="s">
        <v>1698</v>
      </c>
      <c r="C1660" s="9">
        <v>861.80905263157899</v>
      </c>
    </row>
    <row r="1661" spans="1:3" x14ac:dyDescent="0.3">
      <c r="A1661" s="1">
        <v>1009779</v>
      </c>
      <c r="B1661" s="2" t="s">
        <v>1699</v>
      </c>
      <c r="C1661" s="9">
        <v>1135.7068648473</v>
      </c>
    </row>
    <row r="1662" spans="1:3" x14ac:dyDescent="0.3">
      <c r="A1662" s="1">
        <v>1009781</v>
      </c>
      <c r="B1662" s="2" t="s">
        <v>1700</v>
      </c>
      <c r="C1662" s="9">
        <v>1768.4190000000001</v>
      </c>
    </row>
    <row r="1663" spans="1:3" x14ac:dyDescent="0.3">
      <c r="A1663" s="1">
        <v>1009782</v>
      </c>
      <c r="B1663" s="2" t="s">
        <v>1701</v>
      </c>
      <c r="C1663" s="9">
        <v>322.23387603987402</v>
      </c>
    </row>
    <row r="1664" spans="1:3" x14ac:dyDescent="0.3">
      <c r="A1664" s="1">
        <v>1009784</v>
      </c>
      <c r="B1664" s="2" t="s">
        <v>1703</v>
      </c>
      <c r="C1664" s="9">
        <v>0</v>
      </c>
    </row>
    <row r="1665" spans="1:3" x14ac:dyDescent="0.3">
      <c r="A1665" s="1">
        <v>1009787</v>
      </c>
      <c r="B1665" s="2" t="s">
        <v>1704</v>
      </c>
      <c r="C1665" s="9">
        <v>277.3</v>
      </c>
    </row>
    <row r="1666" spans="1:3" x14ac:dyDescent="0.3">
      <c r="A1666" s="1">
        <v>1009789</v>
      </c>
      <c r="B1666" s="2" t="s">
        <v>1705</v>
      </c>
      <c r="C1666" s="9">
        <v>405.92</v>
      </c>
    </row>
    <row r="1667" spans="1:3" x14ac:dyDescent="0.3">
      <c r="A1667" s="1">
        <v>1009790</v>
      </c>
      <c r="B1667" s="2" t="s">
        <v>1706</v>
      </c>
      <c r="C1667" s="9">
        <v>407.1</v>
      </c>
    </row>
    <row r="1668" spans="1:3" x14ac:dyDescent="0.3">
      <c r="A1668" s="1">
        <v>1009796</v>
      </c>
      <c r="B1668" s="2" t="s">
        <v>1710</v>
      </c>
      <c r="C1668" s="9">
        <v>49135.94341040463</v>
      </c>
    </row>
    <row r="1669" spans="1:3" x14ac:dyDescent="0.3">
      <c r="A1669" s="1">
        <v>1009798</v>
      </c>
      <c r="B1669" s="2" t="s">
        <v>1711</v>
      </c>
      <c r="C1669" s="9">
        <v>7447.6849019607798</v>
      </c>
    </row>
    <row r="1670" spans="1:3" x14ac:dyDescent="0.3">
      <c r="A1670" s="1">
        <v>1009800</v>
      </c>
      <c r="B1670" s="2" t="s">
        <v>1712</v>
      </c>
      <c r="C1670" s="9">
        <v>7723.5157657657701</v>
      </c>
    </row>
    <row r="1671" spans="1:3" x14ac:dyDescent="0.3">
      <c r="A1671" s="1">
        <v>1009801</v>
      </c>
      <c r="B1671" s="2" t="s">
        <v>1713</v>
      </c>
      <c r="C1671" s="9">
        <v>8275.2649999999994</v>
      </c>
    </row>
    <row r="1672" spans="1:3" x14ac:dyDescent="0.3">
      <c r="A1672" s="1">
        <v>1009804</v>
      </c>
      <c r="B1672" s="2" t="s">
        <v>1714</v>
      </c>
      <c r="C1672" s="9">
        <v>7427.9316624525909</v>
      </c>
    </row>
    <row r="1673" spans="1:3" x14ac:dyDescent="0.3">
      <c r="A1673" s="1">
        <v>1009805</v>
      </c>
      <c r="B1673" s="2" t="s">
        <v>1715</v>
      </c>
      <c r="C1673" s="9">
        <v>1553.0098338560199</v>
      </c>
    </row>
    <row r="1674" spans="1:3" x14ac:dyDescent="0.3">
      <c r="A1674" s="1">
        <v>1009811</v>
      </c>
      <c r="B1674" s="2" t="s">
        <v>1719</v>
      </c>
      <c r="C1674" s="9">
        <v>1454.4207142857099</v>
      </c>
    </row>
    <row r="1675" spans="1:3" x14ac:dyDescent="0.3">
      <c r="A1675" s="1">
        <v>1009812</v>
      </c>
      <c r="B1675" s="2" t="s">
        <v>1720</v>
      </c>
      <c r="C1675" s="9">
        <v>31152</v>
      </c>
    </row>
    <row r="1676" spans="1:3" x14ac:dyDescent="0.3">
      <c r="A1676" s="1">
        <v>1009813</v>
      </c>
      <c r="B1676" s="2" t="s">
        <v>1721</v>
      </c>
      <c r="C1676" s="9">
        <v>45277.716125850297</v>
      </c>
    </row>
    <row r="1677" spans="1:3" x14ac:dyDescent="0.3">
      <c r="A1677" s="1">
        <v>1009821</v>
      </c>
      <c r="B1677" s="2" t="s">
        <v>1722</v>
      </c>
      <c r="C1677" s="9">
        <v>160.19</v>
      </c>
    </row>
    <row r="1678" spans="1:3" x14ac:dyDescent="0.3">
      <c r="A1678" s="1">
        <v>1009853</v>
      </c>
      <c r="B1678" s="2" t="s">
        <v>1723</v>
      </c>
      <c r="C1678" s="9">
        <v>8.2608695652173908E-3</v>
      </c>
    </row>
    <row r="1679" spans="1:3" x14ac:dyDescent="0.3">
      <c r="A1679" s="1">
        <v>1009854</v>
      </c>
      <c r="B1679" s="2" t="s">
        <v>1724</v>
      </c>
      <c r="C1679" s="9">
        <v>8.6666666666666697E-3</v>
      </c>
    </row>
    <row r="1680" spans="1:3" x14ac:dyDescent="0.3">
      <c r="A1680" s="1">
        <v>1009873</v>
      </c>
      <c r="B1680" s="2" t="s">
        <v>1725</v>
      </c>
      <c r="C1680" s="9">
        <v>4581.7779301587298</v>
      </c>
    </row>
    <row r="1681" spans="1:3" x14ac:dyDescent="0.3">
      <c r="A1681" s="1">
        <v>1009878</v>
      </c>
      <c r="B1681" s="2" t="s">
        <v>1726</v>
      </c>
      <c r="C1681" s="9">
        <v>15046.0572722408</v>
      </c>
    </row>
    <row r="1682" spans="1:3" x14ac:dyDescent="0.3">
      <c r="A1682" s="1">
        <v>1009879</v>
      </c>
      <c r="B1682" s="2" t="s">
        <v>1727</v>
      </c>
      <c r="C1682" s="9">
        <v>17711.054736842099</v>
      </c>
    </row>
    <row r="1683" spans="1:3" x14ac:dyDescent="0.3">
      <c r="A1683" s="1">
        <v>1009881</v>
      </c>
      <c r="B1683" s="2" t="s">
        <v>1728</v>
      </c>
      <c r="C1683" s="9">
        <v>61814.3</v>
      </c>
    </row>
    <row r="1684" spans="1:3" x14ac:dyDescent="0.3">
      <c r="A1684" s="1">
        <v>1009886</v>
      </c>
      <c r="B1684" s="2" t="s">
        <v>1729</v>
      </c>
      <c r="C1684" s="9">
        <v>851.32295238095196</v>
      </c>
    </row>
    <row r="1685" spans="1:3" x14ac:dyDescent="0.3">
      <c r="A1685" s="1">
        <v>1009890</v>
      </c>
      <c r="B1685" s="2" t="s">
        <v>1730</v>
      </c>
      <c r="C1685" s="9">
        <v>0.01</v>
      </c>
    </row>
    <row r="1686" spans="1:3" x14ac:dyDescent="0.3">
      <c r="A1686" s="1">
        <v>1009893</v>
      </c>
      <c r="B1686" s="2" t="s">
        <v>1731</v>
      </c>
      <c r="C1686" s="9">
        <v>0.01</v>
      </c>
    </row>
    <row r="1687" spans="1:3" x14ac:dyDescent="0.3">
      <c r="A1687" s="1">
        <v>1009894</v>
      </c>
      <c r="B1687" s="2" t="s">
        <v>1732</v>
      </c>
      <c r="C1687" s="9">
        <v>0.01</v>
      </c>
    </row>
    <row r="1688" spans="1:3" x14ac:dyDescent="0.3">
      <c r="A1688" s="1">
        <v>1009896</v>
      </c>
      <c r="B1688" s="2" t="s">
        <v>1733</v>
      </c>
      <c r="C1688" s="9">
        <v>0.01</v>
      </c>
    </row>
    <row r="1689" spans="1:3" x14ac:dyDescent="0.3">
      <c r="A1689" s="1">
        <v>1009901</v>
      </c>
      <c r="B1689" s="2" t="s">
        <v>1734</v>
      </c>
      <c r="C1689" s="9">
        <v>0.01</v>
      </c>
    </row>
    <row r="1690" spans="1:3" x14ac:dyDescent="0.3">
      <c r="A1690" s="1">
        <v>1009902</v>
      </c>
      <c r="B1690" s="2" t="s">
        <v>1735</v>
      </c>
      <c r="C1690" s="9">
        <v>0.01</v>
      </c>
    </row>
    <row r="1691" spans="1:3" x14ac:dyDescent="0.3">
      <c r="A1691" s="1">
        <v>1009903</v>
      </c>
      <c r="B1691" s="2" t="s">
        <v>1736</v>
      </c>
      <c r="C1691" s="9">
        <v>0.01</v>
      </c>
    </row>
    <row r="1692" spans="1:3" x14ac:dyDescent="0.3">
      <c r="A1692" s="1">
        <v>1009904</v>
      </c>
      <c r="B1692" s="2" t="s">
        <v>1737</v>
      </c>
      <c r="C1692" s="9">
        <v>0.01</v>
      </c>
    </row>
    <row r="1693" spans="1:3" x14ac:dyDescent="0.3">
      <c r="A1693" s="1">
        <v>1009909</v>
      </c>
      <c r="B1693" s="2" t="s">
        <v>1739</v>
      </c>
      <c r="C1693" s="9">
        <v>491.82404351059199</v>
      </c>
    </row>
    <row r="1694" spans="1:3" x14ac:dyDescent="0.3">
      <c r="A1694" s="1">
        <v>1009910</v>
      </c>
      <c r="B1694" s="2" t="s">
        <v>1740</v>
      </c>
      <c r="C1694" s="9">
        <v>0.01</v>
      </c>
    </row>
    <row r="1695" spans="1:3" x14ac:dyDescent="0.3">
      <c r="A1695" s="1">
        <v>1009912</v>
      </c>
      <c r="B1695" s="2" t="s">
        <v>1741</v>
      </c>
      <c r="C1695" s="9">
        <v>0.01</v>
      </c>
    </row>
    <row r="1696" spans="1:3" x14ac:dyDescent="0.3">
      <c r="A1696" s="1">
        <v>1009919</v>
      </c>
      <c r="B1696" s="2" t="s">
        <v>1742</v>
      </c>
      <c r="C1696" s="9">
        <v>0.01</v>
      </c>
    </row>
    <row r="1697" spans="1:3" x14ac:dyDescent="0.3">
      <c r="A1697" s="1">
        <v>1009920</v>
      </c>
      <c r="B1697" s="2" t="s">
        <v>1743</v>
      </c>
      <c r="C1697" s="9">
        <v>0.01</v>
      </c>
    </row>
    <row r="1698" spans="1:3" x14ac:dyDescent="0.3">
      <c r="A1698" s="1">
        <v>1009921</v>
      </c>
      <c r="B1698" s="2" t="s">
        <v>1744</v>
      </c>
      <c r="C1698" s="9">
        <v>0.01</v>
      </c>
    </row>
    <row r="1699" spans="1:3" x14ac:dyDescent="0.3">
      <c r="A1699" s="1">
        <v>1009923</v>
      </c>
      <c r="B1699" s="2" t="s">
        <v>1745</v>
      </c>
      <c r="C1699" s="9">
        <v>0.01</v>
      </c>
    </row>
    <row r="1700" spans="1:3" x14ac:dyDescent="0.3">
      <c r="A1700" s="1">
        <v>1009924</v>
      </c>
      <c r="B1700" s="2" t="s">
        <v>1746</v>
      </c>
      <c r="C1700" s="9">
        <v>0.01</v>
      </c>
    </row>
    <row r="1701" spans="1:3" x14ac:dyDescent="0.3">
      <c r="A1701" s="1">
        <v>1009925</v>
      </c>
      <c r="B1701" s="2" t="s">
        <v>1747</v>
      </c>
      <c r="C1701" s="9">
        <v>5.0000000000000001E-3</v>
      </c>
    </row>
    <row r="1702" spans="1:3" x14ac:dyDescent="0.3">
      <c r="A1702" s="1">
        <v>1009928</v>
      </c>
      <c r="B1702" s="2" t="s">
        <v>1750</v>
      </c>
      <c r="C1702" s="9">
        <v>1455.8249275362318</v>
      </c>
    </row>
    <row r="1703" spans="1:3" x14ac:dyDescent="0.3">
      <c r="A1703" s="1">
        <v>1009931</v>
      </c>
      <c r="B1703" s="2" t="s">
        <v>1751</v>
      </c>
      <c r="C1703" s="9">
        <v>645.97919917959496</v>
      </c>
    </row>
    <row r="1704" spans="1:3" x14ac:dyDescent="0.3">
      <c r="A1704" s="1">
        <v>1009937</v>
      </c>
      <c r="B1704" s="2" t="s">
        <v>1752</v>
      </c>
      <c r="C1704" s="9">
        <v>697144.59</v>
      </c>
    </row>
    <row r="1705" spans="1:3" x14ac:dyDescent="0.3">
      <c r="A1705" s="1">
        <v>1009938</v>
      </c>
      <c r="B1705" s="2" t="s">
        <v>1753</v>
      </c>
      <c r="C1705" s="9">
        <v>1144.1279999999999</v>
      </c>
    </row>
    <row r="1706" spans="1:3" x14ac:dyDescent="0.3">
      <c r="A1706" s="1">
        <v>1009939</v>
      </c>
      <c r="B1706" s="2" t="s">
        <v>1754</v>
      </c>
      <c r="C1706" s="9">
        <v>24957</v>
      </c>
    </row>
    <row r="1707" spans="1:3" x14ac:dyDescent="0.3">
      <c r="A1707" s="1">
        <v>1009963</v>
      </c>
      <c r="B1707" s="2" t="s">
        <v>1756</v>
      </c>
      <c r="C1707" s="9">
        <v>301.37595369730479</v>
      </c>
    </row>
    <row r="1708" spans="1:3" x14ac:dyDescent="0.3">
      <c r="A1708" s="1">
        <v>1009964</v>
      </c>
      <c r="B1708" s="2" t="s">
        <v>1757</v>
      </c>
      <c r="C1708" s="9">
        <v>135.69999999999999</v>
      </c>
    </row>
    <row r="1709" spans="1:3" x14ac:dyDescent="0.3">
      <c r="A1709" s="1">
        <v>1010991</v>
      </c>
      <c r="B1709" s="6" t="s">
        <v>1816</v>
      </c>
      <c r="C1709" s="9">
        <v>114.43</v>
      </c>
    </row>
    <row r="1710" spans="1:3" x14ac:dyDescent="0.3">
      <c r="A1710" s="1">
        <v>1002284</v>
      </c>
      <c r="B1710" s="2" t="s">
        <v>1089</v>
      </c>
      <c r="C1710" s="9">
        <v>151.46285714285716</v>
      </c>
    </row>
    <row r="1711" spans="1:3" x14ac:dyDescent="0.3">
      <c r="A1711" s="1">
        <v>1009980</v>
      </c>
      <c r="B1711" s="2" t="s">
        <v>1758</v>
      </c>
      <c r="C1711" s="9">
        <v>64.434705349388395</v>
      </c>
    </row>
    <row r="1712" spans="1:3" x14ac:dyDescent="0.3">
      <c r="A1712" s="1">
        <v>1009982</v>
      </c>
      <c r="B1712" s="2" t="s">
        <v>1759</v>
      </c>
      <c r="C1712" s="9">
        <v>944</v>
      </c>
    </row>
    <row r="1713" spans="1:3" x14ac:dyDescent="0.3">
      <c r="A1713" s="1">
        <v>1009988</v>
      </c>
      <c r="B1713" s="2" t="s">
        <v>1760</v>
      </c>
      <c r="C1713" s="9">
        <v>154177.255</v>
      </c>
    </row>
    <row r="1714" spans="1:3" x14ac:dyDescent="0.3">
      <c r="A1714" s="1">
        <v>1009792</v>
      </c>
      <c r="B1714" s="2" t="s">
        <v>1708</v>
      </c>
      <c r="C1714" s="9">
        <v>386.22345400421494</v>
      </c>
    </row>
    <row r="1715" spans="1:3" x14ac:dyDescent="0.3">
      <c r="A1715" s="1">
        <v>1009999</v>
      </c>
      <c r="B1715" s="2" t="s">
        <v>1762</v>
      </c>
      <c r="C1715" s="9">
        <v>126.67607073378301</v>
      </c>
    </row>
    <row r="1716" spans="1:3" x14ac:dyDescent="0.3">
      <c r="A1716" s="1">
        <v>1010958</v>
      </c>
      <c r="B1716" s="2" t="str">
        <f>VLOOKUP(A1716,[1]Materiales!$A$5:$U$2883,2,0)</f>
        <v>Cruceta de metal 6"</v>
      </c>
      <c r="C1716" s="9">
        <v>3958</v>
      </c>
    </row>
    <row r="1717" spans="1:3" x14ac:dyDescent="0.3">
      <c r="A1717" s="1">
        <v>1000190</v>
      </c>
      <c r="B1717" s="2" t="s">
        <v>96</v>
      </c>
      <c r="C1717" s="9">
        <v>5000</v>
      </c>
    </row>
    <row r="1718" spans="1:3" x14ac:dyDescent="0.3">
      <c r="A1718" s="1">
        <v>1005070</v>
      </c>
      <c r="B1718" s="2" t="s">
        <v>1478</v>
      </c>
      <c r="C1718" s="9">
        <v>30</v>
      </c>
    </row>
    <row r="1719" spans="1:3" x14ac:dyDescent="0.3">
      <c r="A1719" s="1">
        <v>1001793</v>
      </c>
      <c r="B1719" s="2" t="s">
        <v>840</v>
      </c>
      <c r="C1719" s="9">
        <v>300</v>
      </c>
    </row>
    <row r="1720" spans="1:3" x14ac:dyDescent="0.3">
      <c r="A1720" s="1">
        <v>1000094</v>
      </c>
      <c r="B1720" s="2" t="s">
        <v>52</v>
      </c>
      <c r="C1720" s="9">
        <v>35</v>
      </c>
    </row>
    <row r="1721" spans="1:3" x14ac:dyDescent="0.3">
      <c r="A1721" s="1">
        <v>1002324</v>
      </c>
      <c r="B1721" s="2" t="s">
        <v>1116</v>
      </c>
      <c r="C1721" s="9">
        <v>45</v>
      </c>
    </row>
    <row r="1722" spans="1:3" x14ac:dyDescent="0.3">
      <c r="A1722" s="1">
        <v>1012144</v>
      </c>
      <c r="B1722" s="3" t="s">
        <v>1922</v>
      </c>
      <c r="C1722" s="9">
        <v>26603.1</v>
      </c>
    </row>
    <row r="1723" spans="1:3" x14ac:dyDescent="0.3">
      <c r="A1723" s="1">
        <v>1001301</v>
      </c>
      <c r="B1723" s="2" t="s">
        <v>630</v>
      </c>
      <c r="C1723" s="9">
        <v>1350</v>
      </c>
    </row>
    <row r="1724" spans="1:3" x14ac:dyDescent="0.3">
      <c r="A1724" s="1">
        <v>1002119</v>
      </c>
      <c r="B1724" s="2" t="s">
        <v>1005</v>
      </c>
      <c r="C1724" s="9">
        <v>16000</v>
      </c>
    </row>
    <row r="1725" spans="1:3" x14ac:dyDescent="0.3">
      <c r="A1725" s="1">
        <v>1002125</v>
      </c>
      <c r="B1725" s="7" t="s">
        <v>1010</v>
      </c>
      <c r="C1725" s="9">
        <v>55000</v>
      </c>
    </row>
    <row r="1726" spans="1:3" x14ac:dyDescent="0.3">
      <c r="A1726" s="1">
        <v>1002339</v>
      </c>
      <c r="B1726" s="7" t="s">
        <v>1128</v>
      </c>
      <c r="C1726" s="9">
        <v>23.5</v>
      </c>
    </row>
    <row r="1727" spans="1:3" x14ac:dyDescent="0.3">
      <c r="A1727" s="1">
        <v>1012143</v>
      </c>
      <c r="B1727" s="2" t="s">
        <v>1921</v>
      </c>
      <c r="C1727" s="9">
        <v>16638</v>
      </c>
    </row>
    <row r="1728" spans="1:3" x14ac:dyDescent="0.3">
      <c r="A1728" s="1">
        <v>1009926</v>
      </c>
      <c r="B1728" s="2" t="s">
        <v>1748</v>
      </c>
      <c r="C1728" s="9">
        <v>2971.7356068693434</v>
      </c>
    </row>
    <row r="1729" spans="1:3" x14ac:dyDescent="0.3">
      <c r="A1729" s="1">
        <v>1000000</v>
      </c>
      <c r="B1729" s="2" t="s">
        <v>3</v>
      </c>
      <c r="C1729" s="9">
        <v>26.390373289091663</v>
      </c>
    </row>
    <row r="1730" spans="1:3" x14ac:dyDescent="0.3">
      <c r="A1730" s="1">
        <v>1000004</v>
      </c>
      <c r="B1730" s="2" t="s">
        <v>6</v>
      </c>
      <c r="C1730" s="9">
        <v>438.48427524752475</v>
      </c>
    </row>
    <row r="1731" spans="1:3" x14ac:dyDescent="0.3">
      <c r="A1731" s="1">
        <v>1000005</v>
      </c>
      <c r="B1731" s="2" t="s">
        <v>7</v>
      </c>
      <c r="C1731" s="9">
        <v>391.11160573808422</v>
      </c>
    </row>
    <row r="1732" spans="1:3" x14ac:dyDescent="0.3">
      <c r="A1732" s="1">
        <v>1000007</v>
      </c>
      <c r="B1732" s="2" t="s">
        <v>8</v>
      </c>
      <c r="C1732" s="9">
        <v>910.823475177305</v>
      </c>
    </row>
    <row r="1733" spans="1:3" x14ac:dyDescent="0.3">
      <c r="A1733" s="1">
        <v>1000010</v>
      </c>
      <c r="B1733" s="2" t="s">
        <v>10</v>
      </c>
      <c r="C1733" s="9">
        <v>583.28</v>
      </c>
    </row>
    <row r="1734" spans="1:3" x14ac:dyDescent="0.3">
      <c r="A1734" s="1">
        <v>1000017</v>
      </c>
      <c r="B1734" s="2" t="s">
        <v>14</v>
      </c>
      <c r="C1734" s="9">
        <v>19.178837209302323</v>
      </c>
    </row>
    <row r="1735" spans="1:3" x14ac:dyDescent="0.3">
      <c r="A1735" s="1">
        <v>1000018</v>
      </c>
      <c r="B1735" s="2" t="s">
        <v>15</v>
      </c>
      <c r="C1735" s="9">
        <v>795.63949824970837</v>
      </c>
    </row>
    <row r="1736" spans="1:3" x14ac:dyDescent="0.3">
      <c r="A1736" s="1">
        <v>1000020</v>
      </c>
      <c r="B1736" s="2" t="s">
        <v>17</v>
      </c>
      <c r="C1736" s="9">
        <v>28</v>
      </c>
    </row>
    <row r="1737" spans="1:3" x14ac:dyDescent="0.3">
      <c r="A1737" s="1">
        <v>1000023</v>
      </c>
      <c r="B1737" s="2" t="s">
        <v>18</v>
      </c>
      <c r="C1737" s="9">
        <v>7481.3243999999995</v>
      </c>
    </row>
    <row r="1738" spans="1:3" x14ac:dyDescent="0.3">
      <c r="A1738" s="1">
        <v>1000026</v>
      </c>
      <c r="B1738" s="2" t="s">
        <v>19</v>
      </c>
      <c r="C1738" s="9">
        <v>2431.25</v>
      </c>
    </row>
    <row r="1739" spans="1:3" x14ac:dyDescent="0.3">
      <c r="A1739" s="1">
        <v>1000027</v>
      </c>
      <c r="B1739" s="2" t="s">
        <v>20</v>
      </c>
      <c r="C1739" s="9">
        <v>1914.6761111111109</v>
      </c>
    </row>
    <row r="1740" spans="1:3" x14ac:dyDescent="0.3">
      <c r="A1740" s="1">
        <v>1000038</v>
      </c>
      <c r="B1740" s="2" t="s">
        <v>28</v>
      </c>
      <c r="C1740" s="9">
        <v>40.36</v>
      </c>
    </row>
    <row r="1741" spans="1:3" x14ac:dyDescent="0.3">
      <c r="A1741" s="1">
        <v>1000039</v>
      </c>
      <c r="B1741" s="2" t="s">
        <v>29</v>
      </c>
      <c r="C1741" s="9">
        <v>0</v>
      </c>
    </row>
    <row r="1742" spans="1:3" x14ac:dyDescent="0.3">
      <c r="A1742" s="1">
        <v>1000040</v>
      </c>
      <c r="B1742" s="2" t="s">
        <v>30</v>
      </c>
      <c r="C1742" s="9">
        <v>26.2</v>
      </c>
    </row>
    <row r="1743" spans="1:3" x14ac:dyDescent="0.3">
      <c r="A1743" s="1">
        <v>1000043</v>
      </c>
      <c r="B1743" s="2" t="s">
        <v>33</v>
      </c>
      <c r="C1743" s="9">
        <v>156.05000000000001</v>
      </c>
    </row>
    <row r="1744" spans="1:3" x14ac:dyDescent="0.3">
      <c r="A1744" s="1">
        <v>1000044</v>
      </c>
      <c r="B1744" s="2" t="s">
        <v>34</v>
      </c>
      <c r="C1744" s="9">
        <v>240.72</v>
      </c>
    </row>
    <row r="1745" spans="1:3" x14ac:dyDescent="0.3">
      <c r="A1745" s="1">
        <v>1000046</v>
      </c>
      <c r="B1745" s="2" t="s">
        <v>35</v>
      </c>
      <c r="C1745" s="9">
        <v>220.54</v>
      </c>
    </row>
    <row r="1746" spans="1:3" x14ac:dyDescent="0.3">
      <c r="A1746" s="1">
        <v>1000049</v>
      </c>
      <c r="B1746" s="2" t="s">
        <v>37</v>
      </c>
      <c r="C1746" s="9">
        <v>370.59189632545935</v>
      </c>
    </row>
    <row r="1747" spans="1:3" x14ac:dyDescent="0.3">
      <c r="A1747" s="1">
        <v>1000050</v>
      </c>
      <c r="B1747" s="2" t="s">
        <v>38</v>
      </c>
      <c r="C1747" s="9">
        <v>32.81</v>
      </c>
    </row>
    <row r="1748" spans="1:3" x14ac:dyDescent="0.3">
      <c r="A1748" s="1">
        <v>1000063</v>
      </c>
      <c r="B1748" s="2" t="s">
        <v>42</v>
      </c>
      <c r="C1748" s="9">
        <v>1622.5</v>
      </c>
    </row>
    <row r="1749" spans="1:3" x14ac:dyDescent="0.3">
      <c r="A1749" s="1">
        <v>1000085</v>
      </c>
      <c r="B1749" s="2" t="s">
        <v>47</v>
      </c>
      <c r="C1749" s="9">
        <v>0</v>
      </c>
    </row>
    <row r="1750" spans="1:3" x14ac:dyDescent="0.3">
      <c r="A1750" s="1">
        <v>1000086</v>
      </c>
      <c r="B1750" s="2" t="s">
        <v>48</v>
      </c>
      <c r="C1750" s="9">
        <v>386.92874999999998</v>
      </c>
    </row>
    <row r="1751" spans="1:3" x14ac:dyDescent="0.3">
      <c r="A1751" s="1">
        <v>1000096</v>
      </c>
      <c r="B1751" s="2" t="s">
        <v>54</v>
      </c>
      <c r="C1751" s="9">
        <v>1250.93</v>
      </c>
    </row>
    <row r="1752" spans="1:3" x14ac:dyDescent="0.3">
      <c r="A1752" s="1">
        <v>1000097</v>
      </c>
      <c r="B1752" s="2" t="s">
        <v>55</v>
      </c>
      <c r="C1752" s="9">
        <v>938.74714285714276</v>
      </c>
    </row>
    <row r="1753" spans="1:3" x14ac:dyDescent="0.3">
      <c r="A1753" s="1">
        <v>1000098</v>
      </c>
      <c r="B1753" s="2" t="s">
        <v>56</v>
      </c>
      <c r="C1753" s="9">
        <v>1181.5567800000001</v>
      </c>
    </row>
    <row r="1754" spans="1:3" x14ac:dyDescent="0.3">
      <c r="A1754" s="1">
        <v>1000129</v>
      </c>
      <c r="B1754" s="2" t="s">
        <v>69</v>
      </c>
      <c r="C1754" s="9">
        <v>52.483291548359816</v>
      </c>
    </row>
    <row r="1755" spans="1:3" x14ac:dyDescent="0.3">
      <c r="A1755" s="1">
        <v>1000130</v>
      </c>
      <c r="B1755" s="2" t="s">
        <v>70</v>
      </c>
      <c r="C1755" s="9">
        <v>66.902282260931401</v>
      </c>
    </row>
    <row r="1756" spans="1:3" x14ac:dyDescent="0.3">
      <c r="A1756" s="1">
        <v>1000141</v>
      </c>
      <c r="B1756" s="2" t="s">
        <v>76</v>
      </c>
      <c r="C1756" s="9">
        <v>29.299333333333333</v>
      </c>
    </row>
    <row r="1757" spans="1:3" x14ac:dyDescent="0.3">
      <c r="A1757" s="1">
        <v>1000145</v>
      </c>
      <c r="B1757" s="2" t="s">
        <v>80</v>
      </c>
      <c r="C1757" s="9">
        <v>177.66000000000003</v>
      </c>
    </row>
    <row r="1758" spans="1:3" x14ac:dyDescent="0.3">
      <c r="A1758" s="1">
        <v>1000150</v>
      </c>
      <c r="B1758" s="2" t="s">
        <v>82</v>
      </c>
      <c r="C1758" s="9">
        <v>170.49877729257642</v>
      </c>
    </row>
    <row r="1759" spans="1:3" x14ac:dyDescent="0.3">
      <c r="A1759" s="1">
        <v>1000160</v>
      </c>
      <c r="B1759" s="2" t="s">
        <v>85</v>
      </c>
      <c r="C1759" s="9">
        <v>146.02000000000001</v>
      </c>
    </row>
    <row r="1760" spans="1:3" x14ac:dyDescent="0.3">
      <c r="A1760" s="1">
        <v>1000161</v>
      </c>
      <c r="B1760" s="2" t="s">
        <v>86</v>
      </c>
      <c r="C1760" s="9">
        <v>352.08499999999998</v>
      </c>
    </row>
    <row r="1761" spans="1:3" x14ac:dyDescent="0.3">
      <c r="A1761" s="1">
        <v>1000163</v>
      </c>
      <c r="B1761" s="2" t="s">
        <v>87</v>
      </c>
      <c r="C1761" s="9">
        <v>38.694401812397572</v>
      </c>
    </row>
    <row r="1762" spans="1:3" x14ac:dyDescent="0.3">
      <c r="A1762" s="1">
        <v>1000164</v>
      </c>
      <c r="B1762" s="2" t="s">
        <v>88</v>
      </c>
      <c r="C1762" s="9">
        <v>82.860055429005314</v>
      </c>
    </row>
    <row r="1763" spans="1:3" x14ac:dyDescent="0.3">
      <c r="A1763" s="1">
        <v>1000165</v>
      </c>
      <c r="B1763" s="2" t="s">
        <v>89</v>
      </c>
      <c r="C1763" s="9">
        <v>122.75028738555443</v>
      </c>
    </row>
    <row r="1764" spans="1:3" x14ac:dyDescent="0.3">
      <c r="A1764" s="1">
        <v>1000200</v>
      </c>
      <c r="B1764" s="2" t="s">
        <v>100</v>
      </c>
      <c r="C1764" s="9">
        <v>15169.934605263159</v>
      </c>
    </row>
    <row r="1765" spans="1:3" x14ac:dyDescent="0.3">
      <c r="A1765" s="1">
        <v>1000239</v>
      </c>
      <c r="B1765" s="2" t="s">
        <v>131</v>
      </c>
      <c r="C1765" s="9">
        <v>481.4</v>
      </c>
    </row>
    <row r="1766" spans="1:3" x14ac:dyDescent="0.3">
      <c r="A1766" s="1">
        <v>1000267</v>
      </c>
      <c r="B1766" s="2" t="s">
        <v>152</v>
      </c>
      <c r="C1766" s="9">
        <v>459.91804878048777</v>
      </c>
    </row>
    <row r="1767" spans="1:3" x14ac:dyDescent="0.3">
      <c r="A1767" s="1">
        <v>1000271</v>
      </c>
      <c r="B1767" s="2" t="s">
        <v>154</v>
      </c>
      <c r="C1767" s="9">
        <v>1026.6000000000001</v>
      </c>
    </row>
    <row r="1768" spans="1:3" x14ac:dyDescent="0.3">
      <c r="A1768" s="1">
        <v>1000277</v>
      </c>
      <c r="B1768" s="2" t="s">
        <v>159</v>
      </c>
      <c r="C1768" s="9">
        <v>1711.8000000000002</v>
      </c>
    </row>
    <row r="1769" spans="1:3" x14ac:dyDescent="0.3">
      <c r="A1769" s="1">
        <v>1000295</v>
      </c>
      <c r="B1769" s="2" t="s">
        <v>170</v>
      </c>
      <c r="C1769" s="9">
        <v>14857.307500000001</v>
      </c>
    </row>
    <row r="1770" spans="1:3" x14ac:dyDescent="0.3">
      <c r="A1770" s="1">
        <v>1000300</v>
      </c>
      <c r="B1770" s="2" t="s">
        <v>174</v>
      </c>
      <c r="C1770" s="9">
        <v>649</v>
      </c>
    </row>
    <row r="1771" spans="1:3" x14ac:dyDescent="0.3">
      <c r="A1771" s="1">
        <v>1000326</v>
      </c>
      <c r="B1771" s="2" t="s">
        <v>187</v>
      </c>
      <c r="C1771" s="9">
        <v>1587.19</v>
      </c>
    </row>
    <row r="1772" spans="1:3" x14ac:dyDescent="0.3">
      <c r="A1772" s="1">
        <v>1000328</v>
      </c>
      <c r="B1772" s="2" t="s">
        <v>188</v>
      </c>
      <c r="C1772" s="9">
        <v>1254.1500000000001</v>
      </c>
    </row>
    <row r="1773" spans="1:3" x14ac:dyDescent="0.3">
      <c r="A1773" s="1">
        <v>1000334</v>
      </c>
      <c r="B1773" s="2" t="s">
        <v>192</v>
      </c>
      <c r="C1773" s="9">
        <v>30.022405821917808</v>
      </c>
    </row>
    <row r="1774" spans="1:3" x14ac:dyDescent="0.3">
      <c r="A1774" s="1">
        <v>1000335</v>
      </c>
      <c r="B1774" s="2" t="s">
        <v>193</v>
      </c>
      <c r="C1774" s="9">
        <v>796.5</v>
      </c>
    </row>
    <row r="1775" spans="1:3" x14ac:dyDescent="0.3">
      <c r="A1775" s="1">
        <v>1000343</v>
      </c>
      <c r="B1775" s="2" t="s">
        <v>196</v>
      </c>
      <c r="C1775" s="9">
        <v>1345.6</v>
      </c>
    </row>
    <row r="1776" spans="1:3" x14ac:dyDescent="0.3">
      <c r="A1776" s="1">
        <v>1000347</v>
      </c>
      <c r="B1776" s="2" t="s">
        <v>198</v>
      </c>
      <c r="C1776" s="9">
        <v>2850.7501834862387</v>
      </c>
    </row>
    <row r="1777" spans="1:3" x14ac:dyDescent="0.3">
      <c r="A1777" s="1">
        <v>1000349</v>
      </c>
      <c r="B1777" s="2" t="s">
        <v>199</v>
      </c>
      <c r="C1777" s="9">
        <v>2950</v>
      </c>
    </row>
    <row r="1778" spans="1:3" x14ac:dyDescent="0.3">
      <c r="A1778" s="1">
        <v>1000382</v>
      </c>
      <c r="B1778" s="2" t="s">
        <v>222</v>
      </c>
      <c r="C1778" s="9">
        <v>1615.4297627118644</v>
      </c>
    </row>
    <row r="1779" spans="1:3" x14ac:dyDescent="0.3">
      <c r="A1779" s="1">
        <v>1000388</v>
      </c>
      <c r="B1779" s="2" t="s">
        <v>224</v>
      </c>
      <c r="C1779" s="9">
        <v>5741.1529629629631</v>
      </c>
    </row>
    <row r="1780" spans="1:3" x14ac:dyDescent="0.3">
      <c r="A1780" s="1">
        <v>1000408</v>
      </c>
      <c r="B1780" s="2" t="s">
        <v>241</v>
      </c>
      <c r="C1780" s="9">
        <v>1239.4785093167702</v>
      </c>
    </row>
    <row r="1781" spans="1:3" x14ac:dyDescent="0.3">
      <c r="A1781" s="1">
        <v>1000409</v>
      </c>
      <c r="B1781" s="2" t="s">
        <v>242</v>
      </c>
      <c r="C1781" s="9">
        <v>190.37428888888888</v>
      </c>
    </row>
    <row r="1782" spans="1:3" x14ac:dyDescent="0.3">
      <c r="A1782" s="1">
        <v>1000410</v>
      </c>
      <c r="B1782" s="2" t="s">
        <v>243</v>
      </c>
      <c r="C1782" s="9">
        <v>206.13419138755978</v>
      </c>
    </row>
    <row r="1783" spans="1:3" x14ac:dyDescent="0.3">
      <c r="A1783" s="1">
        <v>1000411</v>
      </c>
      <c r="B1783" s="2" t="s">
        <v>244</v>
      </c>
      <c r="C1783" s="9">
        <v>372.62040423484115</v>
      </c>
    </row>
    <row r="1784" spans="1:3" x14ac:dyDescent="0.3">
      <c r="A1784" s="1">
        <v>1000413</v>
      </c>
      <c r="B1784" s="2" t="s">
        <v>246</v>
      </c>
      <c r="C1784" s="9">
        <v>1225.6980801491147</v>
      </c>
    </row>
    <row r="1785" spans="1:3" x14ac:dyDescent="0.3">
      <c r="A1785" s="1">
        <v>1000429</v>
      </c>
      <c r="B1785" s="2" t="s">
        <v>253</v>
      </c>
      <c r="C1785" s="9">
        <v>23148.524736842104</v>
      </c>
    </row>
    <row r="1786" spans="1:3" x14ac:dyDescent="0.3">
      <c r="A1786" s="1">
        <v>1000430</v>
      </c>
      <c r="B1786" s="2" t="s">
        <v>254</v>
      </c>
      <c r="C1786" s="9">
        <v>7670</v>
      </c>
    </row>
    <row r="1787" spans="1:3" x14ac:dyDescent="0.3">
      <c r="A1787" s="1">
        <v>1000432</v>
      </c>
      <c r="B1787" s="2" t="s">
        <v>255</v>
      </c>
      <c r="C1787" s="9">
        <v>3365.989829749104</v>
      </c>
    </row>
    <row r="1788" spans="1:3" x14ac:dyDescent="0.3">
      <c r="A1788" s="1">
        <v>1000436</v>
      </c>
      <c r="B1788" s="2" t="s">
        <v>258</v>
      </c>
      <c r="C1788" s="9">
        <v>24780</v>
      </c>
    </row>
    <row r="1789" spans="1:3" x14ac:dyDescent="0.3">
      <c r="A1789" s="1">
        <v>1000439</v>
      </c>
      <c r="B1789" s="2" t="s">
        <v>261</v>
      </c>
      <c r="C1789" s="9">
        <v>50863.012499999997</v>
      </c>
    </row>
    <row r="1790" spans="1:3" x14ac:dyDescent="0.3">
      <c r="A1790" s="1">
        <v>1000440</v>
      </c>
      <c r="B1790" s="2" t="s">
        <v>262</v>
      </c>
      <c r="C1790" s="9">
        <v>37462.133333333331</v>
      </c>
    </row>
    <row r="1791" spans="1:3" x14ac:dyDescent="0.3">
      <c r="A1791" s="1">
        <v>1000443</v>
      </c>
      <c r="B1791" s="2" t="s">
        <v>263</v>
      </c>
      <c r="C1791" s="9">
        <v>24271.133076923077</v>
      </c>
    </row>
    <row r="1792" spans="1:3" x14ac:dyDescent="0.3">
      <c r="A1792" s="1">
        <v>1000444</v>
      </c>
      <c r="B1792" s="2" t="s">
        <v>264</v>
      </c>
      <c r="C1792" s="9">
        <v>15930</v>
      </c>
    </row>
    <row r="1793" spans="1:3" x14ac:dyDescent="0.3">
      <c r="A1793" s="1">
        <v>1000447</v>
      </c>
      <c r="B1793" s="2" t="s">
        <v>266</v>
      </c>
      <c r="C1793" s="9">
        <v>82.600000000000009</v>
      </c>
    </row>
    <row r="1794" spans="1:3" x14ac:dyDescent="0.3">
      <c r="A1794" s="1">
        <v>1000465</v>
      </c>
      <c r="B1794" s="2" t="s">
        <v>273</v>
      </c>
      <c r="C1794" s="9">
        <v>2842.8178260869563</v>
      </c>
    </row>
    <row r="1795" spans="1:3" x14ac:dyDescent="0.3">
      <c r="A1795" s="1">
        <v>1000470</v>
      </c>
      <c r="B1795" s="2" t="s">
        <v>275</v>
      </c>
      <c r="C1795" s="9">
        <v>2419</v>
      </c>
    </row>
    <row r="1796" spans="1:3" x14ac:dyDescent="0.3">
      <c r="A1796" s="1">
        <v>1000486</v>
      </c>
      <c r="B1796" s="2" t="s">
        <v>281</v>
      </c>
      <c r="C1796" s="9">
        <v>588.21833333333336</v>
      </c>
    </row>
    <row r="1797" spans="1:3" x14ac:dyDescent="0.3">
      <c r="A1797" s="1">
        <v>1000488</v>
      </c>
      <c r="B1797" s="2" t="s">
        <v>283</v>
      </c>
      <c r="C1797" s="9">
        <v>47.160000000000004</v>
      </c>
    </row>
    <row r="1798" spans="1:3" x14ac:dyDescent="0.3">
      <c r="A1798" s="1">
        <v>1000490</v>
      </c>
      <c r="B1798" s="2" t="s">
        <v>285</v>
      </c>
      <c r="C1798" s="9">
        <v>103.99458936324169</v>
      </c>
    </row>
    <row r="1799" spans="1:3" x14ac:dyDescent="0.3">
      <c r="A1799" s="1">
        <v>1000491</v>
      </c>
      <c r="B1799" s="2" t="s">
        <v>286</v>
      </c>
      <c r="C1799" s="9">
        <v>74.429502992021284</v>
      </c>
    </row>
    <row r="1800" spans="1:3" x14ac:dyDescent="0.3">
      <c r="A1800" s="1">
        <v>1000495</v>
      </c>
      <c r="B1800" s="2" t="s">
        <v>288</v>
      </c>
      <c r="C1800" s="9">
        <v>0</v>
      </c>
    </row>
    <row r="1801" spans="1:3" x14ac:dyDescent="0.3">
      <c r="A1801" s="1">
        <v>1000499</v>
      </c>
      <c r="B1801" s="2" t="s">
        <v>289</v>
      </c>
      <c r="C1801" s="9">
        <v>0</v>
      </c>
    </row>
    <row r="1802" spans="1:3" x14ac:dyDescent="0.3">
      <c r="A1802" s="1">
        <v>1000503</v>
      </c>
      <c r="B1802" s="2" t="s">
        <v>293</v>
      </c>
      <c r="C1802" s="9">
        <v>1274.3999999999999</v>
      </c>
    </row>
    <row r="1803" spans="1:3" x14ac:dyDescent="0.3">
      <c r="A1803" s="1">
        <v>1000508</v>
      </c>
      <c r="B1803" s="2" t="s">
        <v>296</v>
      </c>
      <c r="C1803" s="9">
        <v>660.80612958519032</v>
      </c>
    </row>
    <row r="1804" spans="1:3" x14ac:dyDescent="0.3">
      <c r="A1804" s="1">
        <v>1000509</v>
      </c>
      <c r="B1804" s="2" t="s">
        <v>297</v>
      </c>
      <c r="C1804" s="9">
        <v>650</v>
      </c>
    </row>
    <row r="1805" spans="1:3" x14ac:dyDescent="0.3">
      <c r="A1805" s="1">
        <v>1000513</v>
      </c>
      <c r="B1805" s="2" t="s">
        <v>301</v>
      </c>
      <c r="C1805" s="9">
        <v>1890</v>
      </c>
    </row>
    <row r="1806" spans="1:3" x14ac:dyDescent="0.3">
      <c r="A1806" s="1">
        <v>1000518</v>
      </c>
      <c r="B1806" s="2" t="s">
        <v>304</v>
      </c>
      <c r="C1806" s="9">
        <v>224</v>
      </c>
    </row>
    <row r="1807" spans="1:3" x14ac:dyDescent="0.3">
      <c r="A1807" s="1">
        <v>1000533</v>
      </c>
      <c r="B1807" s="2" t="s">
        <v>309</v>
      </c>
      <c r="C1807" s="9">
        <v>2950</v>
      </c>
    </row>
    <row r="1808" spans="1:3" x14ac:dyDescent="0.3">
      <c r="A1808" s="1">
        <v>1000534</v>
      </c>
      <c r="B1808" s="2" t="s">
        <v>310</v>
      </c>
      <c r="C1808" s="9">
        <v>2904.38375</v>
      </c>
    </row>
    <row r="1809" spans="1:3" x14ac:dyDescent="0.3">
      <c r="A1809" s="1">
        <v>1000537</v>
      </c>
      <c r="B1809" s="2" t="s">
        <v>311</v>
      </c>
      <c r="C1809" s="9">
        <v>2913.3758666666668</v>
      </c>
    </row>
    <row r="1810" spans="1:3" x14ac:dyDescent="0.3">
      <c r="A1810" s="1">
        <v>1000539</v>
      </c>
      <c r="B1810" s="2" t="s">
        <v>312</v>
      </c>
      <c r="C1810" s="9">
        <v>5354.2078899082571</v>
      </c>
    </row>
    <row r="1811" spans="1:3" x14ac:dyDescent="0.3">
      <c r="A1811" s="1">
        <v>1000542</v>
      </c>
      <c r="B1811" s="2" t="s">
        <v>313</v>
      </c>
      <c r="C1811" s="9">
        <v>1071.21</v>
      </c>
    </row>
    <row r="1812" spans="1:3" x14ac:dyDescent="0.3">
      <c r="A1812" s="1">
        <v>1000545</v>
      </c>
      <c r="B1812" s="2" t="s">
        <v>315</v>
      </c>
      <c r="C1812" s="9">
        <v>399.68384856943476</v>
      </c>
    </row>
    <row r="1813" spans="1:3" x14ac:dyDescent="0.3">
      <c r="A1813" s="1">
        <v>1000553</v>
      </c>
      <c r="B1813" s="2" t="s">
        <v>317</v>
      </c>
      <c r="C1813" s="9">
        <v>50307.94933333333</v>
      </c>
    </row>
    <row r="1814" spans="1:3" x14ac:dyDescent="0.3">
      <c r="A1814" s="1">
        <v>1000554</v>
      </c>
      <c r="B1814" s="2" t="s">
        <v>318</v>
      </c>
      <c r="C1814" s="9">
        <v>32109.629999999997</v>
      </c>
    </row>
    <row r="1815" spans="1:3" x14ac:dyDescent="0.3">
      <c r="A1815" s="1">
        <v>1000555</v>
      </c>
      <c r="B1815" s="2" t="s">
        <v>319</v>
      </c>
      <c r="C1815" s="9">
        <v>19775.629946808509</v>
      </c>
    </row>
    <row r="1816" spans="1:3" x14ac:dyDescent="0.3">
      <c r="A1816" s="1">
        <v>1000568</v>
      </c>
      <c r="B1816" s="2" t="s">
        <v>321</v>
      </c>
      <c r="C1816" s="9">
        <v>16225</v>
      </c>
    </row>
    <row r="1817" spans="1:3" x14ac:dyDescent="0.3">
      <c r="A1817" s="1">
        <v>1000572</v>
      </c>
      <c r="B1817" s="2" t="s">
        <v>322</v>
      </c>
      <c r="C1817" s="9">
        <v>0</v>
      </c>
    </row>
    <row r="1818" spans="1:3" x14ac:dyDescent="0.3">
      <c r="A1818" s="1">
        <v>1000574</v>
      </c>
      <c r="B1818" s="2" t="s">
        <v>324</v>
      </c>
      <c r="C1818" s="9">
        <v>0</v>
      </c>
    </row>
    <row r="1819" spans="1:3" x14ac:dyDescent="0.3">
      <c r="A1819" s="1">
        <v>1000578</v>
      </c>
      <c r="B1819" s="2" t="s">
        <v>325</v>
      </c>
      <c r="C1819" s="9">
        <v>2.9904883018540729</v>
      </c>
    </row>
    <row r="1820" spans="1:3" x14ac:dyDescent="0.3">
      <c r="A1820" s="1">
        <v>1000579</v>
      </c>
      <c r="B1820" s="2" t="s">
        <v>326</v>
      </c>
      <c r="C1820" s="9">
        <v>4.63</v>
      </c>
    </row>
    <row r="1821" spans="1:3" x14ac:dyDescent="0.3">
      <c r="A1821" s="1">
        <v>1000585</v>
      </c>
      <c r="B1821" s="2" t="s">
        <v>328</v>
      </c>
      <c r="C1821" s="9">
        <v>965.02951140065136</v>
      </c>
    </row>
    <row r="1822" spans="1:3" x14ac:dyDescent="0.3">
      <c r="A1822" s="1">
        <v>1000586</v>
      </c>
      <c r="B1822" s="2" t="s">
        <v>329</v>
      </c>
      <c r="C1822" s="9">
        <v>234.9</v>
      </c>
    </row>
    <row r="1823" spans="1:3" x14ac:dyDescent="0.3">
      <c r="A1823" s="1">
        <v>1000587</v>
      </c>
      <c r="B1823" s="2" t="s">
        <v>330</v>
      </c>
      <c r="C1823" s="9">
        <v>49.391002506265657</v>
      </c>
    </row>
    <row r="1824" spans="1:3" x14ac:dyDescent="0.3">
      <c r="A1824" s="1">
        <v>1000602</v>
      </c>
      <c r="B1824" s="2" t="s">
        <v>333</v>
      </c>
      <c r="C1824" s="9">
        <v>4370.28</v>
      </c>
    </row>
    <row r="1825" spans="1:3" x14ac:dyDescent="0.3">
      <c r="A1825" s="1">
        <v>1000610</v>
      </c>
      <c r="B1825" s="2" t="s">
        <v>335</v>
      </c>
      <c r="C1825" s="9">
        <v>1878.15</v>
      </c>
    </row>
    <row r="1826" spans="1:3" x14ac:dyDescent="0.3">
      <c r="A1826" s="1">
        <v>1000613</v>
      </c>
      <c r="B1826" s="2" t="s">
        <v>336</v>
      </c>
      <c r="C1826" s="9">
        <v>6131.9571428571435</v>
      </c>
    </row>
    <row r="1827" spans="1:3" x14ac:dyDescent="0.3">
      <c r="A1827" s="1">
        <v>1000614</v>
      </c>
      <c r="B1827" s="2" t="s">
        <v>337</v>
      </c>
      <c r="C1827" s="9">
        <v>6398.79</v>
      </c>
    </row>
    <row r="1828" spans="1:3" x14ac:dyDescent="0.3">
      <c r="A1828" s="1">
        <v>1000639</v>
      </c>
      <c r="B1828" s="2" t="s">
        <v>346</v>
      </c>
      <c r="C1828" s="9">
        <v>0</v>
      </c>
    </row>
    <row r="1829" spans="1:3" x14ac:dyDescent="0.3">
      <c r="A1829" s="1">
        <v>1000640</v>
      </c>
      <c r="B1829" s="2" t="s">
        <v>347</v>
      </c>
      <c r="C1829" s="9">
        <v>0</v>
      </c>
    </row>
    <row r="1830" spans="1:3" x14ac:dyDescent="0.3">
      <c r="A1830" s="1">
        <v>1000648</v>
      </c>
      <c r="B1830" s="2" t="s">
        <v>350</v>
      </c>
      <c r="C1830" s="9">
        <v>16.659115044247788</v>
      </c>
    </row>
    <row r="1831" spans="1:3" x14ac:dyDescent="0.3">
      <c r="A1831" s="1">
        <v>1000649</v>
      </c>
      <c r="B1831" s="2" t="s">
        <v>351</v>
      </c>
      <c r="C1831" s="9">
        <v>0</v>
      </c>
    </row>
    <row r="1832" spans="1:3" x14ac:dyDescent="0.3">
      <c r="A1832" s="1">
        <v>1000650</v>
      </c>
      <c r="B1832" s="2" t="s">
        <v>352</v>
      </c>
      <c r="C1832" s="9">
        <v>0</v>
      </c>
    </row>
    <row r="1833" spans="1:3" x14ac:dyDescent="0.3">
      <c r="A1833" s="1">
        <v>1000655</v>
      </c>
      <c r="B1833" s="2" t="s">
        <v>355</v>
      </c>
      <c r="C1833" s="9">
        <v>5778.1511764705883</v>
      </c>
    </row>
    <row r="1834" spans="1:3" x14ac:dyDescent="0.3">
      <c r="A1834" s="1">
        <v>1000658</v>
      </c>
      <c r="B1834" s="2" t="s">
        <v>357</v>
      </c>
      <c r="C1834" s="9">
        <v>3630.13</v>
      </c>
    </row>
    <row r="1835" spans="1:3" x14ac:dyDescent="0.3">
      <c r="A1835" s="1">
        <v>1000670</v>
      </c>
      <c r="B1835" s="2" t="s">
        <v>363</v>
      </c>
      <c r="C1835" s="9">
        <v>212.4</v>
      </c>
    </row>
    <row r="1836" spans="1:3" x14ac:dyDescent="0.3">
      <c r="A1836" s="1">
        <v>1000671</v>
      </c>
      <c r="B1836" s="2" t="s">
        <v>364</v>
      </c>
      <c r="C1836" s="9">
        <v>88.479308922124815</v>
      </c>
    </row>
    <row r="1837" spans="1:3" x14ac:dyDescent="0.3">
      <c r="A1837" s="1">
        <v>1000672</v>
      </c>
      <c r="B1837" s="2" t="s">
        <v>365</v>
      </c>
      <c r="C1837" s="9">
        <v>88.5</v>
      </c>
    </row>
    <row r="1838" spans="1:3" x14ac:dyDescent="0.3">
      <c r="A1838" s="1">
        <v>1000673</v>
      </c>
      <c r="B1838" s="2" t="s">
        <v>366</v>
      </c>
      <c r="C1838" s="9">
        <v>769.49322033898295</v>
      </c>
    </row>
    <row r="1839" spans="1:3" x14ac:dyDescent="0.3">
      <c r="A1839" s="1">
        <v>1000674</v>
      </c>
      <c r="B1839" s="2" t="s">
        <v>367</v>
      </c>
      <c r="C1839" s="9">
        <v>88.5</v>
      </c>
    </row>
    <row r="1840" spans="1:3" x14ac:dyDescent="0.3">
      <c r="A1840" s="1">
        <v>1000675</v>
      </c>
      <c r="B1840" s="2" t="s">
        <v>368</v>
      </c>
      <c r="C1840" s="9">
        <v>88.5</v>
      </c>
    </row>
    <row r="1841" spans="1:3" x14ac:dyDescent="0.3">
      <c r="A1841" s="1">
        <v>1000676</v>
      </c>
      <c r="B1841" s="2" t="s">
        <v>369</v>
      </c>
      <c r="C1841" s="9">
        <v>764.6669633507853</v>
      </c>
    </row>
    <row r="1842" spans="1:3" x14ac:dyDescent="0.3">
      <c r="A1842" s="1">
        <v>1000677</v>
      </c>
      <c r="B1842" s="2" t="s">
        <v>370</v>
      </c>
      <c r="C1842" s="9">
        <v>106.22969696969697</v>
      </c>
    </row>
    <row r="1843" spans="1:3" x14ac:dyDescent="0.3">
      <c r="A1843" s="1">
        <v>1000678</v>
      </c>
      <c r="B1843" s="2" t="s">
        <v>371</v>
      </c>
      <c r="C1843" s="9">
        <v>108</v>
      </c>
    </row>
    <row r="1844" spans="1:3" x14ac:dyDescent="0.3">
      <c r="A1844" s="1">
        <v>1000680</v>
      </c>
      <c r="B1844" s="2" t="s">
        <v>373</v>
      </c>
      <c r="C1844" s="9">
        <v>119.41658914728683</v>
      </c>
    </row>
    <row r="1845" spans="1:3" x14ac:dyDescent="0.3">
      <c r="A1845" s="1">
        <v>1000681</v>
      </c>
      <c r="B1845" s="2" t="s">
        <v>374</v>
      </c>
      <c r="C1845" s="9">
        <v>88.5</v>
      </c>
    </row>
    <row r="1846" spans="1:3" x14ac:dyDescent="0.3">
      <c r="A1846" s="1">
        <v>1000682</v>
      </c>
      <c r="B1846" s="2" t="s">
        <v>375</v>
      </c>
      <c r="C1846" s="9">
        <v>179.26</v>
      </c>
    </row>
    <row r="1847" spans="1:3" x14ac:dyDescent="0.3">
      <c r="A1847" s="1">
        <v>1000683</v>
      </c>
      <c r="B1847" s="2" t="s">
        <v>376</v>
      </c>
      <c r="C1847" s="9">
        <v>119.14849056603774</v>
      </c>
    </row>
    <row r="1848" spans="1:3" x14ac:dyDescent="0.3">
      <c r="A1848" s="1">
        <v>1000684</v>
      </c>
      <c r="B1848" s="2" t="s">
        <v>377</v>
      </c>
      <c r="C1848" s="9">
        <v>88.5</v>
      </c>
    </row>
    <row r="1849" spans="1:3" x14ac:dyDescent="0.3">
      <c r="A1849" s="1">
        <v>1000685</v>
      </c>
      <c r="B1849" s="2" t="s">
        <v>378</v>
      </c>
      <c r="C1849" s="9">
        <v>231.28</v>
      </c>
    </row>
    <row r="1850" spans="1:3" x14ac:dyDescent="0.3">
      <c r="A1850" s="1">
        <v>1000686</v>
      </c>
      <c r="B1850" s="2" t="s">
        <v>379</v>
      </c>
      <c r="C1850" s="9">
        <v>218.38093567251462</v>
      </c>
    </row>
    <row r="1851" spans="1:3" x14ac:dyDescent="0.3">
      <c r="A1851" s="1">
        <v>1000690</v>
      </c>
      <c r="B1851" s="2" t="s">
        <v>383</v>
      </c>
      <c r="C1851" s="9">
        <v>88.5</v>
      </c>
    </row>
    <row r="1852" spans="1:3" x14ac:dyDescent="0.3">
      <c r="A1852" s="1">
        <v>1000699</v>
      </c>
      <c r="B1852" s="2" t="s">
        <v>384</v>
      </c>
      <c r="C1852" s="9">
        <v>106.2</v>
      </c>
    </row>
    <row r="1853" spans="1:3" x14ac:dyDescent="0.3">
      <c r="A1853" s="1">
        <v>1000700</v>
      </c>
      <c r="B1853" s="2" t="s">
        <v>385</v>
      </c>
      <c r="C1853" s="9">
        <v>174.20968253968255</v>
      </c>
    </row>
    <row r="1854" spans="1:3" x14ac:dyDescent="0.3">
      <c r="A1854" s="1">
        <v>1000701</v>
      </c>
      <c r="B1854" s="2" t="s">
        <v>386</v>
      </c>
      <c r="C1854" s="9">
        <v>355.44798165137615</v>
      </c>
    </row>
    <row r="1855" spans="1:3" x14ac:dyDescent="0.3">
      <c r="A1855" s="1">
        <v>1000702</v>
      </c>
      <c r="B1855" s="2" t="s">
        <v>387</v>
      </c>
      <c r="C1855" s="9">
        <v>252.52</v>
      </c>
    </row>
    <row r="1856" spans="1:3" x14ac:dyDescent="0.3">
      <c r="A1856" s="1">
        <v>1000703</v>
      </c>
      <c r="B1856" s="2" t="s">
        <v>388</v>
      </c>
      <c r="C1856" s="9">
        <v>368.39867532467531</v>
      </c>
    </row>
    <row r="1857" spans="1:3" x14ac:dyDescent="0.3">
      <c r="A1857" s="1">
        <v>1000704</v>
      </c>
      <c r="B1857" s="2" t="s">
        <v>389</v>
      </c>
      <c r="C1857" s="9">
        <v>74.858584905660379</v>
      </c>
    </row>
    <row r="1858" spans="1:3" x14ac:dyDescent="0.3">
      <c r="A1858" s="1">
        <v>1000709</v>
      </c>
      <c r="B1858" s="2" t="s">
        <v>392</v>
      </c>
      <c r="C1858" s="9">
        <v>147.65</v>
      </c>
    </row>
    <row r="1859" spans="1:3" x14ac:dyDescent="0.3">
      <c r="A1859" s="1">
        <v>1000715</v>
      </c>
      <c r="B1859" s="2" t="s">
        <v>394</v>
      </c>
      <c r="C1859" s="9">
        <v>1806.2700000000002</v>
      </c>
    </row>
    <row r="1860" spans="1:3" x14ac:dyDescent="0.3">
      <c r="A1860" s="1">
        <v>1000734</v>
      </c>
      <c r="B1860" s="2" t="s">
        <v>402</v>
      </c>
      <c r="C1860" s="9">
        <v>1238.8</v>
      </c>
    </row>
    <row r="1861" spans="1:3" x14ac:dyDescent="0.3">
      <c r="A1861" s="1">
        <v>1000737</v>
      </c>
      <c r="B1861" s="2" t="s">
        <v>404</v>
      </c>
      <c r="C1861" s="9">
        <v>151.11042506445287</v>
      </c>
    </row>
    <row r="1862" spans="1:3" x14ac:dyDescent="0.3">
      <c r="A1862" s="1">
        <v>1000738</v>
      </c>
      <c r="B1862" s="2" t="s">
        <v>405</v>
      </c>
      <c r="C1862" s="9">
        <v>522.73292452830196</v>
      </c>
    </row>
    <row r="1863" spans="1:3" x14ac:dyDescent="0.3">
      <c r="A1863" s="1">
        <v>1000740</v>
      </c>
      <c r="B1863" s="2" t="s">
        <v>407</v>
      </c>
      <c r="C1863" s="9">
        <v>466.06668486352356</v>
      </c>
    </row>
    <row r="1864" spans="1:3" x14ac:dyDescent="0.3">
      <c r="A1864" s="1">
        <v>1000741</v>
      </c>
      <c r="B1864" s="2" t="s">
        <v>408</v>
      </c>
      <c r="C1864" s="9">
        <v>445</v>
      </c>
    </row>
    <row r="1865" spans="1:3" x14ac:dyDescent="0.3">
      <c r="A1865" s="1">
        <v>1000742</v>
      </c>
      <c r="B1865" s="2" t="s">
        <v>409</v>
      </c>
      <c r="C1865" s="9">
        <v>347.23271963924736</v>
      </c>
    </row>
    <row r="1866" spans="1:3" x14ac:dyDescent="0.3">
      <c r="A1866" s="1">
        <v>1000743</v>
      </c>
      <c r="B1866" s="2" t="s">
        <v>410</v>
      </c>
      <c r="C1866" s="9">
        <v>206.21999999999997</v>
      </c>
    </row>
    <row r="1867" spans="1:3" x14ac:dyDescent="0.3">
      <c r="A1867" s="1">
        <v>1000744</v>
      </c>
      <c r="B1867" s="2" t="s">
        <v>411</v>
      </c>
      <c r="C1867" s="9">
        <v>154.80999999999997</v>
      </c>
    </row>
    <row r="1868" spans="1:3" x14ac:dyDescent="0.3">
      <c r="A1868" s="1">
        <v>1000745</v>
      </c>
      <c r="B1868" s="2" t="s">
        <v>412</v>
      </c>
      <c r="C1868" s="9">
        <v>0</v>
      </c>
    </row>
    <row r="1869" spans="1:3" x14ac:dyDescent="0.3">
      <c r="A1869" s="1">
        <v>1000746</v>
      </c>
      <c r="B1869" s="2" t="s">
        <v>413</v>
      </c>
      <c r="C1869" s="9">
        <v>321.61494708343588</v>
      </c>
    </row>
    <row r="1870" spans="1:3" x14ac:dyDescent="0.3">
      <c r="A1870" s="1">
        <v>1000751</v>
      </c>
      <c r="B1870" s="2" t="s">
        <v>415</v>
      </c>
      <c r="C1870" s="9">
        <v>463.86659730722158</v>
      </c>
    </row>
    <row r="1871" spans="1:3" x14ac:dyDescent="0.3">
      <c r="A1871" s="1">
        <v>1000765</v>
      </c>
      <c r="B1871" s="2" t="s">
        <v>421</v>
      </c>
      <c r="C1871" s="9">
        <v>169.42383233532934</v>
      </c>
    </row>
    <row r="1872" spans="1:3" x14ac:dyDescent="0.3">
      <c r="A1872" s="1">
        <v>1000768</v>
      </c>
      <c r="B1872" s="2" t="s">
        <v>423</v>
      </c>
      <c r="C1872" s="9">
        <v>46.44</v>
      </c>
    </row>
    <row r="1873" spans="1:3" x14ac:dyDescent="0.3">
      <c r="A1873" s="1">
        <v>1000777</v>
      </c>
      <c r="B1873" s="2" t="s">
        <v>426</v>
      </c>
      <c r="C1873" s="9">
        <v>15636.608064516129</v>
      </c>
    </row>
    <row r="1874" spans="1:3" x14ac:dyDescent="0.3">
      <c r="A1874" s="1">
        <v>1000778</v>
      </c>
      <c r="B1874" s="2" t="s">
        <v>427</v>
      </c>
      <c r="C1874" s="9">
        <v>10150.974736842105</v>
      </c>
    </row>
    <row r="1875" spans="1:3" x14ac:dyDescent="0.3">
      <c r="A1875" s="1">
        <v>1000779</v>
      </c>
      <c r="B1875" s="2" t="s">
        <v>428</v>
      </c>
      <c r="C1875" s="9">
        <v>1799.54</v>
      </c>
    </row>
    <row r="1876" spans="1:3" x14ac:dyDescent="0.3">
      <c r="A1876" s="1">
        <v>1000780</v>
      </c>
      <c r="B1876" s="2" t="s">
        <v>429</v>
      </c>
      <c r="C1876" s="9">
        <v>3053.1311053351574</v>
      </c>
    </row>
    <row r="1877" spans="1:3" x14ac:dyDescent="0.3">
      <c r="A1877" s="1">
        <v>1000781</v>
      </c>
      <c r="B1877" s="2" t="s">
        <v>430</v>
      </c>
      <c r="C1877" s="9">
        <v>13.482526937377372</v>
      </c>
    </row>
    <row r="1878" spans="1:3" x14ac:dyDescent="0.3">
      <c r="A1878" s="1">
        <v>1000795</v>
      </c>
      <c r="B1878" s="2" t="s">
        <v>437</v>
      </c>
      <c r="C1878" s="9">
        <v>0</v>
      </c>
    </row>
    <row r="1879" spans="1:3" x14ac:dyDescent="0.3">
      <c r="A1879" s="1">
        <v>1000796</v>
      </c>
      <c r="B1879" s="2" t="s">
        <v>438</v>
      </c>
      <c r="C1879" s="9">
        <v>61.292051832598787</v>
      </c>
    </row>
    <row r="1880" spans="1:3" x14ac:dyDescent="0.3">
      <c r="A1880" s="1">
        <v>1000799</v>
      </c>
      <c r="B1880" s="2" t="s">
        <v>439</v>
      </c>
      <c r="C1880" s="9">
        <v>74614.69</v>
      </c>
    </row>
    <row r="1881" spans="1:3" x14ac:dyDescent="0.3">
      <c r="A1881" s="1">
        <v>1000800</v>
      </c>
      <c r="B1881" s="2" t="s">
        <v>440</v>
      </c>
      <c r="C1881" s="9">
        <v>16788.215909090908</v>
      </c>
    </row>
    <row r="1882" spans="1:3" x14ac:dyDescent="0.3">
      <c r="A1882" s="1">
        <v>1000802</v>
      </c>
      <c r="B1882" s="2" t="s">
        <v>441</v>
      </c>
      <c r="C1882" s="9">
        <v>7198</v>
      </c>
    </row>
    <row r="1883" spans="1:3" x14ac:dyDescent="0.3">
      <c r="A1883" s="1">
        <v>1000805</v>
      </c>
      <c r="B1883" s="2" t="s">
        <v>442</v>
      </c>
      <c r="C1883" s="9">
        <v>1164</v>
      </c>
    </row>
    <row r="1884" spans="1:3" x14ac:dyDescent="0.3">
      <c r="A1884" s="1">
        <v>1000806</v>
      </c>
      <c r="B1884" s="2" t="s">
        <v>443</v>
      </c>
      <c r="C1884" s="9">
        <v>1608.1431271477663</v>
      </c>
    </row>
    <row r="1885" spans="1:3" x14ac:dyDescent="0.3">
      <c r="A1885" s="1">
        <v>1000809</v>
      </c>
      <c r="B1885" s="2" t="s">
        <v>446</v>
      </c>
      <c r="C1885" s="9">
        <v>1033.6531536926148</v>
      </c>
    </row>
    <row r="1886" spans="1:3" x14ac:dyDescent="0.3">
      <c r="A1886" s="1">
        <v>1000815</v>
      </c>
      <c r="B1886" s="2" t="s">
        <v>449</v>
      </c>
      <c r="C1886" s="9">
        <v>17.584944979367261</v>
      </c>
    </row>
    <row r="1887" spans="1:3" x14ac:dyDescent="0.3">
      <c r="A1887" s="1">
        <v>1000816</v>
      </c>
      <c r="B1887" s="2" t="s">
        <v>450</v>
      </c>
      <c r="C1887" s="9">
        <v>38.780163958003733</v>
      </c>
    </row>
    <row r="1888" spans="1:3" x14ac:dyDescent="0.3">
      <c r="A1888" s="1">
        <v>1000819</v>
      </c>
      <c r="B1888" s="2" t="s">
        <v>452</v>
      </c>
      <c r="C1888" s="9">
        <v>16.422774086378737</v>
      </c>
    </row>
    <row r="1889" spans="1:3" x14ac:dyDescent="0.3">
      <c r="A1889" s="1">
        <v>1000860</v>
      </c>
      <c r="B1889" s="2" t="s">
        <v>459</v>
      </c>
      <c r="C1889" s="9">
        <v>4670.9299999999994</v>
      </c>
    </row>
    <row r="1890" spans="1:3" x14ac:dyDescent="0.3">
      <c r="A1890" s="1">
        <v>1000863</v>
      </c>
      <c r="B1890" s="2" t="s">
        <v>460</v>
      </c>
      <c r="C1890" s="9">
        <v>0</v>
      </c>
    </row>
    <row r="1891" spans="1:3" x14ac:dyDescent="0.3">
      <c r="A1891" s="1">
        <v>1000874</v>
      </c>
      <c r="B1891" s="2" t="s">
        <v>467</v>
      </c>
      <c r="C1891" s="9">
        <v>42331.001666666671</v>
      </c>
    </row>
    <row r="1892" spans="1:3" x14ac:dyDescent="0.3">
      <c r="A1892" s="1">
        <v>1000875</v>
      </c>
      <c r="B1892" s="2" t="s">
        <v>468</v>
      </c>
      <c r="C1892" s="9">
        <v>639757.96</v>
      </c>
    </row>
    <row r="1893" spans="1:3" x14ac:dyDescent="0.3">
      <c r="A1893" s="1">
        <v>1000876</v>
      </c>
      <c r="B1893" s="2" t="s">
        <v>469</v>
      </c>
      <c r="C1893" s="9">
        <v>56581</v>
      </c>
    </row>
    <row r="1894" spans="1:3" x14ac:dyDescent="0.3">
      <c r="A1894" s="1">
        <v>1000878</v>
      </c>
      <c r="B1894" s="2" t="s">
        <v>471</v>
      </c>
      <c r="C1894" s="9">
        <v>7.0230618615209988</v>
      </c>
    </row>
    <row r="1895" spans="1:3" x14ac:dyDescent="0.3">
      <c r="A1895" s="1">
        <v>1000885</v>
      </c>
      <c r="B1895" s="2" t="s">
        <v>478</v>
      </c>
      <c r="C1895" s="9">
        <v>3.7119999999999997</v>
      </c>
    </row>
    <row r="1896" spans="1:3" x14ac:dyDescent="0.3">
      <c r="A1896" s="1">
        <v>1000888</v>
      </c>
      <c r="B1896" s="2" t="s">
        <v>480</v>
      </c>
      <c r="C1896" s="9">
        <v>3.9386648935734918</v>
      </c>
    </row>
    <row r="1897" spans="1:3" x14ac:dyDescent="0.3">
      <c r="A1897" s="1">
        <v>1000897</v>
      </c>
      <c r="B1897" s="2" t="s">
        <v>484</v>
      </c>
      <c r="C1897" s="9">
        <v>1.6520048602673145</v>
      </c>
    </row>
    <row r="1898" spans="1:3" x14ac:dyDescent="0.3">
      <c r="A1898" s="1">
        <v>1000898</v>
      </c>
      <c r="B1898" s="2" t="s">
        <v>485</v>
      </c>
      <c r="C1898" s="9">
        <v>1.5815310292323022</v>
      </c>
    </row>
    <row r="1899" spans="1:3" x14ac:dyDescent="0.3">
      <c r="A1899" s="1">
        <v>1000903</v>
      </c>
      <c r="B1899" s="2" t="s">
        <v>487</v>
      </c>
      <c r="C1899" s="9">
        <v>7.1500000651045896</v>
      </c>
    </row>
    <row r="1900" spans="1:3" x14ac:dyDescent="0.3">
      <c r="A1900" s="1">
        <v>1000908</v>
      </c>
      <c r="B1900" s="2" t="s">
        <v>490</v>
      </c>
      <c r="C1900" s="9">
        <v>2126.8030246913581</v>
      </c>
    </row>
    <row r="1901" spans="1:3" x14ac:dyDescent="0.3">
      <c r="A1901" s="1">
        <v>1000916</v>
      </c>
      <c r="B1901" s="2" t="s">
        <v>493</v>
      </c>
      <c r="C1901" s="9">
        <v>398.99</v>
      </c>
    </row>
    <row r="1902" spans="1:3" x14ac:dyDescent="0.3">
      <c r="A1902" s="1">
        <v>1000917</v>
      </c>
      <c r="B1902" s="2" t="s">
        <v>494</v>
      </c>
      <c r="C1902" s="9">
        <v>358.23410070310729</v>
      </c>
    </row>
    <row r="1903" spans="1:3" x14ac:dyDescent="0.3">
      <c r="A1903" s="1">
        <v>1000921</v>
      </c>
      <c r="B1903" s="2" t="s">
        <v>496</v>
      </c>
      <c r="C1903" s="9">
        <v>125</v>
      </c>
    </row>
    <row r="1904" spans="1:3" x14ac:dyDescent="0.3">
      <c r="A1904" s="1">
        <v>1000922</v>
      </c>
      <c r="B1904" s="2" t="s">
        <v>497</v>
      </c>
      <c r="C1904" s="9">
        <v>235.83261856137963</v>
      </c>
    </row>
    <row r="1905" spans="1:3" x14ac:dyDescent="0.3">
      <c r="A1905" s="1">
        <v>1000923</v>
      </c>
      <c r="B1905" s="2" t="s">
        <v>498</v>
      </c>
      <c r="C1905" s="9">
        <v>56.566265227447964</v>
      </c>
    </row>
    <row r="1906" spans="1:3" x14ac:dyDescent="0.3">
      <c r="A1906" s="1">
        <v>1000977</v>
      </c>
      <c r="B1906" s="2" t="s">
        <v>518</v>
      </c>
      <c r="C1906" s="9">
        <v>512.5</v>
      </c>
    </row>
    <row r="1907" spans="1:3" x14ac:dyDescent="0.3">
      <c r="A1907" s="1">
        <v>1001008</v>
      </c>
      <c r="B1907" s="2" t="s">
        <v>525</v>
      </c>
      <c r="C1907" s="9">
        <v>41772</v>
      </c>
    </row>
    <row r="1908" spans="1:3" x14ac:dyDescent="0.3">
      <c r="A1908" s="1">
        <v>1001021</v>
      </c>
      <c r="B1908" s="2" t="s">
        <v>531</v>
      </c>
      <c r="C1908" s="9">
        <v>282.51756582884497</v>
      </c>
    </row>
    <row r="1909" spans="1:3" x14ac:dyDescent="0.3">
      <c r="A1909" s="1">
        <v>1001106</v>
      </c>
      <c r="B1909" s="2" t="s">
        <v>541</v>
      </c>
      <c r="C1909" s="9">
        <v>136924.31527777776</v>
      </c>
    </row>
    <row r="1910" spans="1:3" x14ac:dyDescent="0.3">
      <c r="A1910" s="1">
        <v>1001111</v>
      </c>
      <c r="B1910" s="2" t="s">
        <v>542</v>
      </c>
      <c r="C1910" s="9">
        <v>13117.812222222223</v>
      </c>
    </row>
    <row r="1911" spans="1:3" x14ac:dyDescent="0.3">
      <c r="A1911" s="1">
        <v>1001171</v>
      </c>
      <c r="B1911" s="2" t="s">
        <v>551</v>
      </c>
      <c r="C1911" s="9">
        <v>16300.28</v>
      </c>
    </row>
    <row r="1912" spans="1:3" x14ac:dyDescent="0.3">
      <c r="A1912" s="1">
        <v>1001183</v>
      </c>
      <c r="B1912" s="2" t="s">
        <v>555</v>
      </c>
      <c r="C1912" s="9">
        <v>644.28</v>
      </c>
    </row>
    <row r="1913" spans="1:3" x14ac:dyDescent="0.3">
      <c r="A1913" s="1">
        <v>1001184</v>
      </c>
      <c r="B1913" s="2" t="s">
        <v>556</v>
      </c>
      <c r="C1913" s="9">
        <v>710.36</v>
      </c>
    </row>
    <row r="1914" spans="1:3" x14ac:dyDescent="0.3">
      <c r="A1914" s="1">
        <v>1001187</v>
      </c>
      <c r="B1914" s="2" t="s">
        <v>557</v>
      </c>
      <c r="C1914" s="9">
        <v>812.09957894736851</v>
      </c>
    </row>
    <row r="1915" spans="1:3" x14ac:dyDescent="0.3">
      <c r="A1915" s="1">
        <v>1001191</v>
      </c>
      <c r="B1915" s="2" t="s">
        <v>560</v>
      </c>
      <c r="C1915" s="9">
        <v>178.76</v>
      </c>
    </row>
    <row r="1916" spans="1:3" x14ac:dyDescent="0.3">
      <c r="A1916" s="1">
        <v>1001194</v>
      </c>
      <c r="B1916" s="2" t="s">
        <v>561</v>
      </c>
      <c r="C1916" s="9">
        <v>786.10585139970533</v>
      </c>
    </row>
    <row r="1917" spans="1:3" x14ac:dyDescent="0.3">
      <c r="A1917" s="1">
        <v>1001196</v>
      </c>
      <c r="B1917" s="2" t="s">
        <v>562</v>
      </c>
      <c r="C1917" s="9">
        <v>5.0032034294621974</v>
      </c>
    </row>
    <row r="1918" spans="1:3" x14ac:dyDescent="0.3">
      <c r="A1918" s="1">
        <v>1001197</v>
      </c>
      <c r="B1918" s="2" t="s">
        <v>563</v>
      </c>
      <c r="C1918" s="9">
        <v>1.91</v>
      </c>
    </row>
    <row r="1919" spans="1:3" x14ac:dyDescent="0.3">
      <c r="A1919" s="1">
        <v>1001198</v>
      </c>
      <c r="B1919" s="2" t="s">
        <v>564</v>
      </c>
      <c r="C1919" s="9">
        <v>13.77028257456829</v>
      </c>
    </row>
    <row r="1920" spans="1:3" x14ac:dyDescent="0.3">
      <c r="A1920" s="1">
        <v>1001199</v>
      </c>
      <c r="B1920" s="2" t="s">
        <v>565</v>
      </c>
      <c r="C1920" s="9">
        <v>51.315151515151513</v>
      </c>
    </row>
    <row r="1921" spans="1:3" x14ac:dyDescent="0.3">
      <c r="A1921" s="1">
        <v>1001201</v>
      </c>
      <c r="B1921" s="2" t="s">
        <v>566</v>
      </c>
      <c r="C1921" s="9">
        <v>7.89</v>
      </c>
    </row>
    <row r="1922" spans="1:3" x14ac:dyDescent="0.3">
      <c r="A1922" s="1">
        <v>1001204</v>
      </c>
      <c r="B1922" s="2" t="s">
        <v>568</v>
      </c>
      <c r="C1922" s="9">
        <v>355.66063291139244</v>
      </c>
    </row>
    <row r="1923" spans="1:3" x14ac:dyDescent="0.3">
      <c r="A1923" s="1">
        <v>1001206</v>
      </c>
      <c r="B1923" s="2" t="s">
        <v>570</v>
      </c>
      <c r="C1923" s="9">
        <v>16.484545454545454</v>
      </c>
    </row>
    <row r="1924" spans="1:3" x14ac:dyDescent="0.3">
      <c r="A1924" s="1">
        <v>1001212</v>
      </c>
      <c r="B1924" s="2" t="s">
        <v>571</v>
      </c>
      <c r="C1924" s="9">
        <v>0</v>
      </c>
    </row>
    <row r="1925" spans="1:3" x14ac:dyDescent="0.3">
      <c r="A1925" s="1">
        <v>1001217</v>
      </c>
      <c r="B1925" s="2" t="s">
        <v>572</v>
      </c>
      <c r="C1925" s="9">
        <v>242.83999999999997</v>
      </c>
    </row>
    <row r="1926" spans="1:3" x14ac:dyDescent="0.3">
      <c r="A1926" s="1">
        <v>1001220</v>
      </c>
      <c r="B1926" s="2" t="s">
        <v>574</v>
      </c>
      <c r="C1926" s="9">
        <v>69.25</v>
      </c>
    </row>
    <row r="1927" spans="1:3" x14ac:dyDescent="0.3">
      <c r="A1927" s="1">
        <v>1001222</v>
      </c>
      <c r="B1927" s="2" t="s">
        <v>576</v>
      </c>
      <c r="C1927" s="9">
        <v>1427.6406176470589</v>
      </c>
    </row>
    <row r="1928" spans="1:3" x14ac:dyDescent="0.3">
      <c r="A1928" s="1">
        <v>1001223</v>
      </c>
      <c r="B1928" s="2" t="s">
        <v>577</v>
      </c>
      <c r="C1928" s="9">
        <v>273.53037993920969</v>
      </c>
    </row>
    <row r="1929" spans="1:3" x14ac:dyDescent="0.3">
      <c r="A1929" s="1">
        <v>1001224</v>
      </c>
      <c r="B1929" s="2" t="s">
        <v>578</v>
      </c>
      <c r="C1929" s="9">
        <v>657.52820699708457</v>
      </c>
    </row>
    <row r="1930" spans="1:3" x14ac:dyDescent="0.3">
      <c r="A1930" s="1">
        <v>1001225</v>
      </c>
      <c r="B1930" s="2" t="s">
        <v>579</v>
      </c>
      <c r="C1930" s="9">
        <v>666.99500470366877</v>
      </c>
    </row>
    <row r="1931" spans="1:3" x14ac:dyDescent="0.3">
      <c r="A1931" s="1">
        <v>1001226</v>
      </c>
      <c r="B1931" s="2" t="s">
        <v>580</v>
      </c>
      <c r="C1931" s="9">
        <v>296.54381313131313</v>
      </c>
    </row>
    <row r="1932" spans="1:3" x14ac:dyDescent="0.3">
      <c r="A1932" s="1">
        <v>1001232</v>
      </c>
      <c r="B1932" s="2" t="s">
        <v>586</v>
      </c>
      <c r="C1932" s="9">
        <v>486.08919999999995</v>
      </c>
    </row>
    <row r="1933" spans="1:3" x14ac:dyDescent="0.3">
      <c r="A1933" s="1">
        <v>1001234</v>
      </c>
      <c r="B1933" s="2" t="s">
        <v>588</v>
      </c>
      <c r="C1933" s="9">
        <v>1809.5644785276074</v>
      </c>
    </row>
    <row r="1934" spans="1:3" x14ac:dyDescent="0.3">
      <c r="A1934" s="1">
        <v>1001235</v>
      </c>
      <c r="B1934" s="2" t="s">
        <v>589</v>
      </c>
      <c r="C1934" s="9">
        <v>1033.2657618651124</v>
      </c>
    </row>
    <row r="1935" spans="1:3" x14ac:dyDescent="0.3">
      <c r="A1935" s="1">
        <v>1001236</v>
      </c>
      <c r="B1935" s="2" t="s">
        <v>590</v>
      </c>
      <c r="C1935" s="9">
        <v>60.761736152951869</v>
      </c>
    </row>
    <row r="1936" spans="1:3" x14ac:dyDescent="0.3">
      <c r="A1936" s="1">
        <v>1001238</v>
      </c>
      <c r="B1936" s="2" t="s">
        <v>591</v>
      </c>
      <c r="C1936" s="9">
        <v>674.64136125654454</v>
      </c>
    </row>
    <row r="1937" spans="1:3" x14ac:dyDescent="0.3">
      <c r="A1937" s="1">
        <v>1001241</v>
      </c>
      <c r="B1937" s="2" t="s">
        <v>592</v>
      </c>
      <c r="C1937" s="9">
        <v>158.10999999999999</v>
      </c>
    </row>
    <row r="1938" spans="1:3" x14ac:dyDescent="0.3">
      <c r="A1938" s="1">
        <v>1001242</v>
      </c>
      <c r="B1938" s="2" t="s">
        <v>593</v>
      </c>
      <c r="C1938" s="9">
        <v>187.62</v>
      </c>
    </row>
    <row r="1939" spans="1:3" x14ac:dyDescent="0.3">
      <c r="A1939" s="1">
        <v>1001243</v>
      </c>
      <c r="B1939" s="2" t="s">
        <v>594</v>
      </c>
      <c r="C1939" s="9">
        <v>1328.1999999999998</v>
      </c>
    </row>
    <row r="1940" spans="1:3" x14ac:dyDescent="0.3">
      <c r="A1940" s="1">
        <v>1001244</v>
      </c>
      <c r="B1940" s="2" t="s">
        <v>595</v>
      </c>
      <c r="C1940" s="9">
        <v>1677.9798815165877</v>
      </c>
    </row>
    <row r="1941" spans="1:3" x14ac:dyDescent="0.3">
      <c r="A1941" s="1">
        <v>1001245</v>
      </c>
      <c r="B1941" s="2" t="s">
        <v>596</v>
      </c>
      <c r="C1941" s="9">
        <v>312.77080000000001</v>
      </c>
    </row>
    <row r="1942" spans="1:3" x14ac:dyDescent="0.3">
      <c r="A1942" s="1">
        <v>1001259</v>
      </c>
      <c r="B1942" s="2" t="s">
        <v>602</v>
      </c>
      <c r="C1942" s="9">
        <v>1450</v>
      </c>
    </row>
    <row r="1943" spans="1:3" x14ac:dyDescent="0.3">
      <c r="A1943" s="1">
        <v>1001263</v>
      </c>
      <c r="B1943" s="2" t="s">
        <v>605</v>
      </c>
      <c r="C1943" s="9">
        <v>101.63145744680851</v>
      </c>
    </row>
    <row r="1944" spans="1:3" x14ac:dyDescent="0.3">
      <c r="A1944" s="1">
        <v>1001264</v>
      </c>
      <c r="B1944" s="2" t="s">
        <v>606</v>
      </c>
      <c r="C1944" s="9">
        <v>116</v>
      </c>
    </row>
    <row r="1945" spans="1:3" x14ac:dyDescent="0.3">
      <c r="A1945" s="1">
        <v>1001269</v>
      </c>
      <c r="B1945" s="2" t="s">
        <v>611</v>
      </c>
      <c r="C1945" s="9">
        <v>441.1</v>
      </c>
    </row>
    <row r="1946" spans="1:3" x14ac:dyDescent="0.3">
      <c r="A1946" s="1">
        <v>1001270</v>
      </c>
      <c r="B1946" s="2" t="s">
        <v>612</v>
      </c>
      <c r="C1946" s="9">
        <v>1067.93</v>
      </c>
    </row>
    <row r="1947" spans="1:3" x14ac:dyDescent="0.3">
      <c r="A1947" s="1">
        <v>1001271</v>
      </c>
      <c r="B1947" s="2" t="s">
        <v>613</v>
      </c>
      <c r="C1947" s="9">
        <v>70.891391304347835</v>
      </c>
    </row>
    <row r="1948" spans="1:3" x14ac:dyDescent="0.3">
      <c r="A1948" s="1">
        <v>1001277</v>
      </c>
      <c r="B1948" s="2" t="s">
        <v>616</v>
      </c>
      <c r="C1948" s="9">
        <v>1082.99</v>
      </c>
    </row>
    <row r="1949" spans="1:3" x14ac:dyDescent="0.3">
      <c r="A1949" s="1">
        <v>1001278</v>
      </c>
      <c r="B1949" s="2" t="s">
        <v>617</v>
      </c>
      <c r="C1949" s="9">
        <v>210.00138996138998</v>
      </c>
    </row>
    <row r="1950" spans="1:3" x14ac:dyDescent="0.3">
      <c r="A1950" s="1">
        <v>1001280</v>
      </c>
      <c r="B1950" s="2" t="s">
        <v>618</v>
      </c>
      <c r="C1950" s="9">
        <v>0</v>
      </c>
    </row>
    <row r="1951" spans="1:3" x14ac:dyDescent="0.3">
      <c r="A1951" s="1">
        <v>1001282</v>
      </c>
      <c r="B1951" s="2" t="s">
        <v>619</v>
      </c>
      <c r="C1951" s="9">
        <v>250</v>
      </c>
    </row>
    <row r="1952" spans="1:3" x14ac:dyDescent="0.3">
      <c r="A1952" s="1">
        <v>1001285</v>
      </c>
      <c r="B1952" s="2" t="s">
        <v>620</v>
      </c>
      <c r="C1952" s="9">
        <v>200</v>
      </c>
    </row>
    <row r="1953" spans="1:3" x14ac:dyDescent="0.3">
      <c r="A1953" s="1">
        <v>1001286</v>
      </c>
      <c r="B1953" s="2" t="s">
        <v>621</v>
      </c>
      <c r="C1953" s="9">
        <v>1025.0332931726907</v>
      </c>
    </row>
    <row r="1954" spans="1:3" x14ac:dyDescent="0.3">
      <c r="A1954" s="1">
        <v>1001287</v>
      </c>
      <c r="B1954" s="2" t="s">
        <v>622</v>
      </c>
      <c r="C1954" s="9">
        <v>240.82016447368423</v>
      </c>
    </row>
    <row r="1955" spans="1:3" x14ac:dyDescent="0.3">
      <c r="A1955" s="1">
        <v>1001291</v>
      </c>
      <c r="B1955" s="2" t="s">
        <v>623</v>
      </c>
      <c r="C1955" s="9">
        <v>35.036129032258067</v>
      </c>
    </row>
    <row r="1956" spans="1:3" x14ac:dyDescent="0.3">
      <c r="A1956" s="1">
        <v>1001292</v>
      </c>
      <c r="B1956" s="2" t="s">
        <v>624</v>
      </c>
      <c r="C1956" s="9">
        <v>35.86536998696419</v>
      </c>
    </row>
    <row r="1957" spans="1:3" x14ac:dyDescent="0.3">
      <c r="A1957" s="1">
        <v>1001293</v>
      </c>
      <c r="B1957" s="2" t="s">
        <v>625</v>
      </c>
      <c r="C1957" s="9">
        <v>0</v>
      </c>
    </row>
    <row r="1958" spans="1:3" x14ac:dyDescent="0.3">
      <c r="A1958" s="1">
        <v>1001298</v>
      </c>
      <c r="B1958" s="2" t="s">
        <v>628</v>
      </c>
      <c r="C1958" s="9">
        <v>542.2299999999999</v>
      </c>
    </row>
    <row r="1959" spans="1:3" x14ac:dyDescent="0.3">
      <c r="A1959" s="1">
        <v>1001300</v>
      </c>
      <c r="B1959" s="2" t="s">
        <v>629</v>
      </c>
      <c r="C1959" s="9">
        <v>1183.9884081632651</v>
      </c>
    </row>
    <row r="1960" spans="1:3" x14ac:dyDescent="0.3">
      <c r="A1960" s="1">
        <v>1001303</v>
      </c>
      <c r="B1960" s="2" t="s">
        <v>632</v>
      </c>
      <c r="C1960" s="9">
        <v>12.1</v>
      </c>
    </row>
    <row r="1961" spans="1:3" x14ac:dyDescent="0.3">
      <c r="A1961" s="1">
        <v>1001304</v>
      </c>
      <c r="B1961" s="2" t="s">
        <v>633</v>
      </c>
      <c r="C1961" s="9">
        <v>0</v>
      </c>
    </row>
    <row r="1962" spans="1:3" x14ac:dyDescent="0.3">
      <c r="A1962" s="1">
        <v>1001305</v>
      </c>
      <c r="B1962" s="2" t="s">
        <v>634</v>
      </c>
      <c r="C1962" s="9">
        <v>1097.4000000000001</v>
      </c>
    </row>
    <row r="1963" spans="1:3" x14ac:dyDescent="0.3">
      <c r="A1963" s="1">
        <v>1001307</v>
      </c>
      <c r="B1963" s="2" t="s">
        <v>636</v>
      </c>
      <c r="C1963" s="9">
        <v>7670</v>
      </c>
    </row>
    <row r="1964" spans="1:3" x14ac:dyDescent="0.3">
      <c r="A1964" s="1">
        <v>1001308</v>
      </c>
      <c r="B1964" s="2" t="s">
        <v>637</v>
      </c>
      <c r="C1964" s="9">
        <v>114.82345889023897</v>
      </c>
    </row>
    <row r="1965" spans="1:3" x14ac:dyDescent="0.3">
      <c r="A1965" s="1">
        <v>1001311</v>
      </c>
      <c r="B1965" s="2" t="s">
        <v>639</v>
      </c>
      <c r="C1965" s="9">
        <v>656.38328767123289</v>
      </c>
    </row>
    <row r="1966" spans="1:3" x14ac:dyDescent="0.3">
      <c r="A1966" s="1">
        <v>1001312</v>
      </c>
      <c r="B1966" s="2" t="s">
        <v>640</v>
      </c>
      <c r="C1966" s="9">
        <v>710.48911250000003</v>
      </c>
    </row>
    <row r="1967" spans="1:3" x14ac:dyDescent="0.3">
      <c r="A1967" s="1">
        <v>1001314</v>
      </c>
      <c r="B1967" s="2" t="s">
        <v>642</v>
      </c>
      <c r="C1967" s="9">
        <v>635.83299815652754</v>
      </c>
    </row>
    <row r="1968" spans="1:3" x14ac:dyDescent="0.3">
      <c r="A1968" s="1">
        <v>1001315</v>
      </c>
      <c r="B1968" s="2" t="s">
        <v>643</v>
      </c>
      <c r="C1968" s="9">
        <v>353.29</v>
      </c>
    </row>
    <row r="1969" spans="1:3" x14ac:dyDescent="0.3">
      <c r="A1969" s="1">
        <v>1001318</v>
      </c>
      <c r="B1969" s="2" t="s">
        <v>644</v>
      </c>
      <c r="C1969" s="9">
        <v>393.09339916839923</v>
      </c>
    </row>
    <row r="1970" spans="1:3" x14ac:dyDescent="0.3">
      <c r="A1970" s="1">
        <v>1001319</v>
      </c>
      <c r="B1970" s="2" t="s">
        <v>645</v>
      </c>
      <c r="C1970" s="9">
        <v>611.61558683147712</v>
      </c>
    </row>
    <row r="1971" spans="1:3" x14ac:dyDescent="0.3">
      <c r="A1971" s="1">
        <v>1001320</v>
      </c>
      <c r="B1971" s="2" t="s">
        <v>646</v>
      </c>
      <c r="C1971" s="9">
        <v>257.88155963302751</v>
      </c>
    </row>
    <row r="1972" spans="1:3" x14ac:dyDescent="0.3">
      <c r="A1972" s="1">
        <v>1001324</v>
      </c>
      <c r="B1972" s="2" t="s">
        <v>649</v>
      </c>
      <c r="C1972" s="9">
        <v>1630.5189795918366</v>
      </c>
    </row>
    <row r="1973" spans="1:3" x14ac:dyDescent="0.3">
      <c r="A1973" s="1">
        <v>1001326</v>
      </c>
      <c r="B1973" s="2" t="s">
        <v>650</v>
      </c>
      <c r="C1973" s="9">
        <v>5267.0027205882352</v>
      </c>
    </row>
    <row r="1974" spans="1:3" x14ac:dyDescent="0.3">
      <c r="A1974" s="1">
        <v>1001344</v>
      </c>
      <c r="B1974" s="2" t="s">
        <v>655</v>
      </c>
      <c r="C1974" s="9">
        <v>100.3</v>
      </c>
    </row>
    <row r="1975" spans="1:3" x14ac:dyDescent="0.3">
      <c r="A1975" s="1">
        <v>1001366</v>
      </c>
      <c r="B1975" s="2" t="s">
        <v>659</v>
      </c>
      <c r="C1975" s="9">
        <v>1484.84</v>
      </c>
    </row>
    <row r="1976" spans="1:3" x14ac:dyDescent="0.3">
      <c r="A1976" s="1">
        <v>1001374</v>
      </c>
      <c r="B1976" s="2" t="s">
        <v>660</v>
      </c>
      <c r="C1976" s="9">
        <v>2673.9549999999999</v>
      </c>
    </row>
    <row r="1977" spans="1:3" x14ac:dyDescent="0.3">
      <c r="A1977" s="1">
        <v>1001378</v>
      </c>
      <c r="B1977" s="2" t="s">
        <v>661</v>
      </c>
      <c r="C1977" s="9">
        <v>63.8</v>
      </c>
    </row>
    <row r="1978" spans="1:3" x14ac:dyDescent="0.3">
      <c r="A1978" s="1">
        <v>1001393</v>
      </c>
      <c r="B1978" s="2" t="s">
        <v>667</v>
      </c>
      <c r="C1978" s="9">
        <v>4.3499999999999996</v>
      </c>
    </row>
    <row r="1979" spans="1:3" x14ac:dyDescent="0.3">
      <c r="A1979" s="1">
        <v>1001411</v>
      </c>
      <c r="B1979" s="2" t="s">
        <v>674</v>
      </c>
      <c r="C1979" s="9">
        <v>0</v>
      </c>
    </row>
    <row r="1980" spans="1:3" x14ac:dyDescent="0.3">
      <c r="A1980" s="1">
        <v>1001420</v>
      </c>
      <c r="B1980" s="2" t="s">
        <v>677</v>
      </c>
      <c r="C1980" s="9">
        <v>892.86666666666667</v>
      </c>
    </row>
    <row r="1981" spans="1:3" x14ac:dyDescent="0.3">
      <c r="A1981" s="1">
        <v>1001422</v>
      </c>
      <c r="B1981" s="2" t="s">
        <v>678</v>
      </c>
      <c r="C1981" s="9">
        <v>10889.51081632653</v>
      </c>
    </row>
    <row r="1982" spans="1:3" x14ac:dyDescent="0.3">
      <c r="A1982" s="1">
        <v>1001423</v>
      </c>
      <c r="B1982" s="2" t="s">
        <v>679</v>
      </c>
      <c r="C1982" s="9">
        <v>2966.59</v>
      </c>
    </row>
    <row r="1983" spans="1:3" x14ac:dyDescent="0.3">
      <c r="A1983" s="1">
        <v>1001430</v>
      </c>
      <c r="B1983" s="2" t="s">
        <v>681</v>
      </c>
      <c r="C1983" s="9">
        <v>829.76663212435233</v>
      </c>
    </row>
    <row r="1984" spans="1:3" x14ac:dyDescent="0.3">
      <c r="A1984" s="1">
        <v>1001431</v>
      </c>
      <c r="B1984" s="2" t="s">
        <v>682</v>
      </c>
      <c r="C1984" s="9">
        <v>378.15999999999997</v>
      </c>
    </row>
    <row r="1985" spans="1:3" x14ac:dyDescent="0.3">
      <c r="A1985" s="1">
        <v>1001443</v>
      </c>
      <c r="B1985" s="2" t="s">
        <v>684</v>
      </c>
      <c r="C1985" s="9">
        <v>12367.671886792452</v>
      </c>
    </row>
    <row r="1986" spans="1:3" x14ac:dyDescent="0.3">
      <c r="A1986" s="1">
        <v>1001445</v>
      </c>
      <c r="B1986" s="2" t="s">
        <v>685</v>
      </c>
      <c r="C1986" s="9">
        <v>21590.113953488373</v>
      </c>
    </row>
    <row r="1987" spans="1:3" x14ac:dyDescent="0.3">
      <c r="A1987" s="1">
        <v>1001458</v>
      </c>
      <c r="B1987" s="2" t="s">
        <v>692</v>
      </c>
      <c r="C1987" s="9">
        <v>213.44</v>
      </c>
    </row>
    <row r="1988" spans="1:3" x14ac:dyDescent="0.3">
      <c r="A1988" s="1">
        <v>1001459</v>
      </c>
      <c r="B1988" s="2" t="s">
        <v>693</v>
      </c>
      <c r="C1988" s="9">
        <v>261</v>
      </c>
    </row>
    <row r="1989" spans="1:3" x14ac:dyDescent="0.3">
      <c r="A1989" s="1">
        <v>1001462</v>
      </c>
      <c r="B1989" s="2" t="s">
        <v>695</v>
      </c>
      <c r="C1989" s="9">
        <v>0</v>
      </c>
    </row>
    <row r="1990" spans="1:3" x14ac:dyDescent="0.3">
      <c r="A1990" s="1">
        <v>1001465</v>
      </c>
      <c r="B1990" s="2" t="s">
        <v>696</v>
      </c>
      <c r="C1990" s="9">
        <v>64.176746031746035</v>
      </c>
    </row>
    <row r="1991" spans="1:3" x14ac:dyDescent="0.3">
      <c r="A1991" s="1">
        <v>1001481</v>
      </c>
      <c r="B1991" s="2" t="s">
        <v>698</v>
      </c>
      <c r="C1991" s="9">
        <v>1844.4</v>
      </c>
    </row>
    <row r="1992" spans="1:3" x14ac:dyDescent="0.3">
      <c r="A1992" s="1">
        <v>1001506</v>
      </c>
      <c r="B1992" s="2" t="s">
        <v>710</v>
      </c>
      <c r="C1992" s="9">
        <v>4017.4279999999999</v>
      </c>
    </row>
    <row r="1993" spans="1:3" x14ac:dyDescent="0.3">
      <c r="A1993" s="1">
        <v>1001523</v>
      </c>
      <c r="B1993" s="2" t="s">
        <v>721</v>
      </c>
      <c r="C1993" s="9">
        <v>6136</v>
      </c>
    </row>
    <row r="1994" spans="1:3" x14ac:dyDescent="0.3">
      <c r="A1994" s="1">
        <v>1001531</v>
      </c>
      <c r="B1994" s="2" t="s">
        <v>727</v>
      </c>
      <c r="C1994" s="9">
        <v>282.06</v>
      </c>
    </row>
    <row r="1995" spans="1:3" x14ac:dyDescent="0.3">
      <c r="A1995" s="1">
        <v>1001537</v>
      </c>
      <c r="B1995" s="2" t="s">
        <v>729</v>
      </c>
      <c r="C1995" s="9">
        <v>173.34</v>
      </c>
    </row>
    <row r="1996" spans="1:3" x14ac:dyDescent="0.3">
      <c r="A1996" s="1">
        <v>1001544</v>
      </c>
      <c r="B1996" s="2" t="s">
        <v>731</v>
      </c>
      <c r="C1996" s="9">
        <v>269.25725490196078</v>
      </c>
    </row>
    <row r="1997" spans="1:3" x14ac:dyDescent="0.3">
      <c r="A1997" s="1">
        <v>1001546</v>
      </c>
      <c r="B1997" s="2" t="s">
        <v>732</v>
      </c>
      <c r="C1997" s="9">
        <v>18073.761578947368</v>
      </c>
    </row>
    <row r="1998" spans="1:3" x14ac:dyDescent="0.3">
      <c r="A1998" s="1">
        <v>1001563</v>
      </c>
      <c r="B1998" s="2" t="s">
        <v>738</v>
      </c>
      <c r="C1998" s="9">
        <v>4367.1500000000005</v>
      </c>
    </row>
    <row r="1999" spans="1:3" x14ac:dyDescent="0.3">
      <c r="A1999" s="1">
        <v>1001571</v>
      </c>
      <c r="B1999" s="2" t="s">
        <v>742</v>
      </c>
      <c r="C1999" s="9">
        <v>209.97</v>
      </c>
    </row>
    <row r="2000" spans="1:3" x14ac:dyDescent="0.3">
      <c r="A2000" s="1">
        <v>1001573</v>
      </c>
      <c r="B2000" s="2" t="s">
        <v>744</v>
      </c>
      <c r="C2000" s="9">
        <v>232</v>
      </c>
    </row>
    <row r="2001" spans="1:3" x14ac:dyDescent="0.3">
      <c r="A2001" s="1">
        <v>1001592</v>
      </c>
      <c r="B2001" s="2" t="s">
        <v>754</v>
      </c>
      <c r="C2001" s="9">
        <v>888.83999999999992</v>
      </c>
    </row>
    <row r="2002" spans="1:3" x14ac:dyDescent="0.3">
      <c r="A2002" s="1">
        <v>1001598</v>
      </c>
      <c r="B2002" s="2" t="s">
        <v>757</v>
      </c>
      <c r="C2002" s="9">
        <v>11449.657999999999</v>
      </c>
    </row>
    <row r="2003" spans="1:3" x14ac:dyDescent="0.3">
      <c r="A2003" s="1">
        <v>1001599</v>
      </c>
      <c r="B2003" s="2" t="s">
        <v>758</v>
      </c>
      <c r="C2003" s="9">
        <v>16152.559642857143</v>
      </c>
    </row>
    <row r="2004" spans="1:3" x14ac:dyDescent="0.3">
      <c r="A2004" s="1">
        <v>1001600</v>
      </c>
      <c r="B2004" s="2" t="s">
        <v>759</v>
      </c>
      <c r="C2004" s="9">
        <v>18762</v>
      </c>
    </row>
    <row r="2005" spans="1:3" x14ac:dyDescent="0.3">
      <c r="A2005" s="1">
        <v>1001634</v>
      </c>
      <c r="B2005" s="2" t="s">
        <v>766</v>
      </c>
      <c r="C2005" s="9">
        <v>45946.335000000006</v>
      </c>
    </row>
    <row r="2006" spans="1:3" x14ac:dyDescent="0.3">
      <c r="A2006" s="1">
        <v>1001651</v>
      </c>
      <c r="B2006" s="2" t="s">
        <v>769</v>
      </c>
      <c r="C2006" s="9">
        <v>27027.109999999997</v>
      </c>
    </row>
    <row r="2007" spans="1:3" x14ac:dyDescent="0.3">
      <c r="A2007" s="1">
        <v>1001653</v>
      </c>
      <c r="B2007" s="2" t="s">
        <v>771</v>
      </c>
      <c r="C2007" s="9">
        <v>28328.744285714285</v>
      </c>
    </row>
    <row r="2008" spans="1:3" x14ac:dyDescent="0.3">
      <c r="A2008" s="1">
        <v>1001654</v>
      </c>
      <c r="B2008" s="2" t="s">
        <v>772</v>
      </c>
      <c r="C2008" s="9">
        <v>10229.626170212765</v>
      </c>
    </row>
    <row r="2009" spans="1:3" x14ac:dyDescent="0.3">
      <c r="A2009" s="1">
        <v>1001664</v>
      </c>
      <c r="B2009" s="2" t="s">
        <v>773</v>
      </c>
      <c r="C2009" s="9">
        <v>90622.58</v>
      </c>
    </row>
    <row r="2010" spans="1:3" x14ac:dyDescent="0.3">
      <c r="A2010" s="1">
        <v>1001681</v>
      </c>
      <c r="B2010" s="2" t="s">
        <v>775</v>
      </c>
      <c r="C2010" s="9">
        <v>20690.580999999998</v>
      </c>
    </row>
    <row r="2011" spans="1:3" x14ac:dyDescent="0.3">
      <c r="A2011" s="1">
        <v>1001682</v>
      </c>
      <c r="B2011" s="2" t="s">
        <v>776</v>
      </c>
      <c r="C2011" s="9">
        <v>4356.665</v>
      </c>
    </row>
    <row r="2012" spans="1:3" x14ac:dyDescent="0.3">
      <c r="A2012" s="1">
        <v>1001703</v>
      </c>
      <c r="B2012" s="2" t="s">
        <v>781</v>
      </c>
      <c r="C2012" s="9">
        <v>6558</v>
      </c>
    </row>
    <row r="2013" spans="1:3" x14ac:dyDescent="0.3">
      <c r="A2013" s="1">
        <v>1001707</v>
      </c>
      <c r="B2013" s="2" t="s">
        <v>782</v>
      </c>
      <c r="C2013" s="9">
        <v>661.19999999999993</v>
      </c>
    </row>
    <row r="2014" spans="1:3" x14ac:dyDescent="0.3">
      <c r="A2014" s="1">
        <v>1001711</v>
      </c>
      <c r="B2014" s="2" t="s">
        <v>785</v>
      </c>
      <c r="C2014" s="9">
        <v>62.369898602974317</v>
      </c>
    </row>
    <row r="2015" spans="1:3" x14ac:dyDescent="0.3">
      <c r="A2015" s="1">
        <v>1001717</v>
      </c>
      <c r="B2015" s="2" t="s">
        <v>789</v>
      </c>
      <c r="C2015" s="9">
        <v>384.75090909090909</v>
      </c>
    </row>
    <row r="2016" spans="1:3" x14ac:dyDescent="0.3">
      <c r="A2016" s="1">
        <v>1001722</v>
      </c>
      <c r="B2016" s="2" t="s">
        <v>793</v>
      </c>
      <c r="C2016" s="9">
        <v>1020.7</v>
      </c>
    </row>
    <row r="2017" spans="1:3" x14ac:dyDescent="0.3">
      <c r="A2017" s="1">
        <v>1001730</v>
      </c>
      <c r="B2017" s="2" t="s">
        <v>796</v>
      </c>
      <c r="C2017" s="9">
        <v>61.280116256908713</v>
      </c>
    </row>
    <row r="2018" spans="1:3" x14ac:dyDescent="0.3">
      <c r="A2018" s="1">
        <v>1001731</v>
      </c>
      <c r="B2018" s="2" t="s">
        <v>797</v>
      </c>
      <c r="C2018" s="9">
        <v>50.931856578001437</v>
      </c>
    </row>
    <row r="2019" spans="1:3" x14ac:dyDescent="0.3">
      <c r="A2019" s="1">
        <v>1001732</v>
      </c>
      <c r="B2019" s="2" t="s">
        <v>798</v>
      </c>
      <c r="C2019" s="9">
        <v>58.184102838778792</v>
      </c>
    </row>
    <row r="2020" spans="1:3" x14ac:dyDescent="0.3">
      <c r="A2020" s="1">
        <v>1001733</v>
      </c>
      <c r="B2020" s="2" t="s">
        <v>799</v>
      </c>
      <c r="C2020" s="9">
        <v>3712.9701886792454</v>
      </c>
    </row>
    <row r="2021" spans="1:3" x14ac:dyDescent="0.3">
      <c r="A2021" s="1">
        <v>1001744</v>
      </c>
      <c r="B2021" s="2" t="s">
        <v>806</v>
      </c>
      <c r="C2021" s="9">
        <v>11.266676972909305</v>
      </c>
    </row>
    <row r="2022" spans="1:3" x14ac:dyDescent="0.3">
      <c r="A2022" s="1">
        <v>1001746</v>
      </c>
      <c r="B2022" s="2" t="s">
        <v>808</v>
      </c>
      <c r="C2022" s="9">
        <v>35.96</v>
      </c>
    </row>
    <row r="2023" spans="1:3" x14ac:dyDescent="0.3">
      <c r="A2023" s="1">
        <v>1001748</v>
      </c>
      <c r="B2023" s="2" t="s">
        <v>810</v>
      </c>
      <c r="C2023" s="9">
        <v>8.92</v>
      </c>
    </row>
    <row r="2024" spans="1:3" x14ac:dyDescent="0.3">
      <c r="A2024" s="1">
        <v>1001753</v>
      </c>
      <c r="B2024" s="2" t="s">
        <v>813</v>
      </c>
      <c r="C2024" s="9">
        <v>65.559742376955427</v>
      </c>
    </row>
    <row r="2025" spans="1:3" x14ac:dyDescent="0.3">
      <c r="A2025" s="1">
        <v>1001754</v>
      </c>
      <c r="B2025" s="2" t="s">
        <v>814</v>
      </c>
      <c r="C2025" s="9">
        <v>67.230634831460662</v>
      </c>
    </row>
    <row r="2026" spans="1:3" x14ac:dyDescent="0.3">
      <c r="A2026" s="1">
        <v>1001755</v>
      </c>
      <c r="B2026" s="2" t="s">
        <v>815</v>
      </c>
      <c r="C2026" s="9">
        <v>206.64763670064877</v>
      </c>
    </row>
    <row r="2027" spans="1:3" x14ac:dyDescent="0.3">
      <c r="A2027" s="1">
        <v>1001756</v>
      </c>
      <c r="B2027" s="2" t="s">
        <v>816</v>
      </c>
      <c r="C2027" s="9">
        <v>591.08710951526041</v>
      </c>
    </row>
    <row r="2028" spans="1:3" x14ac:dyDescent="0.3">
      <c r="A2028" s="1">
        <v>1001757</v>
      </c>
      <c r="B2028" s="2" t="s">
        <v>817</v>
      </c>
      <c r="C2028" s="9">
        <v>88.5</v>
      </c>
    </row>
    <row r="2029" spans="1:3" x14ac:dyDescent="0.3">
      <c r="A2029" s="1">
        <v>1001759</v>
      </c>
      <c r="B2029" s="2" t="s">
        <v>819</v>
      </c>
      <c r="C2029" s="9">
        <v>80.043946957878319</v>
      </c>
    </row>
    <row r="2030" spans="1:3" x14ac:dyDescent="0.3">
      <c r="A2030" s="1">
        <v>1001762</v>
      </c>
      <c r="B2030" s="2" t="s">
        <v>822</v>
      </c>
      <c r="C2030" s="9">
        <v>271.46732371794872</v>
      </c>
    </row>
    <row r="2031" spans="1:3" x14ac:dyDescent="0.3">
      <c r="A2031" s="1">
        <v>1001763</v>
      </c>
      <c r="B2031" s="2" t="s">
        <v>823</v>
      </c>
      <c r="C2031" s="9">
        <v>622.03641998585897</v>
      </c>
    </row>
    <row r="2032" spans="1:3" x14ac:dyDescent="0.3">
      <c r="A2032" s="1">
        <v>1001764</v>
      </c>
      <c r="B2032" s="2" t="s">
        <v>824</v>
      </c>
      <c r="C2032" s="9">
        <v>27.387203389830511</v>
      </c>
    </row>
    <row r="2033" spans="1:3" x14ac:dyDescent="0.3">
      <c r="A2033" s="1">
        <v>1001765</v>
      </c>
      <c r="B2033" s="2" t="s">
        <v>825</v>
      </c>
      <c r="C2033" s="9">
        <v>1.6815348497749667</v>
      </c>
    </row>
    <row r="2034" spans="1:3" x14ac:dyDescent="0.3">
      <c r="A2034" s="1">
        <v>1001767</v>
      </c>
      <c r="B2034" s="2" t="s">
        <v>827</v>
      </c>
      <c r="C2034" s="9">
        <v>0</v>
      </c>
    </row>
    <row r="2035" spans="1:3" x14ac:dyDescent="0.3">
      <c r="A2035" s="1">
        <v>1001768</v>
      </c>
      <c r="B2035" s="2" t="s">
        <v>828</v>
      </c>
      <c r="C2035" s="9">
        <v>16.395621621621622</v>
      </c>
    </row>
    <row r="2036" spans="1:3" x14ac:dyDescent="0.3">
      <c r="A2036" s="1">
        <v>1001769</v>
      </c>
      <c r="B2036" s="2" t="s">
        <v>829</v>
      </c>
      <c r="C2036" s="9">
        <v>1698.1261999999999</v>
      </c>
    </row>
    <row r="2037" spans="1:3" x14ac:dyDescent="0.3">
      <c r="A2037" s="1">
        <v>1001771</v>
      </c>
      <c r="B2037" s="2" t="s">
        <v>830</v>
      </c>
      <c r="C2037" s="9">
        <v>333.74384016393441</v>
      </c>
    </row>
    <row r="2038" spans="1:3" x14ac:dyDescent="0.3">
      <c r="A2038" s="1">
        <v>1001772</v>
      </c>
      <c r="B2038" s="2" t="s">
        <v>831</v>
      </c>
      <c r="C2038" s="9">
        <v>670.27581205866375</v>
      </c>
    </row>
    <row r="2039" spans="1:3" x14ac:dyDescent="0.3">
      <c r="A2039" s="1">
        <v>1001778</v>
      </c>
      <c r="B2039" s="2" t="s">
        <v>833</v>
      </c>
      <c r="C2039" s="9">
        <v>201.10813559322034</v>
      </c>
    </row>
    <row r="2040" spans="1:3" x14ac:dyDescent="0.3">
      <c r="A2040" s="1">
        <v>1001781</v>
      </c>
      <c r="B2040" s="2" t="s">
        <v>835</v>
      </c>
      <c r="C2040" s="9">
        <v>94.690770252324029</v>
      </c>
    </row>
    <row r="2041" spans="1:3" x14ac:dyDescent="0.3">
      <c r="A2041" s="1">
        <v>1001787</v>
      </c>
      <c r="B2041" s="2" t="s">
        <v>837</v>
      </c>
      <c r="C2041" s="9">
        <v>28.767517082451299</v>
      </c>
    </row>
    <row r="2042" spans="1:3" x14ac:dyDescent="0.3">
      <c r="A2042" s="1">
        <v>1001789</v>
      </c>
      <c r="B2042" s="2" t="s">
        <v>838</v>
      </c>
      <c r="C2042" s="9">
        <v>289.29000000000002</v>
      </c>
    </row>
    <row r="2043" spans="1:3" x14ac:dyDescent="0.3">
      <c r="A2043" s="1">
        <v>1001795</v>
      </c>
      <c r="B2043" s="2" t="s">
        <v>842</v>
      </c>
      <c r="C2043" s="9">
        <v>1698.1262105263156</v>
      </c>
    </row>
    <row r="2044" spans="1:3" x14ac:dyDescent="0.3">
      <c r="A2044" s="1">
        <v>1001806</v>
      </c>
      <c r="B2044" s="2" t="s">
        <v>845</v>
      </c>
      <c r="C2044" s="9">
        <v>6.46</v>
      </c>
    </row>
    <row r="2045" spans="1:3" x14ac:dyDescent="0.3">
      <c r="A2045" s="1">
        <v>1001817</v>
      </c>
      <c r="B2045" s="2" t="s">
        <v>847</v>
      </c>
      <c r="C2045" s="9">
        <v>70.220676998368674</v>
      </c>
    </row>
    <row r="2046" spans="1:3" x14ac:dyDescent="0.3">
      <c r="A2046" s="1">
        <v>1001818</v>
      </c>
      <c r="B2046" s="2" t="s">
        <v>848</v>
      </c>
      <c r="C2046" s="9">
        <v>158.24672250989948</v>
      </c>
    </row>
    <row r="2047" spans="1:3" x14ac:dyDescent="0.3">
      <c r="A2047" s="1">
        <v>1001831</v>
      </c>
      <c r="B2047" s="2" t="s">
        <v>850</v>
      </c>
      <c r="C2047" s="9">
        <v>64.960000000000008</v>
      </c>
    </row>
    <row r="2048" spans="1:3" x14ac:dyDescent="0.3">
      <c r="A2048" s="1">
        <v>1001832</v>
      </c>
      <c r="B2048" s="2" t="s">
        <v>851</v>
      </c>
      <c r="C2048" s="9">
        <v>87</v>
      </c>
    </row>
    <row r="2049" spans="1:3" x14ac:dyDescent="0.3">
      <c r="A2049" s="1">
        <v>1001834</v>
      </c>
      <c r="B2049" s="2" t="s">
        <v>852</v>
      </c>
      <c r="C2049" s="9">
        <v>1</v>
      </c>
    </row>
    <row r="2050" spans="1:3" x14ac:dyDescent="0.3">
      <c r="A2050" s="1">
        <v>1001837</v>
      </c>
      <c r="B2050" s="2" t="s">
        <v>855</v>
      </c>
      <c r="C2050" s="9">
        <v>0</v>
      </c>
    </row>
    <row r="2051" spans="1:3" x14ac:dyDescent="0.3">
      <c r="A2051" s="1">
        <v>1001840</v>
      </c>
      <c r="B2051" s="2" t="s">
        <v>856</v>
      </c>
      <c r="C2051" s="9">
        <v>158.45635400907716</v>
      </c>
    </row>
    <row r="2052" spans="1:3" x14ac:dyDescent="0.3">
      <c r="A2052" s="1">
        <v>1001847</v>
      </c>
      <c r="B2052" s="2" t="s">
        <v>858</v>
      </c>
      <c r="C2052" s="9">
        <v>153.73688634569851</v>
      </c>
    </row>
    <row r="2053" spans="1:3" x14ac:dyDescent="0.3">
      <c r="A2053" s="1">
        <v>1001850</v>
      </c>
      <c r="B2053" s="2" t="s">
        <v>861</v>
      </c>
      <c r="C2053" s="9">
        <v>1</v>
      </c>
    </row>
    <row r="2054" spans="1:3" x14ac:dyDescent="0.3">
      <c r="A2054" s="1">
        <v>1001851</v>
      </c>
      <c r="B2054" s="2" t="s">
        <v>862</v>
      </c>
      <c r="C2054" s="9">
        <v>1038.2</v>
      </c>
    </row>
    <row r="2055" spans="1:3" x14ac:dyDescent="0.3">
      <c r="A2055" s="1">
        <v>1001871</v>
      </c>
      <c r="B2055" s="2" t="s">
        <v>867</v>
      </c>
      <c r="C2055" s="9">
        <v>0</v>
      </c>
    </row>
    <row r="2056" spans="1:3" x14ac:dyDescent="0.3">
      <c r="A2056" s="1">
        <v>1001884</v>
      </c>
      <c r="B2056" s="2" t="s">
        <v>871</v>
      </c>
      <c r="C2056" s="9">
        <v>15.430357832382622</v>
      </c>
    </row>
    <row r="2057" spans="1:3" x14ac:dyDescent="0.3">
      <c r="A2057" s="1">
        <v>1001891</v>
      </c>
      <c r="B2057" s="2" t="s">
        <v>873</v>
      </c>
      <c r="C2057" s="9">
        <v>184.39650023331779</v>
      </c>
    </row>
    <row r="2058" spans="1:3" x14ac:dyDescent="0.3">
      <c r="A2058" s="1">
        <v>1001892</v>
      </c>
      <c r="B2058" s="2" t="s">
        <v>874</v>
      </c>
      <c r="C2058" s="9">
        <v>279.63047046244321</v>
      </c>
    </row>
    <row r="2059" spans="1:3" x14ac:dyDescent="0.3">
      <c r="A2059" s="1">
        <v>1001894</v>
      </c>
      <c r="B2059" s="2" t="s">
        <v>875</v>
      </c>
      <c r="C2059" s="9">
        <v>7.2182320901309316</v>
      </c>
    </row>
    <row r="2060" spans="1:3" x14ac:dyDescent="0.3">
      <c r="A2060" s="1">
        <v>1001903</v>
      </c>
      <c r="B2060" s="2" t="s">
        <v>879</v>
      </c>
      <c r="C2060" s="9">
        <v>2805.6116341030197</v>
      </c>
    </row>
    <row r="2061" spans="1:3" x14ac:dyDescent="0.3">
      <c r="A2061" s="1">
        <v>1001904</v>
      </c>
      <c r="B2061" s="2" t="s">
        <v>880</v>
      </c>
      <c r="C2061" s="9">
        <v>1086.7612847838959</v>
      </c>
    </row>
    <row r="2062" spans="1:3" x14ac:dyDescent="0.3">
      <c r="A2062" s="1">
        <v>1001906</v>
      </c>
      <c r="B2062" s="2" t="s">
        <v>881</v>
      </c>
      <c r="C2062" s="9">
        <v>1</v>
      </c>
    </row>
    <row r="2063" spans="1:3" x14ac:dyDescent="0.3">
      <c r="A2063" s="1">
        <v>1001907</v>
      </c>
      <c r="B2063" s="2" t="s">
        <v>882</v>
      </c>
      <c r="C2063" s="9">
        <v>1953.6133140720599</v>
      </c>
    </row>
    <row r="2064" spans="1:3" x14ac:dyDescent="0.3">
      <c r="A2064" s="1">
        <v>1001908</v>
      </c>
      <c r="B2064" s="2" t="s">
        <v>883</v>
      </c>
      <c r="C2064" s="9">
        <v>1990.4823053278687</v>
      </c>
    </row>
    <row r="2065" spans="1:3" x14ac:dyDescent="0.3">
      <c r="A2065" s="1">
        <v>1001910</v>
      </c>
      <c r="B2065" s="2" t="s">
        <v>885</v>
      </c>
      <c r="C2065" s="9">
        <v>65.88</v>
      </c>
    </row>
    <row r="2066" spans="1:3" x14ac:dyDescent="0.3">
      <c r="A2066" s="1">
        <v>1001911</v>
      </c>
      <c r="B2066" s="2" t="s">
        <v>886</v>
      </c>
      <c r="C2066" s="9">
        <v>87.47999999999999</v>
      </c>
    </row>
    <row r="2067" spans="1:3" x14ac:dyDescent="0.3">
      <c r="A2067" s="1">
        <v>1001914</v>
      </c>
      <c r="B2067" s="2" t="s">
        <v>889</v>
      </c>
      <c r="C2067" s="9">
        <v>45.4</v>
      </c>
    </row>
    <row r="2068" spans="1:3" x14ac:dyDescent="0.3">
      <c r="A2068" s="1">
        <v>1001921</v>
      </c>
      <c r="B2068" s="2" t="s">
        <v>894</v>
      </c>
      <c r="C2068" s="9">
        <v>124.33999999999999</v>
      </c>
    </row>
    <row r="2069" spans="1:3" x14ac:dyDescent="0.3">
      <c r="A2069" s="1">
        <v>1001922</v>
      </c>
      <c r="B2069" s="2" t="s">
        <v>895</v>
      </c>
      <c r="C2069" s="9">
        <v>212.28000000000003</v>
      </c>
    </row>
    <row r="2070" spans="1:3" x14ac:dyDescent="0.3">
      <c r="A2070" s="1">
        <v>1001930</v>
      </c>
      <c r="B2070" s="2" t="s">
        <v>900</v>
      </c>
      <c r="C2070" s="9">
        <v>1267.4970058479532</v>
      </c>
    </row>
    <row r="2071" spans="1:3" x14ac:dyDescent="0.3">
      <c r="A2071" s="1">
        <v>1001933</v>
      </c>
      <c r="B2071" s="2" t="s">
        <v>901</v>
      </c>
      <c r="C2071" s="9">
        <v>378.10741935483873</v>
      </c>
    </row>
    <row r="2072" spans="1:3" x14ac:dyDescent="0.3">
      <c r="A2072" s="1">
        <v>1001936</v>
      </c>
      <c r="B2072" s="2" t="s">
        <v>903</v>
      </c>
      <c r="C2072" s="9">
        <v>580.36</v>
      </c>
    </row>
    <row r="2073" spans="1:3" x14ac:dyDescent="0.3">
      <c r="A2073" s="1">
        <v>1001938</v>
      </c>
      <c r="B2073" s="2" t="s">
        <v>905</v>
      </c>
      <c r="C2073" s="9">
        <v>301.608</v>
      </c>
    </row>
    <row r="2074" spans="1:3" x14ac:dyDescent="0.3">
      <c r="A2074" s="1">
        <v>1001941</v>
      </c>
      <c r="B2074" s="2" t="s">
        <v>908</v>
      </c>
      <c r="C2074" s="9">
        <v>50</v>
      </c>
    </row>
    <row r="2075" spans="1:3" x14ac:dyDescent="0.3">
      <c r="A2075" s="1">
        <v>1001943</v>
      </c>
      <c r="B2075" s="2" t="s">
        <v>910</v>
      </c>
      <c r="C2075" s="9">
        <v>25.066398467432951</v>
      </c>
    </row>
    <row r="2076" spans="1:3" x14ac:dyDescent="0.3">
      <c r="A2076" s="1">
        <v>1001948</v>
      </c>
      <c r="B2076" s="2" t="s">
        <v>912</v>
      </c>
      <c r="C2076" s="9">
        <v>2.259245068823613</v>
      </c>
    </row>
    <row r="2077" spans="1:3" x14ac:dyDescent="0.3">
      <c r="A2077" s="1">
        <v>1001952</v>
      </c>
      <c r="B2077" s="2" t="s">
        <v>915</v>
      </c>
      <c r="C2077" s="9">
        <v>2600.3254901960786</v>
      </c>
    </row>
    <row r="2078" spans="1:3" x14ac:dyDescent="0.3">
      <c r="A2078" s="1">
        <v>1001956</v>
      </c>
      <c r="B2078" s="2" t="s">
        <v>918</v>
      </c>
      <c r="C2078" s="9">
        <v>631.31884892086327</v>
      </c>
    </row>
    <row r="2079" spans="1:3" x14ac:dyDescent="0.3">
      <c r="A2079" s="1">
        <v>1001959</v>
      </c>
      <c r="B2079" s="2" t="s">
        <v>919</v>
      </c>
      <c r="C2079" s="9">
        <v>119.48</v>
      </c>
    </row>
    <row r="2080" spans="1:3" x14ac:dyDescent="0.3">
      <c r="A2080" s="1">
        <v>1001968</v>
      </c>
      <c r="B2080" s="2" t="s">
        <v>924</v>
      </c>
      <c r="C2080" s="9">
        <v>42.362000000000002</v>
      </c>
    </row>
    <row r="2081" spans="1:3" x14ac:dyDescent="0.3">
      <c r="A2081" s="1">
        <v>1001970</v>
      </c>
      <c r="B2081" s="2" t="s">
        <v>925</v>
      </c>
      <c r="C2081" s="9">
        <v>96.12278153153153</v>
      </c>
    </row>
    <row r="2082" spans="1:3" x14ac:dyDescent="0.3">
      <c r="A2082" s="1">
        <v>1001973</v>
      </c>
      <c r="B2082" s="2" t="s">
        <v>928</v>
      </c>
      <c r="C2082" s="9">
        <v>106.2</v>
      </c>
    </row>
    <row r="2083" spans="1:3" x14ac:dyDescent="0.3">
      <c r="A2083" s="1">
        <v>1001975</v>
      </c>
      <c r="B2083" s="2" t="s">
        <v>929</v>
      </c>
      <c r="C2083" s="9">
        <v>40.802745011086472</v>
      </c>
    </row>
    <row r="2084" spans="1:3" x14ac:dyDescent="0.3">
      <c r="A2084" s="1">
        <v>1001978</v>
      </c>
      <c r="B2084" s="2" t="s">
        <v>932</v>
      </c>
      <c r="C2084" s="9">
        <v>1591.4178947368421</v>
      </c>
    </row>
    <row r="2085" spans="1:3" x14ac:dyDescent="0.3">
      <c r="A2085" s="1">
        <v>1001980</v>
      </c>
      <c r="B2085" s="2" t="s">
        <v>933</v>
      </c>
      <c r="C2085" s="9">
        <v>0</v>
      </c>
    </row>
    <row r="2086" spans="1:3" x14ac:dyDescent="0.3">
      <c r="A2086" s="1">
        <v>1001985</v>
      </c>
      <c r="B2086" s="2" t="s">
        <v>935</v>
      </c>
      <c r="C2086" s="9">
        <v>0</v>
      </c>
    </row>
    <row r="2087" spans="1:3" x14ac:dyDescent="0.3">
      <c r="A2087" s="1">
        <v>1001987</v>
      </c>
      <c r="B2087" s="2" t="s">
        <v>937</v>
      </c>
      <c r="C2087" s="9">
        <v>4.5193998796320178</v>
      </c>
    </row>
    <row r="2088" spans="1:3" x14ac:dyDescent="0.3">
      <c r="A2088" s="1">
        <v>1001990</v>
      </c>
      <c r="B2088" s="2" t="s">
        <v>939</v>
      </c>
      <c r="C2088" s="9">
        <v>3.1152000000000002</v>
      </c>
    </row>
    <row r="2089" spans="1:3" x14ac:dyDescent="0.3">
      <c r="A2089" s="1">
        <v>1001998</v>
      </c>
      <c r="B2089" s="2" t="s">
        <v>941</v>
      </c>
      <c r="C2089" s="9">
        <v>1322.6508355091385</v>
      </c>
    </row>
    <row r="2090" spans="1:3" x14ac:dyDescent="0.3">
      <c r="A2090" s="1">
        <v>1001999</v>
      </c>
      <c r="B2090" s="2" t="s">
        <v>942</v>
      </c>
      <c r="C2090" s="9">
        <v>1652</v>
      </c>
    </row>
    <row r="2091" spans="1:3" x14ac:dyDescent="0.3">
      <c r="A2091" s="1">
        <v>1002003</v>
      </c>
      <c r="B2091" s="2" t="s">
        <v>943</v>
      </c>
      <c r="C2091" s="9">
        <v>1215.5180701754387</v>
      </c>
    </row>
    <row r="2092" spans="1:3" x14ac:dyDescent="0.3">
      <c r="A2092" s="1">
        <v>1002008</v>
      </c>
      <c r="B2092" s="2" t="s">
        <v>944</v>
      </c>
      <c r="C2092" s="9">
        <v>2.8410656620021526</v>
      </c>
    </row>
    <row r="2093" spans="1:3" x14ac:dyDescent="0.3">
      <c r="A2093" s="1">
        <v>1002010</v>
      </c>
      <c r="B2093" s="2" t="s">
        <v>945</v>
      </c>
      <c r="C2093" s="9">
        <v>304.87670967741934</v>
      </c>
    </row>
    <row r="2094" spans="1:3" x14ac:dyDescent="0.3">
      <c r="A2094" s="1">
        <v>1002016</v>
      </c>
      <c r="B2094" s="2" t="s">
        <v>949</v>
      </c>
      <c r="C2094" s="9">
        <v>324.5</v>
      </c>
    </row>
    <row r="2095" spans="1:3" x14ac:dyDescent="0.3">
      <c r="A2095" s="1">
        <v>1002019</v>
      </c>
      <c r="B2095" s="2" t="s">
        <v>950</v>
      </c>
      <c r="C2095" s="9">
        <v>146.54625282167044</v>
      </c>
    </row>
    <row r="2096" spans="1:3" x14ac:dyDescent="0.3">
      <c r="A2096" s="1">
        <v>1002020</v>
      </c>
      <c r="B2096" s="2" t="s">
        <v>951</v>
      </c>
      <c r="C2096" s="9">
        <v>292.10673210779942</v>
      </c>
    </row>
    <row r="2097" spans="1:3" x14ac:dyDescent="0.3">
      <c r="A2097" s="1">
        <v>1002024</v>
      </c>
      <c r="B2097" s="2" t="s">
        <v>955</v>
      </c>
      <c r="C2097" s="9">
        <v>2478</v>
      </c>
    </row>
    <row r="2098" spans="1:3" x14ac:dyDescent="0.3">
      <c r="A2098" s="1">
        <v>1002031</v>
      </c>
      <c r="B2098" s="2" t="s">
        <v>958</v>
      </c>
      <c r="C2098" s="9">
        <v>0</v>
      </c>
    </row>
    <row r="2099" spans="1:3" x14ac:dyDescent="0.3">
      <c r="A2099" s="1">
        <v>1002040</v>
      </c>
      <c r="B2099" s="2" t="s">
        <v>961</v>
      </c>
      <c r="C2099" s="9">
        <v>68.61699999999999</v>
      </c>
    </row>
    <row r="2100" spans="1:3" x14ac:dyDescent="0.3">
      <c r="A2100" s="1">
        <v>1002048</v>
      </c>
      <c r="B2100" s="2" t="s">
        <v>962</v>
      </c>
      <c r="C2100" s="9">
        <v>0</v>
      </c>
    </row>
    <row r="2101" spans="1:3" x14ac:dyDescent="0.3">
      <c r="A2101" s="1">
        <v>1002049</v>
      </c>
      <c r="B2101" s="2" t="s">
        <v>963</v>
      </c>
      <c r="C2101" s="9">
        <v>991.69999999999993</v>
      </c>
    </row>
    <row r="2102" spans="1:3" x14ac:dyDescent="0.3">
      <c r="A2102" s="1">
        <v>1002050</v>
      </c>
      <c r="B2102" s="2" t="s">
        <v>964</v>
      </c>
      <c r="C2102" s="9">
        <v>117.77021052631579</v>
      </c>
    </row>
    <row r="2103" spans="1:3" x14ac:dyDescent="0.3">
      <c r="A2103" s="1">
        <v>1002051</v>
      </c>
      <c r="B2103" s="2" t="s">
        <v>965</v>
      </c>
      <c r="C2103" s="9">
        <v>135.24</v>
      </c>
    </row>
    <row r="2104" spans="1:3" x14ac:dyDescent="0.3">
      <c r="A2104" s="1">
        <v>1002052</v>
      </c>
      <c r="B2104" s="2" t="s">
        <v>966</v>
      </c>
      <c r="C2104" s="9">
        <v>963.58465517241382</v>
      </c>
    </row>
    <row r="2105" spans="1:3" x14ac:dyDescent="0.3">
      <c r="A2105" s="1">
        <v>1002073</v>
      </c>
      <c r="B2105" s="2" t="s">
        <v>970</v>
      </c>
      <c r="C2105" s="9">
        <v>5583.89</v>
      </c>
    </row>
    <row r="2106" spans="1:3" x14ac:dyDescent="0.3">
      <c r="A2106" s="1">
        <v>1002077</v>
      </c>
      <c r="B2106" s="2" t="s">
        <v>974</v>
      </c>
      <c r="C2106" s="9">
        <v>458.58819849874897</v>
      </c>
    </row>
    <row r="2107" spans="1:3" x14ac:dyDescent="0.3">
      <c r="A2107" s="1">
        <v>1002084</v>
      </c>
      <c r="B2107" s="2" t="s">
        <v>979</v>
      </c>
      <c r="C2107" s="9">
        <v>6569.3313333333335</v>
      </c>
    </row>
    <row r="2108" spans="1:3" x14ac:dyDescent="0.3">
      <c r="A2108" s="1">
        <v>1002088</v>
      </c>
      <c r="B2108" s="2" t="s">
        <v>982</v>
      </c>
      <c r="C2108" s="9">
        <v>3892.5250216450218</v>
      </c>
    </row>
    <row r="2109" spans="1:3" x14ac:dyDescent="0.3">
      <c r="A2109" s="1">
        <v>1002100</v>
      </c>
      <c r="B2109" s="2" t="s">
        <v>988</v>
      </c>
      <c r="C2109" s="9">
        <v>27564.3</v>
      </c>
    </row>
    <row r="2110" spans="1:3" x14ac:dyDescent="0.3">
      <c r="A2110" s="1">
        <v>1002101</v>
      </c>
      <c r="B2110" s="2" t="s">
        <v>989</v>
      </c>
      <c r="C2110" s="9">
        <v>35203.22</v>
      </c>
    </row>
    <row r="2111" spans="1:3" x14ac:dyDescent="0.3">
      <c r="A2111" s="1">
        <v>1002107</v>
      </c>
      <c r="B2111" s="2" t="s">
        <v>995</v>
      </c>
      <c r="C2111" s="9">
        <v>15304.02</v>
      </c>
    </row>
    <row r="2112" spans="1:3" x14ac:dyDescent="0.3">
      <c r="A2112" s="1">
        <v>1002109</v>
      </c>
      <c r="B2112" s="2" t="s">
        <v>997</v>
      </c>
      <c r="C2112" s="9">
        <v>14224.147142857144</v>
      </c>
    </row>
    <row r="2113" spans="1:3" x14ac:dyDescent="0.3">
      <c r="A2113" s="1">
        <v>1002110</v>
      </c>
      <c r="B2113" s="2" t="s">
        <v>998</v>
      </c>
      <c r="C2113" s="9">
        <v>26889.285405940591</v>
      </c>
    </row>
    <row r="2114" spans="1:3" x14ac:dyDescent="0.3">
      <c r="A2114" s="1">
        <v>1002127</v>
      </c>
      <c r="B2114" s="2" t="s">
        <v>1011</v>
      </c>
      <c r="C2114" s="9">
        <v>34810</v>
      </c>
    </row>
    <row r="2115" spans="1:3" x14ac:dyDescent="0.3">
      <c r="A2115" s="1">
        <v>1002131</v>
      </c>
      <c r="B2115" s="2" t="s">
        <v>1014</v>
      </c>
      <c r="C2115" s="9">
        <v>629.54</v>
      </c>
    </row>
    <row r="2116" spans="1:3" x14ac:dyDescent="0.3">
      <c r="A2116" s="1">
        <v>1002132</v>
      </c>
      <c r="B2116" s="2" t="s">
        <v>1015</v>
      </c>
      <c r="C2116" s="9">
        <v>69.143193717277484</v>
      </c>
    </row>
    <row r="2117" spans="1:3" x14ac:dyDescent="0.3">
      <c r="A2117" s="1">
        <v>1002148</v>
      </c>
      <c r="B2117" s="2" t="s">
        <v>1019</v>
      </c>
      <c r="C2117" s="9">
        <v>8521.8554913294793</v>
      </c>
    </row>
    <row r="2118" spans="1:3" x14ac:dyDescent="0.3">
      <c r="A2118" s="1">
        <v>1002150</v>
      </c>
      <c r="B2118" s="2" t="s">
        <v>1021</v>
      </c>
      <c r="C2118" s="9">
        <v>12812.239399999999</v>
      </c>
    </row>
    <row r="2119" spans="1:3" x14ac:dyDescent="0.3">
      <c r="A2119" s="1">
        <v>1002155</v>
      </c>
      <c r="B2119" s="2" t="s">
        <v>1022</v>
      </c>
      <c r="C2119" s="9">
        <v>14365.237777777778</v>
      </c>
    </row>
    <row r="2120" spans="1:3" x14ac:dyDescent="0.3">
      <c r="A2120" s="1">
        <v>1002156</v>
      </c>
      <c r="B2120" s="2" t="s">
        <v>1023</v>
      </c>
      <c r="C2120" s="9">
        <v>13518.28</v>
      </c>
    </row>
    <row r="2121" spans="1:3" x14ac:dyDescent="0.3">
      <c r="A2121" s="1">
        <v>1002158</v>
      </c>
      <c r="B2121" s="2" t="s">
        <v>1024</v>
      </c>
      <c r="C2121" s="9">
        <v>537202.07999999996</v>
      </c>
    </row>
    <row r="2122" spans="1:3" x14ac:dyDescent="0.3">
      <c r="A2122" s="1">
        <v>1002182</v>
      </c>
      <c r="B2122" s="2" t="s">
        <v>1029</v>
      </c>
      <c r="C2122" s="9">
        <v>0</v>
      </c>
    </row>
    <row r="2123" spans="1:3" x14ac:dyDescent="0.3">
      <c r="A2123" s="1">
        <v>1002183</v>
      </c>
      <c r="B2123" s="2" t="s">
        <v>1030</v>
      </c>
      <c r="C2123" s="9">
        <v>8.5602355460385429</v>
      </c>
    </row>
    <row r="2124" spans="1:3" x14ac:dyDescent="0.3">
      <c r="A2124" s="1">
        <v>1002184</v>
      </c>
      <c r="B2124" s="2" t="s">
        <v>1031</v>
      </c>
      <c r="C2124" s="9">
        <v>12.024199386503067</v>
      </c>
    </row>
    <row r="2125" spans="1:3" x14ac:dyDescent="0.3">
      <c r="A2125" s="1">
        <v>1002185</v>
      </c>
      <c r="B2125" s="2" t="s">
        <v>1032</v>
      </c>
      <c r="C2125" s="9">
        <v>69.364160305343518</v>
      </c>
    </row>
    <row r="2126" spans="1:3" x14ac:dyDescent="0.3">
      <c r="A2126" s="1">
        <v>1002187</v>
      </c>
      <c r="B2126" s="2" t="s">
        <v>1034</v>
      </c>
      <c r="C2126" s="9">
        <v>33.002000000000002</v>
      </c>
    </row>
    <row r="2127" spans="1:3" x14ac:dyDescent="0.3">
      <c r="A2127" s="1">
        <v>1002190</v>
      </c>
      <c r="B2127" s="2" t="s">
        <v>1035</v>
      </c>
      <c r="C2127" s="9">
        <v>22.012520809965164</v>
      </c>
    </row>
    <row r="2128" spans="1:3" x14ac:dyDescent="0.3">
      <c r="A2128" s="1">
        <v>1002195</v>
      </c>
      <c r="B2128" s="2" t="s">
        <v>1039</v>
      </c>
      <c r="C2128" s="9">
        <v>0</v>
      </c>
    </row>
    <row r="2129" spans="1:3" x14ac:dyDescent="0.3">
      <c r="A2129" s="1">
        <v>1002198</v>
      </c>
      <c r="B2129" s="2" t="s">
        <v>1042</v>
      </c>
      <c r="C2129" s="9">
        <v>15.19647933991684</v>
      </c>
    </row>
    <row r="2130" spans="1:3" x14ac:dyDescent="0.3">
      <c r="A2130" s="1">
        <v>1002199</v>
      </c>
      <c r="B2130" s="2" t="s">
        <v>1043</v>
      </c>
      <c r="C2130" s="9">
        <v>4.5159646851088873</v>
      </c>
    </row>
    <row r="2131" spans="1:3" x14ac:dyDescent="0.3">
      <c r="A2131" s="1">
        <v>1002201</v>
      </c>
      <c r="B2131" s="2" t="s">
        <v>1045</v>
      </c>
      <c r="C2131" s="9">
        <v>19.464846332546273</v>
      </c>
    </row>
    <row r="2132" spans="1:3" x14ac:dyDescent="0.3">
      <c r="A2132" s="1">
        <v>1002203</v>
      </c>
      <c r="B2132" s="2" t="s">
        <v>1046</v>
      </c>
      <c r="C2132" s="9">
        <v>4.5759245226581582</v>
      </c>
    </row>
    <row r="2133" spans="1:3" x14ac:dyDescent="0.3">
      <c r="A2133" s="1">
        <v>1002204</v>
      </c>
      <c r="B2133" s="2" t="s">
        <v>1047</v>
      </c>
      <c r="C2133" s="9">
        <v>2.131684819986245</v>
      </c>
    </row>
    <row r="2134" spans="1:3" x14ac:dyDescent="0.3">
      <c r="A2134" s="1">
        <v>1002205</v>
      </c>
      <c r="B2134" s="2" t="s">
        <v>1048</v>
      </c>
      <c r="C2134" s="9">
        <v>6.2250149184940815</v>
      </c>
    </row>
    <row r="2135" spans="1:3" x14ac:dyDescent="0.3">
      <c r="A2135" s="1">
        <v>1002209</v>
      </c>
      <c r="B2135" s="2" t="s">
        <v>1050</v>
      </c>
      <c r="C2135" s="9">
        <v>29.217959431501303</v>
      </c>
    </row>
    <row r="2136" spans="1:3" x14ac:dyDescent="0.3">
      <c r="A2136" s="1">
        <v>1002217</v>
      </c>
      <c r="B2136" s="2" t="s">
        <v>1052</v>
      </c>
      <c r="C2136" s="9">
        <v>23.017183333333332</v>
      </c>
    </row>
    <row r="2137" spans="1:3" x14ac:dyDescent="0.3">
      <c r="A2137" s="1">
        <v>1002218</v>
      </c>
      <c r="B2137" s="2" t="s">
        <v>1053</v>
      </c>
      <c r="C2137" s="9">
        <v>2.1490740740740741</v>
      </c>
    </row>
    <row r="2138" spans="1:3" x14ac:dyDescent="0.3">
      <c r="A2138" s="1">
        <v>1002222</v>
      </c>
      <c r="B2138" s="2" t="s">
        <v>1054</v>
      </c>
      <c r="C2138" s="9">
        <v>590</v>
      </c>
    </row>
    <row r="2139" spans="1:3" x14ac:dyDescent="0.3">
      <c r="A2139" s="1">
        <v>1002223</v>
      </c>
      <c r="B2139" s="2" t="s">
        <v>1055</v>
      </c>
      <c r="C2139" s="9">
        <v>518.9366041870926</v>
      </c>
    </row>
    <row r="2140" spans="1:3" x14ac:dyDescent="0.3">
      <c r="A2140" s="1">
        <v>1002224</v>
      </c>
      <c r="B2140" s="2" t="s">
        <v>1056</v>
      </c>
      <c r="C2140" s="9">
        <v>278.68349942632352</v>
      </c>
    </row>
    <row r="2141" spans="1:3" x14ac:dyDescent="0.3">
      <c r="A2141" s="1">
        <v>1002225</v>
      </c>
      <c r="B2141" s="2" t="s">
        <v>1057</v>
      </c>
      <c r="C2141" s="9">
        <v>554.21056333739341</v>
      </c>
    </row>
    <row r="2142" spans="1:3" x14ac:dyDescent="0.3">
      <c r="A2142" s="1">
        <v>1002228</v>
      </c>
      <c r="B2142" s="2" t="s">
        <v>1058</v>
      </c>
      <c r="C2142" s="9">
        <v>11.386105958505423</v>
      </c>
    </row>
    <row r="2143" spans="1:3" x14ac:dyDescent="0.3">
      <c r="A2143" s="1">
        <v>1002229</v>
      </c>
      <c r="B2143" s="2" t="s">
        <v>1059</v>
      </c>
      <c r="C2143" s="9">
        <v>0.79999999999999993</v>
      </c>
    </row>
    <row r="2144" spans="1:3" x14ac:dyDescent="0.3">
      <c r="A2144" s="1">
        <v>1002230</v>
      </c>
      <c r="B2144" s="2" t="s">
        <v>1060</v>
      </c>
      <c r="C2144" s="9">
        <v>1.427799043062201</v>
      </c>
    </row>
    <row r="2145" spans="1:3" x14ac:dyDescent="0.3">
      <c r="A2145" s="1">
        <v>1002231</v>
      </c>
      <c r="B2145" s="2" t="s">
        <v>1061</v>
      </c>
      <c r="C2145" s="9">
        <v>33.908413895481317</v>
      </c>
    </row>
    <row r="2146" spans="1:3" x14ac:dyDescent="0.3">
      <c r="A2146" s="1">
        <v>1002233</v>
      </c>
      <c r="B2146" s="2" t="s">
        <v>1063</v>
      </c>
      <c r="C2146" s="9">
        <v>162.8805339985218</v>
      </c>
    </row>
    <row r="2147" spans="1:3" x14ac:dyDescent="0.3">
      <c r="A2147" s="1">
        <v>1002235</v>
      </c>
      <c r="B2147" s="2" t="s">
        <v>1065</v>
      </c>
      <c r="C2147" s="9">
        <v>0</v>
      </c>
    </row>
    <row r="2148" spans="1:3" x14ac:dyDescent="0.3">
      <c r="A2148" s="1">
        <v>1002238</v>
      </c>
      <c r="B2148" s="2" t="s">
        <v>1068</v>
      </c>
      <c r="C2148" s="9">
        <v>1.2451382096313997</v>
      </c>
    </row>
    <row r="2149" spans="1:3" x14ac:dyDescent="0.3">
      <c r="A2149" s="1">
        <v>1002239</v>
      </c>
      <c r="B2149" s="2" t="s">
        <v>1069</v>
      </c>
      <c r="C2149" s="9">
        <v>1.181587004710446</v>
      </c>
    </row>
    <row r="2150" spans="1:3" x14ac:dyDescent="0.3">
      <c r="A2150" s="1">
        <v>1002243</v>
      </c>
      <c r="B2150" s="2" t="s">
        <v>1071</v>
      </c>
      <c r="C2150" s="9">
        <v>8.3521283018867916</v>
      </c>
    </row>
    <row r="2151" spans="1:3" x14ac:dyDescent="0.3">
      <c r="A2151" s="1">
        <v>1002251</v>
      </c>
      <c r="B2151" s="2" t="s">
        <v>1074</v>
      </c>
      <c r="C2151" s="9">
        <v>10.48</v>
      </c>
    </row>
    <row r="2152" spans="1:3" x14ac:dyDescent="0.3">
      <c r="A2152" s="1">
        <v>1002269</v>
      </c>
      <c r="B2152" s="2" t="s">
        <v>1080</v>
      </c>
      <c r="C2152" s="9">
        <v>0</v>
      </c>
    </row>
    <row r="2153" spans="1:3" x14ac:dyDescent="0.3">
      <c r="A2153" s="1">
        <v>1002270</v>
      </c>
      <c r="B2153" s="2" t="s">
        <v>1081</v>
      </c>
      <c r="C2153" s="9">
        <v>6.5900000000000007</v>
      </c>
    </row>
    <row r="2154" spans="1:3" x14ac:dyDescent="0.3">
      <c r="A2154" s="1">
        <v>1002271</v>
      </c>
      <c r="B2154" s="2" t="s">
        <v>1082</v>
      </c>
      <c r="C2154" s="9">
        <v>4.5</v>
      </c>
    </row>
    <row r="2155" spans="1:3" x14ac:dyDescent="0.3">
      <c r="A2155" s="1">
        <v>1002272</v>
      </c>
      <c r="B2155" s="2" t="s">
        <v>1083</v>
      </c>
      <c r="C2155" s="9">
        <v>19.45</v>
      </c>
    </row>
    <row r="2156" spans="1:3" x14ac:dyDescent="0.3">
      <c r="A2156" s="1">
        <v>1002275</v>
      </c>
      <c r="B2156" s="2" t="s">
        <v>1085</v>
      </c>
      <c r="C2156" s="9">
        <v>0</v>
      </c>
    </row>
    <row r="2157" spans="1:3" x14ac:dyDescent="0.3">
      <c r="A2157" s="1">
        <v>1002276</v>
      </c>
      <c r="B2157" s="2" t="s">
        <v>1086</v>
      </c>
      <c r="C2157" s="9">
        <v>0</v>
      </c>
    </row>
    <row r="2158" spans="1:3" x14ac:dyDescent="0.3">
      <c r="A2158" s="1">
        <v>1002282</v>
      </c>
      <c r="B2158" s="2" t="s">
        <v>1087</v>
      </c>
      <c r="C2158" s="9">
        <v>28.40885882352941</v>
      </c>
    </row>
    <row r="2159" spans="1:3" x14ac:dyDescent="0.3">
      <c r="A2159" s="1">
        <v>1002283</v>
      </c>
      <c r="B2159" s="2" t="s">
        <v>1088</v>
      </c>
      <c r="C2159" s="9">
        <v>60.589999999999996</v>
      </c>
    </row>
    <row r="2160" spans="1:3" x14ac:dyDescent="0.3">
      <c r="A2160" s="1">
        <v>1002284</v>
      </c>
      <c r="B2160" s="2" t="s">
        <v>1089</v>
      </c>
      <c r="C2160" s="9">
        <v>62.18</v>
      </c>
    </row>
    <row r="2161" spans="1:3" x14ac:dyDescent="0.3">
      <c r="A2161" s="1">
        <v>1002285</v>
      </c>
      <c r="B2161" s="2" t="s">
        <v>1090</v>
      </c>
      <c r="C2161" s="9">
        <v>18.77729411764706</v>
      </c>
    </row>
    <row r="2162" spans="1:3" x14ac:dyDescent="0.3">
      <c r="A2162" s="1">
        <v>1002290</v>
      </c>
      <c r="B2162" s="2" t="s">
        <v>1094</v>
      </c>
      <c r="C2162" s="9">
        <v>159.18199275362318</v>
      </c>
    </row>
    <row r="2163" spans="1:3" x14ac:dyDescent="0.3">
      <c r="A2163" s="1">
        <v>1002294</v>
      </c>
      <c r="B2163" s="2" t="s">
        <v>1096</v>
      </c>
      <c r="C2163" s="9">
        <v>140.18</v>
      </c>
    </row>
    <row r="2164" spans="1:3" x14ac:dyDescent="0.3">
      <c r="A2164" s="1">
        <v>1002295</v>
      </c>
      <c r="B2164" s="2" t="s">
        <v>1097</v>
      </c>
      <c r="C2164" s="9">
        <v>344.65435483870965</v>
      </c>
    </row>
    <row r="2165" spans="1:3" x14ac:dyDescent="0.3">
      <c r="A2165" s="1">
        <v>1002298</v>
      </c>
      <c r="B2165" s="2" t="s">
        <v>1098</v>
      </c>
      <c r="C2165" s="9">
        <v>143.08677261613693</v>
      </c>
    </row>
    <row r="2166" spans="1:3" x14ac:dyDescent="0.3">
      <c r="A2166" s="1">
        <v>1002299</v>
      </c>
      <c r="B2166" s="2" t="s">
        <v>1099</v>
      </c>
      <c r="C2166" s="9">
        <v>281.62</v>
      </c>
    </row>
    <row r="2167" spans="1:3" x14ac:dyDescent="0.3">
      <c r="A2167" s="1">
        <v>1002301</v>
      </c>
      <c r="B2167" s="2" t="s">
        <v>1101</v>
      </c>
      <c r="C2167" s="9">
        <v>147.5</v>
      </c>
    </row>
    <row r="2168" spans="1:3" x14ac:dyDescent="0.3">
      <c r="A2168" s="1">
        <v>1002303</v>
      </c>
      <c r="B2168" s="2" t="s">
        <v>1102</v>
      </c>
      <c r="C2168" s="9">
        <v>26.353216608487969</v>
      </c>
    </row>
    <row r="2169" spans="1:3" x14ac:dyDescent="0.3">
      <c r="A2169" s="1">
        <v>1002305</v>
      </c>
      <c r="B2169" s="2" t="s">
        <v>1103</v>
      </c>
      <c r="C2169" s="9">
        <v>24.62</v>
      </c>
    </row>
    <row r="2170" spans="1:3" x14ac:dyDescent="0.3">
      <c r="A2170" s="1">
        <v>1002306</v>
      </c>
      <c r="B2170" s="2" t="s">
        <v>1104</v>
      </c>
      <c r="C2170" s="9">
        <v>170.56164227318044</v>
      </c>
    </row>
    <row r="2171" spans="1:3" x14ac:dyDescent="0.3">
      <c r="A2171" s="1">
        <v>1002307</v>
      </c>
      <c r="B2171" s="2" t="s">
        <v>1105</v>
      </c>
      <c r="C2171" s="9">
        <v>35.327215582115983</v>
      </c>
    </row>
    <row r="2172" spans="1:3" x14ac:dyDescent="0.3">
      <c r="A2172" s="1">
        <v>1002308</v>
      </c>
      <c r="B2172" s="2" t="s">
        <v>1106</v>
      </c>
      <c r="C2172" s="9">
        <v>69.629694224235564</v>
      </c>
    </row>
    <row r="2173" spans="1:3" x14ac:dyDescent="0.3">
      <c r="A2173" s="1">
        <v>1002310</v>
      </c>
      <c r="B2173" s="2" t="s">
        <v>1107</v>
      </c>
      <c r="C2173" s="9">
        <v>43.680020366598775</v>
      </c>
    </row>
    <row r="2174" spans="1:3" x14ac:dyDescent="0.3">
      <c r="A2174" s="1">
        <v>1002311</v>
      </c>
      <c r="B2174" s="2" t="s">
        <v>1108</v>
      </c>
      <c r="C2174" s="9">
        <v>18.29</v>
      </c>
    </row>
    <row r="2175" spans="1:3" x14ac:dyDescent="0.3">
      <c r="A2175" s="1">
        <v>1002313</v>
      </c>
      <c r="B2175" s="2" t="s">
        <v>1109</v>
      </c>
      <c r="C2175" s="9">
        <v>79.483738229755176</v>
      </c>
    </row>
    <row r="2176" spans="1:3" x14ac:dyDescent="0.3">
      <c r="A2176" s="1">
        <v>1002317</v>
      </c>
      <c r="B2176" s="2" t="s">
        <v>1111</v>
      </c>
      <c r="C2176" s="9">
        <v>70.31550322260783</v>
      </c>
    </row>
    <row r="2177" spans="1:3" x14ac:dyDescent="0.3">
      <c r="A2177" s="1">
        <v>1002318</v>
      </c>
      <c r="B2177" s="2" t="s">
        <v>1112</v>
      </c>
      <c r="C2177" s="9">
        <v>471.37456284153006</v>
      </c>
    </row>
    <row r="2178" spans="1:3" x14ac:dyDescent="0.3">
      <c r="A2178" s="1">
        <v>1002319</v>
      </c>
      <c r="B2178" s="2" t="s">
        <v>1113</v>
      </c>
      <c r="C2178" s="9">
        <v>309.76179130434781</v>
      </c>
    </row>
    <row r="2179" spans="1:3" x14ac:dyDescent="0.3">
      <c r="A2179" s="1">
        <v>1002322</v>
      </c>
      <c r="B2179" s="2" t="s">
        <v>1115</v>
      </c>
      <c r="C2179" s="9">
        <v>81</v>
      </c>
    </row>
    <row r="2180" spans="1:3" x14ac:dyDescent="0.3">
      <c r="A2180" s="1">
        <v>1002325</v>
      </c>
      <c r="B2180" s="2" t="s">
        <v>1117</v>
      </c>
      <c r="C2180" s="9">
        <v>10.072668195718656</v>
      </c>
    </row>
    <row r="2181" spans="1:3" x14ac:dyDescent="0.3">
      <c r="A2181" s="1">
        <v>1002328</v>
      </c>
      <c r="B2181" s="2" t="s">
        <v>1119</v>
      </c>
      <c r="C2181" s="9">
        <v>18.985784244144785</v>
      </c>
    </row>
    <row r="2182" spans="1:3" x14ac:dyDescent="0.3">
      <c r="A2182" s="1">
        <v>1002329</v>
      </c>
      <c r="B2182" s="2" t="s">
        <v>1120</v>
      </c>
      <c r="C2182" s="9">
        <v>82.75983527714321</v>
      </c>
    </row>
    <row r="2183" spans="1:3" x14ac:dyDescent="0.3">
      <c r="A2183" s="1">
        <v>1002330</v>
      </c>
      <c r="B2183" s="2" t="s">
        <v>1121</v>
      </c>
      <c r="C2183" s="9">
        <v>54.828273508206784</v>
      </c>
    </row>
    <row r="2184" spans="1:3" x14ac:dyDescent="0.3">
      <c r="A2184" s="1">
        <v>1002331</v>
      </c>
      <c r="B2184" s="2" t="s">
        <v>1122</v>
      </c>
      <c r="C2184" s="9">
        <v>65.336606060606073</v>
      </c>
    </row>
    <row r="2185" spans="1:3" x14ac:dyDescent="0.3">
      <c r="A2185" s="1">
        <v>1002334</v>
      </c>
      <c r="B2185" s="2" t="s">
        <v>1125</v>
      </c>
      <c r="C2185" s="9">
        <v>101.21</v>
      </c>
    </row>
    <row r="2186" spans="1:3" x14ac:dyDescent="0.3">
      <c r="A2186" s="1">
        <v>1002336</v>
      </c>
      <c r="B2186" s="2" t="s">
        <v>1126</v>
      </c>
      <c r="C2186" s="9">
        <v>31.467757173795345</v>
      </c>
    </row>
    <row r="2187" spans="1:3" x14ac:dyDescent="0.3">
      <c r="A2187" s="1">
        <v>1002338</v>
      </c>
      <c r="B2187" s="2" t="s">
        <v>1127</v>
      </c>
      <c r="C2187" s="9">
        <v>50.858000626762774</v>
      </c>
    </row>
    <row r="2188" spans="1:3" x14ac:dyDescent="0.3">
      <c r="A2188" s="1">
        <v>1002339</v>
      </c>
      <c r="B2188" s="2" t="s">
        <v>1128</v>
      </c>
      <c r="C2188" s="9">
        <v>0</v>
      </c>
    </row>
    <row r="2189" spans="1:3" x14ac:dyDescent="0.3">
      <c r="A2189" s="1">
        <v>1002341</v>
      </c>
      <c r="B2189" s="2" t="s">
        <v>1129</v>
      </c>
      <c r="C2189" s="9">
        <v>0</v>
      </c>
    </row>
    <row r="2190" spans="1:3" x14ac:dyDescent="0.3">
      <c r="A2190" s="1">
        <v>1002343</v>
      </c>
      <c r="B2190" s="2" t="s">
        <v>1130</v>
      </c>
      <c r="C2190" s="9">
        <v>0</v>
      </c>
    </row>
    <row r="2191" spans="1:3" x14ac:dyDescent="0.3">
      <c r="A2191" s="1">
        <v>1002346</v>
      </c>
      <c r="B2191" s="2" t="s">
        <v>1132</v>
      </c>
      <c r="C2191" s="9">
        <v>0</v>
      </c>
    </row>
    <row r="2192" spans="1:3" x14ac:dyDescent="0.3">
      <c r="A2192" s="1">
        <v>1002347</v>
      </c>
      <c r="B2192" s="2" t="s">
        <v>1133</v>
      </c>
      <c r="C2192" s="9">
        <v>112.29195023148148</v>
      </c>
    </row>
    <row r="2193" spans="1:3" x14ac:dyDescent="0.3">
      <c r="A2193" s="1">
        <v>1002348</v>
      </c>
      <c r="B2193" s="2" t="s">
        <v>1134</v>
      </c>
      <c r="C2193" s="9">
        <v>234.70563627950023</v>
      </c>
    </row>
    <row r="2194" spans="1:3" x14ac:dyDescent="0.3">
      <c r="A2194" s="1">
        <v>1002349</v>
      </c>
      <c r="B2194" s="2" t="s">
        <v>1135</v>
      </c>
      <c r="C2194" s="9">
        <v>141.6</v>
      </c>
    </row>
    <row r="2195" spans="1:3" x14ac:dyDescent="0.3">
      <c r="A2195" s="1">
        <v>1002355</v>
      </c>
      <c r="B2195" s="2" t="s">
        <v>1137</v>
      </c>
      <c r="C2195" s="9">
        <v>171.84452267303101</v>
      </c>
    </row>
    <row r="2196" spans="1:3" x14ac:dyDescent="0.3">
      <c r="A2196" s="1">
        <v>1002372</v>
      </c>
      <c r="B2196" s="2" t="s">
        <v>1138</v>
      </c>
      <c r="C2196" s="9">
        <v>8.259598038827594</v>
      </c>
    </row>
    <row r="2197" spans="1:3" x14ac:dyDescent="0.3">
      <c r="A2197" s="1">
        <v>1002375</v>
      </c>
      <c r="B2197" s="2" t="s">
        <v>1140</v>
      </c>
      <c r="C2197" s="9">
        <v>7.9135703001579776</v>
      </c>
    </row>
    <row r="2198" spans="1:3" x14ac:dyDescent="0.3">
      <c r="A2198" s="1">
        <v>1002383</v>
      </c>
      <c r="B2198" s="2" t="s">
        <v>1142</v>
      </c>
      <c r="C2198" s="9">
        <v>1.25</v>
      </c>
    </row>
    <row r="2199" spans="1:3" x14ac:dyDescent="0.3">
      <c r="A2199" s="1">
        <v>1002388</v>
      </c>
      <c r="B2199" s="2" t="s">
        <v>1144</v>
      </c>
      <c r="C2199" s="9">
        <v>36.022019064693154</v>
      </c>
    </row>
    <row r="2200" spans="1:3" x14ac:dyDescent="0.3">
      <c r="A2200" s="1">
        <v>1002390</v>
      </c>
      <c r="B2200" s="2" t="s">
        <v>1145</v>
      </c>
      <c r="C2200" s="9">
        <v>413.5301274097792</v>
      </c>
    </row>
    <row r="2201" spans="1:3" x14ac:dyDescent="0.3">
      <c r="A2201" s="1">
        <v>1002392</v>
      </c>
      <c r="B2201" s="2" t="s">
        <v>1147</v>
      </c>
      <c r="C2201" s="9">
        <v>70.8</v>
      </c>
    </row>
    <row r="2202" spans="1:3" x14ac:dyDescent="0.3">
      <c r="A2202" s="1">
        <v>1002393</v>
      </c>
      <c r="B2202" s="2" t="s">
        <v>1148</v>
      </c>
      <c r="C2202" s="9">
        <v>29.240400000000001</v>
      </c>
    </row>
    <row r="2203" spans="1:3" x14ac:dyDescent="0.3">
      <c r="A2203" s="1">
        <v>1002394</v>
      </c>
      <c r="B2203" s="2" t="s">
        <v>1149</v>
      </c>
      <c r="C2203" s="9">
        <v>157.13233218258534</v>
      </c>
    </row>
    <row r="2204" spans="1:3" x14ac:dyDescent="0.3">
      <c r="A2204" s="1">
        <v>1002395</v>
      </c>
      <c r="B2204" s="2" t="s">
        <v>1150</v>
      </c>
      <c r="C2204" s="9">
        <v>115.86636295180723</v>
      </c>
    </row>
    <row r="2205" spans="1:3" x14ac:dyDescent="0.3">
      <c r="A2205" s="1">
        <v>1002396</v>
      </c>
      <c r="B2205" s="2" t="s">
        <v>1151</v>
      </c>
      <c r="C2205" s="9">
        <v>94.200991388827546</v>
      </c>
    </row>
    <row r="2206" spans="1:3" x14ac:dyDescent="0.3">
      <c r="A2206" s="1">
        <v>1002397</v>
      </c>
      <c r="B2206" s="2" t="s">
        <v>1152</v>
      </c>
      <c r="C2206" s="9">
        <v>122.07000000000001</v>
      </c>
    </row>
    <row r="2207" spans="1:3" x14ac:dyDescent="0.3">
      <c r="A2207" s="1">
        <v>1002398</v>
      </c>
      <c r="B2207" s="2" t="s">
        <v>1153</v>
      </c>
      <c r="C2207" s="9">
        <v>116.06803071364047</v>
      </c>
    </row>
    <row r="2208" spans="1:3" x14ac:dyDescent="0.3">
      <c r="A2208" s="1">
        <v>1002399</v>
      </c>
      <c r="B2208" s="2" t="s">
        <v>1154</v>
      </c>
      <c r="C2208" s="9">
        <v>0</v>
      </c>
    </row>
    <row r="2209" spans="1:3" x14ac:dyDescent="0.3">
      <c r="A2209" s="1">
        <v>1002400</v>
      </c>
      <c r="B2209" s="2" t="s">
        <v>1155</v>
      </c>
      <c r="C2209" s="9">
        <v>1374.28</v>
      </c>
    </row>
    <row r="2210" spans="1:3" x14ac:dyDescent="0.3">
      <c r="A2210" s="1">
        <v>1002401</v>
      </c>
      <c r="B2210" s="2" t="s">
        <v>1156</v>
      </c>
      <c r="C2210" s="9">
        <v>967.41676584022036</v>
      </c>
    </row>
    <row r="2211" spans="1:3" x14ac:dyDescent="0.3">
      <c r="A2211" s="1">
        <v>1002402</v>
      </c>
      <c r="B2211" s="2" t="s">
        <v>1157</v>
      </c>
      <c r="C2211" s="9">
        <v>1765.5708019323672</v>
      </c>
    </row>
    <row r="2212" spans="1:3" x14ac:dyDescent="0.3">
      <c r="A2212" s="1">
        <v>1002404</v>
      </c>
      <c r="B2212" s="2" t="s">
        <v>1158</v>
      </c>
      <c r="C2212" s="9">
        <v>3822.6866110080396</v>
      </c>
    </row>
    <row r="2213" spans="1:3" x14ac:dyDescent="0.3">
      <c r="A2213" s="1">
        <v>1002405</v>
      </c>
      <c r="B2213" s="2" t="s">
        <v>1159</v>
      </c>
      <c r="C2213" s="9">
        <v>23392.31</v>
      </c>
    </row>
    <row r="2214" spans="1:3" x14ac:dyDescent="0.3">
      <c r="A2214" s="1">
        <v>1002421</v>
      </c>
      <c r="B2214" s="2" t="s">
        <v>1162</v>
      </c>
      <c r="C2214" s="9">
        <v>1266.6356000000001</v>
      </c>
    </row>
    <row r="2215" spans="1:3" x14ac:dyDescent="0.3">
      <c r="A2215" s="1">
        <v>1002422</v>
      </c>
      <c r="B2215" s="2" t="s">
        <v>1163</v>
      </c>
      <c r="C2215" s="9">
        <v>28592.830689655173</v>
      </c>
    </row>
    <row r="2216" spans="1:3" x14ac:dyDescent="0.3">
      <c r="A2216" s="1">
        <v>1002432</v>
      </c>
      <c r="B2216" s="2" t="s">
        <v>1170</v>
      </c>
      <c r="C2216" s="9">
        <v>2787.4752173913043</v>
      </c>
    </row>
    <row r="2217" spans="1:3" x14ac:dyDescent="0.3">
      <c r="A2217" s="1">
        <v>1002435</v>
      </c>
      <c r="B2217" s="2" t="s">
        <v>1173</v>
      </c>
      <c r="C2217" s="9">
        <v>958</v>
      </c>
    </row>
    <row r="2218" spans="1:3" x14ac:dyDescent="0.3">
      <c r="A2218" s="1">
        <v>1002436</v>
      </c>
      <c r="B2218" s="2" t="s">
        <v>1174</v>
      </c>
      <c r="C2218" s="9">
        <v>14494.156382978723</v>
      </c>
    </row>
    <row r="2219" spans="1:3" x14ac:dyDescent="0.3">
      <c r="A2219" s="1">
        <v>1002437</v>
      </c>
      <c r="B2219" s="2" t="s">
        <v>1175</v>
      </c>
      <c r="C2219" s="9">
        <v>20094.113777777777</v>
      </c>
    </row>
    <row r="2220" spans="1:3" x14ac:dyDescent="0.3">
      <c r="A2220" s="1">
        <v>1002438</v>
      </c>
      <c r="B2220" s="2" t="s">
        <v>1176</v>
      </c>
      <c r="C2220" s="9">
        <v>65392.79</v>
      </c>
    </row>
    <row r="2221" spans="1:3" x14ac:dyDescent="0.3">
      <c r="A2221" s="1">
        <v>1002439</v>
      </c>
      <c r="B2221" s="2" t="s">
        <v>1177</v>
      </c>
      <c r="C2221" s="9">
        <v>2869.9144736842104</v>
      </c>
    </row>
    <row r="2222" spans="1:3" x14ac:dyDescent="0.3">
      <c r="A2222" s="1">
        <v>1002442</v>
      </c>
      <c r="B2222" s="2" t="s">
        <v>1179</v>
      </c>
      <c r="C2222" s="9">
        <v>2647.3425000000002</v>
      </c>
    </row>
    <row r="2223" spans="1:3" x14ac:dyDescent="0.3">
      <c r="A2223" s="1">
        <v>1002445</v>
      </c>
      <c r="B2223" s="2" t="s">
        <v>1182</v>
      </c>
      <c r="C2223" s="9">
        <v>36458.342608695653</v>
      </c>
    </row>
    <row r="2224" spans="1:3" x14ac:dyDescent="0.3">
      <c r="A2224" s="1">
        <v>1002447</v>
      </c>
      <c r="B2224" s="2" t="s">
        <v>1183</v>
      </c>
      <c r="C2224" s="9">
        <v>1298</v>
      </c>
    </row>
    <row r="2225" spans="1:3" x14ac:dyDescent="0.3">
      <c r="A2225" s="1">
        <v>1002448</v>
      </c>
      <c r="B2225" s="2" t="s">
        <v>1184</v>
      </c>
      <c r="C2225" s="9">
        <v>161481.24</v>
      </c>
    </row>
    <row r="2226" spans="1:3" x14ac:dyDescent="0.3">
      <c r="A2226" s="1">
        <v>1002449</v>
      </c>
      <c r="B2226" s="2" t="s">
        <v>1185</v>
      </c>
      <c r="C2226" s="9">
        <v>17042.189999999999</v>
      </c>
    </row>
    <row r="2227" spans="1:3" x14ac:dyDescent="0.3">
      <c r="A2227" s="1">
        <v>1002450</v>
      </c>
      <c r="B2227" s="2" t="s">
        <v>1186</v>
      </c>
      <c r="C2227" s="9">
        <v>1657.3715051903114</v>
      </c>
    </row>
    <row r="2228" spans="1:3" x14ac:dyDescent="0.3">
      <c r="A2228" s="1">
        <v>1002457</v>
      </c>
      <c r="B2228" s="2" t="s">
        <v>1193</v>
      </c>
      <c r="C2228" s="9">
        <v>48148.343333333331</v>
      </c>
    </row>
    <row r="2229" spans="1:3" x14ac:dyDescent="0.3">
      <c r="A2229" s="1">
        <v>1002459</v>
      </c>
      <c r="B2229" s="2" t="s">
        <v>1194</v>
      </c>
      <c r="C2229" s="9">
        <v>1718.581542080502</v>
      </c>
    </row>
    <row r="2230" spans="1:3" x14ac:dyDescent="0.3">
      <c r="A2230" s="1">
        <v>1002461</v>
      </c>
      <c r="B2230" s="2" t="s">
        <v>1195</v>
      </c>
      <c r="C2230" s="9">
        <v>19106.404666666665</v>
      </c>
    </row>
    <row r="2231" spans="1:3" x14ac:dyDescent="0.3">
      <c r="A2231" s="1">
        <v>1002463</v>
      </c>
      <c r="B2231" s="2" t="s">
        <v>1196</v>
      </c>
      <c r="C2231" s="9">
        <v>2678.9694594594594</v>
      </c>
    </row>
    <row r="2232" spans="1:3" x14ac:dyDescent="0.3">
      <c r="A2232" s="1">
        <v>1002466</v>
      </c>
      <c r="B2232" s="2" t="s">
        <v>1197</v>
      </c>
      <c r="C2232" s="9">
        <v>2405.16</v>
      </c>
    </row>
    <row r="2233" spans="1:3" x14ac:dyDescent="0.3">
      <c r="A2233" s="1">
        <v>1002472</v>
      </c>
      <c r="B2233" s="2" t="s">
        <v>1199</v>
      </c>
      <c r="C2233" s="9">
        <v>605</v>
      </c>
    </row>
    <row r="2234" spans="1:3" x14ac:dyDescent="0.3">
      <c r="A2234" s="1">
        <v>1002473</v>
      </c>
      <c r="B2234" s="2" t="s">
        <v>1200</v>
      </c>
      <c r="C2234" s="9">
        <v>678.08</v>
      </c>
    </row>
    <row r="2235" spans="1:3" x14ac:dyDescent="0.3">
      <c r="A2235" s="1">
        <v>1002475</v>
      </c>
      <c r="B2235" s="2" t="s">
        <v>1201</v>
      </c>
      <c r="C2235" s="9">
        <v>38521.215128205127</v>
      </c>
    </row>
    <row r="2236" spans="1:3" x14ac:dyDescent="0.3">
      <c r="A2236" s="1">
        <v>1002477</v>
      </c>
      <c r="B2236" s="2" t="s">
        <v>1202</v>
      </c>
      <c r="C2236" s="9">
        <v>35055.181818181816</v>
      </c>
    </row>
    <row r="2237" spans="1:3" x14ac:dyDescent="0.3">
      <c r="A2237" s="1">
        <v>1002480</v>
      </c>
      <c r="B2237" s="2" t="s">
        <v>1204</v>
      </c>
      <c r="C2237" s="9">
        <v>37375.785135135135</v>
      </c>
    </row>
    <row r="2238" spans="1:3" x14ac:dyDescent="0.3">
      <c r="A2238" s="1">
        <v>1002483</v>
      </c>
      <c r="B2238" s="2" t="s">
        <v>1205</v>
      </c>
      <c r="C2238" s="9">
        <v>11.849044827586207</v>
      </c>
    </row>
    <row r="2239" spans="1:3" x14ac:dyDescent="0.3">
      <c r="A2239" s="1">
        <v>1002484</v>
      </c>
      <c r="B2239" s="2" t="s">
        <v>1206</v>
      </c>
      <c r="C2239" s="9">
        <v>7.9343876251137395</v>
      </c>
    </row>
    <row r="2240" spans="1:3" x14ac:dyDescent="0.3">
      <c r="A2240" s="1">
        <v>1002486</v>
      </c>
      <c r="B2240" s="2" t="s">
        <v>1208</v>
      </c>
      <c r="C2240" s="9">
        <v>20.594124999999998</v>
      </c>
    </row>
    <row r="2241" spans="1:3" x14ac:dyDescent="0.3">
      <c r="A2241" s="1">
        <v>1002487</v>
      </c>
      <c r="B2241" s="2" t="s">
        <v>1209</v>
      </c>
      <c r="C2241" s="9">
        <v>6.6032714500752636</v>
      </c>
    </row>
    <row r="2242" spans="1:3" x14ac:dyDescent="0.3">
      <c r="A2242" s="1">
        <v>1002488</v>
      </c>
      <c r="B2242" s="2" t="s">
        <v>1210</v>
      </c>
      <c r="C2242" s="9">
        <v>2.401013100436681</v>
      </c>
    </row>
    <row r="2243" spans="1:3" x14ac:dyDescent="0.3">
      <c r="A2243" s="1">
        <v>1002489</v>
      </c>
      <c r="B2243" s="2" t="s">
        <v>1211</v>
      </c>
      <c r="C2243" s="9">
        <v>19.66</v>
      </c>
    </row>
    <row r="2244" spans="1:3" x14ac:dyDescent="0.3">
      <c r="A2244" s="1">
        <v>1002502</v>
      </c>
      <c r="B2244" s="2" t="s">
        <v>1217</v>
      </c>
      <c r="C2244" s="9">
        <v>17.896348623853211</v>
      </c>
    </row>
    <row r="2245" spans="1:3" x14ac:dyDescent="0.3">
      <c r="A2245" s="1">
        <v>1002503</v>
      </c>
      <c r="B2245" s="2" t="s">
        <v>1218</v>
      </c>
      <c r="C2245" s="9">
        <v>116.13540229885058</v>
      </c>
    </row>
    <row r="2246" spans="1:3" x14ac:dyDescent="0.3">
      <c r="A2246" s="1">
        <v>1002505</v>
      </c>
      <c r="B2246" s="2" t="s">
        <v>1219</v>
      </c>
      <c r="C2246" s="9">
        <v>50.691724137931033</v>
      </c>
    </row>
    <row r="2247" spans="1:3" x14ac:dyDescent="0.3">
      <c r="A2247" s="1">
        <v>1002506</v>
      </c>
      <c r="B2247" s="2" t="s">
        <v>1220</v>
      </c>
      <c r="C2247" s="9">
        <v>106.50228260869565</v>
      </c>
    </row>
    <row r="2248" spans="1:3" x14ac:dyDescent="0.3">
      <c r="A2248" s="1">
        <v>1002507</v>
      </c>
      <c r="B2248" s="2" t="s">
        <v>1221</v>
      </c>
      <c r="C2248" s="9">
        <v>205.87925925925924</v>
      </c>
    </row>
    <row r="2249" spans="1:3" x14ac:dyDescent="0.3">
      <c r="A2249" s="1">
        <v>1002510</v>
      </c>
      <c r="B2249" s="2" t="s">
        <v>1222</v>
      </c>
      <c r="C2249" s="9">
        <v>188.85231678486997</v>
      </c>
    </row>
    <row r="2250" spans="1:3" x14ac:dyDescent="0.3">
      <c r="A2250" s="1">
        <v>1002511</v>
      </c>
      <c r="B2250" s="2" t="s">
        <v>1223</v>
      </c>
      <c r="C2250" s="9">
        <v>77.274398331595393</v>
      </c>
    </row>
    <row r="2251" spans="1:3" x14ac:dyDescent="0.3">
      <c r="A2251" s="1">
        <v>1002513</v>
      </c>
      <c r="B2251" s="2" t="s">
        <v>1225</v>
      </c>
      <c r="C2251" s="9">
        <v>1114.2905816326531</v>
      </c>
    </row>
    <row r="2252" spans="1:3" x14ac:dyDescent="0.3">
      <c r="A2252" s="1">
        <v>1002523</v>
      </c>
      <c r="B2252" s="2" t="s">
        <v>1229</v>
      </c>
      <c r="C2252" s="9">
        <v>5422.1472058823529</v>
      </c>
    </row>
    <row r="2253" spans="1:3" x14ac:dyDescent="0.3">
      <c r="A2253" s="1">
        <v>1002533</v>
      </c>
      <c r="B2253" s="2" t="s">
        <v>1233</v>
      </c>
      <c r="C2253" s="9">
        <v>22703.200000000001</v>
      </c>
    </row>
    <row r="2254" spans="1:3" x14ac:dyDescent="0.3">
      <c r="A2254" s="1">
        <v>1002542</v>
      </c>
      <c r="B2254" s="2" t="s">
        <v>1235</v>
      </c>
      <c r="C2254" s="9">
        <v>17337.32</v>
      </c>
    </row>
    <row r="2255" spans="1:3" x14ac:dyDescent="0.3">
      <c r="A2255" s="1">
        <v>1002564</v>
      </c>
      <c r="B2255" s="2" t="s">
        <v>1240</v>
      </c>
      <c r="C2255" s="9" t="e">
        <v>#DIV/0!</v>
      </c>
    </row>
    <row r="2256" spans="1:3" x14ac:dyDescent="0.3">
      <c r="A2256" s="1">
        <v>1002586</v>
      </c>
      <c r="B2256" s="2" t="s">
        <v>1249</v>
      </c>
      <c r="C2256" s="9">
        <v>3806.3442571428573</v>
      </c>
    </row>
    <row r="2257" spans="1:3" x14ac:dyDescent="0.3">
      <c r="A2257" s="1">
        <v>1002594</v>
      </c>
      <c r="B2257" s="2" t="s">
        <v>1253</v>
      </c>
      <c r="C2257" s="9">
        <v>546.69999999999993</v>
      </c>
    </row>
    <row r="2258" spans="1:3" x14ac:dyDescent="0.3">
      <c r="A2258" s="1">
        <v>1002595</v>
      </c>
      <c r="B2258" s="2" t="s">
        <v>1254</v>
      </c>
      <c r="C2258" s="9">
        <v>1152.7629124167579</v>
      </c>
    </row>
    <row r="2259" spans="1:3" x14ac:dyDescent="0.3">
      <c r="A2259" s="1">
        <v>1002596</v>
      </c>
      <c r="B2259" s="2" t="s">
        <v>1255</v>
      </c>
      <c r="C2259" s="9">
        <v>1067.45</v>
      </c>
    </row>
    <row r="2260" spans="1:3" x14ac:dyDescent="0.3">
      <c r="A2260" s="1">
        <v>1002597</v>
      </c>
      <c r="B2260" s="2" t="s">
        <v>1256</v>
      </c>
      <c r="C2260" s="9">
        <v>646.64</v>
      </c>
    </row>
    <row r="2261" spans="1:3" x14ac:dyDescent="0.3">
      <c r="A2261" s="1">
        <v>1002598</v>
      </c>
      <c r="B2261" s="2" t="s">
        <v>1257</v>
      </c>
      <c r="C2261" s="9">
        <v>807.05063013698623</v>
      </c>
    </row>
    <row r="2262" spans="1:3" x14ac:dyDescent="0.3">
      <c r="A2262" s="1">
        <v>1002602</v>
      </c>
      <c r="B2262" s="2" t="s">
        <v>1258</v>
      </c>
      <c r="C2262" s="9">
        <v>3092533.3800000004</v>
      </c>
    </row>
    <row r="2263" spans="1:3" x14ac:dyDescent="0.3">
      <c r="A2263" s="1">
        <v>1002604</v>
      </c>
      <c r="B2263" s="2" t="s">
        <v>1259</v>
      </c>
      <c r="C2263" s="9">
        <v>1886706.72</v>
      </c>
    </row>
    <row r="2264" spans="1:3" x14ac:dyDescent="0.3">
      <c r="A2264" s="1">
        <v>1002605</v>
      </c>
      <c r="B2264" s="2" t="s">
        <v>1260</v>
      </c>
      <c r="C2264" s="9">
        <v>1358651.0166666668</v>
      </c>
    </row>
    <row r="2265" spans="1:3" x14ac:dyDescent="0.3">
      <c r="A2265" s="1">
        <v>1002606</v>
      </c>
      <c r="B2265" s="2" t="s">
        <v>1261</v>
      </c>
      <c r="C2265" s="9">
        <v>179161.7</v>
      </c>
    </row>
    <row r="2266" spans="1:3" x14ac:dyDescent="0.3">
      <c r="A2266" s="1">
        <v>1002609</v>
      </c>
      <c r="B2266" s="2" t="s">
        <v>1262</v>
      </c>
      <c r="C2266" s="9">
        <v>40088.879999999997</v>
      </c>
    </row>
    <row r="2267" spans="1:3" x14ac:dyDescent="0.3">
      <c r="A2267" s="1">
        <v>1002610</v>
      </c>
      <c r="B2267" s="2" t="s">
        <v>1263</v>
      </c>
      <c r="C2267" s="9">
        <v>50424.43</v>
      </c>
    </row>
    <row r="2268" spans="1:3" x14ac:dyDescent="0.3">
      <c r="A2268" s="1">
        <v>1002611</v>
      </c>
      <c r="B2268" s="2" t="s">
        <v>1264</v>
      </c>
      <c r="C2268" s="9">
        <v>1224239.615</v>
      </c>
    </row>
    <row r="2269" spans="1:3" x14ac:dyDescent="0.3">
      <c r="A2269" s="1">
        <v>1002616</v>
      </c>
      <c r="B2269" s="2" t="s">
        <v>1266</v>
      </c>
      <c r="C2269" s="9">
        <v>1446834.5220000001</v>
      </c>
    </row>
    <row r="2270" spans="1:3" x14ac:dyDescent="0.3">
      <c r="A2270" s="1">
        <v>1002626</v>
      </c>
      <c r="B2270" s="2" t="s">
        <v>1273</v>
      </c>
      <c r="C2270" s="9">
        <v>542476.05294117646</v>
      </c>
    </row>
    <row r="2271" spans="1:3" x14ac:dyDescent="0.3">
      <c r="A2271" s="1">
        <v>1002632</v>
      </c>
      <c r="B2271" s="2" t="s">
        <v>1275</v>
      </c>
      <c r="C2271" s="9">
        <v>597186.43590909091</v>
      </c>
    </row>
    <row r="2272" spans="1:3" x14ac:dyDescent="0.3">
      <c r="A2272" s="1">
        <v>1002634</v>
      </c>
      <c r="B2272" s="2" t="s">
        <v>1277</v>
      </c>
      <c r="C2272" s="9">
        <v>599895.79499999993</v>
      </c>
    </row>
    <row r="2273" spans="1:3" x14ac:dyDescent="0.3">
      <c r="A2273" s="1">
        <v>1002639</v>
      </c>
      <c r="B2273" s="2" t="s">
        <v>1281</v>
      </c>
      <c r="C2273" s="9">
        <v>357551.90125</v>
      </c>
    </row>
    <row r="2274" spans="1:3" x14ac:dyDescent="0.3">
      <c r="A2274" s="1">
        <v>1002643</v>
      </c>
      <c r="B2274" s="2" t="s">
        <v>1284</v>
      </c>
      <c r="C2274" s="9">
        <v>167260.26999999999</v>
      </c>
    </row>
    <row r="2275" spans="1:3" x14ac:dyDescent="0.3">
      <c r="A2275" s="1">
        <v>1002645</v>
      </c>
      <c r="B2275" s="2" t="s">
        <v>1285</v>
      </c>
      <c r="C2275" s="9">
        <v>421260.97</v>
      </c>
    </row>
    <row r="2276" spans="1:3" x14ac:dyDescent="0.3">
      <c r="A2276" s="1">
        <v>1002649</v>
      </c>
      <c r="B2276" s="2" t="s">
        <v>1286</v>
      </c>
      <c r="C2276" s="9">
        <v>263366.91666666669</v>
      </c>
    </row>
    <row r="2277" spans="1:3" x14ac:dyDescent="0.3">
      <c r="A2277" s="1">
        <v>1002650</v>
      </c>
      <c r="B2277" s="2" t="s">
        <v>1287</v>
      </c>
      <c r="C2277" s="9">
        <v>366563.09399999998</v>
      </c>
    </row>
    <row r="2278" spans="1:3" x14ac:dyDescent="0.3">
      <c r="A2278" s="1">
        <v>1002652</v>
      </c>
      <c r="B2278" s="2" t="s">
        <v>1288</v>
      </c>
      <c r="C2278" s="9">
        <v>341821.330625</v>
      </c>
    </row>
    <row r="2279" spans="1:3" x14ac:dyDescent="0.3">
      <c r="A2279" s="1">
        <v>1002653</v>
      </c>
      <c r="B2279" s="2" t="s">
        <v>1289</v>
      </c>
      <c r="C2279" s="9">
        <v>240673.32533333331</v>
      </c>
    </row>
    <row r="2280" spans="1:3" x14ac:dyDescent="0.3">
      <c r="A2280" s="1">
        <v>1002654</v>
      </c>
      <c r="B2280" s="2" t="s">
        <v>1290</v>
      </c>
      <c r="C2280" s="9">
        <v>649930.65666666662</v>
      </c>
    </row>
    <row r="2281" spans="1:3" x14ac:dyDescent="0.3">
      <c r="A2281" s="1">
        <v>1002656</v>
      </c>
      <c r="B2281" s="2" t="s">
        <v>1292</v>
      </c>
      <c r="C2281" s="9">
        <v>797803.11</v>
      </c>
    </row>
    <row r="2282" spans="1:3" x14ac:dyDescent="0.3">
      <c r="A2282" s="1">
        <v>1002664</v>
      </c>
      <c r="B2282" s="2" t="s">
        <v>1295</v>
      </c>
      <c r="C2282" s="9">
        <v>62331.41333333333</v>
      </c>
    </row>
    <row r="2283" spans="1:3" x14ac:dyDescent="0.3">
      <c r="A2283" s="1">
        <v>1002666</v>
      </c>
      <c r="B2283" s="2" t="s">
        <v>1297</v>
      </c>
      <c r="C2283" s="9">
        <v>59590.51</v>
      </c>
    </row>
    <row r="2284" spans="1:3" x14ac:dyDescent="0.3">
      <c r="A2284" s="1">
        <v>1002672</v>
      </c>
      <c r="B2284" s="2" t="s">
        <v>1299</v>
      </c>
      <c r="C2284" s="9">
        <v>51331.409999999996</v>
      </c>
    </row>
    <row r="2285" spans="1:3" x14ac:dyDescent="0.3">
      <c r="A2285" s="1">
        <v>1002677</v>
      </c>
      <c r="B2285" s="2" t="s">
        <v>1300</v>
      </c>
      <c r="C2285" s="9">
        <v>63550</v>
      </c>
    </row>
    <row r="2286" spans="1:3" x14ac:dyDescent="0.3">
      <c r="A2286" s="1">
        <v>1002678</v>
      </c>
      <c r="B2286" s="2" t="s">
        <v>1301</v>
      </c>
      <c r="C2286" s="9">
        <v>0</v>
      </c>
    </row>
    <row r="2287" spans="1:3" x14ac:dyDescent="0.3">
      <c r="A2287" s="1">
        <v>1002681</v>
      </c>
      <c r="B2287" s="2" t="s">
        <v>1302</v>
      </c>
      <c r="C2287" s="9">
        <v>65600</v>
      </c>
    </row>
    <row r="2288" spans="1:3" x14ac:dyDescent="0.3">
      <c r="A2288" s="1">
        <v>1002683</v>
      </c>
      <c r="B2288" s="2" t="s">
        <v>1303</v>
      </c>
      <c r="C2288" s="9">
        <v>47068.542857142857</v>
      </c>
    </row>
    <row r="2289" spans="1:3" x14ac:dyDescent="0.3">
      <c r="A2289" s="1">
        <v>1002685</v>
      </c>
      <c r="B2289" s="2" t="s">
        <v>1305</v>
      </c>
      <c r="C2289" s="9">
        <v>701392</v>
      </c>
    </row>
    <row r="2290" spans="1:3" x14ac:dyDescent="0.3">
      <c r="A2290" s="1">
        <v>1002688</v>
      </c>
      <c r="B2290" s="2" t="s">
        <v>1307</v>
      </c>
      <c r="C2290" s="9">
        <v>256085.42499999999</v>
      </c>
    </row>
    <row r="2291" spans="1:3" x14ac:dyDescent="0.3">
      <c r="A2291" s="1">
        <v>1002689</v>
      </c>
      <c r="B2291" s="2" t="s">
        <v>1308</v>
      </c>
      <c r="C2291" s="9">
        <v>0</v>
      </c>
    </row>
    <row r="2292" spans="1:3" x14ac:dyDescent="0.3">
      <c r="A2292" s="1">
        <v>1002693</v>
      </c>
      <c r="B2292" s="2" t="s">
        <v>1310</v>
      </c>
      <c r="C2292" s="9">
        <v>0</v>
      </c>
    </row>
    <row r="2293" spans="1:3" x14ac:dyDescent="0.3">
      <c r="A2293" s="1">
        <v>1002695</v>
      </c>
      <c r="B2293" s="2" t="s">
        <v>1312</v>
      </c>
      <c r="C2293" s="9">
        <v>0</v>
      </c>
    </row>
    <row r="2294" spans="1:3" x14ac:dyDescent="0.3">
      <c r="A2294" s="1">
        <v>1002696</v>
      </c>
      <c r="B2294" s="2" t="s">
        <v>1313</v>
      </c>
      <c r="C2294" s="9">
        <v>22276.799999999999</v>
      </c>
    </row>
    <row r="2295" spans="1:3" x14ac:dyDescent="0.3">
      <c r="A2295" s="1">
        <v>1002700</v>
      </c>
      <c r="B2295" s="2" t="s">
        <v>1316</v>
      </c>
      <c r="C2295" s="9">
        <v>133968.4</v>
      </c>
    </row>
    <row r="2296" spans="1:3" x14ac:dyDescent="0.3">
      <c r="A2296" s="1">
        <v>1002703</v>
      </c>
      <c r="B2296" s="2" t="s">
        <v>1317</v>
      </c>
      <c r="C2296" s="9">
        <v>0</v>
      </c>
    </row>
    <row r="2297" spans="1:3" x14ac:dyDescent="0.3">
      <c r="A2297" s="1">
        <v>1002704</v>
      </c>
      <c r="B2297" s="2" t="s">
        <v>1318</v>
      </c>
      <c r="C2297" s="9">
        <v>324500</v>
      </c>
    </row>
    <row r="2298" spans="1:3" x14ac:dyDescent="0.3">
      <c r="A2298" s="1">
        <v>1002709</v>
      </c>
      <c r="B2298" s="2" t="s">
        <v>1322</v>
      </c>
      <c r="C2298" s="9">
        <v>26989</v>
      </c>
    </row>
    <row r="2299" spans="1:3" x14ac:dyDescent="0.3">
      <c r="A2299" s="1">
        <v>1002715</v>
      </c>
      <c r="B2299" s="2" t="s">
        <v>1328</v>
      </c>
      <c r="C2299" s="9">
        <v>38610</v>
      </c>
    </row>
    <row r="2300" spans="1:3" x14ac:dyDescent="0.3">
      <c r="A2300" s="1">
        <v>1002717</v>
      </c>
      <c r="B2300" s="2" t="s">
        <v>1329</v>
      </c>
      <c r="C2300" s="9">
        <v>0</v>
      </c>
    </row>
    <row r="2301" spans="1:3" x14ac:dyDescent="0.3">
      <c r="A2301" s="1">
        <v>1002720</v>
      </c>
      <c r="B2301" s="2" t="s">
        <v>1332</v>
      </c>
      <c r="C2301" s="9">
        <v>102076.70666666667</v>
      </c>
    </row>
    <row r="2302" spans="1:3" x14ac:dyDescent="0.3">
      <c r="A2302" s="1">
        <v>1002721</v>
      </c>
      <c r="B2302" s="2" t="s">
        <v>1333</v>
      </c>
      <c r="C2302" s="9">
        <v>66238.332173913033</v>
      </c>
    </row>
    <row r="2303" spans="1:3" x14ac:dyDescent="0.3">
      <c r="A2303" s="1">
        <v>1002722</v>
      </c>
      <c r="B2303" s="2" t="s">
        <v>1334</v>
      </c>
      <c r="C2303" s="9">
        <v>77027.195000000007</v>
      </c>
    </row>
    <row r="2304" spans="1:3" x14ac:dyDescent="0.3">
      <c r="A2304" s="1">
        <v>1002724</v>
      </c>
      <c r="B2304" s="2" t="s">
        <v>1336</v>
      </c>
      <c r="C2304" s="9">
        <v>0</v>
      </c>
    </row>
    <row r="2305" spans="1:3" x14ac:dyDescent="0.3">
      <c r="A2305" s="1">
        <v>1002725</v>
      </c>
      <c r="B2305" s="2" t="s">
        <v>1337</v>
      </c>
      <c r="C2305" s="9">
        <v>47719.811428571425</v>
      </c>
    </row>
    <row r="2306" spans="1:3" x14ac:dyDescent="0.3">
      <c r="A2306" s="1">
        <v>1002730</v>
      </c>
      <c r="B2306" s="2" t="s">
        <v>1342</v>
      </c>
      <c r="C2306" s="9">
        <v>87718.815000000002</v>
      </c>
    </row>
    <row r="2307" spans="1:3" x14ac:dyDescent="0.3">
      <c r="A2307" s="1">
        <v>1002731</v>
      </c>
      <c r="B2307" s="2" t="s">
        <v>1343</v>
      </c>
      <c r="C2307" s="9">
        <v>246688.7251724138</v>
      </c>
    </row>
    <row r="2308" spans="1:3" x14ac:dyDescent="0.3">
      <c r="A2308" s="1">
        <v>1002733</v>
      </c>
      <c r="B2308" s="2" t="s">
        <v>1345</v>
      </c>
      <c r="C2308" s="9">
        <v>14624</v>
      </c>
    </row>
    <row r="2309" spans="1:3" x14ac:dyDescent="0.3">
      <c r="A2309" s="1">
        <v>1002737</v>
      </c>
      <c r="B2309" s="2" t="s">
        <v>1347</v>
      </c>
      <c r="C2309" s="9">
        <v>233948.99</v>
      </c>
    </row>
    <row r="2310" spans="1:3" x14ac:dyDescent="0.3">
      <c r="A2310" s="1">
        <v>1002741</v>
      </c>
      <c r="B2310" s="2" t="s">
        <v>1350</v>
      </c>
      <c r="C2310" s="9">
        <v>369306.66</v>
      </c>
    </row>
    <row r="2311" spans="1:3" x14ac:dyDescent="0.3">
      <c r="A2311" s="1">
        <v>1002744</v>
      </c>
      <c r="B2311" s="2" t="s">
        <v>1352</v>
      </c>
      <c r="C2311" s="9">
        <v>320223.24</v>
      </c>
    </row>
    <row r="2312" spans="1:3" x14ac:dyDescent="0.3">
      <c r="A2312" s="1">
        <v>1002754</v>
      </c>
      <c r="B2312" s="2" t="s">
        <v>1354</v>
      </c>
      <c r="C2312" s="9">
        <v>116434.21</v>
      </c>
    </row>
    <row r="2313" spans="1:3" x14ac:dyDescent="0.3">
      <c r="A2313" s="1">
        <v>1002760</v>
      </c>
      <c r="B2313" s="2" t="s">
        <v>1358</v>
      </c>
      <c r="C2313" s="9">
        <v>515005.0733333333</v>
      </c>
    </row>
    <row r="2314" spans="1:3" x14ac:dyDescent="0.3">
      <c r="A2314" s="1">
        <v>1002770</v>
      </c>
      <c r="B2314" s="2" t="s">
        <v>1360</v>
      </c>
      <c r="C2314" s="9">
        <v>367856.23</v>
      </c>
    </row>
    <row r="2315" spans="1:3" x14ac:dyDescent="0.3">
      <c r="A2315" s="1">
        <v>1002773</v>
      </c>
      <c r="B2315" s="2" t="s">
        <v>1361</v>
      </c>
      <c r="C2315" s="9">
        <v>880680.44499999995</v>
      </c>
    </row>
    <row r="2316" spans="1:3" x14ac:dyDescent="0.3">
      <c r="A2316" s="1">
        <v>1002774</v>
      </c>
      <c r="B2316" s="2" t="s">
        <v>1362</v>
      </c>
      <c r="C2316" s="9">
        <v>857351.25</v>
      </c>
    </row>
    <row r="2317" spans="1:3" x14ac:dyDescent="0.3">
      <c r="A2317" s="1">
        <v>1002779</v>
      </c>
      <c r="B2317" s="2" t="s">
        <v>1364</v>
      </c>
      <c r="C2317" s="9">
        <v>0</v>
      </c>
    </row>
    <row r="2318" spans="1:3" x14ac:dyDescent="0.3">
      <c r="A2318" s="1">
        <v>1002794</v>
      </c>
      <c r="B2318" s="2" t="s">
        <v>1369</v>
      </c>
      <c r="C2318" s="9">
        <v>36954.71</v>
      </c>
    </row>
    <row r="2319" spans="1:3" x14ac:dyDescent="0.3">
      <c r="A2319" s="1">
        <v>1002800</v>
      </c>
      <c r="B2319" s="2" t="s">
        <v>1372</v>
      </c>
      <c r="C2319" s="9">
        <v>336400</v>
      </c>
    </row>
    <row r="2320" spans="1:3" x14ac:dyDescent="0.3">
      <c r="A2320" s="1">
        <v>1002801</v>
      </c>
      <c r="B2320" s="2" t="s">
        <v>1373</v>
      </c>
      <c r="C2320" s="9">
        <v>0</v>
      </c>
    </row>
    <row r="2321" spans="1:3" x14ac:dyDescent="0.3">
      <c r="A2321" s="1">
        <v>1002804</v>
      </c>
      <c r="B2321" s="2" t="s">
        <v>1376</v>
      </c>
      <c r="C2321" s="9">
        <v>75762.87</v>
      </c>
    </row>
    <row r="2322" spans="1:3" x14ac:dyDescent="0.3">
      <c r="A2322" s="1">
        <v>1002809</v>
      </c>
      <c r="B2322" s="2" t="s">
        <v>1380</v>
      </c>
      <c r="C2322" s="9">
        <v>40969.599999999999</v>
      </c>
    </row>
    <row r="2323" spans="1:3" x14ac:dyDescent="0.3">
      <c r="A2323" s="1">
        <v>1002810</v>
      </c>
      <c r="B2323" s="2" t="s">
        <v>1381</v>
      </c>
      <c r="C2323" s="9">
        <v>0</v>
      </c>
    </row>
    <row r="2324" spans="1:3" x14ac:dyDescent="0.3">
      <c r="A2324" s="1">
        <v>1002839</v>
      </c>
      <c r="B2324" s="2" t="s">
        <v>1386</v>
      </c>
      <c r="C2324" s="9">
        <v>1392.42</v>
      </c>
    </row>
    <row r="2325" spans="1:3" x14ac:dyDescent="0.3">
      <c r="A2325" s="1">
        <v>1002840</v>
      </c>
      <c r="B2325" s="2" t="s">
        <v>1387</v>
      </c>
      <c r="C2325" s="9">
        <v>0</v>
      </c>
    </row>
    <row r="2326" spans="1:3" x14ac:dyDescent="0.3">
      <c r="A2326" s="1">
        <v>1003156</v>
      </c>
      <c r="B2326" s="2" t="s">
        <v>1392</v>
      </c>
      <c r="C2326" s="9">
        <v>86.848020202020194</v>
      </c>
    </row>
    <row r="2327" spans="1:3" x14ac:dyDescent="0.3">
      <c r="A2327" s="1">
        <v>1004097</v>
      </c>
      <c r="B2327" s="2" t="s">
        <v>1398</v>
      </c>
      <c r="C2327" s="9">
        <v>10</v>
      </c>
    </row>
    <row r="2328" spans="1:3" x14ac:dyDescent="0.3">
      <c r="A2328" s="1">
        <v>1004213</v>
      </c>
      <c r="B2328" s="2" t="s">
        <v>1400</v>
      </c>
      <c r="C2328" s="9">
        <v>0</v>
      </c>
    </row>
    <row r="2329" spans="1:3" x14ac:dyDescent="0.3">
      <c r="A2329" s="1">
        <v>1004657</v>
      </c>
      <c r="B2329" s="2" t="s">
        <v>1405</v>
      </c>
      <c r="C2329" s="9">
        <v>5081.5976000000001</v>
      </c>
    </row>
    <row r="2330" spans="1:3" x14ac:dyDescent="0.3">
      <c r="A2330" s="1">
        <v>1004752</v>
      </c>
      <c r="B2330" s="2" t="s">
        <v>1445</v>
      </c>
      <c r="C2330" s="9">
        <v>145.57</v>
      </c>
    </row>
    <row r="2331" spans="1:3" x14ac:dyDescent="0.3">
      <c r="A2331" s="1">
        <v>1004753</v>
      </c>
      <c r="B2331" s="2" t="s">
        <v>1448</v>
      </c>
      <c r="C2331" s="9">
        <v>154.72657237152288</v>
      </c>
    </row>
    <row r="2332" spans="1:3" x14ac:dyDescent="0.3">
      <c r="A2332" s="1">
        <v>1004754</v>
      </c>
      <c r="B2332" s="2" t="s">
        <v>1449</v>
      </c>
      <c r="C2332" s="9">
        <v>99.257482419127982</v>
      </c>
    </row>
    <row r="2333" spans="1:3" x14ac:dyDescent="0.3">
      <c r="A2333" s="1">
        <v>1004807</v>
      </c>
      <c r="B2333" s="2" t="s">
        <v>1452</v>
      </c>
      <c r="C2333" s="9">
        <v>398</v>
      </c>
    </row>
    <row r="2334" spans="1:3" x14ac:dyDescent="0.3">
      <c r="A2334" s="1">
        <v>1004814</v>
      </c>
      <c r="B2334" s="2" t="s">
        <v>1454</v>
      </c>
      <c r="C2334" s="9">
        <v>267.95297308319743</v>
      </c>
    </row>
    <row r="2335" spans="1:3" x14ac:dyDescent="0.3">
      <c r="A2335" s="1">
        <v>1004818</v>
      </c>
      <c r="B2335" s="2" t="s">
        <v>1455</v>
      </c>
      <c r="C2335" s="9">
        <v>172.02607888631093</v>
      </c>
    </row>
    <row r="2336" spans="1:3" x14ac:dyDescent="0.3">
      <c r="A2336" s="1">
        <v>1004822</v>
      </c>
      <c r="B2336" s="2" t="s">
        <v>1456</v>
      </c>
      <c r="C2336" s="9">
        <v>454.33</v>
      </c>
    </row>
    <row r="2337" spans="1:3" x14ac:dyDescent="0.3">
      <c r="A2337" s="1">
        <v>1004827</v>
      </c>
      <c r="B2337" s="2" t="s">
        <v>1457</v>
      </c>
      <c r="C2337" s="9">
        <v>539.92245883644341</v>
      </c>
    </row>
    <row r="2338" spans="1:3" x14ac:dyDescent="0.3">
      <c r="A2338" s="1">
        <v>1004830</v>
      </c>
      <c r="B2338" s="2" t="s">
        <v>1458</v>
      </c>
      <c r="C2338" s="9">
        <v>22.23421615837346</v>
      </c>
    </row>
    <row r="2339" spans="1:3" x14ac:dyDescent="0.3">
      <c r="A2339" s="1">
        <v>1004863</v>
      </c>
      <c r="B2339" s="2" t="s">
        <v>1464</v>
      </c>
      <c r="C2339" s="9">
        <v>512.12</v>
      </c>
    </row>
    <row r="2340" spans="1:3" x14ac:dyDescent="0.3">
      <c r="A2340" s="1">
        <v>1004916</v>
      </c>
      <c r="B2340" s="2" t="s">
        <v>1470</v>
      </c>
      <c r="C2340" s="9">
        <v>67.74969999999999</v>
      </c>
    </row>
    <row r="2341" spans="1:3" x14ac:dyDescent="0.3">
      <c r="A2341" s="1">
        <v>1004918</v>
      </c>
      <c r="B2341" s="2" t="s">
        <v>1471</v>
      </c>
      <c r="C2341" s="9">
        <v>26630.383008849556</v>
      </c>
    </row>
    <row r="2342" spans="1:3" x14ac:dyDescent="0.3">
      <c r="A2342" s="1">
        <v>1004928</v>
      </c>
      <c r="B2342" s="2" t="s">
        <v>1473</v>
      </c>
      <c r="C2342" s="9">
        <v>1447.172848101266</v>
      </c>
    </row>
    <row r="2343" spans="1:3" x14ac:dyDescent="0.3">
      <c r="A2343" s="1">
        <v>1004932</v>
      </c>
      <c r="B2343" s="2" t="s">
        <v>1474</v>
      </c>
      <c r="C2343" s="9">
        <v>1139.2466783216785</v>
      </c>
    </row>
    <row r="2344" spans="1:3" x14ac:dyDescent="0.3">
      <c r="A2344" s="1">
        <v>1005093</v>
      </c>
      <c r="B2344" s="2" t="s">
        <v>1480</v>
      </c>
      <c r="C2344" s="9">
        <v>26000</v>
      </c>
    </row>
    <row r="2345" spans="1:3" x14ac:dyDescent="0.3">
      <c r="A2345" s="1">
        <v>1005094</v>
      </c>
      <c r="B2345" s="2" t="s">
        <v>1481</v>
      </c>
      <c r="C2345" s="9">
        <v>12400</v>
      </c>
    </row>
    <row r="2346" spans="1:3" x14ac:dyDescent="0.3">
      <c r="A2346" s="1">
        <v>1005096</v>
      </c>
      <c r="B2346" s="2" t="s">
        <v>1482</v>
      </c>
      <c r="C2346" s="9">
        <v>69588.05</v>
      </c>
    </row>
    <row r="2347" spans="1:3" x14ac:dyDescent="0.3">
      <c r="A2347" s="1">
        <v>1005097</v>
      </c>
      <c r="B2347" s="2" t="s">
        <v>1483</v>
      </c>
      <c r="C2347" s="9">
        <v>25</v>
      </c>
    </row>
    <row r="2348" spans="1:3" x14ac:dyDescent="0.3">
      <c r="A2348" s="1">
        <v>1005099</v>
      </c>
      <c r="B2348" s="2" t="s">
        <v>1484</v>
      </c>
      <c r="C2348" s="9">
        <v>1324654.5</v>
      </c>
    </row>
    <row r="2349" spans="1:3" x14ac:dyDescent="0.3">
      <c r="A2349" s="1">
        <v>1005100</v>
      </c>
      <c r="B2349" s="2" t="s">
        <v>1485</v>
      </c>
      <c r="C2349" s="9">
        <v>732831.86933333322</v>
      </c>
    </row>
    <row r="2350" spans="1:3" x14ac:dyDescent="0.3">
      <c r="A2350" s="1">
        <v>1005230</v>
      </c>
      <c r="B2350" s="2" t="s">
        <v>1488</v>
      </c>
      <c r="C2350" s="9">
        <v>53113.103035714288</v>
      </c>
    </row>
    <row r="2351" spans="1:3" x14ac:dyDescent="0.3">
      <c r="A2351" s="1">
        <v>1005421</v>
      </c>
      <c r="B2351" s="2" t="s">
        <v>1489</v>
      </c>
      <c r="C2351" s="9">
        <v>51133.33</v>
      </c>
    </row>
    <row r="2352" spans="1:3" x14ac:dyDescent="0.3">
      <c r="A2352" s="1">
        <v>1005804</v>
      </c>
      <c r="B2352" s="2" t="s">
        <v>1493</v>
      </c>
      <c r="C2352" s="9">
        <v>578200</v>
      </c>
    </row>
    <row r="2353" spans="1:3" x14ac:dyDescent="0.3">
      <c r="A2353" s="1">
        <v>1006192</v>
      </c>
      <c r="B2353" s="2" t="s">
        <v>1500</v>
      </c>
      <c r="C2353" s="9">
        <v>3132.827777777778</v>
      </c>
    </row>
    <row r="2354" spans="1:3" x14ac:dyDescent="0.3">
      <c r="A2354" s="1">
        <v>1006266</v>
      </c>
      <c r="B2354" s="2" t="s">
        <v>1501</v>
      </c>
      <c r="C2354" s="9">
        <v>0</v>
      </c>
    </row>
    <row r="2355" spans="1:3" x14ac:dyDescent="0.3">
      <c r="A2355" s="1">
        <v>1006654</v>
      </c>
      <c r="B2355" s="2" t="s">
        <v>1503</v>
      </c>
      <c r="C2355" s="9">
        <v>0</v>
      </c>
    </row>
    <row r="2356" spans="1:3" x14ac:dyDescent="0.3">
      <c r="A2356" s="1">
        <v>1006659</v>
      </c>
      <c r="B2356" s="2" t="s">
        <v>1504</v>
      </c>
      <c r="C2356" s="9">
        <v>0</v>
      </c>
    </row>
    <row r="2357" spans="1:3" x14ac:dyDescent="0.3">
      <c r="A2357" s="1">
        <v>1006818</v>
      </c>
      <c r="B2357" s="2" t="s">
        <v>1507</v>
      </c>
      <c r="C2357" s="9">
        <v>4352.2950000000001</v>
      </c>
    </row>
    <row r="2358" spans="1:3" x14ac:dyDescent="0.3">
      <c r="A2358" s="1">
        <v>1007995</v>
      </c>
      <c r="B2358" s="2" t="s">
        <v>1516</v>
      </c>
      <c r="C2358" s="9">
        <v>240120</v>
      </c>
    </row>
    <row r="2359" spans="1:3" x14ac:dyDescent="0.3">
      <c r="A2359" s="1">
        <v>1008203</v>
      </c>
      <c r="B2359" s="2" t="s">
        <v>1521</v>
      </c>
      <c r="C2359" s="9">
        <v>60</v>
      </c>
    </row>
    <row r="2360" spans="1:3" x14ac:dyDescent="0.3">
      <c r="A2360" s="1">
        <v>1008505</v>
      </c>
      <c r="B2360" s="2" t="s">
        <v>1545</v>
      </c>
      <c r="C2360" s="9">
        <v>4938.3</v>
      </c>
    </row>
    <row r="2361" spans="1:3" x14ac:dyDescent="0.3">
      <c r="A2361" s="1">
        <v>1008509</v>
      </c>
      <c r="B2361" s="2" t="s">
        <v>1548</v>
      </c>
      <c r="C2361" s="9">
        <v>2036.7242857142858</v>
      </c>
    </row>
    <row r="2362" spans="1:3" x14ac:dyDescent="0.3">
      <c r="A2362" s="1">
        <v>1008546</v>
      </c>
      <c r="B2362" s="2" t="s">
        <v>1558</v>
      </c>
      <c r="C2362" s="9">
        <v>5774.2368421052633</v>
      </c>
    </row>
    <row r="2363" spans="1:3" x14ac:dyDescent="0.3">
      <c r="A2363" s="1">
        <v>1008550</v>
      </c>
      <c r="B2363" s="2" t="s">
        <v>1559</v>
      </c>
      <c r="C2363" s="9">
        <v>864.0169938650306</v>
      </c>
    </row>
    <row r="2364" spans="1:3" x14ac:dyDescent="0.3">
      <c r="A2364" s="1">
        <v>1008552</v>
      </c>
      <c r="B2364" s="2" t="s">
        <v>1560</v>
      </c>
      <c r="C2364" s="9">
        <v>1356.59381875742</v>
      </c>
    </row>
    <row r="2365" spans="1:3" x14ac:dyDescent="0.3">
      <c r="A2365" s="1">
        <v>1008554</v>
      </c>
      <c r="B2365" s="2" t="s">
        <v>1562</v>
      </c>
      <c r="C2365" s="9">
        <v>2099.49012202208</v>
      </c>
    </row>
    <row r="2366" spans="1:3" x14ac:dyDescent="0.3">
      <c r="A2366" s="1">
        <v>1008841</v>
      </c>
      <c r="B2366" s="2" t="s">
        <v>1570</v>
      </c>
      <c r="C2366" s="9">
        <v>61454.400000000001</v>
      </c>
    </row>
    <row r="2367" spans="1:3" x14ac:dyDescent="0.3">
      <c r="A2367" s="1">
        <v>1008973</v>
      </c>
      <c r="B2367" s="2" t="s">
        <v>1578</v>
      </c>
      <c r="C2367" s="9">
        <v>1203.3718954248366</v>
      </c>
    </row>
    <row r="2368" spans="1:3" x14ac:dyDescent="0.3">
      <c r="A2368" s="1">
        <v>1008976</v>
      </c>
      <c r="B2368" s="2" t="s">
        <v>1580</v>
      </c>
      <c r="C2368" s="9">
        <v>896.48386206896555</v>
      </c>
    </row>
    <row r="2369" spans="1:3" x14ac:dyDescent="0.3">
      <c r="A2369" s="1">
        <v>1008982</v>
      </c>
      <c r="B2369" s="2" t="s">
        <v>1582</v>
      </c>
      <c r="C2369" s="9">
        <v>42357.551200000002</v>
      </c>
    </row>
    <row r="2370" spans="1:3" x14ac:dyDescent="0.3">
      <c r="A2370" s="1">
        <v>1009010</v>
      </c>
      <c r="B2370" s="2" t="s">
        <v>1583</v>
      </c>
      <c r="C2370" s="9">
        <v>3722.9931707317073</v>
      </c>
    </row>
    <row r="2371" spans="1:3" x14ac:dyDescent="0.3">
      <c r="A2371" s="1">
        <v>1009014</v>
      </c>
      <c r="B2371" s="2" t="s">
        <v>1584</v>
      </c>
      <c r="C2371" s="9">
        <v>0</v>
      </c>
    </row>
    <row r="2372" spans="1:3" x14ac:dyDescent="0.3">
      <c r="A2372" s="1">
        <v>1009197</v>
      </c>
      <c r="B2372" s="2" t="s">
        <v>1597</v>
      </c>
      <c r="C2372" s="9">
        <v>25429</v>
      </c>
    </row>
    <row r="2373" spans="1:3" x14ac:dyDescent="0.3">
      <c r="A2373" s="1">
        <v>1009198</v>
      </c>
      <c r="B2373" s="2" t="s">
        <v>1598</v>
      </c>
      <c r="C2373" s="9">
        <v>3000.0084999999999</v>
      </c>
    </row>
    <row r="2374" spans="1:3" x14ac:dyDescent="0.3">
      <c r="A2374" s="1">
        <v>1009205</v>
      </c>
      <c r="B2374" s="2" t="s">
        <v>1604</v>
      </c>
      <c r="C2374" s="9">
        <v>6771.9897435897428</v>
      </c>
    </row>
    <row r="2375" spans="1:3" x14ac:dyDescent="0.3">
      <c r="A2375" s="1">
        <v>1009209</v>
      </c>
      <c r="B2375" s="2" t="s">
        <v>1605</v>
      </c>
      <c r="C2375" s="9">
        <v>0</v>
      </c>
    </row>
    <row r="2376" spans="1:3" x14ac:dyDescent="0.3">
      <c r="A2376" s="1">
        <v>1009211</v>
      </c>
      <c r="B2376" s="2" t="s">
        <v>1606</v>
      </c>
      <c r="C2376" s="9">
        <v>468.79849206349206</v>
      </c>
    </row>
    <row r="2377" spans="1:3" x14ac:dyDescent="0.3">
      <c r="A2377" s="1">
        <v>1009223</v>
      </c>
      <c r="B2377" s="2" t="s">
        <v>1611</v>
      </c>
      <c r="C2377" s="9">
        <v>0</v>
      </c>
    </row>
    <row r="2378" spans="1:3" x14ac:dyDescent="0.3">
      <c r="A2378" s="1">
        <v>1009224</v>
      </c>
      <c r="B2378" s="2" t="s">
        <v>1612</v>
      </c>
      <c r="C2378" s="9">
        <v>2711.9746082949309</v>
      </c>
    </row>
    <row r="2379" spans="1:3" x14ac:dyDescent="0.3">
      <c r="A2379" s="1">
        <v>1009225</v>
      </c>
      <c r="B2379" s="2" t="s">
        <v>1613</v>
      </c>
      <c r="C2379" s="9">
        <v>6694.8724786324783</v>
      </c>
    </row>
    <row r="2380" spans="1:3" x14ac:dyDescent="0.3">
      <c r="A2380" s="1">
        <v>1009297</v>
      </c>
      <c r="B2380" s="2" t="s">
        <v>1617</v>
      </c>
      <c r="C2380" s="9">
        <v>0</v>
      </c>
    </row>
    <row r="2381" spans="1:3" x14ac:dyDescent="0.3">
      <c r="A2381" s="1">
        <v>1009303</v>
      </c>
      <c r="B2381" s="2" t="s">
        <v>1621</v>
      </c>
      <c r="C2381" s="9">
        <v>68440</v>
      </c>
    </row>
    <row r="2382" spans="1:3" x14ac:dyDescent="0.3">
      <c r="A2382" s="1">
        <v>1009308</v>
      </c>
      <c r="B2382" s="2" t="s">
        <v>1626</v>
      </c>
      <c r="C2382" s="9">
        <v>10065.549999999999</v>
      </c>
    </row>
    <row r="2383" spans="1:3" x14ac:dyDescent="0.3">
      <c r="A2383" s="1">
        <v>1009328</v>
      </c>
      <c r="B2383" s="2" t="s">
        <v>1628</v>
      </c>
      <c r="C2383" s="9">
        <v>4149.0807142857138</v>
      </c>
    </row>
    <row r="2384" spans="1:3" x14ac:dyDescent="0.3">
      <c r="A2384" s="1">
        <v>1009338</v>
      </c>
      <c r="B2384" s="2" t="s">
        <v>1632</v>
      </c>
      <c r="C2384" s="9">
        <v>0</v>
      </c>
    </row>
    <row r="2385" spans="1:3" x14ac:dyDescent="0.3">
      <c r="A2385" s="1">
        <v>1009339</v>
      </c>
      <c r="B2385" s="2" t="s">
        <v>1633</v>
      </c>
      <c r="C2385" s="9">
        <v>0</v>
      </c>
    </row>
    <row r="2386" spans="1:3" x14ac:dyDescent="0.3">
      <c r="A2386" s="1">
        <v>1009341</v>
      </c>
      <c r="B2386" s="2" t="s">
        <v>1635</v>
      </c>
      <c r="C2386" s="9">
        <v>0</v>
      </c>
    </row>
    <row r="2387" spans="1:3" x14ac:dyDescent="0.3">
      <c r="A2387" s="1">
        <v>1009342</v>
      </c>
      <c r="B2387" s="2" t="s">
        <v>1636</v>
      </c>
      <c r="C2387" s="9">
        <v>0</v>
      </c>
    </row>
    <row r="2388" spans="1:3" x14ac:dyDescent="0.3">
      <c r="A2388" s="1">
        <v>1009343</v>
      </c>
      <c r="B2388" s="2" t="s">
        <v>1637</v>
      </c>
      <c r="C2388" s="9">
        <v>0</v>
      </c>
    </row>
    <row r="2389" spans="1:3" x14ac:dyDescent="0.3">
      <c r="A2389" s="1">
        <v>1009344</v>
      </c>
      <c r="B2389" s="2" t="s">
        <v>1638</v>
      </c>
      <c r="C2389" s="9">
        <v>0</v>
      </c>
    </row>
    <row r="2390" spans="1:3" x14ac:dyDescent="0.3">
      <c r="A2390" s="1">
        <v>1009346</v>
      </c>
      <c r="B2390" s="2" t="s">
        <v>1640</v>
      </c>
      <c r="C2390" s="9">
        <v>0</v>
      </c>
    </row>
    <row r="2391" spans="1:3" x14ac:dyDescent="0.3">
      <c r="A2391" s="1">
        <v>1009348</v>
      </c>
      <c r="B2391" s="2" t="s">
        <v>1642</v>
      </c>
      <c r="C2391" s="9">
        <v>0</v>
      </c>
    </row>
    <row r="2392" spans="1:3" x14ac:dyDescent="0.3">
      <c r="A2392" s="1">
        <v>1009349</v>
      </c>
      <c r="B2392" s="2" t="s">
        <v>1643</v>
      </c>
      <c r="C2392" s="9">
        <v>0</v>
      </c>
    </row>
    <row r="2393" spans="1:3" x14ac:dyDescent="0.3">
      <c r="A2393" s="1">
        <v>1009353</v>
      </c>
      <c r="B2393" s="2" t="s">
        <v>1645</v>
      </c>
      <c r="C2393" s="9">
        <v>0</v>
      </c>
    </row>
    <row r="2394" spans="1:3" x14ac:dyDescent="0.3">
      <c r="A2394" s="1">
        <v>1009355</v>
      </c>
      <c r="B2394" s="2" t="s">
        <v>1646</v>
      </c>
      <c r="C2394" s="9">
        <v>0</v>
      </c>
    </row>
    <row r="2395" spans="1:3" x14ac:dyDescent="0.3">
      <c r="A2395" s="1">
        <v>1009356</v>
      </c>
      <c r="B2395" s="2" t="s">
        <v>1647</v>
      </c>
      <c r="C2395" s="9">
        <v>0</v>
      </c>
    </row>
    <row r="2396" spans="1:3" x14ac:dyDescent="0.3">
      <c r="A2396" s="1">
        <v>1009357</v>
      </c>
      <c r="B2396" s="2" t="s">
        <v>1648</v>
      </c>
      <c r="C2396" s="9">
        <v>0</v>
      </c>
    </row>
    <row r="2397" spans="1:3" x14ac:dyDescent="0.3">
      <c r="A2397" s="1">
        <v>1009359</v>
      </c>
      <c r="B2397" s="2" t="s">
        <v>1650</v>
      </c>
      <c r="C2397" s="9">
        <v>0</v>
      </c>
    </row>
    <row r="2398" spans="1:3" x14ac:dyDescent="0.3">
      <c r="A2398" s="1">
        <v>1009360</v>
      </c>
      <c r="B2398" s="2" t="s">
        <v>1651</v>
      </c>
      <c r="C2398" s="9">
        <v>31.636870026525202</v>
      </c>
    </row>
    <row r="2399" spans="1:3" x14ac:dyDescent="0.3">
      <c r="A2399" s="1">
        <v>1009361</v>
      </c>
      <c r="B2399" s="2" t="s">
        <v>1652</v>
      </c>
      <c r="C2399" s="9">
        <v>0</v>
      </c>
    </row>
    <row r="2400" spans="1:3" x14ac:dyDescent="0.3">
      <c r="A2400" s="1">
        <v>1009364</v>
      </c>
      <c r="B2400" s="2" t="s">
        <v>1653</v>
      </c>
      <c r="C2400" s="9">
        <v>3581.7538888888889</v>
      </c>
    </row>
    <row r="2401" spans="1:3" x14ac:dyDescent="0.3">
      <c r="A2401" s="1">
        <v>1009382</v>
      </c>
      <c r="B2401" s="2" t="s">
        <v>1654</v>
      </c>
      <c r="C2401" s="9">
        <v>0.66079996469209912</v>
      </c>
    </row>
    <row r="2402" spans="1:3" x14ac:dyDescent="0.3">
      <c r="A2402" s="1">
        <v>1009401</v>
      </c>
      <c r="B2402" s="2" t="s">
        <v>1656</v>
      </c>
      <c r="C2402" s="9">
        <v>17919.055090909093</v>
      </c>
    </row>
    <row r="2403" spans="1:3" x14ac:dyDescent="0.3">
      <c r="A2403" s="1">
        <v>1009437</v>
      </c>
      <c r="B2403" s="2" t="s">
        <v>1658</v>
      </c>
      <c r="C2403" s="9">
        <v>28472.455999999998</v>
      </c>
    </row>
    <row r="2404" spans="1:3" x14ac:dyDescent="0.3">
      <c r="A2404" s="1">
        <v>1009438</v>
      </c>
      <c r="B2404" s="2" t="s">
        <v>1659</v>
      </c>
      <c r="C2404" s="9">
        <v>13743.164999999999</v>
      </c>
    </row>
    <row r="2405" spans="1:3" x14ac:dyDescent="0.3">
      <c r="A2405" s="1">
        <v>1009448</v>
      </c>
      <c r="B2405" s="2" t="s">
        <v>1660</v>
      </c>
      <c r="C2405" s="9">
        <v>476.67026785714285</v>
      </c>
    </row>
    <row r="2406" spans="1:3" x14ac:dyDescent="0.3">
      <c r="A2406" s="1">
        <v>1009573</v>
      </c>
      <c r="B2406" s="2" t="s">
        <v>1661</v>
      </c>
      <c r="C2406" s="9">
        <v>6.1359999339378017</v>
      </c>
    </row>
    <row r="2407" spans="1:3" x14ac:dyDescent="0.3">
      <c r="A2407" s="1">
        <v>1009574</v>
      </c>
      <c r="B2407" s="2" t="s">
        <v>1662</v>
      </c>
      <c r="C2407" s="9">
        <v>34.113799237611175</v>
      </c>
    </row>
    <row r="2408" spans="1:3" x14ac:dyDescent="0.3">
      <c r="A2408" s="1">
        <v>1009576</v>
      </c>
      <c r="B2408" s="2" t="s">
        <v>1663</v>
      </c>
      <c r="C2408" s="9">
        <v>27.151800098445143</v>
      </c>
    </row>
    <row r="2409" spans="1:3" x14ac:dyDescent="0.3">
      <c r="A2409" s="1">
        <v>1009584</v>
      </c>
      <c r="B2409" s="2" t="s">
        <v>1666</v>
      </c>
      <c r="C2409" s="9">
        <v>391097.23333333334</v>
      </c>
    </row>
    <row r="2410" spans="1:3" x14ac:dyDescent="0.3">
      <c r="A2410" s="1">
        <v>1009585</v>
      </c>
      <c r="B2410" s="2" t="s">
        <v>1667</v>
      </c>
      <c r="C2410" s="9">
        <v>905355</v>
      </c>
    </row>
    <row r="2411" spans="1:3" x14ac:dyDescent="0.3">
      <c r="A2411" s="1">
        <v>1009587</v>
      </c>
      <c r="B2411" s="2" t="s">
        <v>1668</v>
      </c>
      <c r="C2411" s="9">
        <v>503.69425000000001</v>
      </c>
    </row>
    <row r="2412" spans="1:3" x14ac:dyDescent="0.3">
      <c r="A2412" s="1">
        <v>1009588</v>
      </c>
      <c r="B2412" s="2" t="s">
        <v>1669</v>
      </c>
      <c r="C2412" s="9">
        <v>259.01</v>
      </c>
    </row>
    <row r="2413" spans="1:3" x14ac:dyDescent="0.3">
      <c r="A2413" s="1">
        <v>1009593</v>
      </c>
      <c r="B2413" s="2" t="s">
        <v>1673</v>
      </c>
      <c r="C2413" s="9">
        <v>6600.2474000000002</v>
      </c>
    </row>
    <row r="2414" spans="1:3" x14ac:dyDescent="0.3">
      <c r="A2414" s="1">
        <v>1009594</v>
      </c>
      <c r="B2414" s="2" t="s">
        <v>1674</v>
      </c>
      <c r="C2414" s="9">
        <v>61776.81</v>
      </c>
    </row>
    <row r="2415" spans="1:3" x14ac:dyDescent="0.3">
      <c r="A2415" s="1">
        <v>1009595</v>
      </c>
      <c r="B2415" s="2" t="s">
        <v>1675</v>
      </c>
      <c r="C2415" s="9">
        <v>600.7970015948963</v>
      </c>
    </row>
    <row r="2416" spans="1:3" x14ac:dyDescent="0.3">
      <c r="A2416" s="1">
        <v>1009596</v>
      </c>
      <c r="B2416" s="2" t="s">
        <v>1676</v>
      </c>
      <c r="C2416" s="9">
        <v>59156.24</v>
      </c>
    </row>
    <row r="2417" spans="1:3" x14ac:dyDescent="0.3">
      <c r="A2417" s="1">
        <v>1009598</v>
      </c>
      <c r="B2417" s="2" t="s">
        <v>1678</v>
      </c>
      <c r="C2417" s="9">
        <v>80108.06</v>
      </c>
    </row>
    <row r="2418" spans="1:3" x14ac:dyDescent="0.3">
      <c r="A2418" s="1">
        <v>1009599</v>
      </c>
      <c r="B2418" s="2" t="s">
        <v>1679</v>
      </c>
      <c r="C2418" s="9">
        <v>58083.79</v>
      </c>
    </row>
    <row r="2419" spans="1:3" x14ac:dyDescent="0.3">
      <c r="A2419" s="1">
        <v>1009631</v>
      </c>
      <c r="B2419" s="2" t="s">
        <v>1680</v>
      </c>
      <c r="C2419" s="9">
        <v>557985.42000000004</v>
      </c>
    </row>
    <row r="2420" spans="1:3" x14ac:dyDescent="0.3">
      <c r="A2420" s="1">
        <v>1009706</v>
      </c>
      <c r="B2420" s="2" t="s">
        <v>1683</v>
      </c>
      <c r="C2420" s="9">
        <v>96.553828351012541</v>
      </c>
    </row>
    <row r="2421" spans="1:3" x14ac:dyDescent="0.3">
      <c r="A2421" s="1">
        <v>1009736</v>
      </c>
      <c r="B2421" s="2" t="s">
        <v>1686</v>
      </c>
      <c r="C2421" s="9">
        <v>64361.595000000001</v>
      </c>
    </row>
    <row r="2422" spans="1:3" x14ac:dyDescent="0.3">
      <c r="A2422" s="1">
        <v>1009737</v>
      </c>
      <c r="B2422" s="2" t="s">
        <v>1687</v>
      </c>
      <c r="C2422" s="9">
        <v>384306.74285714288</v>
      </c>
    </row>
    <row r="2423" spans="1:3" x14ac:dyDescent="0.3">
      <c r="A2423" s="1">
        <v>1009739</v>
      </c>
      <c r="B2423" s="2" t="s">
        <v>1688</v>
      </c>
      <c r="C2423" s="9">
        <v>384306.74</v>
      </c>
    </row>
    <row r="2424" spans="1:3" x14ac:dyDescent="0.3">
      <c r="A2424" s="1">
        <v>1009741</v>
      </c>
      <c r="B2424" s="2" t="s">
        <v>1689</v>
      </c>
      <c r="C2424" s="9">
        <v>561063.18125000002</v>
      </c>
    </row>
    <row r="2425" spans="1:3" x14ac:dyDescent="0.3">
      <c r="A2425" s="1">
        <v>1009746</v>
      </c>
      <c r="B2425" s="2" t="s">
        <v>1693</v>
      </c>
      <c r="C2425" s="9">
        <v>76.7</v>
      </c>
    </row>
    <row r="2426" spans="1:3" x14ac:dyDescent="0.3">
      <c r="A2426" s="1">
        <v>1009747</v>
      </c>
      <c r="B2426" s="2" t="s">
        <v>1694</v>
      </c>
      <c r="C2426" s="9">
        <v>95.33</v>
      </c>
    </row>
    <row r="2427" spans="1:3" x14ac:dyDescent="0.3">
      <c r="A2427" s="1">
        <v>1009750</v>
      </c>
      <c r="B2427" s="2" t="s">
        <v>1695</v>
      </c>
      <c r="C2427" s="9">
        <v>298.93</v>
      </c>
    </row>
    <row r="2428" spans="1:3" x14ac:dyDescent="0.3">
      <c r="A2428" s="1">
        <v>1009751</v>
      </c>
      <c r="B2428" s="2" t="s">
        <v>1696</v>
      </c>
      <c r="C2428" s="9">
        <v>988.25</v>
      </c>
    </row>
    <row r="2429" spans="1:3" x14ac:dyDescent="0.3">
      <c r="A2429" s="1">
        <v>1009754</v>
      </c>
      <c r="B2429" s="2" t="s">
        <v>1698</v>
      </c>
      <c r="C2429" s="9">
        <v>438.94069527090505</v>
      </c>
    </row>
    <row r="2430" spans="1:3" x14ac:dyDescent="0.3">
      <c r="A2430" s="1">
        <v>1009779</v>
      </c>
      <c r="B2430" s="2" t="s">
        <v>1699</v>
      </c>
      <c r="C2430" s="9">
        <v>494.34599381283834</v>
      </c>
    </row>
    <row r="2431" spans="1:3" x14ac:dyDescent="0.3">
      <c r="A2431" s="1">
        <v>1009781</v>
      </c>
      <c r="B2431" s="2" t="s">
        <v>1700</v>
      </c>
      <c r="C2431" s="9">
        <v>1768.4189999999999</v>
      </c>
    </row>
    <row r="2432" spans="1:3" x14ac:dyDescent="0.3">
      <c r="A2432" s="1">
        <v>1009782</v>
      </c>
      <c r="B2432" s="2" t="s">
        <v>1701</v>
      </c>
      <c r="C2432" s="9">
        <v>237.52001730648206</v>
      </c>
    </row>
    <row r="2433" spans="1:3" x14ac:dyDescent="0.3">
      <c r="A2433" s="1">
        <v>1009783</v>
      </c>
      <c r="B2433" s="2" t="s">
        <v>1702</v>
      </c>
      <c r="C2433" s="9">
        <v>0</v>
      </c>
    </row>
    <row r="2434" spans="1:3" x14ac:dyDescent="0.3">
      <c r="A2434" s="1">
        <v>1009784</v>
      </c>
      <c r="B2434" s="2" t="s">
        <v>1703</v>
      </c>
      <c r="C2434" s="9">
        <v>0</v>
      </c>
    </row>
    <row r="2435" spans="1:3" x14ac:dyDescent="0.3">
      <c r="A2435" s="1">
        <v>1009787</v>
      </c>
      <c r="B2435" s="2" t="s">
        <v>1704</v>
      </c>
      <c r="C2435" s="9">
        <v>129.80000000000001</v>
      </c>
    </row>
    <row r="2436" spans="1:3" x14ac:dyDescent="0.3">
      <c r="A2436" s="1">
        <v>1009789</v>
      </c>
      <c r="B2436" s="2" t="s">
        <v>1705</v>
      </c>
      <c r="C2436" s="9">
        <v>405.91999999999996</v>
      </c>
    </row>
    <row r="2437" spans="1:3" x14ac:dyDescent="0.3">
      <c r="A2437" s="1">
        <v>1009791</v>
      </c>
      <c r="B2437" s="2" t="s">
        <v>1707</v>
      </c>
      <c r="C2437" s="9">
        <v>0</v>
      </c>
    </row>
    <row r="2438" spans="1:3" x14ac:dyDescent="0.3">
      <c r="A2438" s="1">
        <v>1009792</v>
      </c>
      <c r="B2438" s="2" t="s">
        <v>3559</v>
      </c>
      <c r="C2438" s="9">
        <v>462.19414058577411</v>
      </c>
    </row>
    <row r="2439" spans="1:3" x14ac:dyDescent="0.3">
      <c r="A2439" s="1">
        <v>1009793</v>
      </c>
      <c r="B2439" s="2" t="s">
        <v>1709</v>
      </c>
      <c r="C2439" s="9">
        <v>331.65435502958582</v>
      </c>
    </row>
    <row r="2440" spans="1:3" x14ac:dyDescent="0.3">
      <c r="A2440" s="1">
        <v>1009796</v>
      </c>
      <c r="B2440" s="2" t="s">
        <v>1710</v>
      </c>
      <c r="C2440" s="9">
        <v>49135.94331210191</v>
      </c>
    </row>
    <row r="2441" spans="1:3" x14ac:dyDescent="0.3">
      <c r="A2441" s="1">
        <v>1009800</v>
      </c>
      <c r="B2441" s="2" t="s">
        <v>1712</v>
      </c>
      <c r="C2441" s="9">
        <v>7723.3664864864868</v>
      </c>
    </row>
    <row r="2442" spans="1:3" x14ac:dyDescent="0.3">
      <c r="A2442" s="1">
        <v>1009801</v>
      </c>
      <c r="B2442" s="2" t="s">
        <v>1713</v>
      </c>
      <c r="C2442" s="9">
        <v>8275.1049999999996</v>
      </c>
    </row>
    <row r="2443" spans="1:3" x14ac:dyDescent="0.3">
      <c r="A2443" s="1">
        <v>1009804</v>
      </c>
      <c r="B2443" s="2" t="s">
        <v>1714</v>
      </c>
      <c r="C2443" s="9">
        <v>4310.8201288404362</v>
      </c>
    </row>
    <row r="2444" spans="1:3" x14ac:dyDescent="0.3">
      <c r="A2444" s="1">
        <v>1009807</v>
      </c>
      <c r="B2444" s="2" t="s">
        <v>1716</v>
      </c>
      <c r="C2444" s="9">
        <v>31115.338478260866</v>
      </c>
    </row>
    <row r="2445" spans="1:3" x14ac:dyDescent="0.3">
      <c r="A2445" s="1">
        <v>1009808</v>
      </c>
      <c r="B2445" s="2" t="s">
        <v>1717</v>
      </c>
      <c r="C2445" s="9">
        <v>114570.9</v>
      </c>
    </row>
    <row r="2446" spans="1:3" x14ac:dyDescent="0.3">
      <c r="A2446" s="1">
        <v>1009810</v>
      </c>
      <c r="B2446" s="2" t="s">
        <v>1718</v>
      </c>
      <c r="C2446" s="9">
        <v>0</v>
      </c>
    </row>
    <row r="2447" spans="1:3" x14ac:dyDescent="0.3">
      <c r="A2447" s="1">
        <v>1009811</v>
      </c>
      <c r="B2447" s="2" t="s">
        <v>1719</v>
      </c>
      <c r="C2447" s="9">
        <v>595.51062992125992</v>
      </c>
    </row>
    <row r="2448" spans="1:3" x14ac:dyDescent="0.3">
      <c r="A2448" s="1">
        <v>1009812</v>
      </c>
      <c r="B2448" s="2" t="s">
        <v>1720</v>
      </c>
      <c r="C2448" s="9">
        <v>21063</v>
      </c>
    </row>
    <row r="2449" spans="1:3" x14ac:dyDescent="0.3">
      <c r="A2449" s="1">
        <v>1009813</v>
      </c>
      <c r="B2449" s="2" t="s">
        <v>1721</v>
      </c>
      <c r="C2449" s="9">
        <v>26632.219764705878</v>
      </c>
    </row>
    <row r="2450" spans="1:3" x14ac:dyDescent="0.3">
      <c r="A2450" s="1">
        <v>1009821</v>
      </c>
      <c r="B2450" s="2" t="s">
        <v>1722</v>
      </c>
      <c r="C2450" s="9">
        <v>160.19</v>
      </c>
    </row>
    <row r="2451" spans="1:3" x14ac:dyDescent="0.3">
      <c r="A2451" s="1">
        <v>1009873</v>
      </c>
      <c r="B2451" s="2" t="s">
        <v>1725</v>
      </c>
      <c r="C2451" s="9">
        <v>2421.0914596774196</v>
      </c>
    </row>
    <row r="2452" spans="1:3" x14ac:dyDescent="0.3">
      <c r="A2452" s="1">
        <v>1009878</v>
      </c>
      <c r="B2452" s="2" t="s">
        <v>1726</v>
      </c>
      <c r="C2452" s="9">
        <v>7184.2057916666663</v>
      </c>
    </row>
    <row r="2453" spans="1:3" x14ac:dyDescent="0.3">
      <c r="A2453" s="1">
        <v>1009879</v>
      </c>
      <c r="B2453" s="2" t="s">
        <v>1727</v>
      </c>
      <c r="C2453" s="9">
        <v>13730.128260869566</v>
      </c>
    </row>
    <row r="2454" spans="1:3" x14ac:dyDescent="0.3">
      <c r="A2454" s="1">
        <v>1009881</v>
      </c>
      <c r="B2454" s="2" t="s">
        <v>1728</v>
      </c>
      <c r="C2454" s="9">
        <v>61814.3</v>
      </c>
    </row>
    <row r="2455" spans="1:3" x14ac:dyDescent="0.3">
      <c r="A2455" s="1">
        <v>1009886</v>
      </c>
      <c r="B2455" s="2" t="s">
        <v>1729</v>
      </c>
      <c r="C2455" s="9">
        <v>607.79473684210529</v>
      </c>
    </row>
    <row r="2456" spans="1:3" x14ac:dyDescent="0.3">
      <c r="A2456" s="1">
        <v>1009890</v>
      </c>
      <c r="B2456" s="2" t="s">
        <v>1730</v>
      </c>
      <c r="C2456" s="9">
        <v>0.01</v>
      </c>
    </row>
    <row r="2457" spans="1:3" x14ac:dyDescent="0.3">
      <c r="A2457" s="1">
        <v>1009893</v>
      </c>
      <c r="B2457" s="2" t="s">
        <v>1731</v>
      </c>
      <c r="C2457" s="9">
        <v>9.9999999999999985E-3</v>
      </c>
    </row>
    <row r="2458" spans="1:3" x14ac:dyDescent="0.3">
      <c r="A2458" s="1">
        <v>1009894</v>
      </c>
      <c r="B2458" s="2" t="s">
        <v>1732</v>
      </c>
      <c r="C2458" s="9">
        <v>0.01</v>
      </c>
    </row>
    <row r="2459" spans="1:3" x14ac:dyDescent="0.3">
      <c r="A2459" s="1">
        <v>1009896</v>
      </c>
      <c r="B2459" s="2" t="s">
        <v>1733</v>
      </c>
      <c r="C2459" s="9">
        <v>0.01</v>
      </c>
    </row>
    <row r="2460" spans="1:3" x14ac:dyDescent="0.3">
      <c r="A2460" s="1">
        <v>1009901</v>
      </c>
      <c r="B2460" s="2" t="s">
        <v>1734</v>
      </c>
      <c r="C2460" s="9">
        <v>0.01</v>
      </c>
    </row>
    <row r="2461" spans="1:3" x14ac:dyDescent="0.3">
      <c r="A2461" s="1">
        <v>1009902</v>
      </c>
      <c r="B2461" s="2" t="s">
        <v>1735</v>
      </c>
      <c r="C2461" s="9">
        <v>9.9999999999999985E-3</v>
      </c>
    </row>
    <row r="2462" spans="1:3" x14ac:dyDescent="0.3">
      <c r="A2462" s="1">
        <v>1009903</v>
      </c>
      <c r="B2462" s="2" t="s">
        <v>1736</v>
      </c>
      <c r="C2462" s="9">
        <v>0.01</v>
      </c>
    </row>
    <row r="2463" spans="1:3" x14ac:dyDescent="0.3">
      <c r="A2463" s="1">
        <v>1009904</v>
      </c>
      <c r="B2463" s="2" t="s">
        <v>1737</v>
      </c>
      <c r="C2463" s="9">
        <v>0.01</v>
      </c>
    </row>
    <row r="2464" spans="1:3" x14ac:dyDescent="0.3">
      <c r="A2464" s="1">
        <v>1009907</v>
      </c>
      <c r="B2464" s="2" t="s">
        <v>1738</v>
      </c>
      <c r="C2464" s="9">
        <v>0.01</v>
      </c>
    </row>
    <row r="2465" spans="1:3" x14ac:dyDescent="0.3">
      <c r="A2465" s="1">
        <v>1009910</v>
      </c>
      <c r="B2465" s="2" t="s">
        <v>1740</v>
      </c>
      <c r="C2465" s="9">
        <v>0.01</v>
      </c>
    </row>
    <row r="2466" spans="1:3" x14ac:dyDescent="0.3">
      <c r="A2466" s="1">
        <v>1009919</v>
      </c>
      <c r="B2466" s="2" t="s">
        <v>1742</v>
      </c>
      <c r="C2466" s="9">
        <v>0.01</v>
      </c>
    </row>
    <row r="2467" spans="1:3" x14ac:dyDescent="0.3">
      <c r="A2467" s="1">
        <v>1009920</v>
      </c>
      <c r="B2467" s="2" t="s">
        <v>1743</v>
      </c>
      <c r="C2467" s="9">
        <v>9.9999999999999985E-3</v>
      </c>
    </row>
    <row r="2468" spans="1:3" x14ac:dyDescent="0.3">
      <c r="A2468" s="1">
        <v>1009921</v>
      </c>
      <c r="B2468" s="2" t="s">
        <v>1744</v>
      </c>
      <c r="C2468" s="9">
        <v>0.01</v>
      </c>
    </row>
    <row r="2469" spans="1:3" x14ac:dyDescent="0.3">
      <c r="A2469" s="1">
        <v>1009923</v>
      </c>
      <c r="B2469" s="2" t="s">
        <v>1745</v>
      </c>
      <c r="C2469" s="9">
        <v>0.01</v>
      </c>
    </row>
    <row r="2470" spans="1:3" x14ac:dyDescent="0.3">
      <c r="A2470" s="1">
        <v>1009924</v>
      </c>
      <c r="B2470" s="2" t="s">
        <v>1746</v>
      </c>
      <c r="C2470" s="9">
        <v>0.01</v>
      </c>
    </row>
    <row r="2471" spans="1:3" x14ac:dyDescent="0.3">
      <c r="A2471" s="1">
        <v>1009926</v>
      </c>
      <c r="B2471" s="2" t="s">
        <v>1749</v>
      </c>
      <c r="C2471" s="9">
        <v>2889.4928382533826</v>
      </c>
    </row>
    <row r="2472" spans="1:3" x14ac:dyDescent="0.3">
      <c r="A2472" s="1">
        <v>1009928</v>
      </c>
      <c r="B2472" s="2" t="s">
        <v>1750</v>
      </c>
      <c r="C2472" s="9">
        <v>1455.8248275862068</v>
      </c>
    </row>
    <row r="2473" spans="1:3" x14ac:dyDescent="0.3">
      <c r="A2473" s="1">
        <v>1009955</v>
      </c>
      <c r="B2473" s="2" t="s">
        <v>1755</v>
      </c>
      <c r="C2473" s="9">
        <v>3551.9887700534759</v>
      </c>
    </row>
    <row r="2474" spans="1:3" x14ac:dyDescent="0.3">
      <c r="A2474" s="1">
        <v>1009963</v>
      </c>
      <c r="B2474" s="2" t="s">
        <v>1756</v>
      </c>
      <c r="C2474" s="9">
        <v>287.08102920328895</v>
      </c>
    </row>
    <row r="2475" spans="1:3" x14ac:dyDescent="0.3">
      <c r="A2475" s="1">
        <v>1009964</v>
      </c>
      <c r="B2475" s="2" t="s">
        <v>1757</v>
      </c>
      <c r="C2475" s="9">
        <v>135.69999999999999</v>
      </c>
    </row>
    <row r="2476" spans="1:3" x14ac:dyDescent="0.3">
      <c r="A2476" s="1">
        <v>1009980</v>
      </c>
      <c r="B2476" s="2" t="s">
        <v>1758</v>
      </c>
      <c r="C2476" s="9">
        <v>100.594915</v>
      </c>
    </row>
    <row r="2477" spans="1:3" x14ac:dyDescent="0.3">
      <c r="A2477" s="1">
        <v>1009992</v>
      </c>
      <c r="B2477" s="2" t="s">
        <v>1761</v>
      </c>
      <c r="C2477" s="9">
        <v>2436.7934166666669</v>
      </c>
    </row>
    <row r="2478" spans="1:3" x14ac:dyDescent="0.3">
      <c r="A2478" s="1">
        <v>1010004</v>
      </c>
      <c r="B2478" s="2" t="s">
        <v>1763</v>
      </c>
      <c r="C2478" s="9">
        <v>12.98</v>
      </c>
    </row>
    <row r="2479" spans="1:3" x14ac:dyDescent="0.3">
      <c r="A2479" s="1">
        <v>1010022</v>
      </c>
      <c r="B2479" s="2" t="s">
        <v>1764</v>
      </c>
      <c r="C2479" s="9">
        <v>30.278801843317972</v>
      </c>
    </row>
    <row r="2480" spans="1:3" x14ac:dyDescent="0.3">
      <c r="A2480" s="1">
        <v>1010023</v>
      </c>
      <c r="B2480" s="2" t="s">
        <v>1765</v>
      </c>
      <c r="C2480" s="9">
        <v>30.278803222094361</v>
      </c>
    </row>
    <row r="2481" spans="1:3" x14ac:dyDescent="0.3">
      <c r="A2481" s="1">
        <v>1010024</v>
      </c>
      <c r="B2481" s="2" t="s">
        <v>1766</v>
      </c>
      <c r="C2481" s="9">
        <v>30.2788</v>
      </c>
    </row>
    <row r="2482" spans="1:3" x14ac:dyDescent="0.3">
      <c r="A2482" s="1">
        <v>1010030</v>
      </c>
      <c r="B2482" s="2" t="s">
        <v>1767</v>
      </c>
      <c r="C2482" s="9">
        <v>4071</v>
      </c>
    </row>
    <row r="2483" spans="1:3" x14ac:dyDescent="0.3">
      <c r="A2483" s="1">
        <v>1010239</v>
      </c>
      <c r="B2483" s="2" t="s">
        <v>1768</v>
      </c>
      <c r="C2483" s="9">
        <v>23.01</v>
      </c>
    </row>
    <row r="2484" spans="1:3" x14ac:dyDescent="0.3">
      <c r="A2484" s="1">
        <v>1010240</v>
      </c>
      <c r="B2484" s="2" t="s">
        <v>1769</v>
      </c>
      <c r="C2484" s="9">
        <v>28.909999999999997</v>
      </c>
    </row>
    <row r="2485" spans="1:3" x14ac:dyDescent="0.3">
      <c r="A2485" s="1">
        <v>1010241</v>
      </c>
      <c r="B2485" s="2" t="s">
        <v>1770</v>
      </c>
      <c r="C2485" s="9">
        <v>1150.54</v>
      </c>
    </row>
    <row r="2486" spans="1:3" x14ac:dyDescent="0.3">
      <c r="A2486" s="1">
        <v>1010262</v>
      </c>
      <c r="B2486" s="2" t="s">
        <v>1771</v>
      </c>
      <c r="C2486" s="9">
        <v>2481.06</v>
      </c>
    </row>
    <row r="2487" spans="1:3" x14ac:dyDescent="0.3">
      <c r="A2487" s="1">
        <v>1010299</v>
      </c>
      <c r="B2487" s="2" t="s">
        <v>1772</v>
      </c>
      <c r="C2487" s="9">
        <v>2493.4811017838406</v>
      </c>
    </row>
    <row r="2488" spans="1:3" x14ac:dyDescent="0.3">
      <c r="A2488" s="1">
        <v>1010304</v>
      </c>
      <c r="B2488" s="2" t="s">
        <v>1773</v>
      </c>
      <c r="C2488" s="9">
        <v>1886.96</v>
      </c>
    </row>
    <row r="2489" spans="1:3" x14ac:dyDescent="0.3">
      <c r="A2489" s="1">
        <v>1010307</v>
      </c>
      <c r="B2489" s="2" t="s">
        <v>1774</v>
      </c>
      <c r="C2489" s="9">
        <v>19429.858888888888</v>
      </c>
    </row>
    <row r="2490" spans="1:3" x14ac:dyDescent="0.3">
      <c r="A2490" s="1">
        <v>1010308</v>
      </c>
      <c r="B2490" s="2" t="s">
        <v>1775</v>
      </c>
      <c r="C2490" s="9">
        <v>1185611.5423529411</v>
      </c>
    </row>
    <row r="2491" spans="1:3" x14ac:dyDescent="0.3">
      <c r="A2491" s="1">
        <v>1010319</v>
      </c>
      <c r="B2491" s="2" t="s">
        <v>1776</v>
      </c>
      <c r="C2491" s="9">
        <v>42008.41</v>
      </c>
    </row>
    <row r="2492" spans="1:3" x14ac:dyDescent="0.3">
      <c r="A2492" s="1">
        <v>1010320</v>
      </c>
      <c r="B2492" s="2" t="s">
        <v>1777</v>
      </c>
      <c r="C2492" s="9">
        <v>32524.34</v>
      </c>
    </row>
    <row r="2493" spans="1:3" x14ac:dyDescent="0.3">
      <c r="A2493" s="1">
        <v>1010340</v>
      </c>
      <c r="B2493" s="2" t="s">
        <v>1778</v>
      </c>
      <c r="C2493" s="9">
        <v>700.92000000000007</v>
      </c>
    </row>
    <row r="2494" spans="1:3" x14ac:dyDescent="0.3">
      <c r="A2494" s="1">
        <v>1010358</v>
      </c>
      <c r="B2494" s="2" t="s">
        <v>1779</v>
      </c>
      <c r="C2494" s="9">
        <v>3625.2383870967742</v>
      </c>
    </row>
    <row r="2495" spans="1:3" x14ac:dyDescent="0.3">
      <c r="A2495" s="1">
        <v>1010360</v>
      </c>
      <c r="B2495" s="2" t="s">
        <v>1780</v>
      </c>
      <c r="C2495" s="9">
        <v>114570.90000000001</v>
      </c>
    </row>
    <row r="2496" spans="1:3" x14ac:dyDescent="0.3">
      <c r="A2496" s="1">
        <v>1010367</v>
      </c>
      <c r="B2496" s="2" t="s">
        <v>1781</v>
      </c>
      <c r="C2496" s="9">
        <v>163024</v>
      </c>
    </row>
    <row r="2497" spans="1:3" x14ac:dyDescent="0.3">
      <c r="A2497" s="1">
        <v>1010382</v>
      </c>
      <c r="B2497" s="2" t="s">
        <v>1782</v>
      </c>
      <c r="C2497" s="9">
        <v>0.01</v>
      </c>
    </row>
    <row r="2498" spans="1:3" x14ac:dyDescent="0.3">
      <c r="A2498" s="1">
        <v>1010400</v>
      </c>
      <c r="B2498" s="2" t="s">
        <v>1783</v>
      </c>
      <c r="C2498" s="9">
        <v>1528.0408333333335</v>
      </c>
    </row>
    <row r="2499" spans="1:3" x14ac:dyDescent="0.3">
      <c r="A2499" s="1">
        <v>1010401</v>
      </c>
      <c r="B2499" s="2" t="s">
        <v>1784</v>
      </c>
      <c r="C2499" s="9">
        <v>1550.69</v>
      </c>
    </row>
    <row r="2500" spans="1:3" x14ac:dyDescent="0.3">
      <c r="A2500" s="1">
        <v>1010402</v>
      </c>
      <c r="B2500" s="2" t="s">
        <v>1785</v>
      </c>
      <c r="C2500" s="9">
        <v>1239</v>
      </c>
    </row>
    <row r="2501" spans="1:3" x14ac:dyDescent="0.3">
      <c r="A2501" s="1">
        <v>1010412</v>
      </c>
      <c r="B2501" s="2" t="s">
        <v>1786</v>
      </c>
      <c r="C2501" s="9">
        <v>22302</v>
      </c>
    </row>
    <row r="2502" spans="1:3" x14ac:dyDescent="0.3">
      <c r="A2502" s="1">
        <v>1010421</v>
      </c>
      <c r="B2502" s="2" t="s">
        <v>1787</v>
      </c>
      <c r="C2502" s="9">
        <v>29.901201525746977</v>
      </c>
    </row>
    <row r="2503" spans="1:3" x14ac:dyDescent="0.3">
      <c r="A2503" s="1">
        <v>1010428</v>
      </c>
      <c r="B2503" s="2" t="s">
        <v>1788</v>
      </c>
      <c r="C2503" s="9">
        <v>545.16</v>
      </c>
    </row>
    <row r="2504" spans="1:3" x14ac:dyDescent="0.3">
      <c r="A2504" s="1">
        <v>1010432</v>
      </c>
      <c r="B2504" s="2" t="s">
        <v>1789</v>
      </c>
      <c r="C2504" s="9">
        <v>500</v>
      </c>
    </row>
    <row r="2505" spans="1:3" x14ac:dyDescent="0.3">
      <c r="A2505" s="1">
        <v>1010447</v>
      </c>
      <c r="B2505" s="2" t="s">
        <v>1790</v>
      </c>
      <c r="C2505" s="9">
        <v>15000</v>
      </c>
    </row>
    <row r="2506" spans="1:3" x14ac:dyDescent="0.3">
      <c r="A2506" s="1">
        <v>1010558</v>
      </c>
      <c r="B2506" s="2" t="s">
        <v>1791</v>
      </c>
      <c r="C2506" s="9">
        <v>1298</v>
      </c>
    </row>
    <row r="2507" spans="1:3" x14ac:dyDescent="0.3">
      <c r="A2507" s="1">
        <v>1010570</v>
      </c>
      <c r="B2507" s="2" t="s">
        <v>1792</v>
      </c>
      <c r="C2507" s="9">
        <v>54752</v>
      </c>
    </row>
    <row r="2508" spans="1:3" x14ac:dyDescent="0.3">
      <c r="A2508" s="1">
        <v>1010588</v>
      </c>
      <c r="B2508" s="2" t="s">
        <v>1793</v>
      </c>
      <c r="C2508" s="9">
        <v>109504</v>
      </c>
    </row>
    <row r="2509" spans="1:3" x14ac:dyDescent="0.3">
      <c r="A2509" s="1">
        <v>1010594</v>
      </c>
      <c r="B2509" s="2" t="s">
        <v>1794</v>
      </c>
      <c r="C2509" s="9">
        <v>117646</v>
      </c>
    </row>
    <row r="2510" spans="1:3" x14ac:dyDescent="0.3">
      <c r="A2510" s="1">
        <v>1010601</v>
      </c>
      <c r="B2510" s="2" t="s">
        <v>1795</v>
      </c>
      <c r="C2510" s="9">
        <v>136290</v>
      </c>
    </row>
    <row r="2511" spans="1:3" x14ac:dyDescent="0.3">
      <c r="A2511" s="1">
        <v>1010603</v>
      </c>
      <c r="B2511" s="2" t="s">
        <v>1796</v>
      </c>
      <c r="C2511" s="9">
        <v>109362.4</v>
      </c>
    </row>
    <row r="2512" spans="1:3" x14ac:dyDescent="0.3">
      <c r="A2512" s="1">
        <v>1010605</v>
      </c>
      <c r="B2512" s="2" t="s">
        <v>1797</v>
      </c>
      <c r="C2512" s="9">
        <v>79124.899999999994</v>
      </c>
    </row>
    <row r="2513" spans="1:3" x14ac:dyDescent="0.3">
      <c r="A2513" s="1">
        <v>1010613</v>
      </c>
      <c r="B2513" s="2" t="s">
        <v>1798</v>
      </c>
      <c r="C2513" s="9">
        <v>303732</v>
      </c>
    </row>
    <row r="2514" spans="1:3" x14ac:dyDescent="0.3">
      <c r="A2514" s="1">
        <v>1010615</v>
      </c>
      <c r="B2514" s="2" t="s">
        <v>1799</v>
      </c>
      <c r="C2514" s="9">
        <v>413000</v>
      </c>
    </row>
    <row r="2515" spans="1:3" x14ac:dyDescent="0.3">
      <c r="A2515" s="1">
        <v>1010627</v>
      </c>
      <c r="B2515" s="2" t="s">
        <v>1800</v>
      </c>
      <c r="C2515" s="9">
        <v>48097.75</v>
      </c>
    </row>
    <row r="2516" spans="1:3" x14ac:dyDescent="0.3">
      <c r="A2516" s="1">
        <v>1010634</v>
      </c>
      <c r="B2516" s="2" t="s">
        <v>1801</v>
      </c>
      <c r="C2516" s="9">
        <v>2183</v>
      </c>
    </row>
    <row r="2517" spans="1:3" x14ac:dyDescent="0.3">
      <c r="A2517" s="1">
        <v>1010646</v>
      </c>
      <c r="B2517" s="2" t="s">
        <v>1802</v>
      </c>
      <c r="C2517" s="9">
        <v>2899999.9899999998</v>
      </c>
    </row>
    <row r="2518" spans="1:3" x14ac:dyDescent="0.3">
      <c r="A2518" s="1">
        <v>1010653</v>
      </c>
      <c r="B2518" s="2" t="s">
        <v>1803</v>
      </c>
      <c r="C2518" s="9">
        <v>180.01933515172178</v>
      </c>
    </row>
    <row r="2519" spans="1:3" x14ac:dyDescent="0.3">
      <c r="A2519" s="1">
        <v>1010680</v>
      </c>
      <c r="B2519" s="2" t="s">
        <v>1804</v>
      </c>
      <c r="C2519" s="9">
        <v>4500</v>
      </c>
    </row>
    <row r="2520" spans="1:3" x14ac:dyDescent="0.3">
      <c r="A2520" s="1">
        <v>1010696</v>
      </c>
      <c r="B2520" s="2" t="s">
        <v>1805</v>
      </c>
      <c r="C2520" s="9">
        <v>106790</v>
      </c>
    </row>
    <row r="2521" spans="1:3" x14ac:dyDescent="0.3">
      <c r="A2521" s="1">
        <v>1010697</v>
      </c>
      <c r="B2521" s="2" t="s">
        <v>1806</v>
      </c>
      <c r="C2521" s="9">
        <v>295945.0625</v>
      </c>
    </row>
    <row r="2522" spans="1:3" x14ac:dyDescent="0.3">
      <c r="A2522" s="1">
        <v>1010700</v>
      </c>
      <c r="B2522" s="2" t="s">
        <v>1807</v>
      </c>
      <c r="C2522" s="9">
        <v>460908.23333333334</v>
      </c>
    </row>
    <row r="2523" spans="1:3" x14ac:dyDescent="0.3">
      <c r="A2523" s="1">
        <v>1010709</v>
      </c>
      <c r="B2523" s="2" t="s">
        <v>1808</v>
      </c>
      <c r="C2523" s="9">
        <v>55</v>
      </c>
    </row>
    <row r="2524" spans="1:3" x14ac:dyDescent="0.3">
      <c r="A2524" s="1">
        <v>1010779</v>
      </c>
      <c r="B2524" s="2" t="s">
        <v>1809</v>
      </c>
      <c r="C2524" s="9">
        <v>200</v>
      </c>
    </row>
    <row r="2525" spans="1:3" x14ac:dyDescent="0.3">
      <c r="A2525" s="1">
        <v>1010781</v>
      </c>
      <c r="B2525" s="2" t="s">
        <v>1810</v>
      </c>
      <c r="C2525" s="9">
        <v>6729.88</v>
      </c>
    </row>
    <row r="2526" spans="1:3" x14ac:dyDescent="0.3">
      <c r="A2526" s="1">
        <v>1010783</v>
      </c>
      <c r="B2526" s="2" t="s">
        <v>1811</v>
      </c>
      <c r="C2526" s="9">
        <v>5957.763985517402</v>
      </c>
    </row>
    <row r="2527" spans="1:3" x14ac:dyDescent="0.3">
      <c r="A2527" s="1">
        <v>1010786</v>
      </c>
      <c r="B2527" s="2" t="s">
        <v>1812</v>
      </c>
      <c r="C2527" s="9">
        <v>8300.9708737864075</v>
      </c>
    </row>
    <row r="2528" spans="1:3" x14ac:dyDescent="0.3">
      <c r="A2528" s="1">
        <v>1010890</v>
      </c>
      <c r="B2528" s="2" t="s">
        <v>1813</v>
      </c>
      <c r="C2528" s="9">
        <v>568.94880052579686</v>
      </c>
    </row>
    <row r="2529" spans="1:3" x14ac:dyDescent="0.3">
      <c r="A2529" s="1">
        <v>1010930</v>
      </c>
      <c r="B2529" s="2" t="s">
        <v>1814</v>
      </c>
      <c r="C2529" s="9">
        <v>2568082.35</v>
      </c>
    </row>
    <row r="2530" spans="1:3" x14ac:dyDescent="0.3">
      <c r="A2530" s="1">
        <v>1011044</v>
      </c>
      <c r="B2530" s="2" t="s">
        <v>1817</v>
      </c>
      <c r="C2530" s="9">
        <v>4248</v>
      </c>
    </row>
    <row r="2531" spans="1:3" x14ac:dyDescent="0.3">
      <c r="A2531" s="1">
        <v>1011045</v>
      </c>
      <c r="B2531" s="2" t="s">
        <v>1818</v>
      </c>
      <c r="C2531" s="9">
        <v>7375</v>
      </c>
    </row>
    <row r="2532" spans="1:3" x14ac:dyDescent="0.3">
      <c r="A2532" s="1">
        <v>1011047</v>
      </c>
      <c r="B2532" s="2" t="s">
        <v>1819</v>
      </c>
      <c r="C2532" s="9">
        <v>5310</v>
      </c>
    </row>
    <row r="2533" spans="1:3" x14ac:dyDescent="0.3">
      <c r="A2533" s="1">
        <v>1011048</v>
      </c>
      <c r="B2533" s="2" t="s">
        <v>1820</v>
      </c>
      <c r="C2533" s="9">
        <v>7131.9616216216218</v>
      </c>
    </row>
    <row r="2534" spans="1:3" x14ac:dyDescent="0.3">
      <c r="A2534" s="1">
        <v>1011049</v>
      </c>
      <c r="B2534" s="2" t="s">
        <v>1821</v>
      </c>
      <c r="C2534" s="9">
        <v>161.8252</v>
      </c>
    </row>
    <row r="2535" spans="1:3" x14ac:dyDescent="0.3">
      <c r="A2535" s="1">
        <v>1011079</v>
      </c>
      <c r="B2535" s="2" t="s">
        <v>1822</v>
      </c>
      <c r="C2535" s="9">
        <v>6696</v>
      </c>
    </row>
    <row r="2536" spans="1:3" x14ac:dyDescent="0.3">
      <c r="A2536" s="1">
        <v>1011100</v>
      </c>
      <c r="B2536" s="2" t="s">
        <v>1823</v>
      </c>
      <c r="C2536" s="9">
        <v>148305</v>
      </c>
    </row>
    <row r="2537" spans="1:3" x14ac:dyDescent="0.3">
      <c r="A2537" s="1">
        <v>1011115</v>
      </c>
      <c r="B2537" s="2" t="s">
        <v>1824</v>
      </c>
      <c r="C2537" s="9">
        <v>3792.8503999999998</v>
      </c>
    </row>
    <row r="2538" spans="1:3" x14ac:dyDescent="0.3">
      <c r="A2538" s="1">
        <v>1011118</v>
      </c>
      <c r="B2538" s="2" t="s">
        <v>1825</v>
      </c>
      <c r="C2538" s="9">
        <v>14814.994324324325</v>
      </c>
    </row>
    <row r="2539" spans="1:3" x14ac:dyDescent="0.3">
      <c r="A2539" s="1">
        <v>1011159</v>
      </c>
      <c r="B2539" s="2" t="s">
        <v>1826</v>
      </c>
      <c r="C2539" s="9">
        <v>3564</v>
      </c>
    </row>
    <row r="2540" spans="1:3" x14ac:dyDescent="0.3">
      <c r="A2540" s="1">
        <v>1011160</v>
      </c>
      <c r="B2540" s="2" t="s">
        <v>1827</v>
      </c>
      <c r="C2540" s="9">
        <v>4500.8599999999997</v>
      </c>
    </row>
    <row r="2541" spans="1:3" x14ac:dyDescent="0.3">
      <c r="A2541" s="1">
        <v>1011161</v>
      </c>
      <c r="B2541" s="2" t="s">
        <v>1828</v>
      </c>
      <c r="C2541" s="9">
        <v>283.2</v>
      </c>
    </row>
    <row r="2542" spans="1:3" x14ac:dyDescent="0.3">
      <c r="A2542" s="1">
        <v>1011162</v>
      </c>
      <c r="B2542" s="2" t="s">
        <v>191</v>
      </c>
      <c r="C2542" s="9">
        <v>250</v>
      </c>
    </row>
    <row r="2543" spans="1:3" x14ac:dyDescent="0.3">
      <c r="A2543" s="1">
        <v>1011163</v>
      </c>
      <c r="B2543" s="2" t="s">
        <v>1829</v>
      </c>
      <c r="C2543" s="9">
        <v>20968.446470588238</v>
      </c>
    </row>
    <row r="2544" spans="1:3" x14ac:dyDescent="0.3">
      <c r="A2544" s="1">
        <v>1011165</v>
      </c>
      <c r="B2544" s="2" t="s">
        <v>1830</v>
      </c>
      <c r="C2544" s="9">
        <v>2500</v>
      </c>
    </row>
    <row r="2545" spans="1:3" x14ac:dyDescent="0.3">
      <c r="A2545" s="1">
        <v>1011166</v>
      </c>
      <c r="B2545" s="2" t="s">
        <v>1831</v>
      </c>
      <c r="C2545" s="9">
        <v>5672.4369999999999</v>
      </c>
    </row>
    <row r="2546" spans="1:3" x14ac:dyDescent="0.3">
      <c r="A2546" s="1">
        <v>1011167</v>
      </c>
      <c r="B2546" s="2" t="s">
        <v>1832</v>
      </c>
      <c r="C2546" s="9">
        <v>3280.8995294117649</v>
      </c>
    </row>
    <row r="2547" spans="1:3" x14ac:dyDescent="0.3">
      <c r="A2547" s="1">
        <v>1011176</v>
      </c>
      <c r="B2547" s="2" t="s">
        <v>1833</v>
      </c>
      <c r="C2547" s="9">
        <v>1436.2770702179178</v>
      </c>
    </row>
    <row r="2548" spans="1:3" x14ac:dyDescent="0.3">
      <c r="A2548" s="1">
        <v>1011178</v>
      </c>
      <c r="B2548" s="2" t="s">
        <v>1834</v>
      </c>
      <c r="C2548" s="9">
        <v>2500</v>
      </c>
    </row>
    <row r="2549" spans="1:3" x14ac:dyDescent="0.3">
      <c r="A2549" s="1">
        <v>1011180</v>
      </c>
      <c r="B2549" s="2" t="s">
        <v>1835</v>
      </c>
      <c r="C2549" s="9">
        <v>6835.7992000000004</v>
      </c>
    </row>
    <row r="2550" spans="1:3" x14ac:dyDescent="0.3">
      <c r="A2550" s="1">
        <v>1011182</v>
      </c>
      <c r="B2550" s="2" t="s">
        <v>1836</v>
      </c>
      <c r="C2550" s="9">
        <v>103.54985754985755</v>
      </c>
    </row>
    <row r="2551" spans="1:3" x14ac:dyDescent="0.3">
      <c r="A2551" s="1">
        <v>1011183</v>
      </c>
      <c r="B2551" s="2" t="s">
        <v>1837</v>
      </c>
      <c r="C2551" s="9">
        <v>955.8</v>
      </c>
    </row>
    <row r="2552" spans="1:3" x14ac:dyDescent="0.3">
      <c r="A2552" s="1">
        <v>1011185</v>
      </c>
      <c r="B2552" s="2" t="s">
        <v>1838</v>
      </c>
      <c r="C2552" s="9">
        <v>1241.910357142857</v>
      </c>
    </row>
    <row r="2553" spans="1:3" x14ac:dyDescent="0.3">
      <c r="A2553" s="1">
        <v>1011186</v>
      </c>
      <c r="B2553" s="2" t="s">
        <v>1839</v>
      </c>
      <c r="C2553" s="9">
        <v>26800</v>
      </c>
    </row>
    <row r="2554" spans="1:3" x14ac:dyDescent="0.3">
      <c r="A2554" s="1">
        <v>1011187</v>
      </c>
      <c r="B2554" s="2" t="s">
        <v>1840</v>
      </c>
      <c r="C2554" s="9">
        <v>758.57500000000005</v>
      </c>
    </row>
    <row r="2555" spans="1:3" x14ac:dyDescent="0.3">
      <c r="A2555" s="1">
        <v>1011188</v>
      </c>
      <c r="B2555" s="2" t="s">
        <v>1841</v>
      </c>
      <c r="C2555" s="9">
        <v>287.36263245956496</v>
      </c>
    </row>
    <row r="2556" spans="1:3" x14ac:dyDescent="0.3">
      <c r="A2556" s="1">
        <v>1011190</v>
      </c>
      <c r="B2556" s="2" t="s">
        <v>1842</v>
      </c>
      <c r="C2556" s="9">
        <v>976.34828729281776</v>
      </c>
    </row>
    <row r="2557" spans="1:3" x14ac:dyDescent="0.3">
      <c r="A2557" s="1">
        <v>1011193</v>
      </c>
      <c r="B2557" s="2" t="s">
        <v>1843</v>
      </c>
      <c r="C2557" s="9">
        <v>30</v>
      </c>
    </row>
    <row r="2558" spans="1:3" x14ac:dyDescent="0.3">
      <c r="A2558" s="1">
        <v>1011194</v>
      </c>
      <c r="B2558" s="2" t="s">
        <v>1844</v>
      </c>
      <c r="C2558" s="9">
        <v>2500</v>
      </c>
    </row>
    <row r="2559" spans="1:3" x14ac:dyDescent="0.3">
      <c r="A2559" s="1">
        <v>1011195</v>
      </c>
      <c r="B2559" s="2" t="s">
        <v>1845</v>
      </c>
      <c r="C2559" s="9">
        <v>1500</v>
      </c>
    </row>
    <row r="2560" spans="1:3" x14ac:dyDescent="0.3">
      <c r="A2560" s="1">
        <v>1011196</v>
      </c>
      <c r="B2560" s="2" t="s">
        <v>1846</v>
      </c>
      <c r="C2560" s="9">
        <v>1200</v>
      </c>
    </row>
    <row r="2561" spans="1:3" x14ac:dyDescent="0.3">
      <c r="A2561" s="1">
        <v>1011197</v>
      </c>
      <c r="B2561" s="2" t="s">
        <v>1847</v>
      </c>
      <c r="C2561" s="9">
        <v>114.3351039008385</v>
      </c>
    </row>
    <row r="2562" spans="1:3" x14ac:dyDescent="0.3">
      <c r="A2562" s="1">
        <v>1011199</v>
      </c>
      <c r="B2562" s="2" t="s">
        <v>282</v>
      </c>
      <c r="C2562" s="9">
        <v>25934.924999999999</v>
      </c>
    </row>
    <row r="2563" spans="1:3" x14ac:dyDescent="0.3">
      <c r="A2563" s="1">
        <v>1011200</v>
      </c>
      <c r="B2563" s="2" t="s">
        <v>1848</v>
      </c>
      <c r="C2563" s="9">
        <v>58700.043999999994</v>
      </c>
    </row>
    <row r="2564" spans="1:3" x14ac:dyDescent="0.3">
      <c r="A2564" s="1">
        <v>1011201</v>
      </c>
      <c r="B2564" s="2" t="s">
        <v>1849</v>
      </c>
      <c r="C2564" s="9">
        <v>2337.6014285714286</v>
      </c>
    </row>
    <row r="2565" spans="1:3" x14ac:dyDescent="0.3">
      <c r="A2565" s="1">
        <v>1011202</v>
      </c>
      <c r="B2565" s="2" t="s">
        <v>1850</v>
      </c>
      <c r="C2565" s="9">
        <v>5094.674087591241</v>
      </c>
    </row>
    <row r="2566" spans="1:3" x14ac:dyDescent="0.3">
      <c r="A2566" s="1">
        <v>1011203</v>
      </c>
      <c r="B2566" s="2" t="s">
        <v>1851</v>
      </c>
      <c r="C2566" s="9">
        <v>900</v>
      </c>
    </row>
    <row r="2567" spans="1:3" x14ac:dyDescent="0.3">
      <c r="A2567" s="1">
        <v>1011206</v>
      </c>
      <c r="B2567" s="2" t="s">
        <v>1852</v>
      </c>
      <c r="C2567" s="9">
        <v>3215.5</v>
      </c>
    </row>
    <row r="2568" spans="1:3" x14ac:dyDescent="0.3">
      <c r="A2568" s="1">
        <v>1011207</v>
      </c>
      <c r="B2568" s="2" t="s">
        <v>1853</v>
      </c>
      <c r="C2568" s="9">
        <v>2600</v>
      </c>
    </row>
    <row r="2569" spans="1:3" x14ac:dyDescent="0.3">
      <c r="A2569" s="1">
        <v>1011208</v>
      </c>
      <c r="B2569" s="2" t="s">
        <v>1854</v>
      </c>
      <c r="C2569" s="9">
        <v>1700</v>
      </c>
    </row>
    <row r="2570" spans="1:3" x14ac:dyDescent="0.3">
      <c r="A2570" s="1">
        <v>1011215</v>
      </c>
      <c r="B2570" s="2" t="s">
        <v>1855</v>
      </c>
      <c r="C2570" s="9">
        <v>150</v>
      </c>
    </row>
    <row r="2571" spans="1:3" x14ac:dyDescent="0.3">
      <c r="A2571" s="1">
        <v>1011247</v>
      </c>
      <c r="B2571" s="2" t="s">
        <v>1856</v>
      </c>
      <c r="C2571" s="9">
        <v>1500</v>
      </c>
    </row>
    <row r="2572" spans="1:3" x14ac:dyDescent="0.3">
      <c r="A2572" s="1">
        <v>1011248</v>
      </c>
      <c r="B2572" s="2" t="s">
        <v>1857</v>
      </c>
      <c r="C2572" s="9">
        <v>297.47432835820894</v>
      </c>
    </row>
    <row r="2573" spans="1:3" x14ac:dyDescent="0.3">
      <c r="A2573" s="1">
        <v>1011305</v>
      </c>
      <c r="B2573" s="2" t="s">
        <v>1858</v>
      </c>
      <c r="C2573" s="9">
        <v>115.05000000000001</v>
      </c>
    </row>
    <row r="2574" spans="1:3" x14ac:dyDescent="0.3">
      <c r="A2574" s="1">
        <v>1011306</v>
      </c>
      <c r="B2574" s="2" t="s">
        <v>1859</v>
      </c>
      <c r="C2574" s="9">
        <v>186.95920529801325</v>
      </c>
    </row>
    <row r="2575" spans="1:3" x14ac:dyDescent="0.3">
      <c r="A2575" s="1">
        <v>1011319</v>
      </c>
      <c r="B2575" s="2" t="s">
        <v>1860</v>
      </c>
      <c r="C2575" s="9">
        <v>14545.51782857143</v>
      </c>
    </row>
    <row r="2576" spans="1:3" x14ac:dyDescent="0.3">
      <c r="A2576" s="1">
        <v>1011330</v>
      </c>
      <c r="B2576" s="2" t="s">
        <v>1861</v>
      </c>
      <c r="C2576" s="9">
        <v>39958.372307692312</v>
      </c>
    </row>
    <row r="2577" spans="1:3" x14ac:dyDescent="0.3">
      <c r="A2577" s="1">
        <v>1011331</v>
      </c>
      <c r="B2577" s="2" t="s">
        <v>1862</v>
      </c>
      <c r="C2577" s="9">
        <v>3422</v>
      </c>
    </row>
    <row r="2578" spans="1:3" x14ac:dyDescent="0.3">
      <c r="A2578" s="1">
        <v>1011334</v>
      </c>
      <c r="B2578" s="2" t="s">
        <v>1863</v>
      </c>
      <c r="C2578" s="9">
        <v>15140.58</v>
      </c>
    </row>
    <row r="2579" spans="1:3" x14ac:dyDescent="0.3">
      <c r="A2579" s="1">
        <v>1011355</v>
      </c>
      <c r="B2579" s="2" t="s">
        <v>1864</v>
      </c>
      <c r="C2579" s="9">
        <v>13662.411666666665</v>
      </c>
    </row>
    <row r="2580" spans="1:3" x14ac:dyDescent="0.3">
      <c r="A2580" s="1">
        <v>1011373</v>
      </c>
      <c r="B2580" s="2" t="s">
        <v>1865</v>
      </c>
      <c r="C2580" s="9">
        <v>48369.75</v>
      </c>
    </row>
    <row r="2581" spans="1:3" x14ac:dyDescent="0.3">
      <c r="A2581" s="1">
        <v>1011378</v>
      </c>
      <c r="B2581" s="2" t="s">
        <v>1866</v>
      </c>
      <c r="C2581" s="9">
        <v>40245.481666666667</v>
      </c>
    </row>
    <row r="2582" spans="1:3" x14ac:dyDescent="0.3">
      <c r="A2582" s="1">
        <v>1011380</v>
      </c>
      <c r="B2582" s="2" t="s">
        <v>1867</v>
      </c>
      <c r="C2582" s="9">
        <v>242608</v>
      </c>
    </row>
    <row r="2583" spans="1:3" x14ac:dyDescent="0.3">
      <c r="A2583" s="1">
        <v>1011391</v>
      </c>
      <c r="B2583" s="2" t="s">
        <v>1868</v>
      </c>
      <c r="C2583" s="9">
        <v>121463.80499999999</v>
      </c>
    </row>
    <row r="2584" spans="1:3" x14ac:dyDescent="0.3">
      <c r="A2584" s="1">
        <v>1011392</v>
      </c>
      <c r="B2584" s="2" t="s">
        <v>1869</v>
      </c>
      <c r="C2584" s="9">
        <v>1130.4827916666666</v>
      </c>
    </row>
    <row r="2585" spans="1:3" x14ac:dyDescent="0.3">
      <c r="A2585" s="1">
        <v>1011393</v>
      </c>
      <c r="B2585" s="2" t="s">
        <v>1870</v>
      </c>
      <c r="C2585" s="9">
        <v>4390.2941176470586</v>
      </c>
    </row>
    <row r="2586" spans="1:3" x14ac:dyDescent="0.3">
      <c r="A2586" s="1">
        <v>1011396</v>
      </c>
      <c r="B2586" s="2" t="s">
        <v>1871</v>
      </c>
      <c r="C2586" s="9">
        <v>92789.3</v>
      </c>
    </row>
    <row r="2587" spans="1:3" x14ac:dyDescent="0.3">
      <c r="A2587" s="1">
        <v>1011403</v>
      </c>
      <c r="B2587" s="2" t="s">
        <v>1872</v>
      </c>
      <c r="C2587" s="9">
        <v>854.86128440366974</v>
      </c>
    </row>
    <row r="2588" spans="1:3" x14ac:dyDescent="0.3">
      <c r="A2588" s="1">
        <v>1011407</v>
      </c>
      <c r="B2588" s="2" t="s">
        <v>1873</v>
      </c>
      <c r="C2588" s="9">
        <v>2585936.73</v>
      </c>
    </row>
    <row r="2589" spans="1:3" x14ac:dyDescent="0.3">
      <c r="A2589" s="1">
        <v>1011408</v>
      </c>
      <c r="B2589" s="2" t="s">
        <v>1874</v>
      </c>
      <c r="C2589" s="9">
        <v>57026.567777777775</v>
      </c>
    </row>
    <row r="2590" spans="1:3" x14ac:dyDescent="0.3">
      <c r="A2590" s="1">
        <v>1011420</v>
      </c>
      <c r="B2590" s="2" t="s">
        <v>1783</v>
      </c>
      <c r="C2590" s="9">
        <v>2717.0305193734544</v>
      </c>
    </row>
    <row r="2591" spans="1:3" x14ac:dyDescent="0.3">
      <c r="A2591" s="1">
        <v>1011544</v>
      </c>
      <c r="B2591" s="2" t="s">
        <v>1875</v>
      </c>
      <c r="C2591" s="9">
        <v>25.900952380952379</v>
      </c>
    </row>
    <row r="2592" spans="1:3" x14ac:dyDescent="0.3">
      <c r="A2592" s="1">
        <v>1011549</v>
      </c>
      <c r="B2592" s="2" t="s">
        <v>1876</v>
      </c>
      <c r="C2592" s="9">
        <v>789.40250000000003</v>
      </c>
    </row>
    <row r="2593" spans="1:3" x14ac:dyDescent="0.3">
      <c r="A2593" s="1">
        <v>1011550</v>
      </c>
      <c r="B2593" s="2" t="s">
        <v>1877</v>
      </c>
      <c r="C2593" s="9">
        <v>129.80000000000001</v>
      </c>
    </row>
    <row r="2594" spans="1:3" x14ac:dyDescent="0.3">
      <c r="A2594" s="1">
        <v>1011557</v>
      </c>
      <c r="B2594" s="2" t="s">
        <v>1878</v>
      </c>
      <c r="C2594" s="9">
        <v>599.96</v>
      </c>
    </row>
    <row r="2595" spans="1:3" x14ac:dyDescent="0.3">
      <c r="A2595" s="1">
        <v>1011562</v>
      </c>
      <c r="B2595" s="2" t="s">
        <v>1879</v>
      </c>
      <c r="C2595" s="9">
        <v>158.15059782608697</v>
      </c>
    </row>
    <row r="2596" spans="1:3" x14ac:dyDescent="0.3">
      <c r="A2596" s="1">
        <v>1011563</v>
      </c>
      <c r="B2596" s="2" t="s">
        <v>1880</v>
      </c>
      <c r="C2596" s="9">
        <v>785.36080000000004</v>
      </c>
    </row>
    <row r="2597" spans="1:3" x14ac:dyDescent="0.3">
      <c r="A2597" s="1">
        <v>1011567</v>
      </c>
      <c r="B2597" s="2" t="s">
        <v>1881</v>
      </c>
      <c r="C2597" s="9">
        <v>140.41999999999999</v>
      </c>
    </row>
    <row r="2598" spans="1:3" x14ac:dyDescent="0.3">
      <c r="A2598" s="1">
        <v>1011585</v>
      </c>
      <c r="B2598" s="2" t="s">
        <v>1882</v>
      </c>
      <c r="C2598" s="9">
        <v>814.2</v>
      </c>
    </row>
    <row r="2599" spans="1:3" x14ac:dyDescent="0.3">
      <c r="A2599" s="1">
        <v>1011590</v>
      </c>
      <c r="B2599" s="2" t="s">
        <v>1883</v>
      </c>
      <c r="C2599" s="9">
        <v>316.69913636363634</v>
      </c>
    </row>
    <row r="2600" spans="1:3" x14ac:dyDescent="0.3">
      <c r="A2600" s="1">
        <v>1011644</v>
      </c>
      <c r="B2600" s="2" t="s">
        <v>1884</v>
      </c>
      <c r="C2600" s="9">
        <v>115.63999999999999</v>
      </c>
    </row>
    <row r="2601" spans="1:3" x14ac:dyDescent="0.3">
      <c r="A2601" s="1">
        <v>1011647</v>
      </c>
      <c r="B2601" s="2" t="s">
        <v>1885</v>
      </c>
      <c r="C2601" s="9">
        <v>5000</v>
      </c>
    </row>
    <row r="2602" spans="1:3" x14ac:dyDescent="0.3">
      <c r="A2602" s="1">
        <v>1011676</v>
      </c>
      <c r="B2602" s="2" t="s">
        <v>1886</v>
      </c>
      <c r="C2602" s="9">
        <v>40645.663710691828</v>
      </c>
    </row>
    <row r="2603" spans="1:3" x14ac:dyDescent="0.3">
      <c r="A2603" s="1">
        <v>1011709</v>
      </c>
      <c r="B2603" s="2" t="s">
        <v>1887</v>
      </c>
      <c r="C2603" s="9">
        <v>1003</v>
      </c>
    </row>
    <row r="2604" spans="1:3" x14ac:dyDescent="0.3">
      <c r="A2604" s="1">
        <v>1011710</v>
      </c>
      <c r="B2604" s="2" t="s">
        <v>1888</v>
      </c>
      <c r="C2604" s="9">
        <v>4570.3051999999998</v>
      </c>
    </row>
    <row r="2605" spans="1:3" x14ac:dyDescent="0.3">
      <c r="A2605" s="1">
        <v>1011712</v>
      </c>
      <c r="B2605" s="2" t="s">
        <v>1889</v>
      </c>
      <c r="C2605" s="9">
        <v>2858428.22</v>
      </c>
    </row>
    <row r="2606" spans="1:3" x14ac:dyDescent="0.3">
      <c r="A2606" s="1">
        <v>1011713</v>
      </c>
      <c r="B2606" s="2" t="s">
        <v>1890</v>
      </c>
      <c r="C2606" s="9">
        <v>1375179.55</v>
      </c>
    </row>
    <row r="2607" spans="1:3" x14ac:dyDescent="0.3">
      <c r="A2607" s="1">
        <v>1011769</v>
      </c>
      <c r="B2607" s="2" t="s">
        <v>1891</v>
      </c>
      <c r="C2607" s="9">
        <v>116.72122962962963</v>
      </c>
    </row>
    <row r="2608" spans="1:3" x14ac:dyDescent="0.3">
      <c r="A2608" s="1">
        <v>1011772</v>
      </c>
      <c r="B2608" s="2" t="s">
        <v>1892</v>
      </c>
      <c r="C2608" s="9">
        <v>39326.450000000004</v>
      </c>
    </row>
    <row r="2609" spans="1:3" x14ac:dyDescent="0.3">
      <c r="A2609" s="1">
        <v>1011779</v>
      </c>
      <c r="B2609" s="2" t="s">
        <v>1893</v>
      </c>
      <c r="C2609" s="9">
        <v>9707.8482352941191</v>
      </c>
    </row>
    <row r="2610" spans="1:3" x14ac:dyDescent="0.3">
      <c r="A2610" s="1">
        <v>1011780</v>
      </c>
      <c r="B2610" s="2" t="s">
        <v>1894</v>
      </c>
      <c r="C2610" s="9">
        <v>9707.8482499999991</v>
      </c>
    </row>
    <row r="2611" spans="1:3" x14ac:dyDescent="0.3">
      <c r="A2611" s="1">
        <v>1011781</v>
      </c>
      <c r="B2611" s="2" t="s">
        <v>1895</v>
      </c>
      <c r="C2611" s="9">
        <v>9707.8483333333334</v>
      </c>
    </row>
    <row r="2612" spans="1:3" x14ac:dyDescent="0.3">
      <c r="A2612" s="1">
        <v>1011783</v>
      </c>
      <c r="B2612" s="2" t="s">
        <v>1896</v>
      </c>
      <c r="C2612" s="9">
        <v>9707.8478571428568</v>
      </c>
    </row>
    <row r="2613" spans="1:3" x14ac:dyDescent="0.3">
      <c r="A2613" s="1">
        <v>1011784</v>
      </c>
      <c r="B2613" s="2" t="s">
        <v>1897</v>
      </c>
      <c r="C2613" s="9">
        <v>9923.8792307692311</v>
      </c>
    </row>
    <row r="2614" spans="1:3" x14ac:dyDescent="0.3">
      <c r="A2614" s="1">
        <v>1011785</v>
      </c>
      <c r="B2614" s="2" t="s">
        <v>1898</v>
      </c>
      <c r="C2614" s="9">
        <v>9707.848</v>
      </c>
    </row>
    <row r="2615" spans="1:3" x14ac:dyDescent="0.3">
      <c r="A2615" s="1">
        <v>1011786</v>
      </c>
      <c r="B2615" s="2" t="s">
        <v>1899</v>
      </c>
      <c r="C2615" s="9">
        <v>9707.85</v>
      </c>
    </row>
    <row r="2616" spans="1:3" x14ac:dyDescent="0.3">
      <c r="A2616" s="1">
        <v>1011787</v>
      </c>
      <c r="B2616" s="2" t="s">
        <v>1900</v>
      </c>
      <c r="C2616" s="9">
        <v>9805.3814285714288</v>
      </c>
    </row>
    <row r="2617" spans="1:3" x14ac:dyDescent="0.3">
      <c r="A2617" s="1">
        <v>1011788</v>
      </c>
      <c r="B2617" s="2" t="s">
        <v>1901</v>
      </c>
      <c r="C2617" s="9">
        <v>12516.26</v>
      </c>
    </row>
    <row r="2618" spans="1:3" x14ac:dyDescent="0.3">
      <c r="A2618" s="1">
        <v>1011820</v>
      </c>
      <c r="B2618" s="2" t="s">
        <v>1902</v>
      </c>
      <c r="C2618" s="9">
        <v>165460.78</v>
      </c>
    </row>
    <row r="2619" spans="1:3" x14ac:dyDescent="0.3">
      <c r="A2619" s="1">
        <v>1011841</v>
      </c>
      <c r="B2619" s="2" t="s">
        <v>1903</v>
      </c>
      <c r="C2619" s="9">
        <v>1543.3</v>
      </c>
    </row>
    <row r="2620" spans="1:3" x14ac:dyDescent="0.3">
      <c r="A2620" s="1">
        <v>1011842</v>
      </c>
      <c r="B2620" s="2" t="s">
        <v>1904</v>
      </c>
      <c r="C2620" s="9">
        <v>1543.3</v>
      </c>
    </row>
    <row r="2621" spans="1:3" x14ac:dyDescent="0.3">
      <c r="A2621" s="1">
        <v>1011843</v>
      </c>
      <c r="B2621" s="2" t="s">
        <v>1905</v>
      </c>
      <c r="C2621" s="9" t="e">
        <v>#DIV/0!</v>
      </c>
    </row>
    <row r="2622" spans="1:3" x14ac:dyDescent="0.3">
      <c r="A2622" s="1">
        <v>1011845</v>
      </c>
      <c r="B2622" s="2" t="s">
        <v>1906</v>
      </c>
      <c r="C2622" s="9">
        <v>10442</v>
      </c>
    </row>
    <row r="2623" spans="1:3" x14ac:dyDescent="0.3">
      <c r="A2623" s="1">
        <v>1011848</v>
      </c>
      <c r="B2623" s="2" t="s">
        <v>1907</v>
      </c>
      <c r="C2623" s="9">
        <v>210819.38</v>
      </c>
    </row>
    <row r="2624" spans="1:3" x14ac:dyDescent="0.3">
      <c r="A2624" s="1">
        <v>1011849</v>
      </c>
      <c r="B2624" s="2" t="s">
        <v>1908</v>
      </c>
      <c r="C2624" s="9">
        <v>204035.3</v>
      </c>
    </row>
    <row r="2625" spans="1:3" x14ac:dyDescent="0.3">
      <c r="A2625" s="1">
        <v>1011850</v>
      </c>
      <c r="B2625" s="2" t="s">
        <v>1909</v>
      </c>
      <c r="C2625" s="9">
        <v>223227.88</v>
      </c>
    </row>
    <row r="2626" spans="1:3" x14ac:dyDescent="0.3">
      <c r="A2626" s="1">
        <v>1011853</v>
      </c>
      <c r="B2626" s="2" t="s">
        <v>1910</v>
      </c>
      <c r="C2626" s="9">
        <v>119.44</v>
      </c>
    </row>
    <row r="2627" spans="1:3" x14ac:dyDescent="0.3">
      <c r="A2627" s="1">
        <v>1011854</v>
      </c>
      <c r="B2627" s="2" t="s">
        <v>1911</v>
      </c>
      <c r="C2627" s="9">
        <v>1049.26</v>
      </c>
    </row>
    <row r="2628" spans="1:3" x14ac:dyDescent="0.3">
      <c r="A2628" s="1">
        <v>1011855</v>
      </c>
      <c r="B2628" s="2" t="s">
        <v>1912</v>
      </c>
      <c r="C2628" s="9">
        <v>40.019999999999996</v>
      </c>
    </row>
    <row r="2629" spans="1:3" x14ac:dyDescent="0.3">
      <c r="A2629" s="1">
        <v>1011964</v>
      </c>
      <c r="B2629" s="2" t="s">
        <v>1913</v>
      </c>
      <c r="C2629" s="9">
        <v>309.07</v>
      </c>
    </row>
    <row r="2630" spans="1:3" x14ac:dyDescent="0.3">
      <c r="A2630" s="1">
        <v>1012080</v>
      </c>
      <c r="B2630" s="2" t="s">
        <v>1914</v>
      </c>
      <c r="C2630" s="9">
        <v>3140.1333333333332</v>
      </c>
    </row>
    <row r="2631" spans="1:3" x14ac:dyDescent="0.3">
      <c r="A2631" s="1">
        <v>1012128</v>
      </c>
      <c r="B2631" s="2" t="s">
        <v>1915</v>
      </c>
      <c r="C2631" s="9">
        <v>2610395.9533333336</v>
      </c>
    </row>
    <row r="2632" spans="1:3" x14ac:dyDescent="0.3">
      <c r="A2632" s="1">
        <v>1012129</v>
      </c>
      <c r="B2632" s="2" t="s">
        <v>1916</v>
      </c>
      <c r="C2632" s="9">
        <v>2045530.9</v>
      </c>
    </row>
    <row r="2633" spans="1:3" x14ac:dyDescent="0.3">
      <c r="A2633" s="1">
        <v>1012130</v>
      </c>
      <c r="B2633" s="2" t="s">
        <v>1917</v>
      </c>
      <c r="C2633" s="9">
        <v>3052967.65</v>
      </c>
    </row>
    <row r="2634" spans="1:3" x14ac:dyDescent="0.3">
      <c r="A2634" s="1">
        <v>1012131</v>
      </c>
      <c r="B2634" s="2" t="s">
        <v>1918</v>
      </c>
      <c r="C2634" s="9">
        <v>4399.04</v>
      </c>
    </row>
    <row r="2635" spans="1:3" x14ac:dyDescent="0.3">
      <c r="A2635" s="1">
        <v>1012132</v>
      </c>
      <c r="B2635" s="2" t="s">
        <v>1919</v>
      </c>
      <c r="C2635" s="9">
        <v>39882.796399999999</v>
      </c>
    </row>
    <row r="2636" spans="1:3" x14ac:dyDescent="0.3">
      <c r="A2636" s="1">
        <v>1012134</v>
      </c>
      <c r="B2636" s="2" t="s">
        <v>1920</v>
      </c>
      <c r="C2636" s="9">
        <v>6302.8993055555557</v>
      </c>
    </row>
    <row r="2637" spans="1:3" x14ac:dyDescent="0.3">
      <c r="A2637" s="1">
        <v>1012144</v>
      </c>
      <c r="B2637" s="2" t="s">
        <v>1922</v>
      </c>
      <c r="C2637" s="9">
        <v>26603.1</v>
      </c>
    </row>
    <row r="2638" spans="1:3" x14ac:dyDescent="0.3">
      <c r="A2638" s="1">
        <v>1012145</v>
      </c>
      <c r="B2638" s="2" t="s">
        <v>1923</v>
      </c>
      <c r="C2638" s="9">
        <v>34608.574000000001</v>
      </c>
    </row>
    <row r="2639" spans="1:3" x14ac:dyDescent="0.3">
      <c r="A2639" s="1">
        <v>1012164</v>
      </c>
      <c r="B2639" s="2" t="s">
        <v>1924</v>
      </c>
      <c r="C2639" s="9">
        <v>152.36910179182195</v>
      </c>
    </row>
    <row r="2640" spans="1:3" x14ac:dyDescent="0.3">
      <c r="A2640" s="1">
        <v>1012187</v>
      </c>
      <c r="B2640" s="2" t="s">
        <v>1925</v>
      </c>
      <c r="C2640" s="9">
        <v>4573.5383993212672</v>
      </c>
    </row>
    <row r="2641" spans="1:3" x14ac:dyDescent="0.3">
      <c r="A2641" s="1">
        <v>1012203</v>
      </c>
      <c r="B2641" s="2" t="s">
        <v>1926</v>
      </c>
      <c r="C2641" s="9">
        <v>68440</v>
      </c>
    </row>
    <row r="2642" spans="1:3" x14ac:dyDescent="0.3">
      <c r="A2642" s="1">
        <v>1012248</v>
      </c>
      <c r="B2642" s="2" t="s">
        <v>1927</v>
      </c>
      <c r="C2642" s="9">
        <v>17957.912400000001</v>
      </c>
    </row>
    <row r="2643" spans="1:3" x14ac:dyDescent="0.3">
      <c r="A2643" s="1">
        <v>1012249</v>
      </c>
      <c r="B2643" s="2" t="s">
        <v>1928</v>
      </c>
      <c r="C2643" s="9">
        <v>2944.1000000000004</v>
      </c>
    </row>
    <row r="2644" spans="1:3" x14ac:dyDescent="0.3">
      <c r="A2644" s="1">
        <v>1012252</v>
      </c>
      <c r="B2644" s="2" t="s">
        <v>1929</v>
      </c>
      <c r="C2644" s="9">
        <v>93520.9</v>
      </c>
    </row>
    <row r="2645" spans="1:3" x14ac:dyDescent="0.3">
      <c r="A2645" s="1">
        <v>1012260</v>
      </c>
      <c r="B2645" s="2" t="s">
        <v>1930</v>
      </c>
      <c r="C2645" s="9">
        <v>1611.4936904761905</v>
      </c>
    </row>
    <row r="2646" spans="1:3" x14ac:dyDescent="0.3">
      <c r="A2646" s="1">
        <v>1012262</v>
      </c>
      <c r="B2646" s="2" t="s">
        <v>1931</v>
      </c>
      <c r="C2646" s="9">
        <v>3023.16</v>
      </c>
    </row>
    <row r="2647" spans="1:3" x14ac:dyDescent="0.3">
      <c r="A2647" s="1">
        <v>1012341</v>
      </c>
      <c r="B2647" s="2" t="s">
        <v>1932</v>
      </c>
      <c r="C2647" s="9">
        <v>14855.91</v>
      </c>
    </row>
    <row r="2648" spans="1:3" x14ac:dyDescent="0.3">
      <c r="A2648" s="1">
        <v>1012346</v>
      </c>
      <c r="B2648" s="2" t="s">
        <v>1933</v>
      </c>
      <c r="C2648" s="9">
        <v>33983.01</v>
      </c>
    </row>
    <row r="2649" spans="1:3" x14ac:dyDescent="0.3">
      <c r="A2649" s="1">
        <v>1012347</v>
      </c>
      <c r="B2649" s="2" t="s">
        <v>1934</v>
      </c>
      <c r="C2649" s="9">
        <v>35983.01</v>
      </c>
    </row>
    <row r="2650" spans="1:3" x14ac:dyDescent="0.3">
      <c r="A2650" s="1">
        <v>1012379</v>
      </c>
      <c r="B2650" s="2" t="s">
        <v>1935</v>
      </c>
      <c r="C2650" s="9">
        <v>1007280</v>
      </c>
    </row>
    <row r="2651" spans="1:3" x14ac:dyDescent="0.3">
      <c r="A2651" s="1">
        <v>1012380</v>
      </c>
      <c r="B2651" s="2" t="s">
        <v>1936</v>
      </c>
      <c r="C2651" s="9">
        <v>2068652.615</v>
      </c>
    </row>
    <row r="2652" spans="1:3" x14ac:dyDescent="0.3">
      <c r="A2652" s="1">
        <v>1012381</v>
      </c>
      <c r="B2652" s="2" t="s">
        <v>1937</v>
      </c>
      <c r="C2652" s="9">
        <v>1408213.33</v>
      </c>
    </row>
    <row r="2653" spans="1:3" x14ac:dyDescent="0.3">
      <c r="A2653" s="1">
        <v>1012382</v>
      </c>
      <c r="B2653" s="2" t="s">
        <v>1938</v>
      </c>
      <c r="C2653" s="9">
        <v>1605714.4975000001</v>
      </c>
    </row>
    <row r="2654" spans="1:3" x14ac:dyDescent="0.3">
      <c r="A2654" s="1">
        <v>1012383</v>
      </c>
      <c r="B2654" s="2" t="s">
        <v>1939</v>
      </c>
      <c r="C2654" s="9">
        <v>3427683.01</v>
      </c>
    </row>
    <row r="2655" spans="1:3" x14ac:dyDescent="0.3">
      <c r="A2655" s="1">
        <v>1012384</v>
      </c>
      <c r="B2655" s="2" t="s">
        <v>1940</v>
      </c>
      <c r="C2655" s="9">
        <v>1626785.2572727271</v>
      </c>
    </row>
    <row r="2656" spans="1:3" x14ac:dyDescent="0.3">
      <c r="A2656" s="1">
        <v>1012385</v>
      </c>
      <c r="B2656" s="2" t="s">
        <v>1941</v>
      </c>
      <c r="C2656" s="9">
        <v>120000</v>
      </c>
    </row>
    <row r="2657" spans="1:3" x14ac:dyDescent="0.3">
      <c r="A2657" s="1">
        <v>1012397</v>
      </c>
      <c r="B2657" s="2" t="s">
        <v>638</v>
      </c>
      <c r="C2657" s="9">
        <v>325.67724979798692</v>
      </c>
    </row>
    <row r="2658" spans="1:3" x14ac:dyDescent="0.3">
      <c r="A2658" s="1">
        <v>1012439</v>
      </c>
      <c r="B2658" s="2" t="s">
        <v>1942</v>
      </c>
      <c r="C2658" s="9">
        <v>17842.656153846154</v>
      </c>
    </row>
    <row r="2659" spans="1:3" x14ac:dyDescent="0.3">
      <c r="A2659" s="1">
        <v>1012441</v>
      </c>
      <c r="B2659" s="2" t="s">
        <v>1943</v>
      </c>
      <c r="C2659" s="9">
        <v>16643.941333333332</v>
      </c>
    </row>
    <row r="2660" spans="1:3" x14ac:dyDescent="0.3">
      <c r="A2660" s="1">
        <v>1012442</v>
      </c>
      <c r="B2660" s="2" t="s">
        <v>1944</v>
      </c>
      <c r="C2660" s="9">
        <v>300</v>
      </c>
    </row>
    <row r="2661" spans="1:3" x14ac:dyDescent="0.3">
      <c r="A2661" s="1">
        <v>1012470</v>
      </c>
      <c r="B2661" s="2" t="s">
        <v>1945</v>
      </c>
      <c r="C2661" s="9">
        <v>266880.59999999998</v>
      </c>
    </row>
    <row r="2662" spans="1:3" x14ac:dyDescent="0.3">
      <c r="A2662" s="1">
        <v>1012642</v>
      </c>
      <c r="B2662" s="2" t="s">
        <v>1946</v>
      </c>
      <c r="C2662" s="9">
        <v>4826.21</v>
      </c>
    </row>
    <row r="2663" spans="1:3" x14ac:dyDescent="0.3">
      <c r="A2663" s="1">
        <v>1012650</v>
      </c>
      <c r="B2663" s="2" t="s">
        <v>1947</v>
      </c>
      <c r="C2663" s="9">
        <v>302.87984111221448</v>
      </c>
    </row>
    <row r="2664" spans="1:3" x14ac:dyDescent="0.3">
      <c r="A2664" s="1">
        <v>1012669</v>
      </c>
      <c r="B2664" s="2" t="s">
        <v>1948</v>
      </c>
      <c r="C2664" s="9">
        <v>277.3</v>
      </c>
    </row>
    <row r="2665" spans="1:3" x14ac:dyDescent="0.3">
      <c r="A2665" s="1">
        <v>1012837</v>
      </c>
      <c r="B2665" s="2" t="s">
        <v>1949</v>
      </c>
      <c r="C2665" s="9">
        <v>35742.200000000004</v>
      </c>
    </row>
    <row r="2666" spans="1:3" x14ac:dyDescent="0.3">
      <c r="A2666" s="1">
        <v>1012875</v>
      </c>
      <c r="B2666" s="2" t="s">
        <v>1950</v>
      </c>
      <c r="C2666" s="9">
        <v>4422.05</v>
      </c>
    </row>
    <row r="2667" spans="1:3" x14ac:dyDescent="0.3">
      <c r="A2667" s="1">
        <v>1012876</v>
      </c>
      <c r="B2667" s="2" t="s">
        <v>1951</v>
      </c>
      <c r="C2667" s="9">
        <v>2950</v>
      </c>
    </row>
    <row r="2668" spans="1:3" x14ac:dyDescent="0.3">
      <c r="A2668" s="1">
        <v>1012878</v>
      </c>
      <c r="B2668" s="2" t="s">
        <v>1952</v>
      </c>
      <c r="C2668" s="9">
        <v>108908.37</v>
      </c>
    </row>
    <row r="2669" spans="1:3" x14ac:dyDescent="0.3">
      <c r="A2669" s="1">
        <v>1012879</v>
      </c>
      <c r="B2669" s="2" t="s">
        <v>1953</v>
      </c>
      <c r="C2669" s="9">
        <v>23116.2</v>
      </c>
    </row>
    <row r="2670" spans="1:3" x14ac:dyDescent="0.3">
      <c r="A2670" s="1">
        <v>1012883</v>
      </c>
      <c r="B2670" s="2" t="s">
        <v>1954</v>
      </c>
      <c r="C2670" s="9">
        <v>8164.1250243902432</v>
      </c>
    </row>
    <row r="2671" spans="1:3" x14ac:dyDescent="0.3">
      <c r="A2671" s="1">
        <v>1012892</v>
      </c>
      <c r="B2671" s="2" t="s">
        <v>1955</v>
      </c>
      <c r="C2671" s="9">
        <v>100010.04</v>
      </c>
    </row>
    <row r="2672" spans="1:3" x14ac:dyDescent="0.3">
      <c r="A2672" s="1">
        <v>1012897</v>
      </c>
      <c r="B2672" s="2" t="s">
        <v>1956</v>
      </c>
      <c r="C2672" s="9">
        <v>117209.685</v>
      </c>
    </row>
    <row r="2673" spans="1:3" x14ac:dyDescent="0.3">
      <c r="A2673" s="1">
        <v>1012945</v>
      </c>
      <c r="B2673" s="2" t="s">
        <v>1957</v>
      </c>
      <c r="C2673" s="9">
        <v>33534.927000000003</v>
      </c>
    </row>
    <row r="2674" spans="1:3" x14ac:dyDescent="0.3">
      <c r="A2674" s="1">
        <v>1012973</v>
      </c>
      <c r="B2674" s="2" t="s">
        <v>1958</v>
      </c>
      <c r="C2674" s="9">
        <v>33534.923999999999</v>
      </c>
    </row>
    <row r="2675" spans="1:3" x14ac:dyDescent="0.3">
      <c r="A2675" s="1">
        <v>1012974</v>
      </c>
      <c r="B2675" s="2" t="s">
        <v>1959</v>
      </c>
      <c r="C2675" s="9">
        <v>1961.74</v>
      </c>
    </row>
    <row r="2676" spans="1:3" x14ac:dyDescent="0.3">
      <c r="A2676" s="1">
        <v>1012975</v>
      </c>
      <c r="B2676" s="2" t="s">
        <v>1960</v>
      </c>
      <c r="C2676" s="9">
        <v>44211.968571428573</v>
      </c>
    </row>
    <row r="2677" spans="1:3" x14ac:dyDescent="0.3">
      <c r="A2677" s="1">
        <v>1012977</v>
      </c>
      <c r="B2677" s="2" t="s">
        <v>1961</v>
      </c>
      <c r="C2677" s="9">
        <v>1239.7080041152262</v>
      </c>
    </row>
    <row r="2678" spans="1:3" x14ac:dyDescent="0.3">
      <c r="A2678" s="1">
        <v>1012978</v>
      </c>
      <c r="B2678" s="2" t="s">
        <v>1962</v>
      </c>
      <c r="C2678" s="9">
        <v>1239.7079957203996</v>
      </c>
    </row>
    <row r="2679" spans="1:3" x14ac:dyDescent="0.3">
      <c r="A2679" s="1">
        <v>1012980</v>
      </c>
      <c r="B2679" s="2" t="s">
        <v>1963</v>
      </c>
      <c r="C2679" s="9">
        <v>1376765.2649999999</v>
      </c>
    </row>
    <row r="2680" spans="1:3" x14ac:dyDescent="0.3">
      <c r="A2680" s="1">
        <v>1012982</v>
      </c>
      <c r="B2680" s="2" t="s">
        <v>1964</v>
      </c>
      <c r="C2680" s="9">
        <v>929394.96499999997</v>
      </c>
    </row>
    <row r="2681" spans="1:3" x14ac:dyDescent="0.3">
      <c r="A2681" s="1">
        <v>1012984</v>
      </c>
      <c r="B2681" s="2" t="s">
        <v>1965</v>
      </c>
      <c r="C2681" s="9">
        <v>10</v>
      </c>
    </row>
    <row r="2682" spans="1:3" x14ac:dyDescent="0.3">
      <c r="A2682" s="1">
        <v>1013167</v>
      </c>
      <c r="B2682" s="2" t="s">
        <v>1966</v>
      </c>
      <c r="C2682" s="9">
        <v>4521.76</v>
      </c>
    </row>
    <row r="2683" spans="1:3" x14ac:dyDescent="0.3">
      <c r="A2683" s="1">
        <v>1013168</v>
      </c>
      <c r="B2683" s="2" t="s">
        <v>1967</v>
      </c>
      <c r="C2683" s="9">
        <v>85756.5</v>
      </c>
    </row>
    <row r="2684" spans="1:3" x14ac:dyDescent="0.3">
      <c r="A2684" s="1">
        <v>1013169</v>
      </c>
      <c r="B2684" s="2" t="s">
        <v>1968</v>
      </c>
      <c r="C2684" s="9">
        <v>4521.76</v>
      </c>
    </row>
    <row r="2685" spans="1:3" x14ac:dyDescent="0.3">
      <c r="A2685" s="1">
        <v>1013170</v>
      </c>
      <c r="B2685" s="2" t="s">
        <v>1969</v>
      </c>
      <c r="C2685" s="9">
        <v>12744</v>
      </c>
    </row>
    <row r="2686" spans="1:3" x14ac:dyDescent="0.3">
      <c r="A2686" s="1">
        <v>1013171</v>
      </c>
      <c r="B2686" s="2" t="s">
        <v>1970</v>
      </c>
      <c r="C2686" s="9">
        <v>15675.12</v>
      </c>
    </row>
    <row r="2687" spans="1:3" x14ac:dyDescent="0.3">
      <c r="A2687" s="1">
        <v>1013442</v>
      </c>
      <c r="B2687" s="2" t="s">
        <v>1971</v>
      </c>
      <c r="C2687" s="9">
        <v>2400</v>
      </c>
    </row>
    <row r="2688" spans="1:3" x14ac:dyDescent="0.3">
      <c r="A2688" s="1">
        <v>1013484</v>
      </c>
      <c r="B2688" s="2" t="s">
        <v>1972</v>
      </c>
      <c r="C2688" s="9">
        <v>112.1</v>
      </c>
    </row>
    <row r="2689" spans="1:3" x14ac:dyDescent="0.3">
      <c r="A2689" s="1">
        <v>1013521</v>
      </c>
      <c r="B2689" s="2" t="s">
        <v>1973</v>
      </c>
      <c r="C2689" s="9">
        <v>34209.557500000003</v>
      </c>
    </row>
    <row r="2690" spans="1:3" x14ac:dyDescent="0.3">
      <c r="A2690" s="1">
        <v>1013603</v>
      </c>
      <c r="B2690" s="2" t="s">
        <v>1974</v>
      </c>
      <c r="C2690" s="9">
        <v>8.3000000000000007</v>
      </c>
    </row>
    <row r="2691" spans="1:3" x14ac:dyDescent="0.3">
      <c r="A2691" s="1">
        <v>1013618</v>
      </c>
      <c r="B2691" s="2" t="s">
        <v>1975</v>
      </c>
      <c r="C2691" s="9">
        <v>535.24798561151079</v>
      </c>
    </row>
    <row r="2692" spans="1:3" x14ac:dyDescent="0.3">
      <c r="A2692" s="1">
        <v>1013640</v>
      </c>
      <c r="B2692" s="2" t="s">
        <v>1976</v>
      </c>
      <c r="C2692" s="9">
        <v>231.26820000000001</v>
      </c>
    </row>
    <row r="2693" spans="1:3" x14ac:dyDescent="0.3">
      <c r="A2693" s="1">
        <v>1013641</v>
      </c>
      <c r="B2693" s="2" t="s">
        <v>1977</v>
      </c>
      <c r="C2693" s="9">
        <v>232.44820000000001</v>
      </c>
    </row>
    <row r="2694" spans="1:3" x14ac:dyDescent="0.3">
      <c r="A2694" s="1">
        <v>1013664</v>
      </c>
      <c r="B2694" s="2" t="s">
        <v>1978</v>
      </c>
      <c r="C2694" s="9">
        <v>305.66258064516126</v>
      </c>
    </row>
    <row r="2695" spans="1:3" x14ac:dyDescent="0.3">
      <c r="A2695" s="1">
        <v>1013666</v>
      </c>
      <c r="B2695" s="2" t="s">
        <v>1979</v>
      </c>
      <c r="C2695" s="9">
        <v>51.92</v>
      </c>
    </row>
    <row r="2696" spans="1:3" x14ac:dyDescent="0.3">
      <c r="A2696" s="1">
        <v>1013810</v>
      </c>
      <c r="B2696" s="2" t="s">
        <v>1980</v>
      </c>
      <c r="C2696" s="9">
        <v>40</v>
      </c>
    </row>
    <row r="2697" spans="1:3" x14ac:dyDescent="0.3">
      <c r="A2697" s="1">
        <v>1013813</v>
      </c>
      <c r="B2697" s="2" t="s">
        <v>1981</v>
      </c>
      <c r="C2697" s="9">
        <v>600</v>
      </c>
    </row>
    <row r="2698" spans="1:3" x14ac:dyDescent="0.3">
      <c r="A2698" s="1">
        <v>1013845</v>
      </c>
      <c r="B2698" s="2" t="s">
        <v>1982</v>
      </c>
      <c r="C2698" s="9">
        <v>61.22</v>
      </c>
    </row>
    <row r="2699" spans="1:3" x14ac:dyDescent="0.3">
      <c r="A2699" s="1">
        <v>1013870</v>
      </c>
      <c r="B2699" s="2" t="s">
        <v>1983</v>
      </c>
      <c r="C2699" s="9">
        <v>19429.859999999997</v>
      </c>
    </row>
    <row r="2700" spans="1:3" x14ac:dyDescent="0.3">
      <c r="A2700" s="1">
        <v>1013954</v>
      </c>
      <c r="B2700" s="2" t="s">
        <v>1517</v>
      </c>
      <c r="C2700" s="9">
        <v>213731.01</v>
      </c>
    </row>
    <row r="2701" spans="1:3" x14ac:dyDescent="0.3">
      <c r="A2701" s="1">
        <v>1014067</v>
      </c>
      <c r="B2701" s="2" t="s">
        <v>1984</v>
      </c>
      <c r="C2701" s="9">
        <v>2030162.36</v>
      </c>
    </row>
    <row r="2702" spans="1:3" x14ac:dyDescent="0.3">
      <c r="A2702" s="1">
        <v>1014068</v>
      </c>
      <c r="B2702" s="2" t="s">
        <v>1985</v>
      </c>
      <c r="C2702" s="9">
        <v>2046473.56</v>
      </c>
    </row>
    <row r="2703" spans="1:3" x14ac:dyDescent="0.3">
      <c r="A2703" s="1">
        <v>1014072</v>
      </c>
      <c r="B2703" s="2" t="s">
        <v>81</v>
      </c>
      <c r="C2703" s="9">
        <v>13.57</v>
      </c>
    </row>
    <row r="2704" spans="1:3" x14ac:dyDescent="0.3">
      <c r="A2704" s="1">
        <v>1014212</v>
      </c>
      <c r="B2704" s="2" t="s">
        <v>1986</v>
      </c>
      <c r="C2704" s="9">
        <v>112.29196063588191</v>
      </c>
    </row>
    <row r="2705" spans="1:3" x14ac:dyDescent="0.3">
      <c r="A2705" s="1">
        <v>1014276</v>
      </c>
      <c r="B2705" s="2" t="s">
        <v>1987</v>
      </c>
      <c r="C2705" s="9">
        <v>25</v>
      </c>
    </row>
    <row r="2706" spans="1:3" x14ac:dyDescent="0.3">
      <c r="A2706" s="1">
        <v>1014432</v>
      </c>
      <c r="B2706" s="2" t="s">
        <v>1988</v>
      </c>
      <c r="C2706" s="9" t="e">
        <v>#DIV/0!</v>
      </c>
    </row>
    <row r="2707" spans="1:3" x14ac:dyDescent="0.3">
      <c r="A2707" s="1">
        <v>1014463</v>
      </c>
      <c r="B2707" s="2" t="s">
        <v>1989</v>
      </c>
      <c r="C2707" s="9">
        <v>0</v>
      </c>
    </row>
    <row r="2708" spans="1:3" x14ac:dyDescent="0.3">
      <c r="A2708" s="1">
        <v>1014485</v>
      </c>
      <c r="B2708" s="2" t="s">
        <v>1990</v>
      </c>
      <c r="C2708" s="9">
        <v>8.378645694481472</v>
      </c>
    </row>
    <row r="2709" spans="1:3" x14ac:dyDescent="0.3">
      <c r="A2709" s="1">
        <v>1014487</v>
      </c>
      <c r="B2709" s="2" t="s">
        <v>1991</v>
      </c>
      <c r="C2709" s="9">
        <v>64.960000000000008</v>
      </c>
    </row>
    <row r="2710" spans="1:3" x14ac:dyDescent="0.3">
      <c r="A2710" s="1">
        <v>1014528</v>
      </c>
      <c r="B2710" s="2" t="s">
        <v>1992</v>
      </c>
      <c r="C2710" s="9">
        <v>8</v>
      </c>
    </row>
    <row r="2711" spans="1:3" x14ac:dyDescent="0.3">
      <c r="A2711" s="1">
        <v>1014549</v>
      </c>
      <c r="B2711" s="2" t="s">
        <v>1993</v>
      </c>
      <c r="C2711" s="9">
        <v>60007.75</v>
      </c>
    </row>
    <row r="2712" spans="1:3" x14ac:dyDescent="0.3">
      <c r="A2712" s="1">
        <v>2001226</v>
      </c>
      <c r="B2712" s="2" t="s">
        <v>1994</v>
      </c>
      <c r="C2712" s="9">
        <v>2.3482000000000003</v>
      </c>
    </row>
    <row r="2713" spans="1:3" x14ac:dyDescent="0.3">
      <c r="A2713" s="1">
        <v>2004181</v>
      </c>
      <c r="B2713" s="2" t="s">
        <v>1995</v>
      </c>
      <c r="C2713" s="9">
        <v>3.3866000497553697</v>
      </c>
    </row>
    <row r="2714" spans="1:3" x14ac:dyDescent="0.3">
      <c r="A2714" s="1">
        <v>2004381</v>
      </c>
      <c r="B2714" s="2" t="s">
        <v>1996</v>
      </c>
      <c r="C2714" s="9">
        <v>600</v>
      </c>
    </row>
    <row r="2715" spans="1:3" x14ac:dyDescent="0.3">
      <c r="A2715" s="1">
        <v>2005912</v>
      </c>
      <c r="B2715" s="2" t="s">
        <v>1997</v>
      </c>
      <c r="C2715" s="9">
        <v>286.33086193136472</v>
      </c>
    </row>
    <row r="2716" spans="1:3" x14ac:dyDescent="0.3">
      <c r="A2716" s="1">
        <v>2008659</v>
      </c>
      <c r="B2716" s="2" t="s">
        <v>1998</v>
      </c>
      <c r="C2716" s="9">
        <v>20.060000000000002</v>
      </c>
    </row>
    <row r="2717" spans="1:3" x14ac:dyDescent="0.3">
      <c r="A2717" s="1">
        <v>2008803</v>
      </c>
      <c r="B2717" s="2" t="s">
        <v>1999</v>
      </c>
      <c r="C2717" s="9">
        <v>172.65673913043477</v>
      </c>
    </row>
    <row r="2718" spans="1:3" x14ac:dyDescent="0.3">
      <c r="A2718" s="1">
        <v>2009993</v>
      </c>
      <c r="B2718" s="2" t="s">
        <v>282</v>
      </c>
      <c r="C2718" s="9">
        <v>21782.799999999999</v>
      </c>
    </row>
    <row r="2719" spans="1:3" x14ac:dyDescent="0.3">
      <c r="A2719" s="1">
        <v>2010037</v>
      </c>
      <c r="B2719" s="2" t="s">
        <v>769</v>
      </c>
      <c r="C2719" s="9">
        <v>30090</v>
      </c>
    </row>
    <row r="2720" spans="1:3" x14ac:dyDescent="0.3">
      <c r="A2720" s="1">
        <v>2010039</v>
      </c>
      <c r="B2720" s="2" t="s">
        <v>772</v>
      </c>
      <c r="C2720" s="9">
        <v>30090</v>
      </c>
    </row>
    <row r="2721" spans="1:3" x14ac:dyDescent="0.3">
      <c r="A2721" s="1">
        <v>2010644</v>
      </c>
      <c r="B2721" s="2" t="s">
        <v>770</v>
      </c>
      <c r="C2721" s="9">
        <v>30090</v>
      </c>
    </row>
    <row r="2722" spans="1:3" x14ac:dyDescent="0.3">
      <c r="A2722" s="1">
        <v>2011177</v>
      </c>
      <c r="B2722" s="2" t="s">
        <v>2000</v>
      </c>
      <c r="C2722" s="9">
        <v>247.3311967283685</v>
      </c>
    </row>
    <row r="2723" spans="1:3" x14ac:dyDescent="0.3">
      <c r="A2723" s="1">
        <v>2011178</v>
      </c>
      <c r="B2723" s="2" t="s">
        <v>2001</v>
      </c>
      <c r="C2723" s="9">
        <v>44719.43</v>
      </c>
    </row>
    <row r="2724" spans="1:3" x14ac:dyDescent="0.3">
      <c r="A2724" s="1">
        <v>2011179</v>
      </c>
      <c r="B2724" s="2" t="s">
        <v>2002</v>
      </c>
      <c r="C2724" s="9">
        <v>487.47234597759672</v>
      </c>
    </row>
    <row r="2725" spans="1:3" x14ac:dyDescent="0.3">
      <c r="A2725" s="1">
        <v>2011260</v>
      </c>
      <c r="B2725" s="2" t="s">
        <v>2003</v>
      </c>
      <c r="C2725" s="9">
        <v>125670</v>
      </c>
    </row>
    <row r="2726" spans="1:3" x14ac:dyDescent="0.3">
      <c r="A2726" s="1">
        <v>2011376</v>
      </c>
      <c r="B2726" s="2" t="s">
        <v>2004</v>
      </c>
      <c r="C2726" s="9">
        <v>35.4</v>
      </c>
    </row>
    <row r="2727" spans="1:3" x14ac:dyDescent="0.3">
      <c r="A2727" s="1">
        <v>2011377</v>
      </c>
      <c r="B2727" s="2" t="s">
        <v>2005</v>
      </c>
      <c r="C2727" s="9">
        <v>178.18</v>
      </c>
    </row>
    <row r="2728" spans="1:3" x14ac:dyDescent="0.3">
      <c r="A2728" s="1">
        <v>2012333</v>
      </c>
      <c r="B2728" s="2" t="s">
        <v>2006</v>
      </c>
      <c r="C2728" s="9">
        <v>140.41999999999999</v>
      </c>
    </row>
    <row r="2729" spans="1:3" x14ac:dyDescent="0.3">
      <c r="A2729" s="1">
        <v>5000870</v>
      </c>
      <c r="B2729" s="2" t="s">
        <v>2007</v>
      </c>
      <c r="C2729" s="9">
        <v>0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799E9-57D5-40A3-A8FC-D0F3063165FE}">
  <dimension ref="A1:M17"/>
  <sheetViews>
    <sheetView workbookViewId="0">
      <selection activeCell="B2" sqref="B2:B8"/>
    </sheetView>
  </sheetViews>
  <sheetFormatPr baseColWidth="10" defaultRowHeight="14.4" x14ac:dyDescent="0.3"/>
  <sheetData>
    <row r="1" spans="1:13" x14ac:dyDescent="0.3">
      <c r="B1" s="32" t="s">
        <v>3579</v>
      </c>
      <c r="C1" s="32" t="s">
        <v>3578</v>
      </c>
      <c r="D1" s="32" t="s">
        <v>3580</v>
      </c>
    </row>
    <row r="2" spans="1:13" x14ac:dyDescent="0.3">
      <c r="A2" s="7">
        <v>1</v>
      </c>
      <c r="B2" s="27">
        <v>46034</v>
      </c>
      <c r="C2" s="28" t="s">
        <v>3577</v>
      </c>
      <c r="D2" s="28" t="s">
        <v>3581</v>
      </c>
    </row>
    <row r="3" spans="1:13" x14ac:dyDescent="0.3">
      <c r="A3" s="7">
        <f>+A2+1</f>
        <v>2</v>
      </c>
      <c r="B3" s="29">
        <v>46042</v>
      </c>
      <c r="C3" s="7" t="s">
        <v>3569</v>
      </c>
      <c r="D3" s="28" t="s">
        <v>3582</v>
      </c>
    </row>
    <row r="4" spans="1:13" x14ac:dyDescent="0.3">
      <c r="A4" s="7">
        <f t="shared" ref="A4:A16" si="0">+A3+1</f>
        <v>3</v>
      </c>
      <c r="B4" s="29">
        <v>46045</v>
      </c>
      <c r="C4" s="7" t="s">
        <v>3568</v>
      </c>
      <c r="D4" s="28" t="s">
        <v>3583</v>
      </c>
    </row>
    <row r="5" spans="1:13" x14ac:dyDescent="0.3">
      <c r="A5" s="7">
        <f t="shared" si="0"/>
        <v>4</v>
      </c>
      <c r="B5" s="29">
        <v>46052</v>
      </c>
      <c r="C5" s="7" t="s">
        <v>3567</v>
      </c>
      <c r="D5" s="28" t="s">
        <v>3584</v>
      </c>
    </row>
    <row r="6" spans="1:13" x14ac:dyDescent="0.3">
      <c r="A6" s="7">
        <f t="shared" si="0"/>
        <v>5</v>
      </c>
      <c r="B6" s="29">
        <v>46064</v>
      </c>
      <c r="C6" s="7" t="s">
        <v>3576</v>
      </c>
      <c r="D6" s="28" t="s">
        <v>3595</v>
      </c>
    </row>
    <row r="7" spans="1:13" x14ac:dyDescent="0.3">
      <c r="A7" s="7">
        <f t="shared" si="0"/>
        <v>6</v>
      </c>
      <c r="B7" s="29">
        <v>46066</v>
      </c>
      <c r="C7" s="7" t="s">
        <v>3575</v>
      </c>
      <c r="D7" s="28" t="s">
        <v>3593</v>
      </c>
    </row>
    <row r="8" spans="1:13" x14ac:dyDescent="0.3">
      <c r="A8" s="7">
        <f t="shared" si="0"/>
        <v>7</v>
      </c>
      <c r="B8" s="29">
        <v>46069</v>
      </c>
      <c r="C8" s="7" t="s">
        <v>3574</v>
      </c>
      <c r="D8" s="28" t="s">
        <v>3594</v>
      </c>
    </row>
    <row r="9" spans="1:13" x14ac:dyDescent="0.3">
      <c r="A9" s="7">
        <v>1</v>
      </c>
      <c r="B9" s="29">
        <v>46083</v>
      </c>
      <c r="C9" s="7" t="s">
        <v>3573</v>
      </c>
      <c r="D9" s="31" t="s">
        <v>3592</v>
      </c>
    </row>
    <row r="10" spans="1:13" x14ac:dyDescent="0.3">
      <c r="A10" s="7">
        <f t="shared" si="0"/>
        <v>2</v>
      </c>
      <c r="B10" s="29">
        <v>46092</v>
      </c>
      <c r="C10" s="7" t="s">
        <v>3572</v>
      </c>
      <c r="D10" s="31" t="s">
        <v>3591</v>
      </c>
    </row>
    <row r="11" spans="1:13" x14ac:dyDescent="0.3">
      <c r="A11" s="7">
        <f t="shared" si="0"/>
        <v>3</v>
      </c>
      <c r="B11" s="29">
        <v>46104</v>
      </c>
      <c r="C11" s="7" t="s">
        <v>3571</v>
      </c>
      <c r="D11" s="31" t="s">
        <v>3585</v>
      </c>
    </row>
    <row r="12" spans="1:13" x14ac:dyDescent="0.3">
      <c r="A12" s="7">
        <f t="shared" si="0"/>
        <v>4</v>
      </c>
      <c r="B12" s="29">
        <v>46108</v>
      </c>
      <c r="C12" s="7" t="s">
        <v>3570</v>
      </c>
      <c r="D12" s="31" t="s">
        <v>3586</v>
      </c>
      <c r="L12">
        <v>22819</v>
      </c>
      <c r="M12">
        <v>7507</v>
      </c>
    </row>
    <row r="13" spans="1:13" x14ac:dyDescent="0.3">
      <c r="A13" s="7">
        <f t="shared" si="0"/>
        <v>5</v>
      </c>
      <c r="B13" s="29">
        <v>46127</v>
      </c>
      <c r="C13" s="7" t="s">
        <v>3566</v>
      </c>
      <c r="D13" s="31" t="s">
        <v>3587</v>
      </c>
      <c r="J13">
        <v>19000</v>
      </c>
      <c r="L13">
        <v>12819</v>
      </c>
      <c r="M13">
        <v>4000</v>
      </c>
    </row>
    <row r="14" spans="1:13" x14ac:dyDescent="0.3">
      <c r="A14" s="7">
        <f t="shared" si="0"/>
        <v>6</v>
      </c>
      <c r="B14" s="29">
        <v>46129</v>
      </c>
      <c r="C14" s="7" t="s">
        <v>3565</v>
      </c>
      <c r="D14" s="31" t="s">
        <v>3588</v>
      </c>
      <c r="J14">
        <f>+J13-4000</f>
        <v>15000</v>
      </c>
      <c r="L14">
        <v>6000</v>
      </c>
      <c r="M14" s="30">
        <f>+M12-M13</f>
        <v>3507</v>
      </c>
    </row>
    <row r="15" spans="1:13" x14ac:dyDescent="0.3">
      <c r="A15" s="7">
        <f t="shared" si="0"/>
        <v>7</v>
      </c>
      <c r="B15" s="29">
        <v>46142</v>
      </c>
      <c r="C15" s="7" t="s">
        <v>3564</v>
      </c>
      <c r="D15" s="31" t="s">
        <v>3590</v>
      </c>
      <c r="L15" s="30">
        <f>+L12-L13-L14</f>
        <v>4000</v>
      </c>
    </row>
    <row r="16" spans="1:13" x14ac:dyDescent="0.3">
      <c r="A16" s="7">
        <f t="shared" si="0"/>
        <v>8</v>
      </c>
      <c r="B16" s="29">
        <v>46150</v>
      </c>
      <c r="C16" s="7" t="s">
        <v>3563</v>
      </c>
      <c r="D16" s="31" t="s">
        <v>3589</v>
      </c>
      <c r="L16">
        <v>13000</v>
      </c>
    </row>
    <row r="17" spans="12:12" x14ac:dyDescent="0.3">
      <c r="L17">
        <f>+L16-7000</f>
        <v>6000</v>
      </c>
    </row>
  </sheetData>
  <sortState xmlns:xlrd2="http://schemas.microsoft.com/office/spreadsheetml/2017/richdata2" ref="B2:C16">
    <sortCondition ref="B2:B1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Hoja2</vt:lpstr>
      <vt:lpstr>Hoja3</vt:lpstr>
      <vt:lpstr>Hoja8</vt:lpstr>
      <vt:lpstr>Hoja7</vt:lpstr>
      <vt:lpstr>Hoja6</vt:lpstr>
      <vt:lpstr>Hoja4</vt:lpstr>
      <vt:lpstr>Hoja1</vt:lpstr>
      <vt:lpstr>Hoja5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Claudio Carreras</dc:creator>
  <cp:keywords/>
  <dc:description/>
  <cp:lastModifiedBy>Claudio Carreras</cp:lastModifiedBy>
  <cp:revision/>
  <dcterms:created xsi:type="dcterms:W3CDTF">2021-03-15T13:54:53Z</dcterms:created>
  <dcterms:modified xsi:type="dcterms:W3CDTF">2026-10-09T00:37:19Z</dcterms:modified>
  <cp:category/>
  <cp:contentStatus/>
</cp:coreProperties>
</file>